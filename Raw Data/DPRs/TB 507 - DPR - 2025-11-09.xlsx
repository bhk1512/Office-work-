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C:\Users\kaushikb\Documents\Work\Git\Office-work-\Raw Data\DPRs\"/>
    </mc:Choice>
  </mc:AlternateContent>
  <xr:revisionPtr revIDLastSave="0" documentId="13_ncr:1_{EBE57765-056C-473F-AD92-E2FFC7A40095}" xr6:coauthVersionLast="47" xr6:coauthVersionMax="47" xr10:uidLastSave="{00000000-0000-0000-0000-000000000000}"/>
  <bookViews>
    <workbookView xWindow="-110" yWindow="-110" windowWidth="19420" windowHeight="10300" tabRatio="822" firstSheet="13" activeTab="17" xr2:uid="{00000000-000D-0000-FFFF-FFFF00000000}"/>
  </bookViews>
  <sheets>
    <sheet name=" " sheetId="18" r:id="rId1"/>
    <sheet name="400kV Summery" sheetId="62" r:id="rId2"/>
    <sheet name="Check Survey " sheetId="56" r:id="rId3"/>
    <sheet name="Check Survey Status" sheetId="55" state="hidden" r:id="rId4"/>
    <sheet name="Check Survey" sheetId="22" state="hidden" r:id="rId5"/>
    <sheet name="Sheet8" sheetId="48" state="hidden" r:id="rId6"/>
    <sheet name="Sheet2" sheetId="65" state="hidden" r:id="rId7"/>
    <sheet name=" Crossing Proposal" sheetId="32" r:id="rId8"/>
    <sheet name="Sheet1" sheetId="41" state="hidden" r:id="rId9"/>
    <sheet name="VC 51-96" sheetId="40" state="hidden" r:id="rId10"/>
    <sheet name="VC" sheetId="31" state="hidden" r:id="rId11"/>
    <sheet name="ROW" sheetId="38" state="hidden" r:id="rId12"/>
    <sheet name="June" sheetId="60" state="hidden" r:id="rId13"/>
    <sheet name="Foundation" sheetId="26" r:id="rId14"/>
    <sheet name="Royalty" sheetId="58" state="hidden" r:id="rId15"/>
    <sheet name="Sheet14" sheetId="64" state="hidden" r:id="rId16"/>
    <sheet name="Sheet7" sheetId="66" state="hidden" r:id="rId17"/>
    <sheet name="Project Details" sheetId="68" r:id="rId18"/>
    <sheet name="ErectionCompiled" sheetId="52" r:id="rId19"/>
    <sheet name="Earthing" sheetId="37" r:id="rId20"/>
    <sheet name="Soil Investigation" sheetId="25" r:id="rId21"/>
    <sheet name="Sheet9" sheetId="67" state="hidden" r:id="rId22"/>
    <sheet name="VC " sheetId="46" state="hidden" r:id="rId23"/>
    <sheet name="Sheet6" sheetId="45" state="hidden" r:id="rId24"/>
    <sheet name="VC 51-121" sheetId="42" state="hidden" r:id="rId25"/>
    <sheet name="Sheet5" sheetId="44" state="hidden" r:id="rId26"/>
    <sheet name="Sheet3" sheetId="43" state="hidden" r:id="rId27"/>
    <sheet name="Tower Schedule" sheetId="24" state="hidden" r:id="rId28"/>
    <sheet name="Visual Chart" sheetId="69" r:id="rId29"/>
    <sheet name="L2 Vs Actual Progress Chart" sheetId="33" r:id="rId30"/>
    <sheet name="L2 Vs Actual Progress Chart (2)" sheetId="51" state="hidden" r:id="rId31"/>
    <sheet name="Sheet4" sheetId="36" state="hidden" r:id="rId32"/>
  </sheets>
  <externalReferences>
    <externalReference r:id="rId33"/>
    <externalReference r:id="rId34"/>
    <externalReference r:id="rId35"/>
    <externalReference r:id="rId36"/>
    <externalReference r:id="rId37"/>
  </externalReferences>
  <definedNames>
    <definedName name="_____________dec05" hidden="1">{"'Sheet1'!$A$4386:$N$4591"}</definedName>
    <definedName name="____________dec05" hidden="1">{"'Sheet1'!$A$4386:$N$4591"}</definedName>
    <definedName name="___________dec05" hidden="1">{"'Sheet1'!$A$4386:$N$4591"}</definedName>
    <definedName name="__________dec05" hidden="1">{"'Sheet1'!$A$4386:$N$4591"}</definedName>
    <definedName name="_________dec05" hidden="1">{"'Sheet1'!$A$4386:$N$4591"}</definedName>
    <definedName name="________dec05" hidden="1">{"'Sheet1'!$A$4386:$N$4591"}</definedName>
    <definedName name="_______dec05" hidden="1">{"'Sheet1'!$A$4386:$N$4591"}</definedName>
    <definedName name="______dec05" hidden="1">{"'Sheet1'!$A$4386:$N$4591"}</definedName>
    <definedName name="_____dec05" hidden="1">{"'Sheet1'!$A$4386:$N$4591"}</definedName>
    <definedName name="____dec05" hidden="1">{"'Sheet1'!$A$4386:$N$4591"}</definedName>
    <definedName name="___dec05" hidden="1">{"'Sheet1'!$A$4386:$N$4591"}</definedName>
    <definedName name="__123Graph_A" hidden="1">'[1]1'!$M$34:$M$45</definedName>
    <definedName name="__123Graph_B" hidden="1">'[2]CASH-FLOW'!#REF!</definedName>
    <definedName name="__123Graph_C" hidden="1">[3]drg!#REF!</definedName>
    <definedName name="__123Graph_X" hidden="1">'[1]1'!$N$34:$N$45</definedName>
    <definedName name="__dec05" hidden="1">{"'Sheet1'!$A$4386:$N$4591"}</definedName>
    <definedName name="_AtRisk_SimSetting_AutomaticallyGenerateReports" hidden="1">FALSE</definedName>
    <definedName name="_AtRisk_SimSetting_AutomaticResultsDisplayMode" hidden="1">2</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FALSE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dec05" hidden="1">{"'Sheet1'!$A$4386:$N$4591"}</definedName>
    <definedName name="_Fill" hidden="1">#REF!</definedName>
    <definedName name="_xlnm._FilterDatabase" localSheetId="2" hidden="1">'Check Survey '!$A$68:$H$90</definedName>
    <definedName name="_xlnm._FilterDatabase" localSheetId="19" hidden="1">Earthing!$A$5:$F$6</definedName>
    <definedName name="_xlnm._FilterDatabase" localSheetId="18" hidden="1">ErectionCompiled!$A$5:$H$5</definedName>
    <definedName name="_xlnm._FilterDatabase" localSheetId="13" hidden="1">Foundation!$A$8:$P$234</definedName>
    <definedName name="_xlnm._FilterDatabase" localSheetId="11" hidden="1">ROW!$A$7:$G$36</definedName>
    <definedName name="_xlnm._FilterDatabase" localSheetId="14" hidden="1">Royalty!$C$14:$D$28</definedName>
    <definedName name="_xlnm._FilterDatabase" localSheetId="26" hidden="1">Sheet5!$B$3:$J$38</definedName>
    <definedName name="_xlnm._FilterDatabase" localSheetId="23" hidden="1">Sheet6!$B$4:$E$41</definedName>
    <definedName name="_xlnm._FilterDatabase" localSheetId="20" hidden="1">'Soil Investigation'!$A$5:$F$79</definedName>
    <definedName name="_xlnm._FilterDatabase" hidden="1">'[4]SP Break Up'!$A$6:$I$39</definedName>
    <definedName name="_Key1" hidden="1">#REF!</definedName>
    <definedName name="_Key2" hidden="1">#REF!</definedName>
    <definedName name="_Order1" hidden="1">255</definedName>
    <definedName name="_Order2" hidden="1">0</definedName>
    <definedName name="_Parse_In" hidden="1">#REF!</definedName>
    <definedName name="_PM123" hidden="1">{"'Sheet1'!$A$4386:$N$4591"}</definedName>
    <definedName name="_Sort" hidden="1">#REF!</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_D">INDEX(' '!$B$1:$B$16,MATCH(#REF!,' '!$A$1:$A$16,0))</definedName>
    <definedName name="AA">INDEX(' '!$B$1:$B$16,MATCH(#REF!,' '!$A$1:$A$16,0))</definedName>
    <definedName name="AAA" hidden="1">{#N/A,#N/A,FALSE,"COVER1.XLS ";#N/A,#N/A,FALSE,"RACT1.XLS";#N/A,#N/A,FALSE,"RACT2.XLS";#N/A,#N/A,FALSE,"ECCMP";#N/A,#N/A,FALSE,"WELDER.XLS"}</definedName>
    <definedName name="AB">INDEX(' '!$B$1:$B$16,MATCH(#REF!,' '!$A$1:$A$16,0))</definedName>
    <definedName name="AC">INDEX(' '!$B$1:$B$16,MATCH(#REF!,' '!$A$1:$A$16,0))</definedName>
    <definedName name="AD" hidden="1">{"'Sheet1'!$A$4386:$N$4591"}</definedName>
    <definedName name="AE">INDEX(' '!$B$1:$B$16,MATCH(#REF!,' '!$A$1:$A$16,0))</definedName>
    <definedName name="AF">INDEX(' '!$B$1:$B$16,MATCH(#REF!,' '!$A$1:$A$16,0))</definedName>
    <definedName name="AG">INDEX(' '!$B$1:$B$16,MATCH(#REF!,' '!$A$1:$A$16,0))</definedName>
    <definedName name="AH">INDEX(' '!$B$1:$B$16,MATCH(#REF!,' '!$A$1:$A$16,0))</definedName>
    <definedName name="AI">INDEX(' '!$B$1:$B$16,MATCH(#REF!,' '!$A$1:$A$16,0))</definedName>
    <definedName name="AJ">INDEX(' '!$B$1:$B$16,MATCH(#REF!,' '!$A$1:$A$16,0))</definedName>
    <definedName name="AK">INDEX(' '!$B$1:$B$16,MATCH(#REF!,' '!$A$1:$A$16,0))</definedName>
    <definedName name="AL">INDEX(' '!$B$1:$B$16,MATCH(#REF!,' '!$A$1:$A$16,0))</definedName>
    <definedName name="AM">INDEX(' '!$B$1:$B$16,MATCH(#REF!,' '!$A$1:$A$16,0))</definedName>
    <definedName name="anscount" hidden="1">1</definedName>
    <definedName name="azsa" hidden="1">{"'PROFITABILITY'!$A$1:$F$45"}</definedName>
    <definedName name="BA">INDEX(' '!$B$1:$B$16,MATCH(#REF!,' '!$A$1:$A$16,0))</definedName>
    <definedName name="BB">INDEX(' '!$B$1:$B$16,MATCH(#REF!,' '!$A$1:$A$16,0))</definedName>
    <definedName name="BC">INDEX(' '!$B$1:$B$16,MATCH(#REF!,' '!$A$1:$A$16,0))</definedName>
    <definedName name="BD">INDEX(' '!$B$1:$B$16,MATCH(#REF!,' '!$A$1:$A$16,0))</definedName>
    <definedName name="BE">INDEX(' '!$B$1:$B$16,MATCH(#REF!,' '!$A$1:$A$16,0))</definedName>
    <definedName name="BF">INDEX(' '!$B$1:$B$16,MATCH(#REF!,' '!$A$1:$A$16,0))</definedName>
    <definedName name="BG">INDEX(' '!$B$1:$B$16,MATCH(#REF!,' '!$A$1:$A$16,0))</definedName>
    <definedName name="BH">INDEX(' '!$B$1:$B$16,MATCH(#REF!,' '!$A$1:$A$16,0))</definedName>
    <definedName name="BI">INDEX(' '!$B$1:$B$16,MATCH(#REF!,' '!$A$1:$A$16,0))</definedName>
    <definedName name="BJ">INDEX(' '!$B$1:$B$16,MATCH(#REF!,' '!$A$1:$A$16,0))</definedName>
    <definedName name="BK">INDEX(' '!$B$1:$B$16,MATCH(#REF!,' '!$A$1:$A$16,0))</definedName>
    <definedName name="BL">INDEX(' '!$B$1:$B$16,MATCH(#REF!,' '!$A$1:$A$16,0))</definedName>
    <definedName name="BM">INDEX(' '!$B$1:$B$16,MATCH(#REF!,' '!$A$1:$A$16,0))</definedName>
    <definedName name="CA">INDEX(' '!$B$1:$B$16,MATCH(#REF!,' '!$A$1:$A$16,0))</definedName>
    <definedName name="CB">INDEX(' '!$B$1:$B$16,MATCH(#REF!,' '!$A$1:$A$16,0))</definedName>
    <definedName name="CC">INDEX(' '!$B$1:$B$16,MATCH(#REF!,' '!$A$1:$A$16,0))</definedName>
    <definedName name="CCC" hidden="1">{#N/A,#N/A,FALSE,"str_title";#N/A,#N/A,FALSE,"SUM";#N/A,#N/A,FALSE,"Scope";#N/A,#N/A,FALSE,"PIE-Jn";#N/A,#N/A,FALSE,"PIE-Jn_Hz";#N/A,#N/A,FALSE,"Liq_Plan";#N/A,#N/A,FALSE,"S_Curve";#N/A,#N/A,FALSE,"Liq_Prof";#N/A,#N/A,FALSE,"Man_Pwr";#N/A,#N/A,FALSE,"Man_Prof"}</definedName>
    <definedName name="CD">INDEX(' '!$B$1:$B$16,MATCH(#REF!,' '!$A$1:$A$16,0))</definedName>
    <definedName name="CE">INDEX(' '!$B$1:$B$16,MATCH(#REF!,' '!$A$1:$A$16,0))</definedName>
    <definedName name="CF">INDEX(' '!$B$1:$B$16,MATCH(#REF!,' '!$A$1:$A$16,0))</definedName>
    <definedName name="CG">INDEX(' '!$B$1:$B$16,MATCH(#REF!,' '!$A$1:$A$16,0))</definedName>
    <definedName name="CH">INDEX(' '!$B$1:$B$16,MATCH(#REF!,' '!$A$1:$A$16,0))</definedName>
    <definedName name="CI">INDEX(' '!$B$1:$B$16,MATCH(#REF!,' '!$A$1:$A$16,0))</definedName>
    <definedName name="CJ">INDEX(' '!$B$1:$B$16,MATCH(#REF!,' '!$A$1:$A$16,0))</definedName>
    <definedName name="CK">INDEX(' '!$B$1:$B$16,MATCH(#REF!,' '!$A$1:$A$16,0))</definedName>
    <definedName name="CL">INDEX(' '!$B$1:$B$16,MATCH(#REF!,' '!$A$1:$A$16,0))</definedName>
    <definedName name="CM">INDEX(' '!$B$1:$B$16,MATCH(#REF!,' '!$A$1:$A$16,0))</definedName>
    <definedName name="COVVV" hidden="1">{#N/A,#N/A,FALSE,"str_title";#N/A,#N/A,FALSE,"SUM";#N/A,#N/A,FALSE,"Scope";#N/A,#N/A,FALSE,"PIE-Jn";#N/A,#N/A,FALSE,"PIE-Jn_Hz";#N/A,#N/A,FALSE,"Liq_Plan";#N/A,#N/A,FALSE,"S_Curve";#N/A,#N/A,FALSE,"Liq_Prof";#N/A,#N/A,FALSE,"Man_Pwr";#N/A,#N/A,FALSE,"Man_Prof"}</definedName>
    <definedName name="D_D">INDEX(' '!$B$1:$B$16,MATCH(#REF!,' '!$A$1:$A$16,0))</definedName>
    <definedName name="d_jp" hidden="1">{"'Sheet1'!$A$4386:$N$4591"}</definedName>
    <definedName name="DA">INDEX(' '!$B$1:$B$16,MATCH(#REF!,' '!$A$1:$A$16,0))</definedName>
    <definedName name="Dampers" hidden="1">{"'PROFITABILITY'!$A$1:$F$45"}</definedName>
    <definedName name="DB">INDEX(' '!$B$1:$B$16,MATCH(#REF!,' '!$A$1:$A$16,0))</definedName>
    <definedName name="DC">INDEX(' '!$B$1:$B$16,MATCH(#REF!,' '!$A$1:$A$16,0))</definedName>
    <definedName name="dd" hidden="1">{"'PROFITABILITY'!$A$1:$F$45"}</definedName>
    <definedName name="DE">INDEX(' '!$B$1:$B$16,MATCH(#REF!,' '!$A$1:$A$16,0))</definedName>
    <definedName name="DF">INDEX(' '!$B$1:$B$16,MATCH(#REF!,' '!$A$1:$A$16,0))</definedName>
    <definedName name="dfdfs" hidden="1">{"'Sheet1'!$A$4386:$N$4591"}</definedName>
    <definedName name="DG">INDEX(' '!$B$1:$B$16,MATCH(#REF!,' '!$A$1:$A$16,0))</definedName>
    <definedName name="DH">INDEX(' '!$B$1:$B$16,MATCH(#REF!,' '!$A$1:$A$16,0))</definedName>
    <definedName name="DHTML" hidden="1">{"'Sheet1'!$A$4386:$N$4591"}</definedName>
    <definedName name="DI">INDEX(' '!$B$1:$B$16,MATCH(#REF!,' '!$A$1:$A$16,0))</definedName>
    <definedName name="DJ">INDEX(' '!$B$1:$B$16,MATCH(#REF!,' '!$A$1:$A$16,0))</definedName>
    <definedName name="DK">INDEX(' '!$B$1:$B$16,MATCH(#REF!,' '!$A$1:$A$16,0))</definedName>
    <definedName name="DL">INDEX(' '!$B$1:$B$16,MATCH(#REF!,' '!$A$1:$A$16,0))</definedName>
    <definedName name="DM">INDEX(' '!$B$1:$B$16,MATCH(#REF!,' '!$A$1:$A$16,0))</definedName>
    <definedName name="DPR">#REF!&amp;#REF!&amp;#REF!&amp;#REF!&amp;#REF!&amp;#REF!&amp;#REF!&amp;#REF!&amp;#REF!&amp;#REF!</definedName>
    <definedName name="EA">INDEX(' '!$B$1:$B$16,MATCH(#REF!,' '!$A$1:$A$16,0))</definedName>
    <definedName name="EB">INDEX(' '!$B$1:$B$16,MATCH(#REF!,' '!$A$1:$A$16,0))</definedName>
    <definedName name="EC">INDEX(' '!$B$1:$B$16,MATCH(#REF!,' '!$A$1:$A$16,0))</definedName>
    <definedName name="ED">INDEX(' '!$B$1:$B$16,MATCH(#REF!,' '!$A$1:$A$16,0))</definedName>
    <definedName name="EE">INDEX(' '!$B$1:$B$16,MATCH(#REF!,' '!$A$1:$A$16,0))</definedName>
    <definedName name="EF">INDEX(' '!$B$1:$B$16,MATCH(#REF!,' '!$A$1:$A$16,0))</definedName>
    <definedName name="EG">INDEX(' '!$B$1:$B$16,MATCH(#REF!,' '!$A$1:$A$16,0))</definedName>
    <definedName name="EH">INDEX(' '!$B$1:$B$16,MATCH(#REF!,' '!$A$1:$A$16,0))</definedName>
    <definedName name="EI">INDEX(' '!$B$1:$B$16,MATCH(#REF!,' '!$A$1:$A$16,0))</definedName>
    <definedName name="EJ">INDEX(' '!$B$1:$B$16,MATCH(#REF!,' '!$A$1:$A$16,0))</definedName>
    <definedName name="EK">INDEX(' '!$B$1:$B$16,MATCH(#REF!,' '!$A$1:$A$16,0))</definedName>
    <definedName name="EL">INDEX(' '!$B$1:$B$16,MATCH(#REF!,' '!$A$1:$A$16,0))</definedName>
    <definedName name="EM">INDEX(' '!$B$1:$B$16,MATCH(#REF!,' '!$A$1:$A$16,0))</definedName>
    <definedName name="ERE">IFERROR(LEFT(INDEX(#REF!,MATCH(#REF!,#REF!,0)),3),"")</definedName>
    <definedName name="ERT">IFERROR(LEFT(INDEX(#REF!,MATCH(#REF!,#REF!,0)),3),"")</definedName>
    <definedName name="ewer" hidden="1">{"'PROFITABILITY'!$A$1:$F$45"}</definedName>
    <definedName name="FA">INDEX(' '!$B$1:$B$16,MATCH(#REF!,' '!$A$1:$A$16,0))</definedName>
    <definedName name="FB">INDEX(' '!$B$1:$B$16,MATCH(#REF!,' '!$A$1:$A$16,0))</definedName>
    <definedName name="FC">INDEX(' '!$B$1:$B$16,MATCH(#REF!,' '!$A$1:$A$16,0))</definedName>
    <definedName name="FD">INDEX(' '!$B$1:$B$16,MATCH(#REF!,' '!$A$1:$A$16,0))</definedName>
    <definedName name="FDN">IFERROR(LEFT(INDEX(#REF!,MATCH(#REF!,#REF!,0)),3),"")</definedName>
    <definedName name="FDN_Rate">IFERROR(_xlfn.XLOOKUP(#REF!&amp;#REF!,#REF!,#REF!),"")</definedName>
    <definedName name="FE">INDEX(' '!$B$1:$B$16,MATCH(#REF!,' '!$A$1:$A$16,0))</definedName>
    <definedName name="FF">INDEX(' '!$B$1:$B$16,MATCH(#REF!,' '!$A$1:$A$16,0))</definedName>
    <definedName name="FG">INDEX(' '!$B$1:$B$16,MATCH(#REF!,' '!$A$1:$A$16,0))</definedName>
    <definedName name="FH">INDEX(' '!$B$1:$B$16,MATCH(#REF!,' '!$A$1:$A$16,0))</definedName>
    <definedName name="FI">INDEX(' '!$B$1:$B$16,MATCH(#REF!,' '!$A$1:$A$16,0))</definedName>
    <definedName name="FJ">INDEX(' '!$B$1:$B$16,MATCH(#REF!,' '!$A$1:$A$16,0))</definedName>
    <definedName name="fjhgfd" hidden="1">{"'Sheet1'!$A$4386:$N$4591"}</definedName>
    <definedName name="FK">INDEX(' '!$B$1:$B$16,MATCH(#REF!,' '!$A$1:$A$16,0))</definedName>
    <definedName name="FL">INDEX(' '!$B$1:$B$16,MATCH(#REF!,' '!$A$1:$A$16,0))</definedName>
    <definedName name="FM">INDEX(' '!$B$1:$B$16,MATCH(#REF!,' '!$A$1:$A$16,0))</definedName>
    <definedName name="Fr" hidden="1">{"'PROFITABILITY'!$A$1:$F$45"}</definedName>
    <definedName name="funds" hidden="1">{"'Sheet1'!$A$4386:$N$4591"}</definedName>
    <definedName name="GA">INDEX(' '!$B$1:$B$16,MATCH(#REF!,' '!$A$1:$A$16,0))</definedName>
    <definedName name="GB">INDEX(' '!$B$1:$B$16,MATCH(#REF!,' '!$A$1:$A$16,0))</definedName>
    <definedName name="GC">INDEX(' '!$B$1:$B$16,MATCH(#REF!,' '!$A$1:$A$16,0))</definedName>
    <definedName name="GD">INDEX(' '!$B$1:$B$16,MATCH(#REF!,' '!$A$1:$A$16,0))</definedName>
    <definedName name="GE">INDEX(' '!$B$1:$B$16,MATCH(#REF!,' '!$A$1:$A$16,0))</definedName>
    <definedName name="GF">INDEX(' '!$B$1:$B$16,MATCH(#REF!,' '!$A$1:$A$16,0))</definedName>
    <definedName name="GG">INDEX(' '!$B$1:$B$16,MATCH(#REF!,' '!$A$1:$A$16,0))</definedName>
    <definedName name="GH">INDEX(' '!$B$1:$B$16,MATCH(#REF!,' '!$A$1:$A$16,0))</definedName>
    <definedName name="GI">INDEX(' '!$B$1:$B$16,MATCH(#REF!,' '!$A$1:$A$16,0))</definedName>
    <definedName name="GJ">INDEX(' '!$B$1:$B$16,MATCH(#REF!,' '!$A$1:$A$16,0))</definedName>
    <definedName name="GK">INDEX(' '!$B$1:$B$16,MATCH(#REF!,' '!$A$1:$A$16,0))</definedName>
    <definedName name="GL">INDEX(' '!$B$1:$B$16,MATCH(#REF!,' '!$A$1:$A$16,0))</definedName>
    <definedName name="GM">INDEX(' '!$B$1:$B$16,MATCH(#REF!,' '!$A$1:$A$16,0))</definedName>
    <definedName name="Groundinga" hidden="1">{"'PROFITABILITY'!$A$1:$F$45"}</definedName>
    <definedName name="HA">INDEX(' '!$B$1:$B$16,MATCH(#REF!,' '!$A$1:$A$16,0))</definedName>
    <definedName name="HB">INDEX(' '!$B$1:$B$16,MATCH(#REF!,' '!$A$1:$A$16,0))</definedName>
    <definedName name="HC">INDEX(' '!$B$1:$B$16,MATCH(#REF!,' '!$A$1:$A$16,0))</definedName>
    <definedName name="HD">INDEX(' '!$B$1:$B$16,MATCH(#REF!,' '!$A$1:$A$16,0))</definedName>
    <definedName name="HE">INDEX(' '!$B$1:$B$16,MATCH(#REF!,' '!$A$1:$A$16,0))</definedName>
    <definedName name="HF">INDEX(' '!$B$1:$B$16,MATCH(#REF!,' '!$A$1:$A$16,0))</definedName>
    <definedName name="HG">INDEX(' '!$B$1:$B$16,MATCH(#REF!,' '!$A$1:$A$16,0))</definedName>
    <definedName name="HH">INDEX(' '!$B$1:$B$16,MATCH(#REF!,' '!$A$1:$A$16,0))</definedName>
    <definedName name="HI">INDEX(' '!$B$1:$B$16,MATCH(#REF!,' '!$A$1:$A$16,0))</definedName>
    <definedName name="HJ">INDEX(' '!$B$1:$B$16,MATCH(#REF!,' '!$A$1:$A$16,0))</definedName>
    <definedName name="HK">INDEX(' '!$B$1:$B$16,MATCH(#REF!,' '!$A$1:$A$16,0))</definedName>
    <definedName name="HL">INDEX(' '!$B$1:$B$16,MATCH(#REF!,' '!$A$1:$A$16,0))</definedName>
    <definedName name="HM">INDEX(' '!$B$1:$B$16,MATCH(#REF!,' '!$A$1:$A$16,0))</definedName>
    <definedName name="html" hidden="1">{"'PROFITABILITY'!$A$1:$F$45"}</definedName>
    <definedName name="HTML_CodePage" hidden="1">1252</definedName>
    <definedName name="HTML_Control" hidden="1">{"'PROFITABILITY'!$A$1:$F$45"}</definedName>
    <definedName name="HTML_control2" hidden="1">{"'Sheet1'!$A$4386:$N$4591"}</definedName>
    <definedName name="HTML_Description" hidden="1">""</definedName>
    <definedName name="HTML_Email" hidden="1">""</definedName>
    <definedName name="HTML_Header" hidden="1">"PRICE AND PROFOTABILITY"</definedName>
    <definedName name="HTML_LastUpdate" hidden="1">"2/9/99"</definedName>
    <definedName name="HTML_LineAfter" hidden="1">TRUE</definedName>
    <definedName name="HTML_LineBefore" hidden="1">TRUE</definedName>
    <definedName name="HTML_Name" hidden="1">"KEC  INTERNATIONAL"</definedName>
    <definedName name="HTML_OBDlg2" hidden="1">TRUE</definedName>
    <definedName name="HTML_OBDlg4" hidden="1">TRUE</definedName>
    <definedName name="HTML_OS" hidden="1">0</definedName>
    <definedName name="HTML_PathFile" hidden="1">"C:\My Documents\XLS.htm"</definedName>
    <definedName name="HTML_Title" hidden="1">"MANANTALI PROJECT"</definedName>
    <definedName name="IA">INDEX(' '!$B$1:$B$16,MATCH(#REF!,' '!$A$1:$A$16,0))</definedName>
    <definedName name="IAM" hidden="1">{"'Sheet1'!$A$4386:$N$4591"}</definedName>
    <definedName name="IB">INDEX(' '!$B$1:$B$16,MATCH(#REF!,' '!$A$1:$A$16,0))</definedName>
    <definedName name="IC">INDEX(' '!$B$1:$B$16,MATCH(#REF!,' '!$A$1:$A$16,0))</definedName>
    <definedName name="ID">INDEX(' '!$B$1:$B$16,MATCH(#REF!,' '!$A$1:$A$16,0))</definedName>
    <definedName name="IE">INDEX(' '!$B$1:$B$16,MATCH(#REF!,' '!$A$1:$A$16,0))</definedName>
    <definedName name="IF">INDEX(' '!$B$1:$B$16,MATCH(#REF!,' '!$A$1:$A$16,0))</definedName>
    <definedName name="IG">INDEX(' '!$B$1:$B$16,MATCH(#REF!,' '!$A$1:$A$16,0))</definedName>
    <definedName name="IH">INDEX(' '!$B$1:$B$16,MATCH(#REF!,' '!$A$1:$A$16,0))</definedName>
    <definedName name="II">INDEX(' '!$B$1:$B$16,MATCH(#REF!,' '!$A$1:$A$16,0))</definedName>
    <definedName name="IJ">INDEX(' '!$B$1:$B$16,MATCH(#REF!,' '!$A$1:$A$16,0))</definedName>
    <definedName name="IK">INDEX(' '!$B$1:$B$16,MATCH(#REF!,' '!$A$1:$A$16,0))</definedName>
    <definedName name="IL">INDEX(' '!$B$1:$B$16,MATCH(#REF!,' '!$A$1:$A$16,0))</definedName>
    <definedName name="IM">INDEX(' '!$B$1:$B$16,MATCH(#REF!,' '!$A$1:$A$16,0))</definedName>
    <definedName name="INS">IFERROR(LEFT(INDEX(#REF!,MATCH(#REF!,#REF!,0)),3),"")</definedName>
    <definedName name="JA">INDEX(' '!$B$1:$B$16,MATCH(#REF!,' '!$A$1:$A$16,0))</definedName>
    <definedName name="JB">INDEX(' '!$B$1:$B$16,MATCH(#REF!,' '!$A$1:$A$16,0))</definedName>
    <definedName name="JC">INDEX(' '!$B$1:$B$16,MATCH(#REF!,' '!$A$1:$A$16,0))</definedName>
    <definedName name="JD">INDEX(' '!$B$1:$B$16,MATCH(#REF!,' '!$A$1:$A$16,0))</definedName>
    <definedName name="JE">INDEX(' '!$B$1:$B$16,MATCH(#REF!,' '!$A$1:$A$16,0))</definedName>
    <definedName name="JF">INDEX(' '!$B$1:$B$16,MATCH(#REF!,' '!$A$1:$A$16,0))</definedName>
    <definedName name="JG">INDEX(' '!$B$1:$B$16,MATCH(#REF!,' '!$A$1:$A$16,0))</definedName>
    <definedName name="JH">INDEX(' '!$B$1:$B$16,MATCH(#REF!,' '!$A$1:$A$16,0))</definedName>
    <definedName name="JI">INDEX(' '!$B$1:$B$16,MATCH(#REF!,' '!$A$1:$A$16,0))</definedName>
    <definedName name="JJ">INDEX(' '!$B$1:$B$16,MATCH(#REF!,' '!$A$1:$A$16,0))</definedName>
    <definedName name="JK">INDEX(' '!$B$1:$B$16,MATCH(#REF!,' '!$A$1:$A$16,0))</definedName>
    <definedName name="JL">INDEX(' '!$B$1:$B$16,MATCH(#REF!,' '!$A$1:$A$16,0))</definedName>
    <definedName name="JM">INDEX(' '!$B$1:$B$16,MATCH(#REF!,' '!$A$1:$A$16,0))</definedName>
    <definedName name="k" hidden="1">{"'PROFITABILITY'!$A$1:$F$45"}</definedName>
    <definedName name="KA">INDEX(' '!$B$1:$B$16,MATCH(#REF!,' '!$A$1:$A$16,0))</definedName>
    <definedName name="KB">INDEX(' '!$B$1:$B$16,MATCH(#REF!,' '!$A$1:$A$16,0))</definedName>
    <definedName name="KC">INDEX(' '!$B$1:$B$16,MATCH(#REF!,' '!$A$1:$A$16,0))</definedName>
    <definedName name="KD">INDEX(' '!$B$1:$B$16,MATCH(#REF!,' '!$A$1:$A$16,0))</definedName>
    <definedName name="KE">INDEX(' '!$B$1:$B$16,MATCH(#REF!,' '!$A$1:$A$16,0))</definedName>
    <definedName name="KF">INDEX(' '!$B$1:$B$16,MATCH(#REF!,' '!$A$1:$A$16,0))</definedName>
    <definedName name="KG">INDEX(' '!$B$1:$B$16,MATCH(#REF!,' '!$A$1:$A$16,0))</definedName>
    <definedName name="KH">INDEX(' '!$B$1:$B$16,MATCH(#REF!,' '!$A$1:$A$16,0))</definedName>
    <definedName name="KI">INDEX(' '!$B$1:$B$16,MATCH(#REF!,' '!$A$1:$A$16,0))</definedName>
    <definedName name="KJ">INDEX(' '!$B$1:$B$16,MATCH(#REF!,' '!$A$1:$A$16,0))</definedName>
    <definedName name="KK">INDEX(' '!$B$1:$B$16,MATCH(#REF!,' '!$A$1:$A$16,0))</definedName>
    <definedName name="KL">INDEX(' '!$B$1:$B$16,MATCH(#REF!,' '!$A$1:$A$16,0))</definedName>
    <definedName name="KM">INDEX(' '!$B$1:$B$16,MATCH(#REF!,' '!$A$1:$A$16,0))</definedName>
    <definedName name="LA">INDEX(' '!$B$1:$B$16,MATCH(#REF!,' '!$A$1:$A$16,0))</definedName>
    <definedName name="LB">INDEX(' '!$B$1:$B$16,MATCH(#REF!,' '!$A$1:$A$16,0))</definedName>
    <definedName name="LC">INDEX(' '!$B$1:$B$16,MATCH(#REF!,' '!$A$1:$A$16,0))</definedName>
    <definedName name="LD">INDEX(' '!$B$1:$B$16,MATCH(#REF!,' '!$A$1:$A$16,0))</definedName>
    <definedName name="LE">INDEX(' '!$B$1:$B$16,MATCH(#REF!,' '!$A$1:$A$16,0))</definedName>
    <definedName name="LF">INDEX(' '!$B$1:$B$16,MATCH(#REF!,' '!$A$1:$A$16,0))</definedName>
    <definedName name="LG">INDEX(' '!$B$1:$B$16,MATCH(#REF!,' '!$A$1:$A$16,0))</definedName>
    <definedName name="LH">INDEX(' '!$B$1:$B$16,MATCH(#REF!,' '!$A$1:$A$16,0))</definedName>
    <definedName name="LI">INDEX(' '!$B$1:$B$16,MATCH(#REF!,' '!$A$1:$A$16,0))</definedName>
    <definedName name="LJ">INDEX(' '!$B$1:$B$16,MATCH(#REF!,' '!$A$1:$A$16,0))</definedName>
    <definedName name="LK">INDEX(' '!$B$1:$B$16,MATCH(#REF!,' '!$A$1:$A$16,0))</definedName>
    <definedName name="LL">INDEX(' '!$B$1:$B$16,MATCH(#REF!,' '!$A$1:$A$16,0))</definedName>
    <definedName name="LM">INDEX(' '!$B$1:$B$16,MATCH(#REF!,' '!$A$1:$A$16,0))</definedName>
    <definedName name="M_F">INDEX(' '!$B$1:$B$16,MATCH(#REF!,' '!$A$1:$A$16,0))</definedName>
    <definedName name="MA">INDEX(' '!$B$1:$B$16,MATCH(#REF!,' '!$A$1:$A$16,0))</definedName>
    <definedName name="MB">INDEX(' '!$B$1:$B$16,MATCH(#REF!,' '!$A$1:$A$16,0))</definedName>
    <definedName name="MC">INDEX(' '!$B$1:$B$16,MATCH(#REF!,' '!$A$1:$A$16,0))</definedName>
    <definedName name="MD">INDEX(' '!$B$1:$B$16,MATCH(#REF!,' '!$A$1:$A$16,0))</definedName>
    <definedName name="ME">INDEX(' '!$B$1:$B$16,MATCH(#REF!,' '!$A$1:$A$16,0))</definedName>
    <definedName name="mf" hidden="1">{"'PROFITABILITY'!$A$1:$F$45"}</definedName>
    <definedName name="MG">INDEX(' '!$B$1:$B$16,MATCH(#REF!,' '!$A$1:$A$16,0))</definedName>
    <definedName name="MH">INDEX(' '!$B$1:$B$16,MATCH(#REF!,' '!$A$1:$A$16,0))</definedName>
    <definedName name="MI">INDEX(' '!$B$1:$B$16,MATCH(#REF!,' '!$A$1:$A$16,0))</definedName>
    <definedName name="MJ">INDEX(' '!$B$1:$B$16,MATCH(#REF!,' '!$A$1:$A$16,0))</definedName>
    <definedName name="MK">INDEX(' '!$B$1:$B$16,MATCH(#REF!,' '!$A$1:$A$16,0))</definedName>
    <definedName name="ML">INDEX(' '!$B$1:$B$16,MATCH(#REF!,' '!$A$1:$A$16,0))</definedName>
    <definedName name="MM">INDEX(' '!$B$1:$B$16,MATCH(#REF!,' '!$A$1:$A$16,0))</definedName>
    <definedName name="NA">INDEX(' '!$B$1:$B$16,MATCH(#REF!,' '!$A$1:$A$16,0))</definedName>
    <definedName name="NB">INDEX(' '!$B$1:$B$16,MATCH(#REF!,' '!$A$1:$A$16,0))</definedName>
    <definedName name="NC">INDEX(' '!$B$1:$B$16,MATCH(#REF!,' '!$A$1:$A$16,0))</definedName>
    <definedName name="ND">INDEX(' '!$B$1:$B$16,MATCH(#REF!,' '!$A$1:$A$16,0))</definedName>
    <definedName name="NE">INDEX(' '!$B$1:$B$16,MATCH(#REF!,' '!$A$1:$A$16,0))</definedName>
    <definedName name="NF">INDEX(' '!$B$1:$B$16,MATCH(#REF!,' '!$A$1:$A$16,0))</definedName>
    <definedName name="NG">INDEX(' '!$B$1:$B$16,MATCH(#REF!,' '!$A$1:$A$16,0))</definedName>
    <definedName name="NH">INDEX(' '!$B$1:$B$16,MATCH(#REF!,' '!$A$1:$A$16,0))</definedName>
    <definedName name="NI">INDEX(' '!$B$1:$B$16,MATCH(#REF!,' '!$A$1:$A$16,0))</definedName>
    <definedName name="NJ">INDEX(' '!$B$1:$B$16,MATCH(#REF!,' '!$A$1:$A$16,0))</definedName>
    <definedName name="NK">INDEX(' '!$B$1:$B$16,MATCH(#REF!,' '!$A$1:$A$16,0))</definedName>
    <definedName name="NL">INDEX(' '!$B$1:$B$16,MATCH(#REF!,' '!$A$1:$A$16,0))</definedName>
    <definedName name="NM">INDEX(' '!$B$1:$B$16,MATCH(#REF!,' '!$A$1:$A$16,0))</definedName>
    <definedName name="OA">INDEX(' '!$B$1:$B$16,MATCH(#REF!,' '!$A$1:$A$16,0))</definedName>
    <definedName name="OB">INDEX(' '!$B$1:$B$16,MATCH(#REF!,' '!$A$1:$A$16,0))</definedName>
    <definedName name="OC">INDEX(' '!$B$1:$B$16,MATCH(#REF!,' '!$A$1:$A$16,0))</definedName>
    <definedName name="OD">INDEX(' '!$B$1:$B$16,MATCH(#REF!,' '!$A$1:$A$16,0))</definedName>
    <definedName name="OE">INDEX(' '!$B$1:$B$16,MATCH(#REF!,' '!$A$1:$A$16,0))</definedName>
    <definedName name="OF">INDEX(' '!$B$1:$B$16,MATCH(#REF!,' '!$A$1:$A$16,0))</definedName>
    <definedName name="OG">INDEX(' '!$B$1:$B$16,MATCH(#REF!,' '!$A$1:$A$16,0))</definedName>
    <definedName name="OH">INDEX(' '!$B$1:$B$16,MATCH(#REF!,' '!$A$1:$A$16,0))</definedName>
    <definedName name="OI">INDEX(' '!$B$1:$B$16,MATCH(#REF!,' '!$A$1:$A$16,0))</definedName>
    <definedName name="OJ">INDEX(' '!$B$1:$B$16,MATCH(#REF!,' '!$A$1:$A$16,0))</definedName>
    <definedName name="OK">INDEX(' '!$B$1:$B$16,MATCH(#REF!,' '!$A$1:$A$16,0))</definedName>
    <definedName name="OL">INDEX(' '!$B$1:$B$16,MATCH(#REF!,' '!$A$1:$A$16,0))</definedName>
    <definedName name="OM">INDEX(' '!$B$1:$B$16,MATCH(#REF!,' '!$A$1:$A$16,0))</definedName>
    <definedName name="PA">INDEX(' '!$B$1:$B$16,MATCH(#REF!,' '!$A$1:$A$16,0))</definedName>
    <definedName name="Pal_Workbook_GUID" hidden="1">"E9TT7WTUL973YIQMHP4L53VJ"</definedName>
    <definedName name="PB">INDEX(' '!$B$1:$B$16,MATCH(#REF!,' '!$A$1:$A$16,0))</definedName>
    <definedName name="PC">INDEX(' '!$B$1:$B$16,MATCH(#REF!,' '!$A$1:$A$16,0))</definedName>
    <definedName name="PD">INDEX(' '!$B$1:$B$16,MATCH(#REF!,' '!$A$1:$A$16,0))</definedName>
    <definedName name="PE">INDEX(' '!$B$1:$B$16,MATCH(#REF!,' '!$A$1:$A$16,0))</definedName>
    <definedName name="PF">INDEX(' '!$B$1:$B$16,MATCH(#REF!,' '!$A$1:$A$16,0))</definedName>
    <definedName name="PG">INDEX(' '!$B$1:$B$16,MATCH(#REF!,' '!$A$1:$A$16,0))</definedName>
    <definedName name="PH">INDEX(' '!$B$1:$B$16,MATCH(#REF!,' '!$A$1:$A$16,0))</definedName>
    <definedName name="PI">INDEX(' '!$B$1:$B$16,MATCH(#REF!,' '!$A$1:$A$16,0))</definedName>
    <definedName name="PJ">INDEX(' '!$B$1:$B$16,MATCH(#REF!,' '!$A$1:$A$16,0))</definedName>
    <definedName name="PK">INDEX(' '!$B$1:$B$16,MATCH(#REF!,' '!$A$1:$A$16,0))</definedName>
    <definedName name="PL">INDEX(' '!$B$1:$B$16,MATCH(#REF!,' '!$A$1:$A$16,0))</definedName>
    <definedName name="PM">INDEX(' '!$B$1:$B$16,MATCH(#REF!,' '!$A$1:$A$16,0))</definedName>
    <definedName name="PPPPPP" hidden="1">{#N/A,#N/A,FALSE,"COVER1.XLS ";#N/A,#N/A,FALSE,"RACT1.XLS";#N/A,#N/A,FALSE,"RACT2.XLS";#N/A,#N/A,FALSE,"ECCMP";#N/A,#N/A,FALSE,"WELDER.XLS"}</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atap" hidden="1">{"'Sheet1'!$A$4386:$N$4591"}</definedName>
    <definedName name="_xlnm.Print_Area" localSheetId="1">'400kV Summery'!$A$1:$M$57</definedName>
    <definedName name="_xlnm.Print_Area" localSheetId="4">'Check Survey'!$A$1:$O$120</definedName>
    <definedName name="_xlnm.Print_Area" localSheetId="13">Foundation!$A$1:$P$234</definedName>
    <definedName name="_xlnm.Print_Area" localSheetId="26">Sheet3!$A$1:$V$219</definedName>
    <definedName name="_xlnm.Print_Area" localSheetId="9">'VC 51-96'!$A$1:$W$212</definedName>
    <definedName name="QA">INDEX(' '!$B$1:$B$16,MATCH(#REF!,' '!$A$1:$A$16,0))</definedName>
    <definedName name="QB">INDEX(' '!$B$1:$B$16,MATCH(#REF!,' '!$A$1:$A$16,0))</definedName>
    <definedName name="QC">INDEX(' '!$B$1:$B$16,MATCH(#REF!,' '!$A$1:$A$16,0))</definedName>
    <definedName name="QD">INDEX(' '!$B$1:$B$16,MATCH(#REF!,' '!$A$1:$A$16,0))</definedName>
    <definedName name="QE">INDEX(' '!$B$1:$B$16,MATCH(#REF!,' '!$A$1:$A$16,0))</definedName>
    <definedName name="QF">INDEX(' '!$B$1:$B$16,MATCH(#REF!,' '!$A$1:$A$16,0))</definedName>
    <definedName name="QG">INDEX(' '!$B$1:$B$16,MATCH(#REF!,' '!$A$1:$A$16,0))</definedName>
    <definedName name="QH">INDEX(' '!$B$1:$B$16,MATCH(#REF!,' '!$A$1:$A$16,0))</definedName>
    <definedName name="QI">INDEX(' '!$B$1:$B$16,MATCH(#REF!,' '!$A$1:$A$16,0))</definedName>
    <definedName name="QJ">INDEX(' '!$B$1:$B$16,MATCH(#REF!,' '!$A$1:$A$16,0))</definedName>
    <definedName name="QK">INDEX(' '!$B$1:$B$16,MATCH(#REF!,' '!$A$1:$A$16,0))</definedName>
    <definedName name="QL">INDEX(' '!$B$1:$B$16,MATCH(#REF!,' '!$A$1:$A$16,0))</definedName>
    <definedName name="QM">INDEX(' '!$B$1:$B$16,MATCH(#REF!,' '!$A$1:$A$16,0))</definedName>
    <definedName name="RA">INDEX(' '!$B$1:$B$16,MATCH(#REF!,' '!$A$1:$A$16,0))</definedName>
    <definedName name="raaa" hidden="1">{"'Sheet1'!$A$4386:$N$4591"}</definedName>
    <definedName name="Radio" hidden="1">{"'PROFITABILITY'!$A$1:$F$45"}</definedName>
    <definedName name="Raj" hidden="1">{"'Sheet1'!$A$4386:$N$4591"}</definedName>
    <definedName name="RB">INDEX(' '!$B$1:$B$16,MATCH(#REF!,' '!$A$1:$A$16,0))</definedName>
    <definedName name="RC_">INDEX(' '!$B$1:$B$16,MATCH(#REF!,' '!$A$1:$A$16,0))</definedName>
    <definedName name="RD">INDEX(' '!$B$1:$B$16,MATCH(#REF!,' '!$A$1:$A$16,0))</definedName>
    <definedName name="RE">INDEX(' '!$B$1:$B$16,MATCH(#REF!,' '!$A$1:$A$16,0))</definedName>
    <definedName name="RF">INDEX(' '!$B$1:$B$16,MATCH(#REF!,' '!$A$1:$A$16,0))</definedName>
    <definedName name="RG">INDEX(' '!$B$1:$B$16,MATCH(#REF!,' '!$A$1:$A$16,0))</definedName>
    <definedName name="RH">INDEX(' '!$B$1:$B$16,MATCH(#REF!,' '!$A$1:$A$16,0))</definedName>
    <definedName name="RI">INDEX(' '!$B$1:$B$16,MATCH(#REF!,' '!$A$1:$A$16,0))</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6</definedName>
    <definedName name="RiskMinimizeOnStart" hidden="1">FALSE</definedName>
    <definedName name="RiskMonitorConvergence" hidden="1">FALSE</definedName>
    <definedName name="RiskMultipleCPUSupportEnabled" hidden="1">TRUE</definedName>
    <definedName name="RiskNumIterations" hidden="1">1000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2</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RJ">INDEX(' '!$B$1:$B$16,MATCH(#REF!,' '!$A$1:$A$16,0))</definedName>
    <definedName name="RK">INDEX(' '!$B$1:$B$16,MATCH(#REF!,' '!$A$1:$A$16,0))</definedName>
    <definedName name="RL">INDEX(' '!$B$1:$B$16,MATCH(#REF!,' '!$A$1:$A$16,0))</definedName>
    <definedName name="RM">INDEX(' '!$B$1:$B$16,MATCH(#REF!,' '!$A$1:$A$16,0))</definedName>
    <definedName name="SA">INDEX(' '!$B$1:$B$16,MATCH(#REF!,' '!$A$1:$A$16,0))</definedName>
    <definedName name="SB">INDEX(' '!$B$1:$B$16,MATCH(#REF!,' '!$A$1:$A$16,0))</definedName>
    <definedName name="SC">INDEX(' '!$B$1:$B$16,MATCH(#REF!,' '!$A$1:$A$16,0))</definedName>
    <definedName name="SD">INDEX(' '!$B$1:$B$16,MATCH(#REF!,' '!$A$1:$A$16,0))</definedName>
    <definedName name="SE">INDEX(' '!$B$1:$B$16,MATCH(#REF!,' '!$A$1:$A$16,0))</definedName>
    <definedName name="SF">INDEX(' '!$B$1:$B$16,MATCH(#REF!,' '!$A$1:$A$16,0))</definedName>
    <definedName name="SG">INDEX(' '!$B$1:$B$16,MATCH(#REF!,' '!$A$1:$A$16,0))</definedName>
    <definedName name="SH">INDEX(' '!$B$1:$B$16,MATCH(#REF!,' '!$A$1:$A$16,0))</definedName>
    <definedName name="SI">INDEX(' '!$B$1:$B$16,MATCH(#REF!,' '!$A$1:$A$16,0))</definedName>
    <definedName name="SJ">INDEX(' '!$B$1:$B$16,MATCH(#REF!,' '!$A$1:$A$16,0))</definedName>
    <definedName name="SK">INDEX(' '!$B$1:$B$16,MATCH(#REF!,' '!$A$1:$A$16,0))</definedName>
    <definedName name="SL">INDEX(' '!$B$1:$B$16,MATCH(#REF!,' '!$A$1:$A$16,0))</definedName>
    <definedName name="SM">INDEX(' '!$B$1:$B$16,MATCH(#REF!,' '!$A$1:$A$16,0))</definedName>
    <definedName name="SMP">INDEX(' '!$B$1:$B$16,MATCH(#REF!,' '!$A$1:$A$16,0))</definedName>
    <definedName name="SMPL">INDEX(' '!$B$1:$B$16,MATCH(#REF!,' '!$A$1:$A$16,0))</definedName>
    <definedName name="SpacerDamper" hidden="1">{"'PROFITABILITY'!$A$1:$F$45"}</definedName>
    <definedName name="SPAN">VLOOKUP(#REF!&amp;#REF!,#REF!,4,FALSE)</definedName>
    <definedName name="Spare" hidden="1">{"'PROFITABILITY'!$A$1:$F$45"}</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TR">IFERROR(LEFT(INDEX(#REF!,MATCH(#REF!,#REF!,0)),3),"")</definedName>
    <definedName name="T_Type">IFERROR(VLOOKUP(#REF!,#REF!,2,FALSE)," ")</definedName>
    <definedName name="tala" hidden="1">[5]A!#REF!</definedName>
    <definedName name="TE_Rate">IFERROR(_xlfn.XLOOKUP(#REF!,#REF!,#REF!),"")</definedName>
    <definedName name="tower" hidden="1">{"'PROFITABILITY'!$A$1:$F$45"}</definedName>
    <definedName name="towercosting" hidden="1">{"'PROFITABILITY'!$A$1:$F$45"}</definedName>
    <definedName name="TTE">IFERROR(VLOOKUP(#REF!,#REF!,2,FALSE)," ")</definedName>
    <definedName name="TWR_WT">IFERROR(VLOOKUP(#REF!,#REF!,2,FALSE),"")</definedName>
    <definedName name="vct">INDEX(#REF!,MATCH(#REF!,#REF!,0))</definedName>
    <definedName name="vggfd" hidden="1">{"'Sheet1'!$A$4386:$N$4591"}</definedName>
    <definedName name="view" hidden="1">{"'PROFITABILITY'!$A$1:$F$45"}</definedName>
    <definedName name="water_funds" hidden="1">{"'Sheet1'!$A$4386:$N$4591"}</definedName>
    <definedName name="wertt" hidden="1">{#N/A,#N/A,FALSE,"COVER1.XLS ";#N/A,#N/A,FALSE,"RACT1.XLS";#N/A,#N/A,FALSE,"RACT2.XLS";#N/A,#N/A,FALSE,"ECCMP";#N/A,#N/A,FALSE,"WELDER.XLS"}</definedName>
    <definedName name="wrn.Co." hidden="1">{#N/A,#N/A,TRUE,"GW-Cond";#N/A,#N/A,TRUE,"HW"}</definedName>
    <definedName name="wrn.Full._.Report." hidden="1">{#N/A,#N/A,TRUE,"Front";#N/A,#N/A,TRUE,"Simple Letter";#N/A,#N/A,TRUE,"Inside";#N/A,#N/A,TRUE,"Contents";#N/A,#N/A,TRUE,"Basis";#N/A,#N/A,TRUE,"Inclusions";#N/A,#N/A,TRUE,"Exclusions";#N/A,#N/A,TRUE,"Areas";#N/A,#N/A,TRUE,"Summary";#N/A,#N/A,TRUE,"Detail"}</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hidden="1">{#N/A,#N/A,FALSE,"COVER.XLS";#N/A,#N/A,FALSE,"RACT1.XLS";#N/A,#N/A,FALSE,"RACT2.XLS";#N/A,#N/A,FALSE,"ECCMP";#N/A,#N/A,FALSE,"WELDER.XLS"}</definedName>
    <definedName name="wrn.RPLINS." hidden="1">{#N/A,#N/A,FALSE,"str_title";#N/A,#N/A,FALSE,"SUM";#N/A,#N/A,FALSE,"Scope";#N/A,#N/A,FALSE,"PIE-Jn";#N/A,#N/A,FALSE,"PIE-Jn_Hz";#N/A,#N/A,FALSE,"Liq_Plan";#N/A,#N/A,FALSE,"S_Curve";#N/A,#N/A,FALSE,"Liq_Prof";#N/A,#N/A,FALSE,"Man_Pwr";#N/A,#N/A,FALSE,"Man_Prof"}</definedName>
    <definedName name="wrn.summary." hidden="1">{#N/A,#N/A,FALSE,"COVER1.XLS ";#N/A,#N/A,FALSE,"RACT1.XLS";#N/A,#N/A,FALSE,"RACT2.XLS";#N/A,#N/A,FALSE,"ECCMP";#N/A,#N/A,FALSE,"WELDER.XLS"}</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127" i="52" l="1"/>
  <c r="A123" i="52"/>
  <c r="A124" i="52"/>
  <c r="A125" i="52" s="1"/>
  <c r="A126" i="52" s="1"/>
  <c r="A119" i="52"/>
  <c r="A120" i="52"/>
  <c r="A121" i="52" s="1"/>
  <c r="A122" i="52" s="1"/>
  <c r="V1" i="69" l="1"/>
  <c r="F7" i="69"/>
  <c r="F9" i="69"/>
  <c r="F11" i="69"/>
  <c r="F5" i="69"/>
  <c r="A7" i="52"/>
  <c r="A8" i="52" s="1"/>
  <c r="A9" i="52" s="1"/>
  <c r="A10" i="52" s="1"/>
  <c r="A11" i="52" s="1"/>
  <c r="A12" i="52" s="1"/>
  <c r="A13" i="52" s="1"/>
  <c r="A14" i="52" s="1"/>
  <c r="A15" i="52" s="1"/>
  <c r="A16" i="52" s="1"/>
  <c r="A17" i="52" s="1"/>
  <c r="A18" i="52" s="1"/>
  <c r="A19" i="52" s="1"/>
  <c r="A20" i="52" s="1"/>
  <c r="A21" i="52" s="1"/>
  <c r="A22" i="52" s="1"/>
  <c r="A23" i="52" s="1"/>
  <c r="A24" i="52" s="1"/>
  <c r="A25" i="52" s="1"/>
  <c r="A26" i="52" s="1"/>
  <c r="A27" i="52" s="1"/>
  <c r="A28" i="52" s="1"/>
  <c r="A29" i="52" s="1"/>
  <c r="A30" i="52" s="1"/>
  <c r="A31" i="52" s="1"/>
  <c r="A32" i="52" s="1"/>
  <c r="A33" i="52" s="1"/>
  <c r="A34" i="52" s="1"/>
  <c r="A35" i="52" s="1"/>
  <c r="A36" i="52" s="1"/>
  <c r="A37" i="52" s="1"/>
  <c r="A38" i="52" s="1"/>
  <c r="A39" i="52" s="1"/>
  <c r="A40" i="52" s="1"/>
  <c r="A41" i="52" s="1"/>
  <c r="A42" i="52" s="1"/>
  <c r="A43" i="52" s="1"/>
  <c r="A44" i="52" s="1"/>
  <c r="A45" i="52" s="1"/>
  <c r="A46" i="52" s="1"/>
  <c r="A47" i="52" s="1"/>
  <c r="A48" i="52" s="1"/>
  <c r="A49" i="52" s="1"/>
  <c r="A50" i="52" s="1"/>
  <c r="A51" i="52" s="1"/>
  <c r="A52" i="52" s="1"/>
  <c r="A53" i="52" s="1"/>
  <c r="A54" i="52" s="1"/>
  <c r="A55" i="52" s="1"/>
  <c r="A56" i="52" s="1"/>
  <c r="A57" i="52" s="1"/>
  <c r="A58" i="52" s="1"/>
  <c r="A59" i="52" s="1"/>
  <c r="A60" i="52" s="1"/>
  <c r="A61" i="52" s="1"/>
  <c r="A62" i="52" s="1"/>
  <c r="A63" i="52" s="1"/>
  <c r="A64" i="52" s="1"/>
  <c r="A65" i="52" s="1"/>
  <c r="A66" i="52" s="1"/>
  <c r="A67" i="52" s="1"/>
  <c r="A68" i="52" s="1"/>
  <c r="A69" i="52" s="1"/>
  <c r="A70" i="52" s="1"/>
  <c r="A71" i="52" s="1"/>
  <c r="A72" i="52" s="1"/>
  <c r="A73" i="52" s="1"/>
  <c r="A74" i="52" s="1"/>
  <c r="A75" i="52" s="1"/>
  <c r="A76" i="52" s="1"/>
  <c r="A77" i="52" s="1"/>
  <c r="A78" i="52" s="1"/>
  <c r="A79" i="52" s="1"/>
  <c r="A80" i="52" s="1"/>
  <c r="A81" i="52" s="1"/>
  <c r="A82" i="52" s="1"/>
  <c r="A83" i="52" s="1"/>
  <c r="A84" i="52" s="1"/>
  <c r="A85" i="52" s="1"/>
  <c r="A86" i="52" s="1"/>
  <c r="A87" i="52" s="1"/>
  <c r="A88" i="52" s="1"/>
  <c r="A89" i="52" s="1"/>
  <c r="A90" i="52" s="1"/>
  <c r="A91" i="52" s="1"/>
  <c r="A92" i="52" s="1"/>
  <c r="A93" i="52" s="1"/>
  <c r="A94" i="52" s="1"/>
  <c r="A95" i="52" s="1"/>
  <c r="A96" i="52" s="1"/>
  <c r="A97" i="52" s="1"/>
  <c r="A98" i="52" s="1"/>
  <c r="A99" i="52" s="1"/>
  <c r="A100" i="52" s="1"/>
  <c r="A101" i="52" s="1"/>
  <c r="A102" i="52" s="1"/>
  <c r="A103" i="52" s="1"/>
  <c r="A104" i="52" s="1"/>
  <c r="A105" i="52" s="1"/>
  <c r="A106" i="52" s="1"/>
  <c r="A107" i="52" s="1"/>
  <c r="A108" i="52" s="1"/>
  <c r="A110" i="52" s="1"/>
  <c r="A109" i="52" s="1"/>
  <c r="A111" i="52" s="1"/>
  <c r="A112" i="52" s="1"/>
  <c r="A113" i="52" s="1"/>
  <c r="A114" i="52" s="1"/>
  <c r="A115" i="52" s="1"/>
  <c r="A116" i="52" s="1"/>
  <c r="A117" i="52" s="1"/>
  <c r="A118" i="52" s="1"/>
  <c r="J17" i="62" l="1"/>
  <c r="D74" i="52"/>
  <c r="D101" i="52"/>
  <c r="D99" i="52"/>
  <c r="D73" i="52" l="1"/>
  <c r="A30" i="32"/>
  <c r="A31" i="32" s="1"/>
  <c r="A32" i="32" s="1"/>
  <c r="A33" i="32" s="1"/>
  <c r="A20" i="32"/>
  <c r="A43" i="62"/>
  <c r="A53" i="62"/>
  <c r="A54" i="62" s="1"/>
  <c r="A55" i="62" s="1"/>
  <c r="A56" i="62" s="1"/>
  <c r="R13" i="33" l="1"/>
  <c r="Q13" i="33"/>
  <c r="O13" i="33"/>
  <c r="M13" i="33"/>
  <c r="J15" i="62" l="1"/>
  <c r="AD309" i="67"/>
  <c r="AO308" i="67"/>
  <c r="AN308" i="67"/>
  <c r="AM308" i="67"/>
  <c r="AD306" i="67"/>
  <c r="AO300" i="67"/>
  <c r="AN300" i="67"/>
  <c r="AM300" i="67"/>
  <c r="AO292" i="67"/>
  <c r="AN292" i="67"/>
  <c r="AM292" i="67"/>
  <c r="AO284" i="67"/>
  <c r="AN284" i="67"/>
  <c r="AM284" i="67"/>
  <c r="AO276" i="67"/>
  <c r="AN276" i="67"/>
  <c r="AM276" i="67"/>
  <c r="AO268" i="67"/>
  <c r="AN268" i="67"/>
  <c r="AM268" i="67"/>
  <c r="AO260" i="67"/>
  <c r="AN260" i="67"/>
  <c r="AM260" i="67"/>
  <c r="AO252" i="67"/>
  <c r="AN252" i="67"/>
  <c r="AM252" i="67"/>
  <c r="AO244" i="67"/>
  <c r="AN244" i="67"/>
  <c r="AM244" i="67"/>
  <c r="AO235" i="67"/>
  <c r="AN235" i="67"/>
  <c r="AM235" i="67"/>
  <c r="AO226" i="67"/>
  <c r="AN226" i="67"/>
  <c r="AM226" i="67"/>
  <c r="AO218" i="67"/>
  <c r="AN218" i="67"/>
  <c r="AM218" i="67"/>
  <c r="AO210" i="67"/>
  <c r="AN210" i="67"/>
  <c r="AM210" i="67"/>
  <c r="AO202" i="67"/>
  <c r="AN202" i="67"/>
  <c r="AM202" i="67"/>
  <c r="AO194" i="67"/>
  <c r="AN194" i="67"/>
  <c r="AM194" i="67"/>
  <c r="AO185" i="67"/>
  <c r="AN185" i="67"/>
  <c r="AM185" i="67"/>
  <c r="AO176" i="67"/>
  <c r="AN176" i="67"/>
  <c r="AM176" i="67"/>
  <c r="AO168" i="67"/>
  <c r="AN168" i="67"/>
  <c r="AM168" i="67"/>
  <c r="AO159" i="67"/>
  <c r="AN159" i="67"/>
  <c r="AM159" i="67"/>
  <c r="AO150" i="67"/>
  <c r="AN150" i="67"/>
  <c r="AM150" i="67"/>
  <c r="AO141" i="67"/>
  <c r="AN141" i="67"/>
  <c r="AM141" i="67"/>
  <c r="AO132" i="67"/>
  <c r="AN132" i="67"/>
  <c r="AM132" i="67"/>
  <c r="AO123" i="67"/>
  <c r="AN123" i="67"/>
  <c r="AM123" i="67"/>
  <c r="AO115" i="67"/>
  <c r="AN115" i="67"/>
  <c r="AM115" i="67"/>
  <c r="AO107" i="67"/>
  <c r="AN107" i="67"/>
  <c r="AM107" i="67"/>
  <c r="AJ107" i="67"/>
  <c r="AI107" i="67"/>
  <c r="AH107" i="67"/>
  <c r="AO99" i="67"/>
  <c r="AN99" i="67"/>
  <c r="AM99" i="67"/>
  <c r="AO90" i="67"/>
  <c r="AN90" i="67"/>
  <c r="AM90" i="67"/>
  <c r="AO82" i="67"/>
  <c r="AN82" i="67"/>
  <c r="AM82" i="67"/>
  <c r="AO73" i="67"/>
  <c r="AN73" i="67"/>
  <c r="AM73" i="67"/>
  <c r="AO65" i="67"/>
  <c r="AN65" i="67"/>
  <c r="AM65" i="67"/>
  <c r="AO57" i="67"/>
  <c r="AN57" i="67"/>
  <c r="AM57" i="67"/>
  <c r="AO48" i="67"/>
  <c r="AN48" i="67"/>
  <c r="AM48" i="67"/>
  <c r="AO41" i="67"/>
  <c r="AN41" i="67"/>
  <c r="AM41" i="67"/>
  <c r="AO34" i="67"/>
  <c r="AN34" i="67"/>
  <c r="AM34" i="67"/>
  <c r="AO27" i="67"/>
  <c r="AN27" i="67"/>
  <c r="AM27" i="67"/>
  <c r="AO20" i="67"/>
  <c r="AO309" i="67" s="1"/>
  <c r="AN20" i="67"/>
  <c r="AN309" i="67" s="1"/>
  <c r="AM20" i="67"/>
  <c r="AM309" i="67" s="1"/>
  <c r="N14" i="67"/>
  <c r="N13" i="67"/>
  <c r="N12" i="67"/>
  <c r="N11" i="67"/>
  <c r="N10" i="67"/>
  <c r="N9" i="67"/>
  <c r="N8" i="67"/>
  <c r="A8" i="67"/>
  <c r="A9" i="67" s="1"/>
  <c r="A10" i="67" s="1"/>
  <c r="A11" i="67" s="1"/>
  <c r="A12" i="67" s="1"/>
  <c r="A13" i="67" s="1"/>
  <c r="A14" i="67" s="1"/>
  <c r="A15" i="67" s="1"/>
  <c r="A16" i="67" s="1"/>
  <c r="N7" i="67"/>
  <c r="AB2" i="67"/>
  <c r="J16" i="62" l="1"/>
  <c r="Z73" i="52" l="1"/>
  <c r="D67" i="52" l="1"/>
  <c r="Y73" i="52" l="1"/>
  <c r="Y72" i="52" l="1"/>
  <c r="Y77" i="52" s="1"/>
  <c r="Y83" i="52" l="1"/>
  <c r="Y80" i="52"/>
  <c r="Y81" i="52"/>
  <c r="Y79" i="52"/>
  <c r="Y78" i="52"/>
  <c r="Y84" i="52" s="1"/>
  <c r="D7" i="66" l="1"/>
  <c r="D8" i="66"/>
  <c r="D9" i="66"/>
  <c r="D10" i="66"/>
  <c r="D11" i="66"/>
  <c r="D12" i="66" s="1"/>
  <c r="D13" i="66" s="1"/>
  <c r="D14" i="66" s="1"/>
  <c r="D15" i="66" s="1"/>
  <c r="D16" i="66" s="1"/>
  <c r="D17" i="66" s="1"/>
  <c r="D18" i="66" s="1"/>
  <c r="D19" i="66" s="1"/>
  <c r="D20" i="66" s="1"/>
  <c r="D21" i="66" s="1"/>
  <c r="D22" i="66" s="1"/>
  <c r="D23" i="66" s="1"/>
  <c r="D24" i="66" s="1"/>
  <c r="D25" i="66" s="1"/>
  <c r="D26" i="66" s="1"/>
  <c r="D27" i="66" s="1"/>
  <c r="D28" i="66" s="1"/>
  <c r="D29" i="66" s="1"/>
  <c r="D30" i="66" s="1"/>
  <c r="D31" i="66" s="1"/>
  <c r="D32" i="66" s="1"/>
  <c r="D33" i="66" s="1"/>
  <c r="D34" i="66" s="1"/>
  <c r="D6" i="66"/>
  <c r="K17" i="62" l="1"/>
  <c r="K16" i="62"/>
  <c r="E18" i="65" l="1"/>
  <c r="E17" i="65"/>
  <c r="E19" i="65" s="1"/>
  <c r="E12" i="65"/>
  <c r="C6" i="65"/>
  <c r="C7" i="65" s="1"/>
  <c r="C8" i="65" s="1"/>
  <c r="C9" i="65" s="1"/>
  <c r="C10" i="65" s="1"/>
  <c r="C11" i="65" s="1"/>
  <c r="K13" i="62" l="1"/>
  <c r="F13" i="62"/>
  <c r="K15" i="62"/>
  <c r="D90" i="56" l="1"/>
  <c r="M3" i="62" l="1"/>
  <c r="N5" i="26" l="1"/>
  <c r="A3" i="64" l="1"/>
  <c r="A4" i="64" s="1"/>
  <c r="A5" i="64" s="1"/>
  <c r="A6" i="64" s="1"/>
  <c r="A7" i="64" s="1"/>
  <c r="A8" i="64" s="1"/>
  <c r="A9" i="64" s="1"/>
  <c r="A10" i="64" s="1"/>
  <c r="A11" i="64" s="1"/>
  <c r="A12" i="64" s="1"/>
  <c r="A13" i="64" s="1"/>
  <c r="A14" i="64" s="1"/>
  <c r="A15" i="64" s="1"/>
  <c r="A16" i="64" s="1"/>
  <c r="A17" i="64" s="1"/>
  <c r="A18" i="64" s="1"/>
  <c r="A19" i="64" s="1"/>
  <c r="A20" i="64" s="1"/>
  <c r="A21" i="64" s="1"/>
  <c r="A22" i="64" s="1"/>
  <c r="A23" i="64" s="1"/>
  <c r="A24" i="64" s="1"/>
  <c r="A25" i="64" s="1"/>
  <c r="A26" i="64" s="1"/>
  <c r="A27" i="64" s="1"/>
  <c r="A28" i="64" s="1"/>
  <c r="A29" i="64" s="1"/>
  <c r="A30" i="64" s="1"/>
  <c r="A31" i="64" s="1"/>
  <c r="A32" i="64" s="1"/>
  <c r="A33" i="64" s="1"/>
  <c r="A34" i="64" s="1"/>
  <c r="A35" i="64" s="1"/>
  <c r="A36" i="64" s="1"/>
  <c r="A37" i="64" s="1"/>
  <c r="A38" i="64" s="1"/>
  <c r="A39" i="64" s="1"/>
  <c r="A40" i="64" s="1"/>
  <c r="A41" i="64" s="1"/>
  <c r="A42" i="64" s="1"/>
  <c r="A43" i="64" s="1"/>
  <c r="A44" i="64" s="1"/>
  <c r="A45" i="64" s="1"/>
  <c r="A46" i="64" s="1"/>
  <c r="A47" i="64" s="1"/>
  <c r="A48" i="64" s="1"/>
  <c r="A49" i="64" s="1"/>
  <c r="A50" i="64" s="1"/>
  <c r="A51" i="64" s="1"/>
  <c r="G12" i="62"/>
  <c r="K23" i="62" l="1"/>
  <c r="J22" i="62"/>
  <c r="K22" i="62" s="1"/>
  <c r="J21" i="62"/>
  <c r="K21" i="62" s="1"/>
  <c r="J20" i="62"/>
  <c r="K20" i="62" s="1"/>
  <c r="K19" i="62"/>
  <c r="J18" i="62"/>
  <c r="K18" i="62" s="1"/>
  <c r="K12" i="62"/>
  <c r="K11" i="62"/>
  <c r="L10" i="62"/>
  <c r="M9" i="62" l="1"/>
  <c r="C121" i="56" l="1"/>
  <c r="A102" i="56"/>
  <c r="A103" i="56" s="1"/>
  <c r="A104" i="56" s="1"/>
  <c r="A105" i="56" s="1"/>
  <c r="A106" i="56" s="1"/>
  <c r="A107" i="56" s="1"/>
  <c r="A108" i="56" s="1"/>
  <c r="A109" i="56" s="1"/>
  <c r="A110" i="56" s="1"/>
  <c r="A111" i="56" s="1"/>
  <c r="A112" i="56" s="1"/>
  <c r="A113" i="56" s="1"/>
  <c r="A114" i="56" s="1"/>
  <c r="A115" i="56" s="1"/>
  <c r="A116" i="56" s="1"/>
  <c r="A117" i="56" s="1"/>
  <c r="A118" i="56" s="1"/>
  <c r="A119" i="56" s="1"/>
  <c r="A120" i="56" s="1"/>
  <c r="A9" i="26" l="1"/>
  <c r="A10" i="26" s="1"/>
  <c r="A11" i="26" s="1"/>
  <c r="A12" i="26" s="1"/>
  <c r="A13" i="26" s="1"/>
  <c r="A14" i="26" s="1"/>
  <c r="A15" i="26" s="1"/>
  <c r="A16" i="26" s="1"/>
  <c r="A17" i="26" s="1"/>
  <c r="A18" i="26" s="1"/>
  <c r="A19" i="26" s="1"/>
  <c r="A20" i="26" s="1"/>
  <c r="A21" i="26" s="1"/>
  <c r="A22" i="26" s="1"/>
  <c r="A23" i="26" s="1"/>
  <c r="A24" i="26" s="1"/>
  <c r="A25" i="26" s="1"/>
  <c r="A26" i="26" s="1"/>
  <c r="A27" i="26" s="1"/>
  <c r="A28" i="26" s="1"/>
  <c r="A29" i="26" s="1"/>
  <c r="A30" i="26" s="1"/>
  <c r="A31" i="26" s="1"/>
  <c r="A32" i="26" s="1"/>
  <c r="A33" i="26" s="1"/>
  <c r="A34" i="26" s="1"/>
  <c r="A35" i="26" s="1"/>
  <c r="A36" i="26" s="1"/>
  <c r="A37" i="26" s="1"/>
  <c r="A38" i="26" s="1"/>
  <c r="A39" i="26" s="1"/>
  <c r="A40" i="26" s="1"/>
  <c r="A41" i="26" s="1"/>
  <c r="A42" i="26" s="1"/>
  <c r="A43" i="26" s="1"/>
  <c r="A44" i="26" s="1"/>
  <c r="A45" i="26" s="1"/>
  <c r="A46" i="26" s="1"/>
  <c r="A47" i="26" s="1"/>
  <c r="A48" i="26" s="1"/>
  <c r="A49" i="26" s="1"/>
  <c r="A50" i="26" s="1"/>
  <c r="A51" i="26" s="1"/>
  <c r="A52" i="26" s="1"/>
  <c r="A53" i="26" s="1"/>
  <c r="A54" i="26" s="1"/>
  <c r="A55" i="26" s="1"/>
  <c r="A56" i="26" s="1"/>
  <c r="A57" i="26" s="1"/>
  <c r="A58" i="26" s="1"/>
  <c r="A59" i="26" s="1"/>
  <c r="A60" i="26" s="1"/>
  <c r="A61" i="26" s="1"/>
  <c r="A62" i="26" s="1"/>
  <c r="A63" i="26" s="1"/>
  <c r="A64" i="26" s="1"/>
  <c r="A65" i="26" s="1"/>
  <c r="A66" i="26" s="1"/>
  <c r="A67" i="26" s="1"/>
  <c r="A68" i="26" s="1"/>
  <c r="A69" i="26" s="1"/>
  <c r="A70" i="26" s="1"/>
  <c r="A71" i="26" s="1"/>
  <c r="A72" i="26" s="1"/>
  <c r="A73" i="26" s="1"/>
  <c r="A74" i="26" s="1"/>
  <c r="A75" i="26" s="1"/>
  <c r="A76" i="26" s="1"/>
  <c r="A77" i="26" s="1"/>
  <c r="A78" i="26" s="1"/>
  <c r="A79" i="26" s="1"/>
  <c r="A80" i="26" s="1"/>
  <c r="A81" i="26" s="1"/>
  <c r="A82" i="26" s="1"/>
  <c r="A83" i="26" s="1"/>
  <c r="A84" i="26" s="1"/>
  <c r="A85" i="26" s="1"/>
  <c r="A86" i="26" s="1"/>
  <c r="A87" i="26" s="1"/>
  <c r="A88" i="26" s="1"/>
  <c r="A89" i="26" s="1"/>
  <c r="A90" i="26" s="1"/>
  <c r="A91" i="26" s="1"/>
  <c r="A92" i="26" s="1"/>
  <c r="A93" i="26" s="1"/>
  <c r="A94" i="26" s="1"/>
  <c r="A95" i="26" s="1"/>
  <c r="A96" i="26" s="1"/>
  <c r="A97" i="26" s="1"/>
  <c r="A98" i="26" s="1"/>
  <c r="A99" i="26" s="1"/>
  <c r="A100" i="26" s="1"/>
  <c r="A101" i="26" s="1"/>
  <c r="A102" i="26" s="1"/>
  <c r="A103" i="26" s="1"/>
  <c r="A104" i="26" s="1"/>
  <c r="A105" i="26" s="1"/>
  <c r="A106" i="26" s="1"/>
  <c r="A107" i="26" s="1"/>
  <c r="A108" i="26" s="1"/>
  <c r="A109" i="26" s="1"/>
  <c r="A110" i="26" s="1"/>
  <c r="A111" i="26" s="1"/>
  <c r="A112" i="26" s="1"/>
  <c r="A113" i="26" s="1"/>
  <c r="A114" i="26" s="1"/>
  <c r="A115" i="26" s="1"/>
  <c r="A116" i="26" s="1"/>
  <c r="A117" i="26" s="1"/>
  <c r="A118" i="26" s="1"/>
  <c r="A119" i="26" s="1"/>
  <c r="A120" i="26" s="1"/>
  <c r="A121" i="26" s="1"/>
  <c r="A122" i="26" s="1"/>
  <c r="A123" i="26" s="1"/>
  <c r="A124" i="26" s="1"/>
  <c r="A125" i="26" s="1"/>
  <c r="A126" i="26" s="1"/>
  <c r="A127" i="26" s="1"/>
  <c r="A128" i="26" s="1"/>
  <c r="A129" i="26" s="1"/>
  <c r="A130" i="26" s="1"/>
  <c r="A131" i="26" s="1"/>
  <c r="A132" i="26" s="1"/>
  <c r="A133" i="26" s="1"/>
  <c r="A134" i="26" s="1"/>
  <c r="A135" i="26" s="1"/>
  <c r="A136" i="26" s="1"/>
  <c r="A137" i="26" s="1"/>
  <c r="A138" i="26" s="1"/>
  <c r="A139" i="26" s="1"/>
  <c r="A140" i="26" s="1"/>
  <c r="A141" i="26" s="1"/>
  <c r="A142" i="26" s="1"/>
  <c r="A143" i="26" s="1"/>
  <c r="A144" i="26" s="1"/>
  <c r="A145" i="26" s="1"/>
  <c r="A146" i="26" s="1"/>
  <c r="A147" i="26" s="1"/>
  <c r="A148" i="26" s="1"/>
  <c r="A149" i="26" s="1"/>
  <c r="A150" i="26" s="1"/>
  <c r="A151" i="26" s="1"/>
  <c r="A152" i="26" s="1"/>
  <c r="A153" i="26" s="1"/>
  <c r="A154" i="26" s="1"/>
  <c r="A155" i="26" s="1"/>
  <c r="A156" i="26" s="1"/>
  <c r="A157" i="26" s="1"/>
  <c r="A158" i="26" s="1"/>
  <c r="A159" i="26" s="1"/>
  <c r="A160" i="26" s="1"/>
  <c r="A161" i="26" s="1"/>
  <c r="A162" i="26" s="1"/>
  <c r="A163" i="26" s="1"/>
  <c r="A164" i="26" s="1"/>
  <c r="A165" i="26" s="1"/>
  <c r="A166" i="26" s="1"/>
  <c r="A167" i="26" s="1"/>
  <c r="A168" i="26" s="1"/>
  <c r="A169" i="26" s="1"/>
  <c r="A170" i="26" s="1"/>
  <c r="A171" i="26" s="1"/>
  <c r="A172" i="26" s="1"/>
  <c r="A173" i="26" s="1"/>
  <c r="A174" i="26" s="1"/>
  <c r="A175" i="26" s="1"/>
  <c r="A176" i="26" s="1"/>
  <c r="A177" i="26" s="1"/>
  <c r="A178" i="26" s="1"/>
  <c r="A179" i="26" s="1"/>
  <c r="A180" i="26" s="1"/>
  <c r="A181" i="26" s="1"/>
  <c r="A182" i="26" s="1"/>
  <c r="A183" i="26" s="1"/>
  <c r="A184" i="26" s="1"/>
  <c r="A185" i="26" s="1"/>
  <c r="A186" i="26" s="1"/>
  <c r="A187" i="26" s="1"/>
  <c r="A188" i="26" s="1"/>
  <c r="A189" i="26" s="1"/>
  <c r="A190" i="26" s="1"/>
  <c r="A191" i="26" s="1"/>
  <c r="A192" i="26" s="1"/>
  <c r="A193" i="26" s="1"/>
  <c r="A194" i="26" s="1"/>
  <c r="A195" i="26" s="1"/>
  <c r="A196" i="26" s="1"/>
  <c r="A197" i="26" s="1"/>
  <c r="A198" i="26" s="1"/>
  <c r="A199" i="26" s="1"/>
  <c r="A200" i="26" s="1"/>
  <c r="A201" i="26" s="1"/>
  <c r="A202" i="26" s="1"/>
  <c r="A203" i="26" s="1"/>
  <c r="A204" i="26" s="1"/>
  <c r="A205" i="26" s="1"/>
  <c r="A206" i="26" s="1"/>
  <c r="A207" i="26" s="1"/>
  <c r="A208" i="26" s="1"/>
  <c r="A209" i="26" s="1"/>
  <c r="A210" i="26" s="1"/>
  <c r="A211" i="26" s="1"/>
  <c r="A212" i="26" s="1"/>
  <c r="A213" i="26" s="1"/>
  <c r="A214" i="26" s="1"/>
  <c r="A215" i="26" s="1"/>
  <c r="A216" i="26" s="1"/>
  <c r="A217" i="26" s="1"/>
  <c r="A218" i="26" s="1"/>
  <c r="A219" i="26" s="1"/>
  <c r="A220" i="26" s="1"/>
  <c r="A221" i="26" s="1"/>
  <c r="A222" i="26" s="1"/>
  <c r="A223" i="26" s="1"/>
  <c r="A224" i="26" s="1"/>
  <c r="A225" i="26" s="1"/>
  <c r="A226" i="26" s="1"/>
  <c r="A227" i="26" s="1"/>
  <c r="A228" i="26" s="1"/>
  <c r="A229" i="26" s="1"/>
  <c r="A230" i="26" s="1"/>
  <c r="A231" i="26" s="1"/>
  <c r="A232" i="26" s="1"/>
  <c r="A233" i="26" s="1"/>
  <c r="A234" i="26" s="1"/>
  <c r="E71" i="26" l="1"/>
  <c r="F71" i="26"/>
  <c r="G71" i="26"/>
  <c r="H71" i="26"/>
  <c r="I71" i="26"/>
  <c r="B4" i="60" l="1"/>
  <c r="B5" i="60" s="1"/>
  <c r="B6" i="60" s="1"/>
  <c r="B7" i="60" s="1"/>
  <c r="B8" i="60" s="1"/>
  <c r="B9" i="60" s="1"/>
  <c r="B10" i="60" s="1"/>
  <c r="B11" i="60" s="1"/>
  <c r="B12" i="60" s="1"/>
  <c r="B13" i="60" s="1"/>
  <c r="B14" i="60" s="1"/>
  <c r="B15" i="60" s="1"/>
  <c r="B16" i="60" s="1"/>
  <c r="B17" i="60" s="1"/>
  <c r="B18" i="60" s="1"/>
  <c r="B19" i="60" s="1"/>
  <c r="B20" i="60" s="1"/>
  <c r="B21" i="60" s="1"/>
  <c r="B22" i="60" s="1"/>
  <c r="B23" i="60" s="1"/>
  <c r="B24" i="60" s="1"/>
  <c r="B25" i="60" s="1"/>
  <c r="B26" i="60" s="1"/>
  <c r="B3" i="60"/>
  <c r="U30" i="58" l="1"/>
  <c r="T30" i="58"/>
  <c r="T28" i="58"/>
  <c r="T27" i="58"/>
  <c r="T26" i="58"/>
  <c r="T25" i="58"/>
  <c r="S26" i="58"/>
  <c r="R26" i="58"/>
  <c r="S25" i="58"/>
  <c r="R25" i="58"/>
  <c r="F8" i="58"/>
  <c r="S24" i="58"/>
  <c r="R24" i="58"/>
  <c r="S15" i="58" l="1"/>
  <c r="S14" i="58"/>
  <c r="S12" i="58"/>
  <c r="R13" i="58"/>
  <c r="Q13" i="58"/>
  <c r="R12" i="58"/>
  <c r="Q12" i="58"/>
  <c r="R11" i="58"/>
  <c r="Q11" i="58"/>
  <c r="S13" i="58" l="1"/>
  <c r="J11" i="58" l="1"/>
  <c r="F31" i="58" l="1"/>
  <c r="E31" i="58"/>
  <c r="F30" i="58"/>
  <c r="E30" i="58"/>
  <c r="E29" i="58"/>
  <c r="F29" i="58"/>
  <c r="I98" i="26"/>
  <c r="G31" i="58" l="1"/>
  <c r="G33" i="58" s="1"/>
  <c r="G30" i="58"/>
  <c r="G32" i="58" s="1"/>
  <c r="G11" i="58" l="1"/>
  <c r="G10" i="58"/>
  <c r="G9" i="58"/>
  <c r="G8" i="58"/>
  <c r="F9" i="58"/>
  <c r="E8" i="58"/>
  <c r="E9" i="58"/>
  <c r="F7" i="58"/>
  <c r="E7" i="58"/>
  <c r="I97" i="26" l="1"/>
  <c r="H97" i="26"/>
  <c r="G97" i="26"/>
  <c r="F97" i="26"/>
  <c r="E97" i="26"/>
  <c r="E93" i="56" l="1"/>
  <c r="E96" i="56" s="1"/>
  <c r="A69" i="56"/>
  <c r="A70" i="56" s="1"/>
  <c r="A71" i="56" s="1"/>
  <c r="A72" i="56" s="1"/>
  <c r="A73" i="56" s="1"/>
  <c r="A74" i="56" s="1"/>
  <c r="A75" i="56" s="1"/>
  <c r="A76" i="56" s="1"/>
  <c r="A77" i="56" s="1"/>
  <c r="A78" i="56" s="1"/>
  <c r="A79" i="56" s="1"/>
  <c r="A80" i="56" s="1"/>
  <c r="A81" i="56" s="1"/>
  <c r="A82" i="56" s="1"/>
  <c r="A83" i="56" s="1"/>
  <c r="A84" i="56" s="1"/>
  <c r="A85" i="56" s="1"/>
  <c r="A86" i="56" s="1"/>
  <c r="A87" i="56" s="1"/>
  <c r="A88" i="56" s="1"/>
  <c r="A89" i="56" s="1"/>
  <c r="G63" i="56"/>
  <c r="D63" i="56"/>
  <c r="A46" i="56"/>
  <c r="A47" i="56" s="1"/>
  <c r="A48" i="56" s="1"/>
  <c r="A49" i="56" s="1"/>
  <c r="A50" i="56" s="1"/>
  <c r="A51" i="56" s="1"/>
  <c r="A52" i="56" s="1"/>
  <c r="A53" i="56" s="1"/>
  <c r="A54" i="56" s="1"/>
  <c r="A55" i="56" s="1"/>
  <c r="A56" i="56" s="1"/>
  <c r="A57" i="56" s="1"/>
  <c r="A58" i="56" s="1"/>
  <c r="A59" i="56" s="1"/>
  <c r="A60" i="56" s="1"/>
  <c r="A61" i="56" s="1"/>
  <c r="C39" i="56"/>
  <c r="A7" i="56"/>
  <c r="A8" i="56" s="1"/>
  <c r="A9" i="56" s="1"/>
  <c r="A10" i="56" s="1"/>
  <c r="A11" i="56" s="1"/>
  <c r="A12" i="56" s="1"/>
  <c r="A13" i="56" s="1"/>
  <c r="A14" i="56" s="1"/>
  <c r="A15" i="56" s="1"/>
  <c r="A16" i="56" s="1"/>
  <c r="A17" i="56" s="1"/>
  <c r="A18" i="56" s="1"/>
  <c r="A19" i="56" s="1"/>
  <c r="A20" i="56" s="1"/>
  <c r="A21" i="56" s="1"/>
  <c r="A22" i="56" s="1"/>
  <c r="A23" i="56" s="1"/>
  <c r="A24" i="56" s="1"/>
  <c r="A25" i="56" s="1"/>
  <c r="A26" i="56" s="1"/>
  <c r="A27" i="56" s="1"/>
  <c r="A28" i="56" s="1"/>
  <c r="A29" i="56" s="1"/>
  <c r="A30" i="56" s="1"/>
  <c r="A31" i="56" s="1"/>
  <c r="A32" i="56" s="1"/>
  <c r="A34" i="56" s="1"/>
  <c r="A35" i="56" s="1"/>
  <c r="A36" i="56" s="1"/>
  <c r="I140" i="26" l="1"/>
  <c r="H140" i="26"/>
  <c r="G140" i="26"/>
  <c r="F140" i="26"/>
  <c r="E140" i="26"/>
  <c r="I88" i="26"/>
  <c r="H88" i="26"/>
  <c r="G88" i="26"/>
  <c r="F88" i="26"/>
  <c r="E88" i="26"/>
  <c r="I76" i="26"/>
  <c r="H76" i="26"/>
  <c r="G76" i="26"/>
  <c r="F76" i="26"/>
  <c r="E76" i="26"/>
  <c r="I73" i="26"/>
  <c r="H73" i="26"/>
  <c r="G73" i="26"/>
  <c r="F73" i="26"/>
  <c r="E73" i="26"/>
  <c r="I66" i="26"/>
  <c r="H66" i="26"/>
  <c r="F66" i="26"/>
  <c r="E66" i="26"/>
  <c r="G66" i="26"/>
  <c r="I90" i="26" l="1"/>
  <c r="I79" i="26"/>
  <c r="I78" i="26"/>
  <c r="I63" i="26"/>
  <c r="H90" i="26"/>
  <c r="G90" i="26"/>
  <c r="F90" i="26"/>
  <c r="E90" i="26"/>
  <c r="H79" i="26"/>
  <c r="G79" i="26"/>
  <c r="F79" i="26"/>
  <c r="E79" i="26"/>
  <c r="H78" i="26"/>
  <c r="G78" i="26"/>
  <c r="F78" i="26"/>
  <c r="E78" i="26"/>
  <c r="F63" i="26"/>
  <c r="E63" i="26"/>
  <c r="H63" i="26"/>
  <c r="G63" i="26"/>
  <c r="E94" i="55" l="1"/>
  <c r="E93" i="55"/>
  <c r="D89" i="55" l="1"/>
  <c r="E92" i="55" s="1"/>
  <c r="A69" i="55"/>
  <c r="A70" i="55" s="1"/>
  <c r="A71" i="55" s="1"/>
  <c r="A72" i="55" s="1"/>
  <c r="A73" i="55" s="1"/>
  <c r="A74" i="55" s="1"/>
  <c r="A75" i="55" s="1"/>
  <c r="A76" i="55" s="1"/>
  <c r="A77" i="55" s="1"/>
  <c r="A78" i="55" s="1"/>
  <c r="A79" i="55" s="1"/>
  <c r="A80" i="55" s="1"/>
  <c r="A81" i="55" s="1"/>
  <c r="A82" i="55" s="1"/>
  <c r="A83" i="55" s="1"/>
  <c r="A84" i="55" s="1"/>
  <c r="A85" i="55" s="1"/>
  <c r="G63" i="55"/>
  <c r="D63" i="55"/>
  <c r="A46" i="55"/>
  <c r="A47" i="55" s="1"/>
  <c r="A48" i="55" s="1"/>
  <c r="A49" i="55" s="1"/>
  <c r="A50" i="55" s="1"/>
  <c r="A51" i="55" s="1"/>
  <c r="A52" i="55" s="1"/>
  <c r="A53" i="55" s="1"/>
  <c r="A54" i="55" s="1"/>
  <c r="A55" i="55" s="1"/>
  <c r="A56" i="55" s="1"/>
  <c r="A57" i="55" s="1"/>
  <c r="A58" i="55" s="1"/>
  <c r="A59" i="55" s="1"/>
  <c r="A60" i="55" s="1"/>
  <c r="A61" i="55" s="1"/>
  <c r="C39" i="55"/>
  <c r="A7" i="55"/>
  <c r="A8" i="55" s="1"/>
  <c r="A9" i="55" s="1"/>
  <c r="A10" i="55" s="1"/>
  <c r="A11" i="55" s="1"/>
  <c r="A12" i="55" s="1"/>
  <c r="A13" i="55" s="1"/>
  <c r="A14" i="55" s="1"/>
  <c r="A15" i="55" s="1"/>
  <c r="A16" i="55" s="1"/>
  <c r="A17" i="55" s="1"/>
  <c r="A18" i="55" s="1"/>
  <c r="A19" i="55" s="1"/>
  <c r="A20" i="55" s="1"/>
  <c r="A21" i="55" s="1"/>
  <c r="A22" i="55" s="1"/>
  <c r="A23" i="55" s="1"/>
  <c r="A24" i="55" s="1"/>
  <c r="A25" i="55" s="1"/>
  <c r="A26" i="55" s="1"/>
  <c r="A27" i="55" s="1"/>
  <c r="A28" i="55" s="1"/>
  <c r="A29" i="55" s="1"/>
  <c r="A30" i="55" s="1"/>
  <c r="A31" i="55" s="1"/>
  <c r="A32" i="55" s="1"/>
  <c r="A34" i="55" s="1"/>
  <c r="A35" i="55" s="1"/>
  <c r="A36" i="55" s="1"/>
  <c r="A7" i="22"/>
  <c r="A8" i="22" s="1"/>
  <c r="A9" i="22" s="1"/>
  <c r="A10" i="22" s="1"/>
  <c r="A11" i="22" s="1"/>
  <c r="A12" i="22" s="1"/>
  <c r="A13" i="22" s="1"/>
  <c r="A14" i="22" s="1"/>
  <c r="A15" i="22" s="1"/>
  <c r="A16" i="22" s="1"/>
  <c r="A17" i="22" s="1"/>
  <c r="A18" i="22" s="1"/>
  <c r="A19" i="22" s="1"/>
  <c r="A20" i="22" s="1"/>
  <c r="A21" i="22" s="1"/>
  <c r="A22" i="22" s="1"/>
  <c r="A23" i="22" s="1"/>
  <c r="A24" i="22" s="1"/>
  <c r="A25" i="22" s="1"/>
  <c r="A26" i="22" s="1"/>
  <c r="A27" i="22" s="1"/>
  <c r="A28" i="22" s="1"/>
  <c r="A29" i="22" s="1"/>
  <c r="A30" i="22" s="1"/>
  <c r="A31" i="22" s="1"/>
  <c r="A32" i="22" s="1"/>
  <c r="A34" i="22" s="1"/>
  <c r="A35" i="22" s="1"/>
  <c r="A36" i="22" s="1"/>
  <c r="I8" i="22"/>
  <c r="N23" i="22"/>
  <c r="I36" i="22"/>
  <c r="C39" i="22"/>
  <c r="A46" i="22"/>
  <c r="A47" i="22"/>
  <c r="A48" i="22"/>
  <c r="A49" i="22"/>
  <c r="A50" i="22"/>
  <c r="A51" i="22"/>
  <c r="A52" i="22"/>
  <c r="A53" i="22" s="1"/>
  <c r="A54" i="22" s="1"/>
  <c r="A55" i="22" s="1"/>
  <c r="A56" i="22" s="1"/>
  <c r="A57" i="22" s="1"/>
  <c r="A58" i="22" s="1"/>
  <c r="A59" i="22" s="1"/>
  <c r="A60" i="22" s="1"/>
  <c r="A61" i="22" s="1"/>
  <c r="D63" i="22"/>
  <c r="I10" i="22" s="1"/>
  <c r="G63" i="22"/>
  <c r="B69" i="22"/>
  <c r="B70" i="22" s="1"/>
  <c r="B71" i="22" s="1"/>
  <c r="B72" i="22" s="1"/>
  <c r="B73" i="22" s="1"/>
  <c r="B74" i="22" s="1"/>
  <c r="B75" i="22" s="1"/>
  <c r="B76" i="22" s="1"/>
  <c r="B77" i="22" s="1"/>
  <c r="B78" i="22" s="1"/>
  <c r="B79" i="22" s="1"/>
  <c r="B80" i="22" s="1"/>
  <c r="B81" i="22" s="1"/>
  <c r="B82" i="22" s="1"/>
  <c r="B83" i="22" s="1"/>
  <c r="B84" i="22" s="1"/>
  <c r="B85" i="22" s="1"/>
  <c r="B86" i="22" s="1"/>
  <c r="D87" i="22"/>
  <c r="E89" i="22"/>
  <c r="E91" i="22"/>
  <c r="E92" i="22"/>
  <c r="E93" i="22"/>
  <c r="A2" i="46" l="1"/>
  <c r="E25" i="51" l="1"/>
  <c r="F25" i="51" s="1"/>
  <c r="F24" i="51"/>
  <c r="F23" i="51"/>
  <c r="D22" i="51"/>
  <c r="E22" i="51" s="1"/>
  <c r="F22" i="51" s="1"/>
  <c r="F20" i="51"/>
  <c r="E10" i="51"/>
  <c r="F10" i="51" s="1"/>
  <c r="F9" i="51"/>
  <c r="M8" i="51"/>
  <c r="F8" i="51"/>
  <c r="D7" i="51"/>
  <c r="E7" i="51" s="1"/>
  <c r="F7" i="51" s="1"/>
  <c r="F5" i="51"/>
  <c r="A39" i="38" l="1"/>
  <c r="A40" i="38"/>
  <c r="A34" i="38"/>
  <c r="A35" i="38"/>
  <c r="A36" i="38"/>
  <c r="A37" i="38" s="1"/>
  <c r="A38" i="38" s="1"/>
  <c r="A10" i="38"/>
  <c r="A8" i="37" l="1"/>
  <c r="A9" i="37" s="1"/>
  <c r="A10" i="37" s="1"/>
  <c r="A11" i="37" s="1"/>
  <c r="A12" i="37" s="1"/>
  <c r="A13" i="37" s="1"/>
  <c r="A14" i="37" s="1"/>
  <c r="A15" i="37" s="1"/>
  <c r="A16" i="37" s="1"/>
  <c r="A17" i="37" s="1"/>
  <c r="A18" i="37" s="1"/>
  <c r="A19" i="37" s="1"/>
  <c r="A20" i="37" s="1"/>
  <c r="A21" i="37" s="1"/>
  <c r="A22" i="37" s="1"/>
  <c r="A23" i="37" s="1"/>
  <c r="A24" i="37" s="1"/>
  <c r="A25" i="37" s="1"/>
  <c r="A26" i="37" s="1"/>
  <c r="A27" i="37" s="1"/>
  <c r="A28" i="37" s="1"/>
  <c r="A29" i="37" s="1"/>
  <c r="A30" i="37" s="1"/>
  <c r="A31" i="37" s="1"/>
  <c r="A32" i="37" s="1"/>
  <c r="A33" i="37" s="1"/>
  <c r="A34" i="37" s="1"/>
  <c r="A35" i="37" s="1"/>
  <c r="A36" i="37" s="1"/>
  <c r="A37" i="37" s="1"/>
  <c r="A38" i="37" s="1"/>
  <c r="A39" i="37" s="1"/>
  <c r="A40" i="37" s="1"/>
  <c r="A41" i="37" s="1"/>
  <c r="A42" i="37" s="1"/>
  <c r="A43" i="37" s="1"/>
  <c r="A44" i="37" s="1"/>
  <c r="A45" i="37" s="1"/>
  <c r="A46" i="37" s="1"/>
  <c r="A47" i="37" s="1"/>
  <c r="A48" i="37" s="1"/>
  <c r="A49" i="37" s="1"/>
  <c r="A50" i="37" s="1"/>
  <c r="A51" i="37" s="1"/>
  <c r="A52" i="37" s="1"/>
  <c r="A53" i="37" s="1"/>
  <c r="A54" i="37" s="1"/>
  <c r="A55" i="37" s="1"/>
  <c r="A56" i="37" s="1"/>
  <c r="A57" i="37" s="1"/>
  <c r="A58" i="37" s="1"/>
  <c r="A59" i="37" s="1"/>
  <c r="A60" i="37" s="1"/>
  <c r="A61" i="37" s="1"/>
  <c r="A62" i="37" s="1"/>
  <c r="A63" i="37" s="1"/>
  <c r="A64" i="37" s="1"/>
  <c r="A65" i="37" s="1"/>
  <c r="A66" i="37" s="1"/>
  <c r="A67" i="37" s="1"/>
  <c r="A68" i="37" s="1"/>
  <c r="A69" i="37" s="1"/>
  <c r="A70" i="37" s="1"/>
  <c r="A71" i="37" s="1"/>
  <c r="A72" i="37" s="1"/>
  <c r="A73" i="37" s="1"/>
  <c r="A74" i="37" s="1"/>
  <c r="A75" i="37" s="1"/>
  <c r="A76" i="37" s="1"/>
  <c r="A77" i="37" s="1"/>
  <c r="A78" i="37" s="1"/>
  <c r="A79" i="37" s="1"/>
  <c r="A80" i="37" s="1"/>
  <c r="A81" i="37" s="1"/>
  <c r="A82" i="37" s="1"/>
  <c r="A83" i="37" s="1"/>
  <c r="A84" i="37" s="1"/>
  <c r="A85" i="37" s="1"/>
  <c r="A86" i="37" s="1"/>
  <c r="A87" i="37" s="1"/>
  <c r="A88" i="37" s="1"/>
  <c r="A89" i="37" s="1"/>
  <c r="A90" i="37" s="1"/>
  <c r="A91" i="37" s="1"/>
  <c r="A92" i="37" s="1"/>
  <c r="A93" i="37" s="1"/>
  <c r="A94" i="37" s="1"/>
  <c r="A95" i="37" s="1"/>
  <c r="A96" i="37" s="1"/>
  <c r="A97" i="37" s="1"/>
  <c r="A98" i="37" s="1"/>
  <c r="A99" i="37" s="1"/>
  <c r="A100" i="37" s="1"/>
  <c r="A101" i="37" s="1"/>
  <c r="A102" i="37" s="1"/>
  <c r="A103" i="37" s="1"/>
  <c r="A104" i="37" s="1"/>
  <c r="A105" i="37" s="1"/>
  <c r="A106" i="37" s="1"/>
  <c r="A107" i="37" s="1"/>
  <c r="A108" i="37" s="1"/>
  <c r="A109" i="37" s="1"/>
  <c r="A110" i="37" s="1"/>
  <c r="A111" i="37" s="1"/>
  <c r="A112" i="37" s="1"/>
  <c r="A113" i="37" s="1"/>
  <c r="A114" i="37" s="1"/>
  <c r="A115" i="37" s="1"/>
  <c r="A116" i="37" s="1"/>
  <c r="A117" i="37" s="1"/>
  <c r="A118" i="37" s="1"/>
  <c r="A119" i="37" s="1"/>
  <c r="A120" i="37" s="1"/>
  <c r="A121" i="37" s="1"/>
  <c r="A122" i="37" s="1"/>
  <c r="A123" i="37" s="1"/>
  <c r="A124" i="37" s="1"/>
  <c r="A125" i="37" s="1"/>
  <c r="A126" i="37" s="1"/>
  <c r="A127" i="37" s="1"/>
  <c r="A128" i="37" s="1"/>
  <c r="A129" i="37" s="1"/>
  <c r="A130" i="37" s="1"/>
  <c r="A131" i="37" s="1"/>
  <c r="A132" i="37" s="1"/>
  <c r="A133" i="37" s="1"/>
  <c r="A134" i="37" s="1"/>
  <c r="A135" i="37" s="1"/>
  <c r="A136" i="37" s="1"/>
  <c r="A137" i="37" s="1"/>
  <c r="A138" i="37" s="1"/>
  <c r="A139" i="37" s="1"/>
  <c r="A140" i="37" s="1"/>
  <c r="A141" i="37" s="1"/>
  <c r="A142" i="37" s="1"/>
  <c r="A143" i="37" s="1"/>
  <c r="A144" i="37" s="1"/>
  <c r="A145" i="37" s="1"/>
  <c r="A146" i="37" s="1"/>
  <c r="A147" i="37" s="1"/>
  <c r="A148" i="37" s="1"/>
  <c r="A149" i="37" s="1"/>
  <c r="A150" i="37" s="1"/>
  <c r="A151" i="37" s="1"/>
  <c r="A152" i="37" s="1"/>
  <c r="A153" i="37" s="1"/>
  <c r="A154" i="37" s="1"/>
  <c r="A155" i="37" s="1"/>
  <c r="A156" i="37" s="1"/>
  <c r="A157" i="37" s="1"/>
  <c r="A158" i="37" s="1"/>
  <c r="A159" i="37" s="1"/>
  <c r="A160" i="37" s="1"/>
  <c r="A161" i="37" s="1"/>
  <c r="A162" i="37" s="1"/>
  <c r="A163" i="37" s="1"/>
  <c r="A164" i="37" s="1"/>
  <c r="A165" i="37" s="1"/>
  <c r="A166" i="37" s="1"/>
  <c r="A167" i="37" s="1"/>
  <c r="A168" i="37" s="1"/>
  <c r="A169" i="37" s="1"/>
  <c r="A170" i="37" s="1"/>
  <c r="A171" i="37" s="1"/>
  <c r="A172" i="37" s="1"/>
  <c r="A173" i="37" s="1"/>
  <c r="A174" i="37" s="1"/>
  <c r="A175" i="37" s="1"/>
  <c r="A176" i="37" s="1"/>
  <c r="A177" i="37" s="1"/>
  <c r="A178" i="37" s="1"/>
  <c r="A179" i="37" s="1"/>
  <c r="A180" i="37" s="1"/>
  <c r="A181" i="37" s="1"/>
  <c r="A182" i="37" s="1"/>
  <c r="A183" i="37" s="1"/>
  <c r="A184" i="37" s="1"/>
  <c r="A185" i="37" s="1"/>
  <c r="A186" i="37" s="1"/>
  <c r="A187" i="37" s="1"/>
  <c r="A188" i="37" s="1"/>
  <c r="A189" i="37" s="1"/>
  <c r="A190" i="37" s="1"/>
  <c r="A191" i="37" s="1"/>
  <c r="A192" i="37" s="1"/>
  <c r="A193" i="37" s="1"/>
  <c r="A194" i="37" s="1"/>
  <c r="A195" i="37" s="1"/>
  <c r="A196" i="37" s="1"/>
  <c r="AH314" i="46" l="1"/>
  <c r="AG314" i="46"/>
  <c r="AF314" i="46"/>
  <c r="N16" i="46"/>
  <c r="N15" i="46"/>
  <c r="N14" i="46"/>
  <c r="N13" i="46"/>
  <c r="N12" i="46"/>
  <c r="N11" i="46"/>
  <c r="N10" i="46"/>
  <c r="N9" i="46"/>
  <c r="A9" i="46"/>
  <c r="A10" i="46" s="1"/>
  <c r="A11" i="46" s="1"/>
  <c r="A12" i="46" s="1"/>
  <c r="A13" i="46" s="1"/>
  <c r="A14" i="46" s="1"/>
  <c r="A15" i="46" s="1"/>
  <c r="A16" i="46" s="1"/>
  <c r="N8" i="46"/>
  <c r="B6" i="45" l="1"/>
  <c r="B7" i="45"/>
  <c r="B8" i="45" s="1"/>
  <c r="B9" i="45" s="1"/>
  <c r="B10" i="45" s="1"/>
  <c r="B11" i="45" s="1"/>
  <c r="B12" i="45" s="1"/>
  <c r="B13" i="45" s="1"/>
  <c r="B14" i="45" s="1"/>
  <c r="B15" i="45" s="1"/>
  <c r="B16" i="45" s="1"/>
  <c r="B17" i="45" s="1"/>
  <c r="B18" i="45" s="1"/>
  <c r="B19" i="45" s="1"/>
  <c r="B20" i="45" s="1"/>
  <c r="B21" i="45" s="1"/>
  <c r="B22" i="45" s="1"/>
  <c r="B23" i="45" s="1"/>
  <c r="B24" i="45" s="1"/>
  <c r="B25" i="45" s="1"/>
  <c r="B26" i="45" s="1"/>
  <c r="B27" i="45" s="1"/>
  <c r="B28" i="45" s="1"/>
  <c r="B29" i="45" s="1"/>
  <c r="B30" i="45" s="1"/>
  <c r="B31" i="45" s="1"/>
  <c r="B32" i="45" s="1"/>
  <c r="B33" i="45" s="1"/>
  <c r="B34" i="45" s="1"/>
  <c r="B35" i="45" s="1"/>
  <c r="B36" i="45" s="1"/>
  <c r="B37" i="45" s="1"/>
  <c r="B38" i="45" s="1"/>
  <c r="B39" i="45" s="1"/>
  <c r="B40" i="45" s="1"/>
  <c r="B41" i="45" s="1"/>
  <c r="B5" i="45"/>
  <c r="H42" i="45"/>
  <c r="F42" i="45"/>
  <c r="G42" i="45"/>
  <c r="AB188" i="42" l="1"/>
  <c r="B6" i="44"/>
  <c r="B7" i="44" s="1"/>
  <c r="B8" i="44" s="1"/>
  <c r="B9" i="44" s="1"/>
  <c r="B10" i="44" s="1"/>
  <c r="B11" i="44" s="1"/>
  <c r="B12" i="44" s="1"/>
  <c r="B13" i="44" s="1"/>
  <c r="B14" i="44" s="1"/>
  <c r="B15" i="44" s="1"/>
  <c r="B16" i="44" s="1"/>
  <c r="B17" i="44" s="1"/>
  <c r="B18" i="44" s="1"/>
  <c r="B19" i="44" s="1"/>
  <c r="B20" i="44" s="1"/>
  <c r="B21" i="44" s="1"/>
  <c r="B22" i="44" s="1"/>
  <c r="B23" i="44" s="1"/>
  <c r="B24" i="44" s="1"/>
  <c r="B25" i="44" s="1"/>
  <c r="B26" i="44" s="1"/>
  <c r="B27" i="44" s="1"/>
  <c r="B28" i="44" s="1"/>
  <c r="B29" i="44" s="1"/>
  <c r="B30" i="44" s="1"/>
  <c r="B31" i="44" s="1"/>
  <c r="B32" i="44" s="1"/>
  <c r="B33" i="44" s="1"/>
  <c r="B34" i="44" s="1"/>
  <c r="B35" i="44" s="1"/>
  <c r="B36" i="44" s="1"/>
  <c r="B37" i="44" s="1"/>
  <c r="B38" i="44" s="1"/>
  <c r="I219" i="43" l="1"/>
  <c r="G216" i="43"/>
  <c r="E216" i="43"/>
  <c r="C216" i="43"/>
  <c r="J6" i="43"/>
  <c r="B123" i="43"/>
  <c r="D123" i="43" s="1"/>
  <c r="F123" i="43" s="1"/>
  <c r="H123" i="43" s="1"/>
  <c r="J123" i="43" s="1"/>
  <c r="L123" i="43" s="1"/>
  <c r="N123" i="43" s="1"/>
  <c r="P123" i="43" s="1"/>
  <c r="R123" i="43" s="1"/>
  <c r="T123" i="43" s="1"/>
  <c r="V123" i="43" s="1"/>
  <c r="B132" i="43" s="1"/>
  <c r="D132" i="43" s="1"/>
  <c r="F132" i="43" s="1"/>
  <c r="H132" i="43" s="1"/>
  <c r="J132" i="43" s="1"/>
  <c r="L132" i="43" s="1"/>
  <c r="N132" i="43" s="1"/>
  <c r="P132" i="43" s="1"/>
  <c r="R132" i="43" s="1"/>
  <c r="T132" i="43" s="1"/>
  <c r="V132" i="43" s="1"/>
  <c r="B141" i="43" s="1"/>
  <c r="D141" i="43" s="1"/>
  <c r="F141" i="43" s="1"/>
  <c r="H141" i="43" s="1"/>
  <c r="J141" i="43" s="1"/>
  <c r="L141" i="43" s="1"/>
  <c r="N141" i="43" s="1"/>
  <c r="P141" i="43" s="1"/>
  <c r="R141" i="43" s="1"/>
  <c r="T141" i="43" s="1"/>
  <c r="V141" i="43" s="1"/>
  <c r="B150" i="43" s="1"/>
  <c r="D150" i="43" s="1"/>
  <c r="F150" i="43" s="1"/>
  <c r="H150" i="43" s="1"/>
  <c r="J150" i="43" s="1"/>
  <c r="L150" i="43" s="1"/>
  <c r="N150" i="43" s="1"/>
  <c r="P150" i="43" s="1"/>
  <c r="R150" i="43" s="1"/>
  <c r="T150" i="43" s="1"/>
  <c r="V150" i="43" s="1"/>
  <c r="B158" i="43" s="1"/>
  <c r="D158" i="43" s="1"/>
  <c r="F158" i="43" s="1"/>
  <c r="H158" i="43" s="1"/>
  <c r="J158" i="43" s="1"/>
  <c r="L158" i="43" s="1"/>
  <c r="N158" i="43" s="1"/>
  <c r="P158" i="43" s="1"/>
  <c r="R158" i="43" s="1"/>
  <c r="T158" i="43" s="1"/>
  <c r="V158" i="43" s="1"/>
  <c r="B166" i="43" s="1"/>
  <c r="D166" i="43" s="1"/>
  <c r="F166" i="43" s="1"/>
  <c r="H166" i="43" s="1"/>
  <c r="J166" i="43" s="1"/>
  <c r="L166" i="43" s="1"/>
  <c r="N166" i="43" s="1"/>
  <c r="P166" i="43" s="1"/>
  <c r="R166" i="43" s="1"/>
  <c r="T166" i="43" s="1"/>
  <c r="V166" i="43" s="1"/>
  <c r="B173" i="43" s="1"/>
  <c r="D173" i="43" s="1"/>
  <c r="F173" i="43" s="1"/>
  <c r="H173" i="43" s="1"/>
  <c r="J173" i="43" s="1"/>
  <c r="L173" i="43" s="1"/>
  <c r="N173" i="43" s="1"/>
  <c r="P173" i="43" s="1"/>
  <c r="R173" i="43" s="1"/>
  <c r="T173" i="43" s="1"/>
  <c r="V173" i="43" s="1"/>
  <c r="B180" i="43" s="1"/>
  <c r="D180" i="43" s="1"/>
  <c r="F180" i="43" s="1"/>
  <c r="H180" i="43" s="1"/>
  <c r="J180" i="43" s="1"/>
  <c r="L180" i="43" s="1"/>
  <c r="N180" i="43" s="1"/>
  <c r="P180" i="43" s="1"/>
  <c r="R180" i="43" s="1"/>
  <c r="T180" i="43" s="1"/>
  <c r="V180" i="43" s="1"/>
  <c r="B187" i="43" s="1"/>
  <c r="D187" i="43" s="1"/>
  <c r="F187" i="43" s="1"/>
  <c r="H187" i="43" s="1"/>
  <c r="J187" i="43" s="1"/>
  <c r="L187" i="43" s="1"/>
  <c r="N187" i="43" s="1"/>
  <c r="P187" i="43" s="1"/>
  <c r="R187" i="43" s="1"/>
  <c r="T187" i="43" s="1"/>
  <c r="V187" i="43" s="1"/>
  <c r="V109" i="43"/>
  <c r="D101" i="43"/>
  <c r="V100" i="43"/>
  <c r="V92" i="43"/>
  <c r="V66" i="43"/>
  <c r="V58" i="43"/>
  <c r="V49" i="43"/>
  <c r="V37" i="43"/>
  <c r="V28" i="43"/>
  <c r="V19" i="43"/>
  <c r="U10" i="43"/>
  <c r="C8" i="43"/>
  <c r="E8" i="43" s="1"/>
  <c r="G8" i="43" s="1"/>
  <c r="I8" i="43" s="1"/>
  <c r="K8" i="43" s="1"/>
  <c r="M8" i="43" s="1"/>
  <c r="O8" i="43" s="1"/>
  <c r="Q8" i="43" s="1"/>
  <c r="S8" i="43" s="1"/>
  <c r="B17" i="43" s="1"/>
  <c r="D17" i="43" s="1"/>
  <c r="F17" i="43" s="1"/>
  <c r="H17" i="43" s="1"/>
  <c r="J17" i="43" s="1"/>
  <c r="L17" i="43" s="1"/>
  <c r="N17" i="43" s="1"/>
  <c r="P17" i="43" s="1"/>
  <c r="R17" i="43" s="1"/>
  <c r="T17" i="43" s="1"/>
  <c r="B26" i="43" s="1"/>
  <c r="D26" i="43" s="1"/>
  <c r="F26" i="43" s="1"/>
  <c r="H26" i="43" s="1"/>
  <c r="J26" i="43" s="1"/>
  <c r="L26" i="43" s="1"/>
  <c r="N26" i="43" s="1"/>
  <c r="P26" i="43" s="1"/>
  <c r="R26" i="43" s="1"/>
  <c r="T26" i="43" s="1"/>
  <c r="B35" i="43" s="1"/>
  <c r="D35" i="43" s="1"/>
  <c r="F35" i="43" s="1"/>
  <c r="H35" i="43" s="1"/>
  <c r="J35" i="43" s="1"/>
  <c r="L35" i="43" s="1"/>
  <c r="N35" i="43" s="1"/>
  <c r="P35" i="43" s="1"/>
  <c r="R35" i="43" s="1"/>
  <c r="T35" i="43" s="1"/>
  <c r="B43" i="43" s="1"/>
  <c r="D43" i="43" s="1"/>
  <c r="F43" i="43" s="1"/>
  <c r="H43" i="43" s="1"/>
  <c r="J43" i="43" s="1"/>
  <c r="L43" i="43" s="1"/>
  <c r="N43" i="43" s="1"/>
  <c r="P43" i="43" s="1"/>
  <c r="R43" i="43" s="1"/>
  <c r="T43" i="43" s="1"/>
  <c r="B51" i="43" s="1"/>
  <c r="D51" i="43" s="1"/>
  <c r="F51" i="43" s="1"/>
  <c r="H51" i="43" s="1"/>
  <c r="J51" i="43" s="1"/>
  <c r="L51" i="43" s="1"/>
  <c r="N51" i="43" s="1"/>
  <c r="P51" i="43" s="1"/>
  <c r="R51" i="43" s="1"/>
  <c r="T51" i="43" s="1"/>
  <c r="V51" i="43" s="1"/>
  <c r="B59" i="43" s="1"/>
  <c r="D59" i="43" s="1"/>
  <c r="F59" i="43" s="1"/>
  <c r="H59" i="43" s="1"/>
  <c r="J59" i="43" s="1"/>
  <c r="L59" i="43" s="1"/>
  <c r="N59" i="43" s="1"/>
  <c r="P59" i="43" s="1"/>
  <c r="R59" i="43" s="1"/>
  <c r="T59" i="43" s="1"/>
  <c r="B67" i="43" s="1"/>
  <c r="D67" i="43" s="1"/>
  <c r="F67" i="43" s="1"/>
  <c r="H67" i="43" s="1"/>
  <c r="J67" i="43" s="1"/>
  <c r="L67" i="43" s="1"/>
  <c r="N67" i="43" s="1"/>
  <c r="P67" i="43" s="1"/>
  <c r="R67" i="43" s="1"/>
  <c r="T67" i="43" s="1"/>
  <c r="B75" i="43" s="1"/>
  <c r="D75" i="43" s="1"/>
  <c r="F75" i="43" s="1"/>
  <c r="H75" i="43" s="1"/>
  <c r="J75" i="43" s="1"/>
  <c r="L75" i="43" s="1"/>
  <c r="N75" i="43" s="1"/>
  <c r="P75" i="43" s="1"/>
  <c r="R75" i="43" s="1"/>
  <c r="T75" i="43" s="1"/>
  <c r="B83" i="43" s="1"/>
  <c r="D83" i="43" s="1"/>
  <c r="F83" i="43" s="1"/>
  <c r="H83" i="43" s="1"/>
  <c r="J83" i="43" s="1"/>
  <c r="L83" i="43" s="1"/>
  <c r="N83" i="43" s="1"/>
  <c r="P83" i="43" s="1"/>
  <c r="R83" i="43" s="1"/>
  <c r="T83" i="43" s="1"/>
  <c r="B91" i="43" s="1"/>
  <c r="D91" i="43" s="1"/>
  <c r="F91" i="43" s="1"/>
  <c r="H91" i="43" s="1"/>
  <c r="J91" i="43" s="1"/>
  <c r="L91" i="43" s="1"/>
  <c r="N91" i="43" s="1"/>
  <c r="P91" i="43" s="1"/>
  <c r="R91" i="43" s="1"/>
  <c r="T91" i="43" s="1"/>
  <c r="B99" i="43" s="1"/>
  <c r="D99" i="43" s="1"/>
  <c r="F99" i="43" s="1"/>
  <c r="H99" i="43" s="1"/>
  <c r="J99" i="43" s="1"/>
  <c r="L99" i="43" s="1"/>
  <c r="N99" i="43" s="1"/>
  <c r="P99" i="43" s="1"/>
  <c r="R99" i="43" s="1"/>
  <c r="T99" i="43" s="1"/>
  <c r="B108" i="43" s="1"/>
  <c r="D108" i="43" s="1"/>
  <c r="F108" i="43" s="1"/>
  <c r="H108" i="43" s="1"/>
  <c r="J108" i="43" s="1"/>
  <c r="L108" i="43" s="1"/>
  <c r="N108" i="43" s="1"/>
  <c r="P108" i="43" s="1"/>
  <c r="R108" i="43" s="1"/>
  <c r="T108" i="43" s="1"/>
  <c r="B115" i="43" s="1"/>
  <c r="D115" i="43" s="1"/>
  <c r="F115" i="43" s="1"/>
  <c r="H115" i="43" s="1"/>
  <c r="J115" i="43" s="1"/>
  <c r="L115" i="43" s="1"/>
  <c r="N115" i="43" s="1"/>
  <c r="P115" i="43" s="1"/>
  <c r="R115" i="43" s="1"/>
  <c r="T115" i="43" s="1"/>
  <c r="Q6" i="43"/>
  <c r="N6" i="43"/>
  <c r="AQ185" i="42" l="1"/>
  <c r="AQ177" i="42"/>
  <c r="AQ172" i="42"/>
  <c r="AQ164" i="42"/>
  <c r="AQ156" i="42"/>
  <c r="AQ147" i="42"/>
  <c r="AQ138" i="42"/>
  <c r="AQ129" i="42"/>
  <c r="AQ121" i="42"/>
  <c r="AQ114" i="42"/>
  <c r="AQ105" i="42"/>
  <c r="AQ97" i="42"/>
  <c r="AQ89" i="42"/>
  <c r="AQ81" i="42"/>
  <c r="AQ73" i="42"/>
  <c r="AQ65" i="42"/>
  <c r="AQ57" i="42"/>
  <c r="AQ49" i="42"/>
  <c r="AQ41" i="42"/>
  <c r="AQ32" i="42"/>
  <c r="AQ22" i="42"/>
  <c r="AQ12" i="42"/>
  <c r="AP185" i="42"/>
  <c r="AP177" i="42"/>
  <c r="AP172" i="42"/>
  <c r="AP164" i="42"/>
  <c r="AP156" i="42"/>
  <c r="AP147" i="42"/>
  <c r="AP138" i="42"/>
  <c r="AP129" i="42"/>
  <c r="AP121" i="42"/>
  <c r="AP114" i="42"/>
  <c r="AP105" i="42"/>
  <c r="AP97" i="42"/>
  <c r="AP89" i="42"/>
  <c r="AP81" i="42"/>
  <c r="AP73" i="42"/>
  <c r="AP65" i="42"/>
  <c r="AP57" i="42"/>
  <c r="AP49" i="42"/>
  <c r="AP41" i="42"/>
  <c r="AP32" i="42"/>
  <c r="AP22" i="42"/>
  <c r="AP12" i="42"/>
  <c r="AO185" i="42"/>
  <c r="AO177" i="42"/>
  <c r="AO172" i="42"/>
  <c r="AO164" i="42"/>
  <c r="AO156" i="42"/>
  <c r="AO147" i="42"/>
  <c r="AO138" i="42"/>
  <c r="AO129" i="42"/>
  <c r="AO121" i="42"/>
  <c r="AO114" i="42"/>
  <c r="AO105" i="42"/>
  <c r="AO89" i="42"/>
  <c r="AO81" i="42"/>
  <c r="AO73" i="42"/>
  <c r="AO65" i="42"/>
  <c r="AO57" i="42"/>
  <c r="AO49" i="42"/>
  <c r="AO41" i="42"/>
  <c r="AO32" i="42"/>
  <c r="AO22" i="42"/>
  <c r="AO12" i="42"/>
  <c r="AN185" i="42"/>
  <c r="AN177" i="42"/>
  <c r="AN172" i="42"/>
  <c r="AN164" i="42"/>
  <c r="AN156" i="42"/>
  <c r="AN147" i="42"/>
  <c r="AN138" i="42"/>
  <c r="AN129" i="42"/>
  <c r="AN121" i="42"/>
  <c r="AN114" i="42"/>
  <c r="AN105" i="42"/>
  <c r="AN97" i="42"/>
  <c r="AN89" i="42"/>
  <c r="AN81" i="42"/>
  <c r="AN73" i="42"/>
  <c r="AN65" i="42"/>
  <c r="AN57" i="42"/>
  <c r="AN41" i="42"/>
  <c r="AN32" i="42"/>
  <c r="AN22" i="42"/>
  <c r="AN12" i="42"/>
  <c r="AL185" i="42"/>
  <c r="AL177" i="42"/>
  <c r="AL172" i="42"/>
  <c r="AL164" i="42"/>
  <c r="AL156" i="42"/>
  <c r="AL147" i="42"/>
  <c r="AL138" i="42"/>
  <c r="AL129" i="42"/>
  <c r="AL121" i="42"/>
  <c r="AL114" i="42"/>
  <c r="AL105" i="42"/>
  <c r="AL97" i="42"/>
  <c r="AL89" i="42"/>
  <c r="AL81" i="42"/>
  <c r="AL73" i="42"/>
  <c r="AL65" i="42"/>
  <c r="AL57" i="42"/>
  <c r="AL49" i="42"/>
  <c r="AL41" i="42"/>
  <c r="AL32" i="42"/>
  <c r="AL22" i="42"/>
  <c r="AL12" i="42"/>
  <c r="AK185" i="42"/>
  <c r="AK177" i="42"/>
  <c r="AK172" i="42"/>
  <c r="AK164" i="42"/>
  <c r="AK156" i="42"/>
  <c r="AK147" i="42"/>
  <c r="AK138" i="42"/>
  <c r="AK129" i="42"/>
  <c r="AK121" i="42"/>
  <c r="AK114" i="42"/>
  <c r="AK105" i="42"/>
  <c r="AK97" i="42"/>
  <c r="AK89" i="42"/>
  <c r="AK81" i="42"/>
  <c r="AK73" i="42"/>
  <c r="AK65" i="42"/>
  <c r="AK57" i="42"/>
  <c r="AK49" i="42"/>
  <c r="AK41" i="42"/>
  <c r="AK32" i="42"/>
  <c r="AK22" i="42"/>
  <c r="AK12" i="42"/>
  <c r="AJ185" i="42"/>
  <c r="AJ177" i="42"/>
  <c r="AJ172" i="42"/>
  <c r="AJ164" i="42"/>
  <c r="AJ156" i="42"/>
  <c r="AJ147" i="42"/>
  <c r="AJ138" i="42"/>
  <c r="AJ129" i="42"/>
  <c r="AJ121" i="42"/>
  <c r="AJ114" i="42"/>
  <c r="AJ105" i="42"/>
  <c r="AJ89" i="42"/>
  <c r="AJ81" i="42"/>
  <c r="AJ73" i="42"/>
  <c r="AJ65" i="42"/>
  <c r="AJ57" i="42"/>
  <c r="AJ49" i="42"/>
  <c r="AJ41" i="42"/>
  <c r="AJ32" i="42"/>
  <c r="AJ22" i="42"/>
  <c r="AJ12" i="42"/>
  <c r="AI185" i="42"/>
  <c r="AI177" i="42"/>
  <c r="AI172" i="42"/>
  <c r="AI164" i="42"/>
  <c r="AI156" i="42"/>
  <c r="AI147" i="42"/>
  <c r="AI138" i="42"/>
  <c r="AI129" i="42"/>
  <c r="AI121" i="42"/>
  <c r="AI114" i="42"/>
  <c r="AI105" i="42"/>
  <c r="AI97" i="42"/>
  <c r="AI89" i="42"/>
  <c r="AI81" i="42"/>
  <c r="AI73" i="42"/>
  <c r="AI65" i="42"/>
  <c r="AI57" i="42"/>
  <c r="AI41" i="42"/>
  <c r="AI32" i="42"/>
  <c r="AI22" i="42"/>
  <c r="AI12" i="42"/>
  <c r="AG185" i="42"/>
  <c r="AF185" i="42"/>
  <c r="AE185" i="42"/>
  <c r="AD185" i="42"/>
  <c r="AG177" i="42"/>
  <c r="AF177" i="42"/>
  <c r="AE177" i="42"/>
  <c r="AD177" i="42"/>
  <c r="AG172" i="42"/>
  <c r="AF172" i="42"/>
  <c r="AE172" i="42"/>
  <c r="AD172" i="42"/>
  <c r="AG164" i="42"/>
  <c r="AF164" i="42"/>
  <c r="AE164" i="42"/>
  <c r="AD164" i="42"/>
  <c r="AG156" i="42"/>
  <c r="AF156" i="42"/>
  <c r="AE156" i="42"/>
  <c r="AD156" i="42"/>
  <c r="AG147" i="42"/>
  <c r="AF147" i="42"/>
  <c r="AE147" i="42"/>
  <c r="AD147" i="42"/>
  <c r="AG138" i="42"/>
  <c r="AF138" i="42"/>
  <c r="AE138" i="42"/>
  <c r="AD138" i="42"/>
  <c r="AG129" i="42"/>
  <c r="AF129" i="42"/>
  <c r="AE129" i="42"/>
  <c r="AD129" i="42"/>
  <c r="AG121" i="42"/>
  <c r="AF121" i="42"/>
  <c r="AE121" i="42"/>
  <c r="AD121" i="42"/>
  <c r="AG114" i="42"/>
  <c r="AF114" i="42"/>
  <c r="AE114" i="42"/>
  <c r="AD114" i="42"/>
  <c r="AG105" i="42"/>
  <c r="AF105" i="42"/>
  <c r="AE105" i="42"/>
  <c r="AD105" i="42"/>
  <c r="AG97" i="42"/>
  <c r="AF97" i="42"/>
  <c r="AE97" i="42"/>
  <c r="AD97" i="42"/>
  <c r="AG89" i="42"/>
  <c r="AF89" i="42"/>
  <c r="AE89" i="42"/>
  <c r="AD89" i="42"/>
  <c r="AG81" i="42"/>
  <c r="AF81" i="42"/>
  <c r="AE81" i="42"/>
  <c r="AD81" i="42"/>
  <c r="AG73" i="42"/>
  <c r="AF73" i="42"/>
  <c r="AE73" i="42"/>
  <c r="AD73" i="42"/>
  <c r="AG65" i="42"/>
  <c r="AF65" i="42"/>
  <c r="AE65" i="42"/>
  <c r="AD65" i="42"/>
  <c r="AG57" i="42"/>
  <c r="AF57" i="42"/>
  <c r="AE57" i="42"/>
  <c r="AD57" i="42"/>
  <c r="AG49" i="42"/>
  <c r="AF49" i="42"/>
  <c r="AE49" i="42"/>
  <c r="AG41" i="42"/>
  <c r="AF41" i="42"/>
  <c r="AE41" i="42"/>
  <c r="AD41" i="42"/>
  <c r="AG32" i="42"/>
  <c r="AF32" i="42"/>
  <c r="AE32" i="42"/>
  <c r="AD32" i="42"/>
  <c r="AG12" i="42"/>
  <c r="AF12" i="42"/>
  <c r="AE12" i="42"/>
  <c r="AD12" i="42"/>
  <c r="AG22" i="42"/>
  <c r="AF22" i="42"/>
  <c r="AE22" i="42"/>
  <c r="AD22" i="42"/>
  <c r="AO97" i="42"/>
  <c r="AJ97" i="42"/>
  <c r="AA185" i="42"/>
  <c r="Z185" i="42"/>
  <c r="Y185" i="42"/>
  <c r="X185" i="42"/>
  <c r="AA177" i="42"/>
  <c r="Z177" i="42"/>
  <c r="Y177" i="42"/>
  <c r="X177" i="42"/>
  <c r="AA172" i="42"/>
  <c r="Z172" i="42"/>
  <c r="Y172" i="42"/>
  <c r="X172" i="42"/>
  <c r="AA164" i="42"/>
  <c r="Z164" i="42"/>
  <c r="Y164" i="42"/>
  <c r="X164" i="42"/>
  <c r="AA156" i="42"/>
  <c r="Z156" i="42"/>
  <c r="Y156" i="42"/>
  <c r="X156" i="42"/>
  <c r="AA147" i="42"/>
  <c r="Z147" i="42"/>
  <c r="Y147" i="42"/>
  <c r="AA138" i="42"/>
  <c r="Z138" i="42"/>
  <c r="Y138" i="42"/>
  <c r="X138" i="42"/>
  <c r="AA129" i="42"/>
  <c r="Z129" i="42"/>
  <c r="Y129" i="42"/>
  <c r="X129" i="42"/>
  <c r="AA121" i="42"/>
  <c r="Z121" i="42"/>
  <c r="Y121" i="42"/>
  <c r="X121" i="42"/>
  <c r="AA114" i="42"/>
  <c r="Z114" i="42"/>
  <c r="Y114" i="42"/>
  <c r="X114" i="42"/>
  <c r="AA105" i="42"/>
  <c r="Z105" i="42"/>
  <c r="Y105" i="42"/>
  <c r="X105" i="42"/>
  <c r="AA97" i="42"/>
  <c r="Z97" i="42"/>
  <c r="Y97" i="42"/>
  <c r="AA89" i="42"/>
  <c r="Z89" i="42"/>
  <c r="Y89" i="42"/>
  <c r="X89" i="42"/>
  <c r="AA81" i="42"/>
  <c r="Z81" i="42"/>
  <c r="Y81" i="42"/>
  <c r="AA73" i="42"/>
  <c r="Z73" i="42"/>
  <c r="Y73" i="42"/>
  <c r="X73" i="42"/>
  <c r="AA65" i="42"/>
  <c r="Z65" i="42"/>
  <c r="Y65" i="42"/>
  <c r="X65" i="42"/>
  <c r="AA57" i="42"/>
  <c r="Z57" i="42"/>
  <c r="Y57" i="42"/>
  <c r="X57" i="42"/>
  <c r="X32" i="42"/>
  <c r="AA22" i="42"/>
  <c r="AA12" i="42"/>
  <c r="Y12" i="42"/>
  <c r="X12" i="42"/>
  <c r="X22" i="42"/>
  <c r="X41" i="42"/>
  <c r="X97" i="42"/>
  <c r="X147" i="42"/>
  <c r="X81" i="42"/>
  <c r="AA32" i="42"/>
  <c r="Z32" i="42"/>
  <c r="Y32" i="42"/>
  <c r="AA49" i="42"/>
  <c r="Z49" i="42"/>
  <c r="Z41" i="42"/>
  <c r="Z22" i="42"/>
  <c r="Z12" i="42"/>
  <c r="Y49" i="42"/>
  <c r="Y22" i="42"/>
  <c r="AA41" i="42"/>
  <c r="Y41" i="42"/>
  <c r="AG188" i="42" l="1"/>
  <c r="AL188" i="42"/>
  <c r="AO188" i="42"/>
  <c r="Z188" i="42"/>
  <c r="AA188" i="42"/>
  <c r="Y188" i="42"/>
  <c r="AE188" i="42"/>
  <c r="AK188" i="42"/>
  <c r="AQ188" i="42"/>
  <c r="AP188" i="42"/>
  <c r="AJ188" i="42"/>
  <c r="AF188" i="42"/>
  <c r="J6" i="42" l="1"/>
  <c r="V58" i="42" l="1"/>
  <c r="G6" i="36" l="1"/>
  <c r="F22" i="33"/>
  <c r="E22" i="33"/>
  <c r="F21" i="33"/>
  <c r="F20" i="33"/>
  <c r="F19" i="33"/>
  <c r="E19" i="33"/>
  <c r="D19" i="33"/>
  <c r="F17" i="33"/>
  <c r="F10" i="33"/>
  <c r="E10" i="33"/>
  <c r="F9" i="33"/>
  <c r="M8" i="33"/>
  <c r="F8" i="33"/>
  <c r="F7" i="33"/>
  <c r="E7" i="33"/>
  <c r="D7" i="33"/>
  <c r="F5" i="33"/>
  <c r="L137" i="24"/>
  <c r="G137" i="24"/>
  <c r="L136" i="24"/>
  <c r="G136" i="24"/>
  <c r="L135" i="24"/>
  <c r="G135" i="24"/>
  <c r="L134" i="24"/>
  <c r="G134" i="24"/>
  <c r="L133" i="24"/>
  <c r="G133" i="24"/>
  <c r="L132" i="24"/>
  <c r="G132" i="24"/>
  <c r="L131" i="24"/>
  <c r="G131" i="24"/>
  <c r="L130" i="24"/>
  <c r="G130" i="24"/>
  <c r="L129" i="24"/>
  <c r="G129" i="24"/>
  <c r="L128" i="24"/>
  <c r="G128" i="24"/>
  <c r="L127" i="24"/>
  <c r="G127" i="24"/>
  <c r="L126" i="24"/>
  <c r="G126" i="24"/>
  <c r="L125" i="24"/>
  <c r="G125" i="24"/>
  <c r="L124" i="24"/>
  <c r="G124" i="24"/>
  <c r="L123" i="24"/>
  <c r="G123" i="24"/>
  <c r="L122" i="24"/>
  <c r="G122" i="24"/>
  <c r="L121" i="24"/>
  <c r="G121" i="24"/>
  <c r="L120" i="24"/>
  <c r="G120" i="24"/>
  <c r="L119" i="24"/>
  <c r="G119" i="24"/>
  <c r="L118" i="24"/>
  <c r="G118" i="24"/>
  <c r="B123" i="42"/>
  <c r="D123" i="42" s="1"/>
  <c r="F123" i="42" s="1"/>
  <c r="H123" i="42" s="1"/>
  <c r="J123" i="42" s="1"/>
  <c r="L123" i="42" s="1"/>
  <c r="N123" i="42" s="1"/>
  <c r="P123" i="42" s="1"/>
  <c r="R123" i="42" s="1"/>
  <c r="T123" i="42" s="1"/>
  <c r="V123" i="42" s="1"/>
  <c r="B132" i="42" s="1"/>
  <c r="D132" i="42" s="1"/>
  <c r="F132" i="42" s="1"/>
  <c r="H132" i="42" s="1"/>
  <c r="J132" i="42" s="1"/>
  <c r="L132" i="42" s="1"/>
  <c r="N132" i="42" s="1"/>
  <c r="P132" i="42" s="1"/>
  <c r="R132" i="42" s="1"/>
  <c r="T132" i="42" s="1"/>
  <c r="V132" i="42" s="1"/>
  <c r="B141" i="42" s="1"/>
  <c r="D141" i="42" s="1"/>
  <c r="F141" i="42" s="1"/>
  <c r="H141" i="42" s="1"/>
  <c r="J141" i="42" s="1"/>
  <c r="L141" i="42" s="1"/>
  <c r="N141" i="42" s="1"/>
  <c r="P141" i="42" s="1"/>
  <c r="R141" i="42" s="1"/>
  <c r="T141" i="42" s="1"/>
  <c r="V141" i="42" s="1"/>
  <c r="V109" i="42"/>
  <c r="D101" i="42"/>
  <c r="V100" i="42"/>
  <c r="V92" i="42"/>
  <c r="V66" i="42"/>
  <c r="V49" i="42"/>
  <c r="V37" i="42"/>
  <c r="V28" i="42"/>
  <c r="V19" i="42"/>
  <c r="U10" i="42"/>
  <c r="C8" i="42"/>
  <c r="E8" i="42" s="1"/>
  <c r="G8" i="42" s="1"/>
  <c r="I8" i="42" s="1"/>
  <c r="K8" i="42" s="1"/>
  <c r="M8" i="42" s="1"/>
  <c r="O8" i="42" s="1"/>
  <c r="Q8" i="42" s="1"/>
  <c r="S8" i="42" s="1"/>
  <c r="B17" i="42" s="1"/>
  <c r="D17" i="42" s="1"/>
  <c r="F17" i="42" s="1"/>
  <c r="H17" i="42" s="1"/>
  <c r="J17" i="42" s="1"/>
  <c r="L17" i="42" s="1"/>
  <c r="N17" i="42" s="1"/>
  <c r="P17" i="42" s="1"/>
  <c r="R17" i="42" s="1"/>
  <c r="T17" i="42" s="1"/>
  <c r="B26" i="42" s="1"/>
  <c r="D26" i="42" s="1"/>
  <c r="F26" i="42" s="1"/>
  <c r="H26" i="42" s="1"/>
  <c r="J26" i="42" s="1"/>
  <c r="L26" i="42" s="1"/>
  <c r="N26" i="42" s="1"/>
  <c r="P26" i="42" s="1"/>
  <c r="R26" i="42" s="1"/>
  <c r="T26" i="42" s="1"/>
  <c r="B35" i="42" s="1"/>
  <c r="D35" i="42" s="1"/>
  <c r="F35" i="42" s="1"/>
  <c r="H35" i="42" s="1"/>
  <c r="J35" i="42" s="1"/>
  <c r="L35" i="42" s="1"/>
  <c r="N35" i="42" s="1"/>
  <c r="P35" i="42" s="1"/>
  <c r="R35" i="42" s="1"/>
  <c r="T35" i="42" s="1"/>
  <c r="B43" i="42" s="1"/>
  <c r="D43" i="42" s="1"/>
  <c r="F43" i="42" s="1"/>
  <c r="H43" i="42" s="1"/>
  <c r="J43" i="42" s="1"/>
  <c r="L43" i="42" s="1"/>
  <c r="N43" i="42" s="1"/>
  <c r="P43" i="42" s="1"/>
  <c r="R43" i="42" s="1"/>
  <c r="T43" i="42" s="1"/>
  <c r="B51" i="42" s="1"/>
  <c r="D51" i="42" s="1"/>
  <c r="F51" i="42" s="1"/>
  <c r="H51" i="42" s="1"/>
  <c r="J51" i="42" s="1"/>
  <c r="L51" i="42" s="1"/>
  <c r="N51" i="42" s="1"/>
  <c r="P51" i="42" s="1"/>
  <c r="R51" i="42" s="1"/>
  <c r="T51" i="42" s="1"/>
  <c r="Q6" i="42"/>
  <c r="N6" i="42"/>
  <c r="N424" i="31"/>
  <c r="M424" i="31"/>
  <c r="L424" i="31"/>
  <c r="K424" i="31"/>
  <c r="J424" i="31"/>
  <c r="I424" i="31"/>
  <c r="H424" i="31"/>
  <c r="G424" i="31"/>
  <c r="N422" i="31"/>
  <c r="X421" i="31"/>
  <c r="X420" i="31"/>
  <c r="AF419" i="31"/>
  <c r="AE419" i="31"/>
  <c r="AE418" i="31"/>
  <c r="X416" i="31"/>
  <c r="X415" i="31"/>
  <c r="Z414" i="31"/>
  <c r="Y414" i="31"/>
  <c r="X414" i="31"/>
  <c r="A414" i="31"/>
  <c r="AE413" i="31"/>
  <c r="W413" i="31"/>
  <c r="K411" i="31"/>
  <c r="I411" i="31"/>
  <c r="G411" i="31"/>
  <c r="E411" i="31"/>
  <c r="C411" i="31"/>
  <c r="X408" i="31"/>
  <c r="X407" i="31"/>
  <c r="Z406" i="31"/>
  <c r="Y406" i="31"/>
  <c r="X406" i="31"/>
  <c r="A406" i="31"/>
  <c r="AE405" i="31"/>
  <c r="W405" i="31"/>
  <c r="U403" i="31"/>
  <c r="S403" i="31"/>
  <c r="Q403" i="31"/>
  <c r="O403" i="31"/>
  <c r="M403" i="31"/>
  <c r="K403" i="31"/>
  <c r="I403" i="31"/>
  <c r="G403" i="31"/>
  <c r="E403" i="31"/>
  <c r="C403" i="31"/>
  <c r="X399" i="31"/>
  <c r="X398" i="31"/>
  <c r="Z397" i="31"/>
  <c r="Y397" i="31"/>
  <c r="X397" i="31"/>
  <c r="A397" i="31"/>
  <c r="AE396" i="31"/>
  <c r="W396" i="31"/>
  <c r="U394" i="31"/>
  <c r="S394" i="31"/>
  <c r="Q394" i="31"/>
  <c r="O394" i="31"/>
  <c r="M394" i="31"/>
  <c r="K394" i="31"/>
  <c r="I394" i="31"/>
  <c r="G394" i="31"/>
  <c r="E394" i="31"/>
  <c r="C394" i="31"/>
  <c r="X391" i="31"/>
  <c r="X390" i="31"/>
  <c r="Z389" i="31"/>
  <c r="Y389" i="31"/>
  <c r="X389" i="31"/>
  <c r="A389" i="31"/>
  <c r="AE388" i="31"/>
  <c r="W388" i="31"/>
  <c r="U386" i="31"/>
  <c r="S386" i="31"/>
  <c r="Q386" i="31"/>
  <c r="O386" i="31"/>
  <c r="M386" i="31"/>
  <c r="K386" i="31"/>
  <c r="I386" i="31"/>
  <c r="G386" i="31"/>
  <c r="E386" i="31"/>
  <c r="C386" i="31"/>
  <c r="X382" i="31"/>
  <c r="X381" i="31"/>
  <c r="Z380" i="31"/>
  <c r="Y380" i="31"/>
  <c r="X380" i="31"/>
  <c r="A380" i="31"/>
  <c r="AE379" i="31"/>
  <c r="W379" i="31"/>
  <c r="U377" i="31"/>
  <c r="S377" i="31"/>
  <c r="Q377" i="31"/>
  <c r="O377" i="31"/>
  <c r="M377" i="31"/>
  <c r="K377" i="31"/>
  <c r="I377" i="31"/>
  <c r="G377" i="31"/>
  <c r="E377" i="31"/>
  <c r="C377" i="31"/>
  <c r="X374" i="31"/>
  <c r="X373" i="31"/>
  <c r="Z372" i="31"/>
  <c r="Y372" i="31"/>
  <c r="X372" i="31"/>
  <c r="A372" i="31"/>
  <c r="AE371" i="31"/>
  <c r="W371" i="31"/>
  <c r="U369" i="31"/>
  <c r="S369" i="31"/>
  <c r="Q369" i="31"/>
  <c r="O369" i="31"/>
  <c r="M369" i="31"/>
  <c r="K369" i="31"/>
  <c r="I369" i="31"/>
  <c r="G369" i="31"/>
  <c r="E369" i="31"/>
  <c r="C369" i="31"/>
  <c r="X365" i="31"/>
  <c r="X364" i="31"/>
  <c r="Z363" i="31"/>
  <c r="Y363" i="31"/>
  <c r="X363" i="31"/>
  <c r="A363" i="31"/>
  <c r="AE362" i="31"/>
  <c r="W362" i="31"/>
  <c r="U360" i="31"/>
  <c r="S360" i="31"/>
  <c r="Q360" i="31"/>
  <c r="O360" i="31"/>
  <c r="M360" i="31"/>
  <c r="K360" i="31"/>
  <c r="I360" i="31"/>
  <c r="G360" i="31"/>
  <c r="E360" i="31"/>
  <c r="C360" i="31"/>
  <c r="X357" i="31"/>
  <c r="X356" i="31"/>
  <c r="Z355" i="31"/>
  <c r="Y355" i="31"/>
  <c r="X355" i="31"/>
  <c r="A355" i="31"/>
  <c r="AE354" i="31"/>
  <c r="W354" i="31"/>
  <c r="U352" i="31"/>
  <c r="S352" i="31"/>
  <c r="Q352" i="31"/>
  <c r="O352" i="31"/>
  <c r="M352" i="31"/>
  <c r="K352" i="31"/>
  <c r="I352" i="31"/>
  <c r="G352" i="31"/>
  <c r="E352" i="31"/>
  <c r="C352" i="31"/>
  <c r="X349" i="31"/>
  <c r="X348" i="31"/>
  <c r="Z347" i="31"/>
  <c r="Y347" i="31"/>
  <c r="X347" i="31"/>
  <c r="A347" i="31"/>
  <c r="AE346" i="31"/>
  <c r="W346" i="31"/>
  <c r="U344" i="31"/>
  <c r="S344" i="31"/>
  <c r="Q344" i="31"/>
  <c r="O344" i="31"/>
  <c r="M344" i="31"/>
  <c r="K344" i="31"/>
  <c r="I344" i="31"/>
  <c r="G344" i="31"/>
  <c r="E344" i="31"/>
  <c r="C344" i="31"/>
  <c r="X341" i="31"/>
  <c r="X340" i="31"/>
  <c r="Z339" i="31"/>
  <c r="Y339" i="31"/>
  <c r="X339" i="31"/>
  <c r="A339" i="31"/>
  <c r="AE338" i="31"/>
  <c r="W338" i="31"/>
  <c r="U336" i="31"/>
  <c r="S336" i="31"/>
  <c r="Q336" i="31"/>
  <c r="O336" i="31"/>
  <c r="M336" i="31"/>
  <c r="K336" i="31"/>
  <c r="I336" i="31"/>
  <c r="G336" i="31"/>
  <c r="E336" i="31"/>
  <c r="C336" i="31"/>
  <c r="X332" i="31"/>
  <c r="X331" i="31"/>
  <c r="Z330" i="31"/>
  <c r="Y330" i="31"/>
  <c r="X330" i="31"/>
  <c r="A330" i="31"/>
  <c r="AE329" i="31"/>
  <c r="W329" i="31"/>
  <c r="U327" i="31"/>
  <c r="S327" i="31"/>
  <c r="Q327" i="31"/>
  <c r="O327" i="31"/>
  <c r="M327" i="31"/>
  <c r="K327" i="31"/>
  <c r="I327" i="31"/>
  <c r="G327" i="31"/>
  <c r="E327" i="31"/>
  <c r="C327" i="31"/>
  <c r="X324" i="31"/>
  <c r="X323" i="31"/>
  <c r="Z322" i="31"/>
  <c r="Y322" i="31"/>
  <c r="X322" i="31"/>
  <c r="A322" i="31"/>
  <c r="AE321" i="31"/>
  <c r="W321" i="31"/>
  <c r="U319" i="31"/>
  <c r="S319" i="31"/>
  <c r="Q319" i="31"/>
  <c r="O319" i="31"/>
  <c r="M319" i="31"/>
  <c r="K319" i="31"/>
  <c r="I319" i="31"/>
  <c r="G319" i="31"/>
  <c r="E319" i="31"/>
  <c r="C319" i="31"/>
  <c r="X316" i="31"/>
  <c r="X315" i="31"/>
  <c r="Z314" i="31"/>
  <c r="Y314" i="31"/>
  <c r="X314" i="31"/>
  <c r="A314" i="31"/>
  <c r="AE313" i="31"/>
  <c r="W313" i="31"/>
  <c r="U311" i="31"/>
  <c r="S311" i="31"/>
  <c r="Q311" i="31"/>
  <c r="O311" i="31"/>
  <c r="M311" i="31"/>
  <c r="K311" i="31"/>
  <c r="I311" i="31"/>
  <c r="G311" i="31"/>
  <c r="E311" i="31"/>
  <c r="C311" i="31"/>
  <c r="X308" i="31"/>
  <c r="X307" i="31"/>
  <c r="Z306" i="31"/>
  <c r="Y306" i="31"/>
  <c r="X306" i="31"/>
  <c r="A306" i="31"/>
  <c r="AE305" i="31"/>
  <c r="W305" i="31"/>
  <c r="U303" i="31"/>
  <c r="S303" i="31"/>
  <c r="Q303" i="31"/>
  <c r="O303" i="31"/>
  <c r="M303" i="31"/>
  <c r="K303" i="31"/>
  <c r="I303" i="31"/>
  <c r="G303" i="31"/>
  <c r="E303" i="31"/>
  <c r="C303" i="31"/>
  <c r="X300" i="31"/>
  <c r="X299" i="31"/>
  <c r="Z298" i="31"/>
  <c r="Y298" i="31"/>
  <c r="X298" i="31"/>
  <c r="A298" i="31"/>
  <c r="AE297" i="31"/>
  <c r="U295" i="31"/>
  <c r="S295" i="31"/>
  <c r="Q295" i="31"/>
  <c r="O295" i="31"/>
  <c r="M295" i="31"/>
  <c r="K295" i="31"/>
  <c r="I295" i="31"/>
  <c r="G295" i="31"/>
  <c r="E295" i="31"/>
  <c r="C295" i="31"/>
  <c r="X292" i="31"/>
  <c r="X291" i="31"/>
  <c r="Z290" i="31"/>
  <c r="Y290" i="31"/>
  <c r="X290" i="31"/>
  <c r="A290" i="31"/>
  <c r="AE289" i="31"/>
  <c r="W289" i="31"/>
  <c r="U287" i="31"/>
  <c r="S287" i="31"/>
  <c r="Q287" i="31"/>
  <c r="O287" i="31"/>
  <c r="M287" i="31"/>
  <c r="K287" i="31"/>
  <c r="I287" i="31"/>
  <c r="G287" i="31"/>
  <c r="E287" i="31"/>
  <c r="C287" i="31"/>
  <c r="X284" i="31"/>
  <c r="X283" i="31"/>
  <c r="Z282" i="31"/>
  <c r="Y282" i="31"/>
  <c r="X282" i="31"/>
  <c r="A282" i="31"/>
  <c r="AE281" i="31"/>
  <c r="W281" i="31"/>
  <c r="U279" i="31"/>
  <c r="S279" i="31"/>
  <c r="Q279" i="31"/>
  <c r="O279" i="31"/>
  <c r="M279" i="31"/>
  <c r="K279" i="31"/>
  <c r="I279" i="31"/>
  <c r="G279" i="31"/>
  <c r="E279" i="31"/>
  <c r="C279" i="31"/>
  <c r="X276" i="31"/>
  <c r="X275" i="31"/>
  <c r="Z274" i="31"/>
  <c r="Y274" i="31"/>
  <c r="X274" i="31"/>
  <c r="A274" i="31"/>
  <c r="AE273" i="31"/>
  <c r="U272" i="31"/>
  <c r="S272" i="31"/>
  <c r="Q272" i="31"/>
  <c r="O272" i="31"/>
  <c r="M272" i="31"/>
  <c r="K272" i="31"/>
  <c r="I272" i="31"/>
  <c r="G272" i="31"/>
  <c r="E272" i="31"/>
  <c r="C272" i="31"/>
  <c r="X268" i="31"/>
  <c r="X267" i="31"/>
  <c r="Z266" i="31"/>
  <c r="Y266" i="31"/>
  <c r="X266" i="31"/>
  <c r="A266" i="31"/>
  <c r="AE265" i="31"/>
  <c r="U264" i="31"/>
  <c r="S264" i="31"/>
  <c r="Q264" i="31"/>
  <c r="O264" i="31"/>
  <c r="M264" i="31"/>
  <c r="K264" i="31"/>
  <c r="I264" i="31"/>
  <c r="G264" i="31"/>
  <c r="E264" i="31"/>
  <c r="C264" i="31"/>
  <c r="X260" i="31"/>
  <c r="X259" i="31"/>
  <c r="Z258" i="31"/>
  <c r="Y258" i="31"/>
  <c r="X258" i="31"/>
  <c r="A258" i="31"/>
  <c r="AE257" i="31"/>
  <c r="U256" i="31"/>
  <c r="S256" i="31"/>
  <c r="Q256" i="31"/>
  <c r="O256" i="31"/>
  <c r="M256" i="31"/>
  <c r="K256" i="31"/>
  <c r="I256" i="31"/>
  <c r="G256" i="31"/>
  <c r="E256" i="31"/>
  <c r="C256" i="31"/>
  <c r="X251" i="31"/>
  <c r="X250" i="31"/>
  <c r="Z249" i="31"/>
  <c r="Y249" i="31"/>
  <c r="X249" i="31"/>
  <c r="A249" i="31"/>
  <c r="AE248" i="31"/>
  <c r="U247" i="31"/>
  <c r="S247" i="31"/>
  <c r="Q247" i="31"/>
  <c r="O247" i="31"/>
  <c r="M247" i="31"/>
  <c r="K247" i="31"/>
  <c r="I247" i="31"/>
  <c r="G247" i="31"/>
  <c r="E247" i="31"/>
  <c r="C247" i="31"/>
  <c r="X243" i="31"/>
  <c r="X242" i="31"/>
  <c r="Z241" i="31"/>
  <c r="Y241" i="31"/>
  <c r="X241" i="31"/>
  <c r="A241" i="31"/>
  <c r="AE240" i="31"/>
  <c r="U239" i="31"/>
  <c r="S239" i="31"/>
  <c r="Q239" i="31"/>
  <c r="O239" i="31"/>
  <c r="M239" i="31"/>
  <c r="K239" i="31"/>
  <c r="I239" i="31"/>
  <c r="G239" i="31"/>
  <c r="E239" i="31"/>
  <c r="C239" i="31"/>
  <c r="X234" i="31"/>
  <c r="X233" i="31"/>
  <c r="Z232" i="31"/>
  <c r="Y232" i="31"/>
  <c r="X232" i="31"/>
  <c r="A232" i="31"/>
  <c r="AE231" i="31"/>
  <c r="U230" i="31"/>
  <c r="S230" i="31"/>
  <c r="Q230" i="31"/>
  <c r="O230" i="31"/>
  <c r="M230" i="31"/>
  <c r="K230" i="31"/>
  <c r="I230" i="31"/>
  <c r="G230" i="31"/>
  <c r="E230" i="31"/>
  <c r="C230" i="31"/>
  <c r="X226" i="31"/>
  <c r="X225" i="31"/>
  <c r="Z224" i="31"/>
  <c r="Y224" i="31"/>
  <c r="X224" i="31"/>
  <c r="A224" i="31"/>
  <c r="AE223" i="31"/>
  <c r="U222" i="31"/>
  <c r="S222" i="31"/>
  <c r="Q222" i="31"/>
  <c r="O222" i="31"/>
  <c r="M222" i="31"/>
  <c r="K222" i="31"/>
  <c r="I222" i="31"/>
  <c r="G222" i="31"/>
  <c r="E222" i="31"/>
  <c r="C222" i="31"/>
  <c r="X218" i="31"/>
  <c r="X217" i="31"/>
  <c r="Z216" i="31"/>
  <c r="Y216" i="31"/>
  <c r="X216" i="31"/>
  <c r="A216" i="31"/>
  <c r="AE215" i="31"/>
  <c r="U214" i="31"/>
  <c r="S214" i="31"/>
  <c r="Q214" i="31"/>
  <c r="O214" i="31"/>
  <c r="M214" i="31"/>
  <c r="K214" i="31"/>
  <c r="I214" i="31"/>
  <c r="G214" i="31"/>
  <c r="E214" i="31"/>
  <c r="C214" i="31"/>
  <c r="X210" i="31"/>
  <c r="X209" i="31"/>
  <c r="Z208" i="31"/>
  <c r="Y208" i="31"/>
  <c r="X208" i="31"/>
  <c r="A208" i="31"/>
  <c r="AE207" i="31"/>
  <c r="U206" i="31"/>
  <c r="S206" i="31"/>
  <c r="Q206" i="31"/>
  <c r="O206" i="31"/>
  <c r="M206" i="31"/>
  <c r="K206" i="31"/>
  <c r="I206" i="31"/>
  <c r="G206" i="31"/>
  <c r="E206" i="31"/>
  <c r="C206" i="31"/>
  <c r="X201" i="31"/>
  <c r="X200" i="31"/>
  <c r="Z199" i="31"/>
  <c r="Y199" i="31"/>
  <c r="X199" i="31"/>
  <c r="A199" i="31"/>
  <c r="AE198" i="31"/>
  <c r="U197" i="31"/>
  <c r="S197" i="31"/>
  <c r="Q197" i="31"/>
  <c r="O197" i="31"/>
  <c r="M197" i="31"/>
  <c r="K197" i="31"/>
  <c r="I197" i="31"/>
  <c r="G197" i="31"/>
  <c r="E197" i="31"/>
  <c r="C197" i="31"/>
  <c r="X193" i="31"/>
  <c r="X192" i="31"/>
  <c r="Z191" i="31"/>
  <c r="Y191" i="31"/>
  <c r="X191" i="31"/>
  <c r="A191" i="31"/>
  <c r="AE190" i="31"/>
  <c r="U189" i="31"/>
  <c r="S189" i="31"/>
  <c r="Q189" i="31"/>
  <c r="O189" i="31"/>
  <c r="M189" i="31"/>
  <c r="K189" i="31"/>
  <c r="I189" i="31"/>
  <c r="G189" i="31"/>
  <c r="E189" i="31"/>
  <c r="C189" i="31"/>
  <c r="X184" i="31"/>
  <c r="X183" i="31"/>
  <c r="Z182" i="31"/>
  <c r="Y182" i="31"/>
  <c r="X182" i="31"/>
  <c r="A182" i="31"/>
  <c r="AE181" i="31"/>
  <c r="U180" i="31"/>
  <c r="S180" i="31"/>
  <c r="Q180" i="31"/>
  <c r="O180" i="31"/>
  <c r="M180" i="31"/>
  <c r="K180" i="31"/>
  <c r="I180" i="31"/>
  <c r="G180" i="31"/>
  <c r="E180" i="31"/>
  <c r="C180" i="31"/>
  <c r="X175" i="31"/>
  <c r="X174" i="31"/>
  <c r="Z173" i="31"/>
  <c r="Y173" i="31"/>
  <c r="X173" i="31"/>
  <c r="A173" i="31"/>
  <c r="AE172" i="31"/>
  <c r="U171" i="31"/>
  <c r="S171" i="31"/>
  <c r="Q171" i="31"/>
  <c r="O171" i="31"/>
  <c r="M171" i="31"/>
  <c r="K171" i="31"/>
  <c r="I171" i="31"/>
  <c r="G171" i="31"/>
  <c r="E171" i="31"/>
  <c r="C171" i="31"/>
  <c r="X166" i="31"/>
  <c r="X165" i="31"/>
  <c r="Z164" i="31"/>
  <c r="Y164" i="31"/>
  <c r="X164" i="31"/>
  <c r="A164" i="31"/>
  <c r="AE163" i="31"/>
  <c r="U162" i="31"/>
  <c r="S162" i="31"/>
  <c r="Q162" i="31"/>
  <c r="O162" i="31"/>
  <c r="M162" i="31"/>
  <c r="K162" i="31"/>
  <c r="I162" i="31"/>
  <c r="G162" i="31"/>
  <c r="E162" i="31"/>
  <c r="C162" i="31"/>
  <c r="X158" i="31"/>
  <c r="X157" i="31"/>
  <c r="Z156" i="31"/>
  <c r="Y156" i="31"/>
  <c r="X156" i="31"/>
  <c r="A156" i="31"/>
  <c r="AE155" i="31"/>
  <c r="W155" i="31"/>
  <c r="U153" i="31"/>
  <c r="S153" i="31"/>
  <c r="Q153" i="31"/>
  <c r="O153" i="31"/>
  <c r="M153" i="31"/>
  <c r="K153" i="31"/>
  <c r="I153" i="31"/>
  <c r="G153" i="31"/>
  <c r="E153" i="31"/>
  <c r="C153" i="31"/>
  <c r="X150" i="31"/>
  <c r="X149" i="31"/>
  <c r="Z148" i="31"/>
  <c r="Y148" i="31"/>
  <c r="X148" i="31"/>
  <c r="A148" i="31"/>
  <c r="AE147" i="31"/>
  <c r="W147" i="31"/>
  <c r="U145" i="31"/>
  <c r="S145" i="31"/>
  <c r="Q145" i="31"/>
  <c r="O145" i="31"/>
  <c r="M145" i="31"/>
  <c r="K145" i="31"/>
  <c r="I145" i="31"/>
  <c r="G145" i="31"/>
  <c r="E145" i="31"/>
  <c r="C145" i="31"/>
  <c r="X142" i="31"/>
  <c r="X141" i="31"/>
  <c r="Z140" i="31"/>
  <c r="Y140" i="31"/>
  <c r="X140" i="31"/>
  <c r="A140" i="31"/>
  <c r="AE139" i="31"/>
  <c r="W139" i="31"/>
  <c r="U137" i="31"/>
  <c r="S137" i="31"/>
  <c r="Q137" i="31"/>
  <c r="O137" i="31"/>
  <c r="M137" i="31"/>
  <c r="K137" i="31"/>
  <c r="I137" i="31"/>
  <c r="G137" i="31"/>
  <c r="E137" i="31"/>
  <c r="C137" i="31"/>
  <c r="X134" i="31"/>
  <c r="X133" i="31"/>
  <c r="Z132" i="31"/>
  <c r="Y132" i="31"/>
  <c r="X132" i="31"/>
  <c r="A132" i="31"/>
  <c r="AE131" i="31"/>
  <c r="W131" i="31"/>
  <c r="U129" i="31"/>
  <c r="S129" i="31"/>
  <c r="Q129" i="31"/>
  <c r="O129" i="31"/>
  <c r="M129" i="31"/>
  <c r="K129" i="31"/>
  <c r="I129" i="31"/>
  <c r="G129" i="31"/>
  <c r="E129" i="31"/>
  <c r="C129" i="31"/>
  <c r="X125" i="31"/>
  <c r="X124" i="31"/>
  <c r="Z123" i="31"/>
  <c r="Y123" i="31"/>
  <c r="X123" i="31"/>
  <c r="A123" i="31"/>
  <c r="AE122" i="31"/>
  <c r="W122" i="31"/>
  <c r="U120" i="31"/>
  <c r="S120" i="31"/>
  <c r="Q120" i="31"/>
  <c r="O120" i="31"/>
  <c r="M120" i="31"/>
  <c r="K120" i="31"/>
  <c r="I120" i="31"/>
  <c r="G120" i="31"/>
  <c r="E120" i="31"/>
  <c r="C120" i="31"/>
  <c r="X116" i="31"/>
  <c r="X115" i="31"/>
  <c r="Z114" i="31"/>
  <c r="Y114" i="31"/>
  <c r="X114" i="31"/>
  <c r="A114" i="31"/>
  <c r="AE113" i="31"/>
  <c r="W113" i="31"/>
  <c r="U111" i="31"/>
  <c r="S111" i="31"/>
  <c r="Q111" i="31"/>
  <c r="O111" i="31"/>
  <c r="M111" i="31"/>
  <c r="K111" i="31"/>
  <c r="I111" i="31"/>
  <c r="G111" i="31"/>
  <c r="E111" i="31"/>
  <c r="C111" i="31"/>
  <c r="X107" i="31"/>
  <c r="X106" i="31"/>
  <c r="Z105" i="31"/>
  <c r="Y105" i="31"/>
  <c r="X105" i="31"/>
  <c r="A105" i="31"/>
  <c r="AE104" i="31"/>
  <c r="W104" i="31"/>
  <c r="U102" i="31"/>
  <c r="S102" i="31"/>
  <c r="Q102" i="31"/>
  <c r="O102" i="31"/>
  <c r="M102" i="31"/>
  <c r="K102" i="31"/>
  <c r="I102" i="31"/>
  <c r="G102" i="31"/>
  <c r="E102" i="31"/>
  <c r="C102" i="31"/>
  <c r="X98" i="31"/>
  <c r="X97" i="31"/>
  <c r="Z96" i="31"/>
  <c r="Y96" i="31"/>
  <c r="X96" i="31"/>
  <c r="A96" i="31"/>
  <c r="AE95" i="31"/>
  <c r="W95" i="31"/>
  <c r="U93" i="31"/>
  <c r="S93" i="31"/>
  <c r="Q93" i="31"/>
  <c r="O93" i="31"/>
  <c r="M93" i="31"/>
  <c r="K93" i="31"/>
  <c r="I93" i="31"/>
  <c r="G93" i="31"/>
  <c r="E93" i="31"/>
  <c r="C93" i="31"/>
  <c r="X89" i="31"/>
  <c r="X88" i="31"/>
  <c r="Z87" i="31"/>
  <c r="Y87" i="31"/>
  <c r="X87" i="31"/>
  <c r="A87" i="31"/>
  <c r="AE86" i="31"/>
  <c r="W86" i="31"/>
  <c r="U84" i="31"/>
  <c r="S84" i="31"/>
  <c r="Q84" i="31"/>
  <c r="O84" i="31"/>
  <c r="M84" i="31"/>
  <c r="K84" i="31"/>
  <c r="I84" i="31"/>
  <c r="G84" i="31"/>
  <c r="E84" i="31"/>
  <c r="C84" i="31"/>
  <c r="X80" i="31"/>
  <c r="X79" i="31"/>
  <c r="Z78" i="31"/>
  <c r="Y78" i="31"/>
  <c r="X78" i="31"/>
  <c r="A78" i="31"/>
  <c r="AE77" i="31"/>
  <c r="W77" i="31"/>
  <c r="U75" i="31"/>
  <c r="S75" i="31"/>
  <c r="Q75" i="31"/>
  <c r="O75" i="31"/>
  <c r="M75" i="31"/>
  <c r="K75" i="31"/>
  <c r="I75" i="31"/>
  <c r="G75" i="31"/>
  <c r="E75" i="31"/>
  <c r="C75" i="31"/>
  <c r="X71" i="31"/>
  <c r="X70" i="31"/>
  <c r="Z69" i="31"/>
  <c r="Y69" i="31"/>
  <c r="X69" i="31"/>
  <c r="A69" i="31"/>
  <c r="AE68" i="31"/>
  <c r="W68" i="31"/>
  <c r="U66" i="31"/>
  <c r="S66" i="31"/>
  <c r="Q66" i="31"/>
  <c r="O66" i="31"/>
  <c r="M66" i="31"/>
  <c r="K66" i="31"/>
  <c r="I66" i="31"/>
  <c r="G66" i="31"/>
  <c r="E66" i="31"/>
  <c r="C66" i="31"/>
  <c r="X62" i="31"/>
  <c r="X61" i="31"/>
  <c r="Z60" i="31"/>
  <c r="Y60" i="31"/>
  <c r="X60" i="31"/>
  <c r="A60" i="31"/>
  <c r="AE59" i="31"/>
  <c r="W59" i="31"/>
  <c r="U57" i="31"/>
  <c r="S57" i="31"/>
  <c r="Q57" i="31"/>
  <c r="O57" i="31"/>
  <c r="M57" i="31"/>
  <c r="K57" i="31"/>
  <c r="I57" i="31"/>
  <c r="G57" i="31"/>
  <c r="E57" i="31"/>
  <c r="C57" i="31"/>
  <c r="X54" i="31"/>
  <c r="X53" i="31"/>
  <c r="Z52" i="31"/>
  <c r="Y52" i="31"/>
  <c r="X52" i="31"/>
  <c r="A52" i="31"/>
  <c r="AE51" i="31"/>
  <c r="W51" i="31"/>
  <c r="U49" i="31"/>
  <c r="S49" i="31"/>
  <c r="Q49" i="31"/>
  <c r="O49" i="31"/>
  <c r="M49" i="31"/>
  <c r="K49" i="31"/>
  <c r="I49" i="31"/>
  <c r="G49" i="31"/>
  <c r="E49" i="31"/>
  <c r="C49" i="31"/>
  <c r="X46" i="31"/>
  <c r="X45" i="31"/>
  <c r="Z44" i="31"/>
  <c r="Y44" i="31"/>
  <c r="X44" i="31"/>
  <c r="A44" i="31"/>
  <c r="AE43" i="31"/>
  <c r="W43" i="31"/>
  <c r="U41" i="31"/>
  <c r="S41" i="31"/>
  <c r="Q41" i="31"/>
  <c r="O41" i="31"/>
  <c r="M41" i="31"/>
  <c r="K41" i="31"/>
  <c r="I41" i="31"/>
  <c r="G41" i="31"/>
  <c r="E41" i="31"/>
  <c r="C41" i="31"/>
  <c r="X38" i="31"/>
  <c r="X37" i="31"/>
  <c r="Z36" i="31"/>
  <c r="Y36" i="31"/>
  <c r="X36" i="31"/>
  <c r="A36" i="31"/>
  <c r="AE35" i="31"/>
  <c r="W35" i="31"/>
  <c r="U33" i="31"/>
  <c r="S33" i="31"/>
  <c r="Q33" i="31"/>
  <c r="O33" i="31"/>
  <c r="M33" i="31"/>
  <c r="K33" i="31"/>
  <c r="I33" i="31"/>
  <c r="G33" i="31"/>
  <c r="E33" i="31"/>
  <c r="C33" i="31"/>
  <c r="X30" i="31"/>
  <c r="X29" i="31"/>
  <c r="Z28" i="31"/>
  <c r="Y28" i="31"/>
  <c r="X28" i="31"/>
  <c r="A28" i="31"/>
  <c r="AE27" i="31"/>
  <c r="W27" i="31"/>
  <c r="U25" i="31"/>
  <c r="S25" i="31"/>
  <c r="Q25" i="31"/>
  <c r="O25" i="31"/>
  <c r="M25" i="31"/>
  <c r="K25" i="31"/>
  <c r="I25" i="31"/>
  <c r="G25" i="31"/>
  <c r="E25" i="31"/>
  <c r="C25" i="31"/>
  <c r="X22" i="31"/>
  <c r="X21" i="31"/>
  <c r="Z20" i="31"/>
  <c r="Y20" i="31"/>
  <c r="X20" i="31"/>
  <c r="A20" i="31"/>
  <c r="AE19" i="31"/>
  <c r="W19" i="31"/>
  <c r="U17" i="31"/>
  <c r="S17" i="31"/>
  <c r="Q17" i="31"/>
  <c r="O17" i="31"/>
  <c r="M17" i="31"/>
  <c r="K17" i="31"/>
  <c r="I17" i="31"/>
  <c r="G17" i="31"/>
  <c r="E17" i="31"/>
  <c r="C17" i="31"/>
  <c r="X14" i="31"/>
  <c r="X13" i="31"/>
  <c r="Z12" i="31"/>
  <c r="Y12" i="31"/>
  <c r="X12" i="31"/>
  <c r="AE11" i="31"/>
  <c r="W11" i="31"/>
  <c r="U9" i="31"/>
  <c r="S9" i="31"/>
  <c r="Q9" i="31"/>
  <c r="O9" i="31"/>
  <c r="M9" i="31"/>
  <c r="K9" i="31"/>
  <c r="I9" i="31"/>
  <c r="G9" i="31"/>
  <c r="E9" i="31"/>
  <c r="S7" i="31"/>
  <c r="P7" i="31"/>
  <c r="L7" i="31"/>
  <c r="B174" i="40"/>
  <c r="V166" i="40"/>
  <c r="T166" i="40"/>
  <c r="R166" i="40"/>
  <c r="P166" i="40"/>
  <c r="N166" i="40"/>
  <c r="L166" i="40"/>
  <c r="J166" i="40"/>
  <c r="H166" i="40"/>
  <c r="F166" i="40"/>
  <c r="D166" i="40"/>
  <c r="B166" i="40"/>
  <c r="V158" i="40"/>
  <c r="T158" i="40"/>
  <c r="R158" i="40"/>
  <c r="P158" i="40"/>
  <c r="N158" i="40"/>
  <c r="L158" i="40"/>
  <c r="J158" i="40"/>
  <c r="H158" i="40"/>
  <c r="F158" i="40"/>
  <c r="D158" i="40"/>
  <c r="B158" i="40"/>
  <c r="V150" i="40"/>
  <c r="T150" i="40"/>
  <c r="R150" i="40"/>
  <c r="P150" i="40"/>
  <c r="N150" i="40"/>
  <c r="L150" i="40"/>
  <c r="J150" i="40"/>
  <c r="H150" i="40"/>
  <c r="F150" i="40"/>
  <c r="D150" i="40"/>
  <c r="B150" i="40"/>
  <c r="V141" i="40"/>
  <c r="T141" i="40"/>
  <c r="R141" i="40"/>
  <c r="P141" i="40"/>
  <c r="N141" i="40"/>
  <c r="L141" i="40"/>
  <c r="J141" i="40"/>
  <c r="H141" i="40"/>
  <c r="F141" i="40"/>
  <c r="D141" i="40"/>
  <c r="B141" i="40"/>
  <c r="V132" i="40"/>
  <c r="T132" i="40"/>
  <c r="R132" i="40"/>
  <c r="P132" i="40"/>
  <c r="N132" i="40"/>
  <c r="L132" i="40"/>
  <c r="J132" i="40"/>
  <c r="H132" i="40"/>
  <c r="F132" i="40"/>
  <c r="D132" i="40"/>
  <c r="B132" i="40"/>
  <c r="V123" i="40"/>
  <c r="T123" i="40"/>
  <c r="R123" i="40"/>
  <c r="P123" i="40"/>
  <c r="N123" i="40"/>
  <c r="L123" i="40"/>
  <c r="J123" i="40"/>
  <c r="H123" i="40"/>
  <c r="F123" i="40"/>
  <c r="D123" i="40"/>
  <c r="B123" i="40"/>
  <c r="T115" i="40"/>
  <c r="R115" i="40"/>
  <c r="P115" i="40"/>
  <c r="N115" i="40"/>
  <c r="L115" i="40"/>
  <c r="J115" i="40"/>
  <c r="H115" i="40"/>
  <c r="F115" i="40"/>
  <c r="D115" i="40"/>
  <c r="B115" i="40"/>
  <c r="V109" i="40"/>
  <c r="T108" i="40"/>
  <c r="R108" i="40"/>
  <c r="P108" i="40"/>
  <c r="N108" i="40"/>
  <c r="L108" i="40"/>
  <c r="J108" i="40"/>
  <c r="H108" i="40"/>
  <c r="F108" i="40"/>
  <c r="D108" i="40"/>
  <c r="B108" i="40"/>
  <c r="D101" i="40"/>
  <c r="V100" i="40"/>
  <c r="T99" i="40"/>
  <c r="R99" i="40"/>
  <c r="P99" i="40"/>
  <c r="N99" i="40"/>
  <c r="L99" i="40"/>
  <c r="J99" i="40"/>
  <c r="H99" i="40"/>
  <c r="F99" i="40"/>
  <c r="D99" i="40"/>
  <c r="B99" i="40"/>
  <c r="V92" i="40"/>
  <c r="T91" i="40"/>
  <c r="R91" i="40"/>
  <c r="P91" i="40"/>
  <c r="N91" i="40"/>
  <c r="L91" i="40"/>
  <c r="J91" i="40"/>
  <c r="H91" i="40"/>
  <c r="F91" i="40"/>
  <c r="D91" i="40"/>
  <c r="B91" i="40"/>
  <c r="T83" i="40"/>
  <c r="R83" i="40"/>
  <c r="P83" i="40"/>
  <c r="N83" i="40"/>
  <c r="L83" i="40"/>
  <c r="J83" i="40"/>
  <c r="H83" i="40"/>
  <c r="F83" i="40"/>
  <c r="D83" i="40"/>
  <c r="B83" i="40"/>
  <c r="T75" i="40"/>
  <c r="R75" i="40"/>
  <c r="P75" i="40"/>
  <c r="N75" i="40"/>
  <c r="L75" i="40"/>
  <c r="J75" i="40"/>
  <c r="H75" i="40"/>
  <c r="F75" i="40"/>
  <c r="D75" i="40"/>
  <c r="B75" i="40"/>
  <c r="T67" i="40"/>
  <c r="R67" i="40"/>
  <c r="P67" i="40"/>
  <c r="N67" i="40"/>
  <c r="L67" i="40"/>
  <c r="J67" i="40"/>
  <c r="H67" i="40"/>
  <c r="F67" i="40"/>
  <c r="D67" i="40"/>
  <c r="B67" i="40"/>
  <c r="V66" i="40"/>
  <c r="T59" i="40"/>
  <c r="R59" i="40"/>
  <c r="P59" i="40"/>
  <c r="N59" i="40"/>
  <c r="L59" i="40"/>
  <c r="J59" i="40"/>
  <c r="H59" i="40"/>
  <c r="F59" i="40"/>
  <c r="D59" i="40"/>
  <c r="B59" i="40"/>
  <c r="V58" i="40"/>
  <c r="T51" i="40"/>
  <c r="R51" i="40"/>
  <c r="P51" i="40"/>
  <c r="N51" i="40"/>
  <c r="L51" i="40"/>
  <c r="J51" i="40"/>
  <c r="H51" i="40"/>
  <c r="F51" i="40"/>
  <c r="D51" i="40"/>
  <c r="B51" i="40"/>
  <c r="V49" i="40"/>
  <c r="T43" i="40"/>
  <c r="R43" i="40"/>
  <c r="P43" i="40"/>
  <c r="N43" i="40"/>
  <c r="L43" i="40"/>
  <c r="J43" i="40"/>
  <c r="H43" i="40"/>
  <c r="F43" i="40"/>
  <c r="D43" i="40"/>
  <c r="B43" i="40"/>
  <c r="V37" i="40"/>
  <c r="T35" i="40"/>
  <c r="R35" i="40"/>
  <c r="P35" i="40"/>
  <c r="N35" i="40"/>
  <c r="L35" i="40"/>
  <c r="J35" i="40"/>
  <c r="H35" i="40"/>
  <c r="F35" i="40"/>
  <c r="D35" i="40"/>
  <c r="B35" i="40"/>
  <c r="V28" i="40"/>
  <c r="T26" i="40"/>
  <c r="R26" i="40"/>
  <c r="P26" i="40"/>
  <c r="N26" i="40"/>
  <c r="L26" i="40"/>
  <c r="J26" i="40"/>
  <c r="H26" i="40"/>
  <c r="F26" i="40"/>
  <c r="D26" i="40"/>
  <c r="B26" i="40"/>
  <c r="V19" i="40"/>
  <c r="T17" i="40"/>
  <c r="R17" i="40"/>
  <c r="P17" i="40"/>
  <c r="N17" i="40"/>
  <c r="L17" i="40"/>
  <c r="J17" i="40"/>
  <c r="H17" i="40"/>
  <c r="F17" i="40"/>
  <c r="D17" i="40"/>
  <c r="B17" i="40"/>
  <c r="U10" i="40"/>
  <c r="S8" i="40"/>
  <c r="Q8" i="40"/>
  <c r="O8" i="40"/>
  <c r="M8" i="40"/>
  <c r="K8" i="40"/>
  <c r="I8" i="40"/>
  <c r="G8" i="40"/>
  <c r="E8" i="40"/>
  <c r="C8" i="40"/>
  <c r="Q6" i="40"/>
  <c r="N6" i="40"/>
  <c r="J6" i="40"/>
  <c r="B29" i="41"/>
  <c r="B28" i="41"/>
  <c r="B27" i="41"/>
  <c r="B26" i="41"/>
  <c r="B25" i="41"/>
  <c r="B24" i="41"/>
  <c r="B23" i="41"/>
  <c r="B22" i="41"/>
  <c r="B21" i="41"/>
  <c r="B20" i="41"/>
  <c r="B19" i="41"/>
  <c r="B18" i="41"/>
  <c r="B17" i="41"/>
  <c r="B16" i="41"/>
  <c r="B15" i="41"/>
  <c r="B14" i="41"/>
  <c r="B13" i="41"/>
  <c r="B12" i="41"/>
  <c r="B11" i="41"/>
  <c r="B10" i="41"/>
  <c r="B9" i="41"/>
  <c r="B8" i="41"/>
  <c r="B7" i="41"/>
  <c r="B6" i="41"/>
  <c r="B5" i="41"/>
  <c r="J1" i="41"/>
  <c r="AD49" i="42" l="1"/>
  <c r="AD188" i="42" s="1"/>
  <c r="AH188" i="42" s="1"/>
  <c r="X49" i="42"/>
  <c r="X188" i="42" s="1"/>
  <c r="AI49" i="42"/>
  <c r="AI188" i="42" s="1"/>
  <c r="AM188" i="42" s="1"/>
  <c r="AN49" i="42"/>
  <c r="AN188" i="42" s="1"/>
  <c r="AR188" i="42" s="1"/>
  <c r="B150" i="42"/>
  <c r="D150" i="42" s="1"/>
  <c r="F150" i="42" s="1"/>
  <c r="H150" i="42" s="1"/>
  <c r="J150" i="42" s="1"/>
  <c r="L150" i="42" s="1"/>
  <c r="N150" i="42" s="1"/>
  <c r="P150" i="42" s="1"/>
  <c r="R150" i="42" s="1"/>
  <c r="T150" i="42" s="1"/>
  <c r="V150" i="42" s="1"/>
  <c r="B158" i="42" s="1"/>
  <c r="D158" i="42" s="1"/>
  <c r="F158" i="42" s="1"/>
  <c r="H158" i="42" s="1"/>
  <c r="J158" i="42" s="1"/>
  <c r="L158" i="42" s="1"/>
  <c r="N158" i="42" s="1"/>
  <c r="P158" i="42" s="1"/>
  <c r="R158" i="42" s="1"/>
  <c r="T158" i="42" s="1"/>
  <c r="V158" i="42" s="1"/>
  <c r="B166" i="42" s="1"/>
  <c r="D166" i="42" s="1"/>
  <c r="F166" i="42" s="1"/>
  <c r="H166" i="42" s="1"/>
  <c r="J166" i="42" s="1"/>
  <c r="L166" i="42" s="1"/>
  <c r="N166" i="42" s="1"/>
  <c r="P166" i="42" s="1"/>
  <c r="R166" i="42" s="1"/>
  <c r="T166" i="42" s="1"/>
  <c r="V166" i="42" s="1"/>
  <c r="B173" i="42" s="1"/>
  <c r="D173" i="42" s="1"/>
  <c r="F173" i="42" s="1"/>
  <c r="H173" i="42" s="1"/>
  <c r="J173" i="42" s="1"/>
  <c r="L173" i="42" s="1"/>
  <c r="N173" i="42" s="1"/>
  <c r="P173" i="42" s="1"/>
  <c r="R173" i="42" s="1"/>
  <c r="T173" i="42" s="1"/>
  <c r="V173" i="42" s="1"/>
  <c r="B180" i="42" s="1"/>
  <c r="D180" i="42" s="1"/>
  <c r="F180" i="42" s="1"/>
  <c r="H180" i="42" s="1"/>
  <c r="J180" i="42" s="1"/>
  <c r="L180" i="42" s="1"/>
  <c r="N180" i="42" s="1"/>
  <c r="P180" i="42" s="1"/>
  <c r="R180" i="42" s="1"/>
  <c r="T180" i="42" s="1"/>
  <c r="V180" i="42" s="1"/>
  <c r="B187" i="42" s="1"/>
  <c r="D187" i="42" s="1"/>
  <c r="F187" i="42" s="1"/>
  <c r="H187" i="42" s="1"/>
  <c r="J187" i="42" s="1"/>
  <c r="L187" i="42" s="1"/>
  <c r="N187" i="42" s="1"/>
  <c r="P187" i="42" s="1"/>
  <c r="R187" i="42" s="1"/>
  <c r="T187" i="42" s="1"/>
  <c r="V187" i="42" s="1"/>
  <c r="V51" i="42"/>
  <c r="B59" i="42" s="1"/>
  <c r="D59" i="42" s="1"/>
  <c r="F59" i="42" s="1"/>
  <c r="H59" i="42" s="1"/>
  <c r="J59" i="42" s="1"/>
  <c r="L59" i="42" s="1"/>
  <c r="N59" i="42" s="1"/>
  <c r="P59" i="42" s="1"/>
  <c r="R59" i="42" s="1"/>
  <c r="T59" i="42" s="1"/>
  <c r="B67" i="42" s="1"/>
  <c r="D67" i="42" s="1"/>
  <c r="F67" i="42" s="1"/>
  <c r="H67" i="42" s="1"/>
  <c r="J67" i="42" s="1"/>
  <c r="L67" i="42" s="1"/>
  <c r="N67" i="42" s="1"/>
  <c r="P67" i="42" s="1"/>
  <c r="R67" i="42" s="1"/>
  <c r="T67" i="42" s="1"/>
  <c r="B75" i="42" s="1"/>
  <c r="D75" i="42" s="1"/>
  <c r="F75" i="42" s="1"/>
  <c r="H75" i="42" s="1"/>
  <c r="J75" i="42" s="1"/>
  <c r="L75" i="42" s="1"/>
  <c r="N75" i="42" s="1"/>
  <c r="P75" i="42" s="1"/>
  <c r="R75" i="42" s="1"/>
  <c r="T75" i="42" s="1"/>
  <c r="B83" i="42" s="1"/>
  <c r="D83" i="42" s="1"/>
  <c r="F83" i="42" s="1"/>
  <c r="H83" i="42" s="1"/>
  <c r="J83" i="42" s="1"/>
  <c r="L83" i="42" s="1"/>
  <c r="N83" i="42" s="1"/>
  <c r="P83" i="42" s="1"/>
  <c r="R83" i="42" s="1"/>
  <c r="T83" i="42" s="1"/>
  <c r="B91" i="42" s="1"/>
  <c r="D91" i="42" s="1"/>
  <c r="F91" i="42" s="1"/>
  <c r="H91" i="42" s="1"/>
  <c r="J91" i="42" s="1"/>
  <c r="L91" i="42" s="1"/>
  <c r="N91" i="42" s="1"/>
  <c r="P91" i="42" s="1"/>
  <c r="R91" i="42" s="1"/>
  <c r="T91" i="42" s="1"/>
  <c r="B99" i="42" s="1"/>
  <c r="D99" i="42" s="1"/>
  <c r="F99" i="42" s="1"/>
  <c r="H99" i="42" s="1"/>
  <c r="J99" i="42" s="1"/>
  <c r="L99" i="42" s="1"/>
  <c r="N99" i="42" s="1"/>
  <c r="P99" i="42" s="1"/>
  <c r="R99" i="42" s="1"/>
  <c r="T99" i="42" s="1"/>
  <c r="B108" i="42" s="1"/>
  <c r="D108" i="42" s="1"/>
  <c r="F108" i="42" s="1"/>
  <c r="H108" i="42" s="1"/>
  <c r="J108" i="42" s="1"/>
  <c r="L108" i="42" s="1"/>
  <c r="N108" i="42" s="1"/>
  <c r="P108" i="42" s="1"/>
  <c r="R108" i="42" s="1"/>
  <c r="T108" i="42" s="1"/>
  <c r="B115" i="42" s="1"/>
  <c r="D115" i="42" s="1"/>
  <c r="F115" i="42" s="1"/>
  <c r="H115" i="42" s="1"/>
  <c r="J115" i="42" s="1"/>
  <c r="L115" i="42" s="1"/>
  <c r="N115" i="42" s="1"/>
  <c r="P115" i="42" s="1"/>
  <c r="R115" i="42" s="1"/>
  <c r="T115" i="42" s="1"/>
  <c r="AE195" i="42" l="1"/>
  <c r="A11" i="38"/>
  <c r="A12" i="38" s="1"/>
  <c r="A13" i="38" s="1"/>
  <c r="A14" i="38" s="1"/>
  <c r="A15" i="38" s="1"/>
  <c r="A16" i="38" s="1"/>
  <c r="A17" i="38" s="1"/>
  <c r="A18" i="38" s="1"/>
  <c r="A19" i="38" s="1"/>
  <c r="A20" i="38" s="1"/>
  <c r="A21" i="38" s="1"/>
  <c r="A22" i="38" s="1"/>
  <c r="A23" i="38" s="1"/>
  <c r="A24" i="38" s="1"/>
  <c r="A25" i="38" s="1"/>
  <c r="A26" i="38" s="1"/>
  <c r="A27" i="38" s="1"/>
  <c r="A28" i="38" s="1"/>
  <c r="A29" i="38" s="1"/>
  <c r="A30" i="38" s="1"/>
  <c r="A31" i="38" s="1"/>
  <c r="A32" i="38" s="1"/>
  <c r="A33" i="38" s="1"/>
</calcChain>
</file>

<file path=xl/sharedStrings.xml><?xml version="1.0" encoding="utf-8"?>
<sst xmlns="http://schemas.openxmlformats.org/spreadsheetml/2006/main" count="12400" uniqueCount="1891">
  <si>
    <t>FDNEREERTINSSTR</t>
  </si>
  <si>
    <t>FDNWIPEREERTINSSTR</t>
  </si>
  <si>
    <t>FDNComEREERTINSSTR</t>
  </si>
  <si>
    <t>FDNComEREERTComINSSTR</t>
  </si>
  <si>
    <t>FDNComEREWIPERTINSSTR</t>
  </si>
  <si>
    <t>FDNComEREWIPERTCOMINSSTR</t>
  </si>
  <si>
    <t>FDNComEREComERTINSSTR</t>
  </si>
  <si>
    <t>FDNComEREComERTComINSSTR</t>
  </si>
  <si>
    <t>FDNComEREComERTINSComSTR</t>
  </si>
  <si>
    <t>FDNComEREComERTComINSComSTR</t>
  </si>
  <si>
    <t>FDNComEREComERTINSComSTRCom</t>
  </si>
  <si>
    <t>FDNComEREComERTComINSComSTRCom</t>
  </si>
  <si>
    <t>FDNComEREROWERTINSSTR</t>
  </si>
  <si>
    <t>FDNROWEREERTINSSTR</t>
  </si>
  <si>
    <t>TB-507</t>
  </si>
  <si>
    <t xml:space="preserve">DAILY PROGRESS REPORT </t>
  </si>
  <si>
    <t>CONTRACTUAL START DATE:</t>
  </si>
  <si>
    <t xml:space="preserve">400kV D/C Fatehgarh IV (Section-2)PS - Bhinmal (PG) Transmission Line </t>
  </si>
  <si>
    <t>CONTRACTUAL FINISH DATE:</t>
  </si>
  <si>
    <t>REPORTING DATE</t>
  </si>
  <si>
    <t>Client Name : RAJASTHAN IV A POWER TRANSMISSION LTD</t>
  </si>
  <si>
    <t>TOTAL DAYS</t>
  </si>
  <si>
    <t>NOA Ref No(Supply): RIVA/LOA-KEC(SUP)/AUG 24/405</t>
  </si>
  <si>
    <t>COMP. DAYS</t>
  </si>
  <si>
    <t>NOA Ref No(Service): RIVA/LOA-KEC(SER)/AUG 24/406</t>
  </si>
  <si>
    <t xml:space="preserve">Progress Summary </t>
  </si>
  <si>
    <t>Sl No.</t>
  </si>
  <si>
    <t>Activity</t>
  </si>
  <si>
    <t>LOA Quantity</t>
  </si>
  <si>
    <t>Estimated Line Quantity</t>
  </si>
  <si>
    <t>Cumm. Progress till Last Month</t>
  </si>
  <si>
    <t>Today's Progress</t>
  </si>
  <si>
    <t>Cumulative progress  till date</t>
  </si>
  <si>
    <t xml:space="preserve">Balance </t>
  </si>
  <si>
    <t>Remarks</t>
  </si>
  <si>
    <t>A.i</t>
  </si>
  <si>
    <t>Route Alignment (Kms)</t>
  </si>
  <si>
    <t>In the Scope of Rajasthan IV A Power Transmission Ltd</t>
  </si>
  <si>
    <t>ii</t>
  </si>
  <si>
    <t>Detailed Survey (Kms)</t>
  </si>
  <si>
    <t>iii</t>
  </si>
  <si>
    <t>Check Survey (Kms)</t>
  </si>
  <si>
    <t xml:space="preserve">B. </t>
  </si>
  <si>
    <t>Soil Investigation (Nos)</t>
  </si>
  <si>
    <t>D.</t>
  </si>
  <si>
    <t>Foundation (Nos)</t>
  </si>
  <si>
    <t>E.</t>
  </si>
  <si>
    <t>Earthing (Nos)</t>
  </si>
  <si>
    <t>Tower Erection (Nos)</t>
  </si>
  <si>
    <t>Tack Welding (Nos)</t>
  </si>
  <si>
    <t>Stringing (Kms)</t>
  </si>
  <si>
    <t>i</t>
  </si>
  <si>
    <t>Paying Out (Kms)</t>
  </si>
  <si>
    <t>Final Sag (Kms)</t>
  </si>
  <si>
    <t>I.</t>
  </si>
  <si>
    <t>OPGW Stringing (Kms)</t>
  </si>
  <si>
    <t>Crossing Span</t>
  </si>
  <si>
    <t>Type</t>
  </si>
  <si>
    <t>Description</t>
  </si>
  <si>
    <t>Proposal Status</t>
  </si>
  <si>
    <t>A</t>
  </si>
  <si>
    <t>Power Line Crossings</t>
  </si>
  <si>
    <t>400kV</t>
  </si>
  <si>
    <t>B</t>
  </si>
  <si>
    <t>River Crossing</t>
  </si>
  <si>
    <t>AP 94 TO AP 95</t>
  </si>
  <si>
    <t>LUNI River</t>
  </si>
  <si>
    <t>133/0 TO 133/4</t>
  </si>
  <si>
    <t>SUKRI River</t>
  </si>
  <si>
    <t>137/0 TO138/0</t>
  </si>
  <si>
    <t>BANDI RIVER</t>
  </si>
  <si>
    <t>C</t>
  </si>
  <si>
    <t>Railway Crossings</t>
  </si>
  <si>
    <t>AP 46 TO AP 47</t>
  </si>
  <si>
    <t>Rly</t>
  </si>
  <si>
    <t>AP 150 AP 151</t>
  </si>
  <si>
    <t>Road Crossing</t>
  </si>
  <si>
    <t>Road</t>
  </si>
  <si>
    <t>NAME OF PROJECT :  FARHEGARH IV-BHINMAL  400KV D/C TRANSMISSION LINE</t>
  </si>
  <si>
    <t>Client : RAJASTHAN IV A POWER TRANSMISSION LTD.</t>
  </si>
  <si>
    <t>CONTRACTOR  : KEC INTERNATIONAL LIMITED</t>
  </si>
  <si>
    <t>400 KV CHECK SURVEY</t>
  </si>
  <si>
    <t>SL No</t>
  </si>
  <si>
    <t>Section</t>
  </si>
  <si>
    <t>Section Length</t>
  </si>
  <si>
    <t>Submission Date</t>
  </si>
  <si>
    <t>Approval Date</t>
  </si>
  <si>
    <t>AP 51- AP 54</t>
  </si>
  <si>
    <t>Approved</t>
  </si>
  <si>
    <t>AP 54- AP 60</t>
  </si>
  <si>
    <t>AP 60- AP 75</t>
  </si>
  <si>
    <t>Required Change</t>
  </si>
  <si>
    <t xml:space="preserve">Approved </t>
  </si>
  <si>
    <t>AP 75- AP 92</t>
  </si>
  <si>
    <t>AP 92- AP 96</t>
  </si>
  <si>
    <t>Submitted</t>
  </si>
  <si>
    <t>AP 96- AP 97</t>
  </si>
  <si>
    <t xml:space="preserve"> AP 97- AP 98B</t>
  </si>
  <si>
    <t xml:space="preserve"> AP 98B- 99A/0</t>
  </si>
  <si>
    <t>AP99A/0-AP 107</t>
  </si>
  <si>
    <t>AP 107- AP 121</t>
  </si>
  <si>
    <t>AP 121- AP 131</t>
  </si>
  <si>
    <t>AP 131- AP 133</t>
  </si>
  <si>
    <t>Complete</t>
  </si>
  <si>
    <t>AP 133- AP 134</t>
  </si>
  <si>
    <t>AS on date</t>
  </si>
  <si>
    <t>SOIL INVESTIGATION STATUS</t>
  </si>
  <si>
    <t>SL No.</t>
  </si>
  <si>
    <t>LOC. No.</t>
  </si>
  <si>
    <t>Tower Type</t>
  </si>
  <si>
    <t>Soil Investigation date</t>
  </si>
  <si>
    <t>Recommended Soil
 classification</t>
  </si>
  <si>
    <t>3/0</t>
  </si>
  <si>
    <t>DD+25</t>
  </si>
  <si>
    <t>4/0</t>
  </si>
  <si>
    <t>DC+0</t>
  </si>
  <si>
    <t>6/0</t>
  </si>
  <si>
    <t>DD+18</t>
  </si>
  <si>
    <t>7/0</t>
  </si>
  <si>
    <t>DB+0</t>
  </si>
  <si>
    <t>8/0</t>
  </si>
  <si>
    <t>9/0</t>
  </si>
  <si>
    <t>10/0</t>
  </si>
  <si>
    <t>DC+9</t>
  </si>
  <si>
    <t>12/0</t>
  </si>
  <si>
    <t>DD+0</t>
  </si>
  <si>
    <t>13/0</t>
  </si>
  <si>
    <t>15/0</t>
  </si>
  <si>
    <t>DC+6</t>
  </si>
  <si>
    <t>16/0</t>
  </si>
  <si>
    <t>17/0</t>
  </si>
  <si>
    <t>20/0</t>
  </si>
  <si>
    <t>DB+9</t>
  </si>
  <si>
    <t>21/0</t>
  </si>
  <si>
    <t>23/0</t>
  </si>
  <si>
    <t>24/0</t>
  </si>
  <si>
    <t>27/0</t>
  </si>
  <si>
    <t>DC+3</t>
  </si>
  <si>
    <t>29/0</t>
  </si>
  <si>
    <t>31/0</t>
  </si>
  <si>
    <t>35/0</t>
  </si>
  <si>
    <t>38/0</t>
  </si>
  <si>
    <t>40/0</t>
  </si>
  <si>
    <t>DD+3</t>
  </si>
  <si>
    <t>43/0</t>
  </si>
  <si>
    <t>44/0</t>
  </si>
  <si>
    <t>46/0</t>
  </si>
  <si>
    <t>DD+9</t>
  </si>
  <si>
    <t>47/0</t>
  </si>
  <si>
    <t>51/0</t>
  </si>
  <si>
    <t>54/0</t>
  </si>
  <si>
    <t>59/0</t>
  </si>
  <si>
    <t>62/0</t>
  </si>
  <si>
    <t>64/0</t>
  </si>
  <si>
    <t>66/0</t>
  </si>
  <si>
    <t>68/0</t>
  </si>
  <si>
    <t>71/0</t>
  </si>
  <si>
    <t>74/0</t>
  </si>
  <si>
    <t>76/0</t>
  </si>
  <si>
    <t>78/0</t>
  </si>
  <si>
    <t>81/0</t>
  </si>
  <si>
    <t>83/0</t>
  </si>
  <si>
    <t>87/0</t>
  </si>
  <si>
    <t>91/0</t>
  </si>
  <si>
    <t>92/0</t>
  </si>
  <si>
    <t>93/0</t>
  </si>
  <si>
    <t>94/0</t>
  </si>
  <si>
    <t>DB+6</t>
  </si>
  <si>
    <t>95/0</t>
  </si>
  <si>
    <t>98/1</t>
  </si>
  <si>
    <t>DCT+0</t>
  </si>
  <si>
    <t>99A/0</t>
  </si>
  <si>
    <t>103/0</t>
  </si>
  <si>
    <t>107/0</t>
  </si>
  <si>
    <t>111/0</t>
  </si>
  <si>
    <t>117/0</t>
  </si>
  <si>
    <t>121/0</t>
  </si>
  <si>
    <t>126/0</t>
  </si>
  <si>
    <t>131/0</t>
  </si>
  <si>
    <t>133/0</t>
  </si>
  <si>
    <t>133/1</t>
  </si>
  <si>
    <t>133/2</t>
  </si>
  <si>
    <t>DA+0</t>
  </si>
  <si>
    <t>133/3</t>
  </si>
  <si>
    <t>134/0</t>
  </si>
  <si>
    <t>DA+3</t>
  </si>
  <si>
    <t>137/0</t>
  </si>
  <si>
    <t>138/0</t>
  </si>
  <si>
    <t>DB+3</t>
  </si>
  <si>
    <t>141/0</t>
  </si>
  <si>
    <t>144/0</t>
  </si>
  <si>
    <t>145/0</t>
  </si>
  <si>
    <t>DD+6</t>
  </si>
  <si>
    <t>147/0</t>
  </si>
  <si>
    <t>148/0</t>
  </si>
  <si>
    <t>150/0</t>
  </si>
  <si>
    <t>151/0</t>
  </si>
  <si>
    <t>152/0</t>
  </si>
  <si>
    <t>153/0</t>
  </si>
  <si>
    <t>154/0</t>
  </si>
  <si>
    <t>155/0</t>
  </si>
  <si>
    <t>DD+30</t>
  </si>
  <si>
    <t>Total Completed</t>
  </si>
  <si>
    <t xml:space="preserve">SL. 
No. 
</t>
  </si>
  <si>
    <t>Location 
Number</t>
  </si>
  <si>
    <t>Tower 
Type</t>
  </si>
  <si>
    <t>Classification</t>
  </si>
  <si>
    <t>Starting Date</t>
  </si>
  <si>
    <t>Completion 
Date</t>
  </si>
  <si>
    <t>75/6</t>
  </si>
  <si>
    <t>Sandy</t>
  </si>
  <si>
    <t>RCC Complete, Backfilling Done</t>
  </si>
  <si>
    <t>75/5</t>
  </si>
  <si>
    <t>75/4</t>
  </si>
  <si>
    <t>75/3</t>
  </si>
  <si>
    <t>77/1</t>
  </si>
  <si>
    <t>77/2</t>
  </si>
  <si>
    <t>95A/1</t>
  </si>
  <si>
    <t>FOUNDATION STATUS</t>
  </si>
  <si>
    <t>Span</t>
  </si>
  <si>
    <t>RC</t>
  </si>
  <si>
    <t>Foundation 
type</t>
  </si>
  <si>
    <t>Starting 
date</t>
  </si>
  <si>
    <t>Agency</t>
  </si>
  <si>
    <t>Remark</t>
  </si>
  <si>
    <t>83/1</t>
  </si>
  <si>
    <t>Mahadeep Company</t>
  </si>
  <si>
    <t>81/4</t>
  </si>
  <si>
    <t>ROW</t>
  </si>
  <si>
    <t>ROW LOC HOLD</t>
  </si>
  <si>
    <t>Row Since 20-01-2025, Gang Domobilized</t>
  </si>
  <si>
    <t>75/7</t>
  </si>
  <si>
    <t>AR PATEL</t>
  </si>
  <si>
    <t>RCC Complete</t>
  </si>
  <si>
    <t>RCC Complete.</t>
  </si>
  <si>
    <t>Om Constraction</t>
  </si>
  <si>
    <t>75/1</t>
  </si>
  <si>
    <t>75/2</t>
  </si>
  <si>
    <t>Anjaana Construction</t>
  </si>
  <si>
    <t>77/3</t>
  </si>
  <si>
    <t>77/4</t>
  </si>
  <si>
    <t>77/5</t>
  </si>
  <si>
    <t>DA+6</t>
  </si>
  <si>
    <t>Pit B,C RCC Done &amp; Pit A,D Frustrum RCC done.</t>
  </si>
  <si>
    <t>86/2</t>
  </si>
  <si>
    <t>Kalpana Enterprises</t>
  </si>
  <si>
    <t xml:space="preserve"> Pit A , Pit B RCC Done , Pit C -Stub setting.</t>
  </si>
  <si>
    <t>66/1</t>
  </si>
  <si>
    <t>DA+9</t>
  </si>
  <si>
    <t>Siyag Construction</t>
  </si>
  <si>
    <t>Excavation WIP, ROW,Material Shifting WIP</t>
  </si>
  <si>
    <t>73/3</t>
  </si>
  <si>
    <t>Excavation WIP, ROW, Material Shifting WIP</t>
  </si>
  <si>
    <t>79/1</t>
  </si>
  <si>
    <t>Anjana Construction</t>
  </si>
  <si>
    <t>Gurukripa Enterprises</t>
  </si>
  <si>
    <t>Pit Marking Done</t>
  </si>
  <si>
    <t>80/1</t>
  </si>
  <si>
    <t>85/1</t>
  </si>
  <si>
    <t>73/2</t>
  </si>
  <si>
    <t>66/2</t>
  </si>
  <si>
    <t>66/3</t>
  </si>
  <si>
    <t>86/1</t>
  </si>
  <si>
    <t>76/1</t>
  </si>
  <si>
    <t xml:space="preserve">AS PER RAPTL ROW CLEARED ON </t>
  </si>
  <si>
    <t>WORK COMMENCED KEC</t>
  </si>
  <si>
    <t>STATUS</t>
  </si>
  <si>
    <t>81/1</t>
  </si>
  <si>
    <t>81/2</t>
  </si>
  <si>
    <t>81/3</t>
  </si>
  <si>
    <t>80/0</t>
  </si>
  <si>
    <t>81/5</t>
  </si>
  <si>
    <t>51/1</t>
  </si>
  <si>
    <t>51/2</t>
  </si>
  <si>
    <t>64/3</t>
  </si>
  <si>
    <t>64/4</t>
  </si>
  <si>
    <t>96/2</t>
  </si>
  <si>
    <t>87/1</t>
  </si>
  <si>
    <t>WIP</t>
  </si>
  <si>
    <t>99/1</t>
  </si>
  <si>
    <t>87/2</t>
  </si>
  <si>
    <t>61/1</t>
  </si>
  <si>
    <t>62/4</t>
  </si>
  <si>
    <t>62/5</t>
  </si>
  <si>
    <t>64/6</t>
  </si>
  <si>
    <t>64/7</t>
  </si>
  <si>
    <t>66/4</t>
  </si>
  <si>
    <t>71/1</t>
  </si>
  <si>
    <t>73/1</t>
  </si>
  <si>
    <t>98A/1</t>
  </si>
  <si>
    <t>91/2</t>
  </si>
  <si>
    <t>99/5</t>
  </si>
  <si>
    <t>DFR</t>
  </si>
  <si>
    <t xml:space="preserve">74/1 </t>
  </si>
  <si>
    <t>96/1</t>
  </si>
  <si>
    <t>DA+09</t>
  </si>
  <si>
    <t>DA+00</t>
  </si>
  <si>
    <t>74/1</t>
  </si>
  <si>
    <t>TB-507 400 KV (Twin) D/C Fatehgarh IV - Bhinmal Transmission Line</t>
  </si>
  <si>
    <t>DPR and VISUAL CHART</t>
  </si>
  <si>
    <t xml:space="preserve">DPR- </t>
  </si>
  <si>
    <t>District</t>
  </si>
  <si>
    <t>No.Of Towers</t>
  </si>
  <si>
    <t>Length</t>
  </si>
  <si>
    <t>Foundation</t>
  </si>
  <si>
    <t>Earthing</t>
  </si>
  <si>
    <t>Tower Erection</t>
  </si>
  <si>
    <t>Stringing</t>
  </si>
  <si>
    <t>Com</t>
  </si>
  <si>
    <t>Bal</t>
  </si>
  <si>
    <t>AP51</t>
  </si>
  <si>
    <t>51/3</t>
  </si>
  <si>
    <t>AP52</t>
  </si>
  <si>
    <t>52/1</t>
  </si>
  <si>
    <t>AP53</t>
  </si>
  <si>
    <t>AP54</t>
  </si>
  <si>
    <t>54/1</t>
  </si>
  <si>
    <t>DA+03</t>
  </si>
  <si>
    <t>DA+06</t>
  </si>
  <si>
    <t>DC+00</t>
  </si>
  <si>
    <t>54/2</t>
  </si>
  <si>
    <t>54/3</t>
  </si>
  <si>
    <t>AP55</t>
  </si>
  <si>
    <t>AP56</t>
  </si>
  <si>
    <t>56/1</t>
  </si>
  <si>
    <t>56/2</t>
  </si>
  <si>
    <t>56/3</t>
  </si>
  <si>
    <t>56/4</t>
  </si>
  <si>
    <t>56/5</t>
  </si>
  <si>
    <t>AP57</t>
  </si>
  <si>
    <t>DB+09</t>
  </si>
  <si>
    <t>Benching &amp;RC</t>
  </si>
  <si>
    <t>Benching Required</t>
  </si>
  <si>
    <t>AP58</t>
  </si>
  <si>
    <t>AP59</t>
  </si>
  <si>
    <t>59/1</t>
  </si>
  <si>
    <t>AP60</t>
  </si>
  <si>
    <t>60/1</t>
  </si>
  <si>
    <t>60/2</t>
  </si>
  <si>
    <t>60/3</t>
  </si>
  <si>
    <t>AP61</t>
  </si>
  <si>
    <t>AP62</t>
  </si>
  <si>
    <t>DC+09</t>
  </si>
  <si>
    <t>DD+00</t>
  </si>
  <si>
    <t>DB+00</t>
  </si>
  <si>
    <t xml:space="preserve">Benching </t>
  </si>
  <si>
    <t>62/1</t>
  </si>
  <si>
    <t>62/2</t>
  </si>
  <si>
    <t>62/3</t>
  </si>
  <si>
    <t>AP63</t>
  </si>
  <si>
    <t>63/1</t>
  </si>
  <si>
    <t>AP64</t>
  </si>
  <si>
    <t>64/1</t>
  </si>
  <si>
    <t>64/2</t>
  </si>
  <si>
    <t>F</t>
  </si>
  <si>
    <t>64/5</t>
  </si>
  <si>
    <t>65/0</t>
  </si>
  <si>
    <t>65/1</t>
  </si>
  <si>
    <t>67/0</t>
  </si>
  <si>
    <t>67/1</t>
  </si>
  <si>
    <t>67/2</t>
  </si>
  <si>
    <t>AP68</t>
  </si>
  <si>
    <t>AP69</t>
  </si>
  <si>
    <t>69/1</t>
  </si>
  <si>
    <t>69/2</t>
  </si>
  <si>
    <t>69/3</t>
  </si>
  <si>
    <t>Benching</t>
  </si>
  <si>
    <t>AP71</t>
  </si>
  <si>
    <t>71/2</t>
  </si>
  <si>
    <t>71/3</t>
  </si>
  <si>
    <t>AP72</t>
  </si>
  <si>
    <t>72/1</t>
  </si>
  <si>
    <t>72/2</t>
  </si>
  <si>
    <t>AP73</t>
  </si>
  <si>
    <t>Benching &amp; RC</t>
  </si>
  <si>
    <t>CLEAR</t>
  </si>
  <si>
    <t>Er</t>
  </si>
  <si>
    <t>AP74</t>
  </si>
  <si>
    <t>AP75</t>
  </si>
  <si>
    <t>AP76</t>
  </si>
  <si>
    <t>77/0</t>
  </si>
  <si>
    <t>AP78</t>
  </si>
  <si>
    <t>Clear</t>
  </si>
  <si>
    <t>78/1</t>
  </si>
  <si>
    <t>AP79</t>
  </si>
  <si>
    <t>79/2</t>
  </si>
  <si>
    <t>AP80</t>
  </si>
  <si>
    <t>AP81</t>
  </si>
  <si>
    <t>DB+03</t>
  </si>
  <si>
    <t>RC,Benching</t>
  </si>
  <si>
    <t>U/P</t>
  </si>
  <si>
    <t>AP82</t>
  </si>
  <si>
    <t>82/1</t>
  </si>
  <si>
    <t>82/2</t>
  </si>
  <si>
    <t>AP83</t>
  </si>
  <si>
    <t>AP84</t>
  </si>
  <si>
    <t>AP85</t>
  </si>
  <si>
    <t>DC+06</t>
  </si>
  <si>
    <t>AP86</t>
  </si>
  <si>
    <t>AP87</t>
  </si>
  <si>
    <t>AP88</t>
  </si>
  <si>
    <t>AP89</t>
  </si>
  <si>
    <t>89/1</t>
  </si>
  <si>
    <t>AP90</t>
  </si>
  <si>
    <t>90/1</t>
  </si>
  <si>
    <t>AP91</t>
  </si>
  <si>
    <t>91/1</t>
  </si>
  <si>
    <t>91/3</t>
  </si>
  <si>
    <t>AP92</t>
  </si>
  <si>
    <t>AP93</t>
  </si>
  <si>
    <t>AP94</t>
  </si>
  <si>
    <t>AP95</t>
  </si>
  <si>
    <t>95/1</t>
  </si>
  <si>
    <t>DB+06</t>
  </si>
  <si>
    <t>95/2</t>
  </si>
  <si>
    <t>95A/0</t>
  </si>
  <si>
    <t>AP96</t>
  </si>
  <si>
    <t>AP97</t>
  </si>
  <si>
    <t>97/1</t>
  </si>
  <si>
    <t>AP98</t>
  </si>
  <si>
    <t>AP98/1</t>
  </si>
  <si>
    <t>98A/0</t>
  </si>
  <si>
    <t>98B/0</t>
  </si>
  <si>
    <t>98B/1</t>
  </si>
  <si>
    <t>98B/2</t>
  </si>
  <si>
    <t>99/0</t>
  </si>
  <si>
    <t>99/2</t>
  </si>
  <si>
    <t>99/3</t>
  </si>
  <si>
    <t>99/4</t>
  </si>
  <si>
    <t>99/6</t>
  </si>
  <si>
    <t>DCT+00</t>
  </si>
  <si>
    <t>AP99A</t>
  </si>
  <si>
    <t>99A/1</t>
  </si>
  <si>
    <t>99A/2</t>
  </si>
  <si>
    <t>AP100</t>
  </si>
  <si>
    <t>100/1</t>
  </si>
  <si>
    <t>AP101</t>
  </si>
  <si>
    <t>AP102</t>
  </si>
  <si>
    <t>102/1</t>
  </si>
  <si>
    <t>102/2</t>
  </si>
  <si>
    <t>AP103</t>
  </si>
  <si>
    <t>103/1</t>
  </si>
  <si>
    <t>DD+06</t>
  </si>
  <si>
    <t>AP104</t>
  </si>
  <si>
    <t>AP104A</t>
  </si>
  <si>
    <t>AP104B</t>
  </si>
  <si>
    <t>104B/1</t>
  </si>
  <si>
    <t>104B/2</t>
  </si>
  <si>
    <t>AP105</t>
  </si>
  <si>
    <t>105/1</t>
  </si>
  <si>
    <t>AP106</t>
  </si>
  <si>
    <t>AP107</t>
  </si>
  <si>
    <t>107/1</t>
  </si>
  <si>
    <t>108/0</t>
  </si>
  <si>
    <t>1MRC</t>
  </si>
  <si>
    <t>AP109</t>
  </si>
  <si>
    <t>AP109A</t>
  </si>
  <si>
    <t>AP110</t>
  </si>
  <si>
    <t>AP111</t>
  </si>
  <si>
    <t>AP112</t>
  </si>
  <si>
    <t>AP113</t>
  </si>
  <si>
    <t>AP113A</t>
  </si>
  <si>
    <t>AP114</t>
  </si>
  <si>
    <t>114/1</t>
  </si>
  <si>
    <t>AP115</t>
  </si>
  <si>
    <t>115/1</t>
  </si>
  <si>
    <t>3 MRC</t>
  </si>
  <si>
    <t>AP116</t>
  </si>
  <si>
    <t>116/1</t>
  </si>
  <si>
    <t>AP117</t>
  </si>
  <si>
    <t>117/1</t>
  </si>
  <si>
    <t>117/2</t>
  </si>
  <si>
    <t>AP118</t>
  </si>
  <si>
    <t>AP119</t>
  </si>
  <si>
    <t>119/1</t>
  </si>
  <si>
    <t>119/2</t>
  </si>
  <si>
    <t>AP120</t>
  </si>
  <si>
    <t>120/1</t>
  </si>
  <si>
    <t>AP121</t>
  </si>
  <si>
    <t>TSE</t>
  </si>
  <si>
    <t>Manual</t>
  </si>
  <si>
    <t>Total</t>
  </si>
  <si>
    <t>Paying out/ Rough sag</t>
  </si>
  <si>
    <t>Tack welding completed</t>
  </si>
  <si>
    <t>Erection ROW</t>
  </si>
  <si>
    <t>Erection Completed ------&gt;</t>
  </si>
  <si>
    <t>Foundation completed ----&gt;</t>
  </si>
  <si>
    <t>&lt;------Insulator hosting</t>
  </si>
  <si>
    <t>Earthing completed -----&gt;</t>
  </si>
  <si>
    <t>Erection Cleared</t>
  </si>
  <si>
    <t xml:space="preserve">HT-D/C Power Line Crossing </t>
  </si>
  <si>
    <t>Cart Track</t>
  </si>
  <si>
    <t>Transformer</t>
  </si>
  <si>
    <t xml:space="preserve">     Water Tank</t>
  </si>
  <si>
    <t>Temple</t>
  </si>
  <si>
    <t>A+0</t>
  </si>
  <si>
    <t>LT Power Line Crossing</t>
  </si>
  <si>
    <t xml:space="preserve">HT-S/C Power Line Crossing </t>
  </si>
  <si>
    <t>Broad Gauge Railway</t>
  </si>
  <si>
    <t>11 KV Line Crossing</t>
  </si>
  <si>
    <t>Line Crossing</t>
  </si>
  <si>
    <t>Hut</t>
  </si>
  <si>
    <t>1/0</t>
  </si>
  <si>
    <t>Location No.</t>
  </si>
  <si>
    <t>33 KV Line Crossing</t>
  </si>
  <si>
    <t>Bore &amp; Handpump</t>
  </si>
  <si>
    <t>Minor River Crossing</t>
  </si>
  <si>
    <t>Forest Stretch</t>
  </si>
  <si>
    <t>SH  Crossing</t>
  </si>
  <si>
    <t>Oil Pipe Line</t>
  </si>
  <si>
    <t>Raised Chimney</t>
  </si>
  <si>
    <t>Major River Crossing</t>
  </si>
  <si>
    <t>NH Crossing</t>
  </si>
  <si>
    <t>Wild Life Sanctuary</t>
  </si>
  <si>
    <t>r</t>
  </si>
  <si>
    <t>FDN</t>
  </si>
  <si>
    <t>TE</t>
  </si>
  <si>
    <t>Tack Welding</t>
  </si>
  <si>
    <t>COM</t>
  </si>
  <si>
    <t>GE</t>
  </si>
  <si>
    <t>AP1</t>
  </si>
  <si>
    <t>AP2</t>
  </si>
  <si>
    <t>AP3</t>
  </si>
  <si>
    <t>03/1</t>
  </si>
  <si>
    <t>3/2</t>
  </si>
  <si>
    <t>3/3</t>
  </si>
  <si>
    <t>3/4</t>
  </si>
  <si>
    <t>3/5</t>
  </si>
  <si>
    <t>3/6</t>
  </si>
  <si>
    <t>DD+03</t>
  </si>
  <si>
    <t>3/7</t>
  </si>
  <si>
    <t>3/8</t>
  </si>
  <si>
    <t>AP4</t>
  </si>
  <si>
    <t>4/1</t>
  </si>
  <si>
    <t>AP5</t>
  </si>
  <si>
    <t>5/1</t>
  </si>
  <si>
    <t>5/2</t>
  </si>
  <si>
    <t>AP6</t>
  </si>
  <si>
    <t>AP7</t>
  </si>
  <si>
    <t>7/1</t>
  </si>
  <si>
    <t>DD+03 RC</t>
  </si>
  <si>
    <t>DD+09</t>
  </si>
  <si>
    <t>7/2</t>
  </si>
  <si>
    <t>7/3</t>
  </si>
  <si>
    <t>7/4</t>
  </si>
  <si>
    <t>7/5</t>
  </si>
  <si>
    <t>7/6</t>
  </si>
  <si>
    <t>'7/7</t>
  </si>
  <si>
    <t>AP8</t>
  </si>
  <si>
    <t>08/01</t>
  </si>
  <si>
    <t>08/2</t>
  </si>
  <si>
    <t>08/3</t>
  </si>
  <si>
    <t>08/4</t>
  </si>
  <si>
    <t>08/5</t>
  </si>
  <si>
    <t>08/6</t>
  </si>
  <si>
    <t>08/7</t>
  </si>
  <si>
    <t>AP9</t>
  </si>
  <si>
    <t>09/01</t>
  </si>
  <si>
    <t>09/02</t>
  </si>
  <si>
    <t>09/03</t>
  </si>
  <si>
    <t>09/04</t>
  </si>
  <si>
    <t>09/05</t>
  </si>
  <si>
    <t>09/06</t>
  </si>
  <si>
    <t>AP10</t>
  </si>
  <si>
    <t>10/01</t>
  </si>
  <si>
    <t>10/02</t>
  </si>
  <si>
    <t>10/03</t>
  </si>
  <si>
    <t>10/04</t>
  </si>
  <si>
    <t>10/05</t>
  </si>
  <si>
    <t>10/06</t>
  </si>
  <si>
    <t>10/07</t>
  </si>
  <si>
    <t>10/08</t>
  </si>
  <si>
    <t>10/09</t>
  </si>
  <si>
    <t>AP11</t>
  </si>
  <si>
    <t>11/01</t>
  </si>
  <si>
    <t>AP12</t>
  </si>
  <si>
    <t>12/01</t>
  </si>
  <si>
    <t>12/02</t>
  </si>
  <si>
    <t>12/03</t>
  </si>
  <si>
    <t>12/04</t>
  </si>
  <si>
    <t>12/05</t>
  </si>
  <si>
    <t>12/06</t>
  </si>
  <si>
    <t>12/07</t>
  </si>
  <si>
    <t>12/08</t>
  </si>
  <si>
    <t>AP13</t>
  </si>
  <si>
    <t>13/01</t>
  </si>
  <si>
    <t>13/02</t>
  </si>
  <si>
    <t>13/03</t>
  </si>
  <si>
    <t>13/04</t>
  </si>
  <si>
    <t>AP14</t>
  </si>
  <si>
    <t>AP15</t>
  </si>
  <si>
    <t>15/01</t>
  </si>
  <si>
    <t>Paddy</t>
  </si>
  <si>
    <t>15/02</t>
  </si>
  <si>
    <t>15/03</t>
  </si>
  <si>
    <t>AP16</t>
  </si>
  <si>
    <t>16/01</t>
  </si>
  <si>
    <t>16/02</t>
  </si>
  <si>
    <t>16/03</t>
  </si>
  <si>
    <t>16/04</t>
  </si>
  <si>
    <t>16/05</t>
  </si>
  <si>
    <t>16/06</t>
  </si>
  <si>
    <t>16/07</t>
  </si>
  <si>
    <t>16/08</t>
  </si>
  <si>
    <t>AP17</t>
  </si>
  <si>
    <t>17/01</t>
  </si>
  <si>
    <t>17/02</t>
  </si>
  <si>
    <t>17/03</t>
  </si>
  <si>
    <t>AP18</t>
  </si>
  <si>
    <t>AP19</t>
  </si>
  <si>
    <t>AP20</t>
  </si>
  <si>
    <t>20/01</t>
  </si>
  <si>
    <t>20/02</t>
  </si>
  <si>
    <t>20/03</t>
  </si>
  <si>
    <t>20/04</t>
  </si>
  <si>
    <t>20/05</t>
  </si>
  <si>
    <t>AP21</t>
  </si>
  <si>
    <t>21/01</t>
  </si>
  <si>
    <t>21/02</t>
  </si>
  <si>
    <t>21/03</t>
  </si>
  <si>
    <t>AP22</t>
  </si>
  <si>
    <t>22/01</t>
  </si>
  <si>
    <t>22/02</t>
  </si>
  <si>
    <t>AP23</t>
  </si>
  <si>
    <t>AP24</t>
  </si>
  <si>
    <t>AP25</t>
  </si>
  <si>
    <t>25/01</t>
  </si>
  <si>
    <t>AP26</t>
  </si>
  <si>
    <t>26/01</t>
  </si>
  <si>
    <t>26/02</t>
  </si>
  <si>
    <t>26/03</t>
  </si>
  <si>
    <t>26/04</t>
  </si>
  <si>
    <t>26/05</t>
  </si>
  <si>
    <t>26/06</t>
  </si>
  <si>
    <t>AP27</t>
  </si>
  <si>
    <t>27/1</t>
  </si>
  <si>
    <t>27/2</t>
  </si>
  <si>
    <t>AP28</t>
  </si>
  <si>
    <t>28/1</t>
  </si>
  <si>
    <t>28/2</t>
  </si>
  <si>
    <t>28/3</t>
  </si>
  <si>
    <t>28/4</t>
  </si>
  <si>
    <t>AP29</t>
  </si>
  <si>
    <t>29/1</t>
  </si>
  <si>
    <t>29/2</t>
  </si>
  <si>
    <t>AP30</t>
  </si>
  <si>
    <t>30/1</t>
  </si>
  <si>
    <t>30/2</t>
  </si>
  <si>
    <t>30/3</t>
  </si>
  <si>
    <t>AP31</t>
  </si>
  <si>
    <t>AP32</t>
  </si>
  <si>
    <t>32/1</t>
  </si>
  <si>
    <t>32/2</t>
  </si>
  <si>
    <t>32/3</t>
  </si>
  <si>
    <t>AP33</t>
  </si>
  <si>
    <t>AP34</t>
  </si>
  <si>
    <t>34/1</t>
  </si>
  <si>
    <t>AP35</t>
  </si>
  <si>
    <t>35/1</t>
  </si>
  <si>
    <t>AP36</t>
  </si>
  <si>
    <t>36/1</t>
  </si>
  <si>
    <t>36/2</t>
  </si>
  <si>
    <t>AP37</t>
  </si>
  <si>
    <t>37/1</t>
  </si>
  <si>
    <t>AP38</t>
  </si>
  <si>
    <t>38/1</t>
  </si>
  <si>
    <t>38/2</t>
  </si>
  <si>
    <t>38/3</t>
  </si>
  <si>
    <t>AP39</t>
  </si>
  <si>
    <t>39/1</t>
  </si>
  <si>
    <t>39/2</t>
  </si>
  <si>
    <t>39/3</t>
  </si>
  <si>
    <t>39/4</t>
  </si>
  <si>
    <t>39/5</t>
  </si>
  <si>
    <t>AP40</t>
  </si>
  <si>
    <t>40/1</t>
  </si>
  <si>
    <t>40/2</t>
  </si>
  <si>
    <t>AP41</t>
  </si>
  <si>
    <t>41/1</t>
  </si>
  <si>
    <t>41/2</t>
  </si>
  <si>
    <t>41/3</t>
  </si>
  <si>
    <t>AP42</t>
  </si>
  <si>
    <t>42/1</t>
  </si>
  <si>
    <t>42/2</t>
  </si>
  <si>
    <t>42/3</t>
  </si>
  <si>
    <t>42/4</t>
  </si>
  <si>
    <t>42/5</t>
  </si>
  <si>
    <t>42/6</t>
  </si>
  <si>
    <t>42/7</t>
  </si>
  <si>
    <t>AP43</t>
  </si>
  <si>
    <t>AP44</t>
  </si>
  <si>
    <t>44/1</t>
  </si>
  <si>
    <t>AP45</t>
  </si>
  <si>
    <t>45/1</t>
  </si>
  <si>
    <t>45/2</t>
  </si>
  <si>
    <t>45/3</t>
  </si>
  <si>
    <t>45/4</t>
  </si>
  <si>
    <t>AP46</t>
  </si>
  <si>
    <t>AP47</t>
  </si>
  <si>
    <t>47/1</t>
  </si>
  <si>
    <t>47/2</t>
  </si>
  <si>
    <t>AP48</t>
  </si>
  <si>
    <t>AP49</t>
  </si>
  <si>
    <t>CHECK SURVEY WIP</t>
  </si>
  <si>
    <t>63/2</t>
  </si>
  <si>
    <t>AP65</t>
  </si>
  <si>
    <t>AP66</t>
  </si>
  <si>
    <t>AP67</t>
  </si>
  <si>
    <t>67/3</t>
  </si>
  <si>
    <t>67/4</t>
  </si>
  <si>
    <t>67/5</t>
  </si>
  <si>
    <t>AP70</t>
  </si>
  <si>
    <t>425..84</t>
  </si>
  <si>
    <t>WIP CHECK SURVEY</t>
  </si>
  <si>
    <t>98/2</t>
  </si>
  <si>
    <t>98/3</t>
  </si>
  <si>
    <t>98/4</t>
  </si>
  <si>
    <t>98/5</t>
  </si>
  <si>
    <t>AP99</t>
  </si>
  <si>
    <t>100/0</t>
  </si>
  <si>
    <t>101/0</t>
  </si>
  <si>
    <t>102/0</t>
  </si>
  <si>
    <t>104/0</t>
  </si>
  <si>
    <t>104/1</t>
  </si>
  <si>
    <t>104/2</t>
  </si>
  <si>
    <t>104/3</t>
  </si>
  <si>
    <t>105/0</t>
  </si>
  <si>
    <t>106/0</t>
  </si>
  <si>
    <t>AP108</t>
  </si>
  <si>
    <t>DC+03</t>
  </si>
  <si>
    <t>109/1</t>
  </si>
  <si>
    <t>110/0</t>
  </si>
  <si>
    <t>110/1</t>
  </si>
  <si>
    <t>AP122</t>
  </si>
  <si>
    <t>122/1</t>
  </si>
  <si>
    <t>122/2</t>
  </si>
  <si>
    <t>AP123</t>
  </si>
  <si>
    <t>AP124</t>
  </si>
  <si>
    <t>AP125</t>
  </si>
  <si>
    <t>125/1</t>
  </si>
  <si>
    <t>125/2</t>
  </si>
  <si>
    <t>125/3</t>
  </si>
  <si>
    <t>AP126</t>
  </si>
  <si>
    <t>126/1</t>
  </si>
  <si>
    <t>126/2</t>
  </si>
  <si>
    <t>126/3</t>
  </si>
  <si>
    <t>AP127</t>
  </si>
  <si>
    <t>127/1</t>
  </si>
  <si>
    <t>AP128</t>
  </si>
  <si>
    <t>128/1</t>
  </si>
  <si>
    <t>AP129</t>
  </si>
  <si>
    <t>129/1</t>
  </si>
  <si>
    <t>129/2</t>
  </si>
  <si>
    <t>AP130</t>
  </si>
  <si>
    <t>130/1</t>
  </si>
  <si>
    <t>131/1</t>
  </si>
  <si>
    <t>131/2</t>
  </si>
  <si>
    <t>132/0</t>
  </si>
  <si>
    <t>132/1</t>
  </si>
  <si>
    <t>132/2</t>
  </si>
  <si>
    <t>132/3</t>
  </si>
  <si>
    <t>132/4</t>
  </si>
  <si>
    <t>AP133</t>
  </si>
  <si>
    <t>133/4</t>
  </si>
  <si>
    <t>133/5</t>
  </si>
  <si>
    <t>133/6</t>
  </si>
  <si>
    <t>133/7</t>
  </si>
  <si>
    <t>133/8</t>
  </si>
  <si>
    <t>133/9</t>
  </si>
  <si>
    <t>AP134</t>
  </si>
  <si>
    <t>134/1</t>
  </si>
  <si>
    <t>134/2</t>
  </si>
  <si>
    <t>134/3</t>
  </si>
  <si>
    <t>AP135</t>
  </si>
  <si>
    <t>135/1</t>
  </si>
  <si>
    <t>135/2</t>
  </si>
  <si>
    <t>135/3</t>
  </si>
  <si>
    <t>AP136</t>
  </si>
  <si>
    <t>AP137</t>
  </si>
  <si>
    <t>AP138</t>
  </si>
  <si>
    <t>138/1</t>
  </si>
  <si>
    <t>138/2</t>
  </si>
  <si>
    <t>138/3</t>
  </si>
  <si>
    <t>AP139</t>
  </si>
  <si>
    <t>139/1</t>
  </si>
  <si>
    <t>AP140</t>
  </si>
  <si>
    <t>140/1</t>
  </si>
  <si>
    <t>140/2</t>
  </si>
  <si>
    <t>140/3</t>
  </si>
  <si>
    <t>AP141</t>
  </si>
  <si>
    <t>141/1</t>
  </si>
  <si>
    <t>141/2</t>
  </si>
  <si>
    <t>AP142</t>
  </si>
  <si>
    <t>AP143</t>
  </si>
  <si>
    <t>143/1</t>
  </si>
  <si>
    <t>143/2</t>
  </si>
  <si>
    <t>143/3</t>
  </si>
  <si>
    <t>143/4</t>
  </si>
  <si>
    <t>143/5</t>
  </si>
  <si>
    <t>143/6</t>
  </si>
  <si>
    <t>143/7</t>
  </si>
  <si>
    <t>AP144</t>
  </si>
  <si>
    <t>AP145</t>
  </si>
  <si>
    <t>145/1</t>
  </si>
  <si>
    <t>145/2</t>
  </si>
  <si>
    <t>145/3</t>
  </si>
  <si>
    <t>145/4</t>
  </si>
  <si>
    <t>AP146</t>
  </si>
  <si>
    <t>146/1</t>
  </si>
  <si>
    <t>146/2</t>
  </si>
  <si>
    <t>147/1</t>
  </si>
  <si>
    <t>147/2</t>
  </si>
  <si>
    <t>147/3</t>
  </si>
  <si>
    <t>147/4</t>
  </si>
  <si>
    <t>147/5</t>
  </si>
  <si>
    <t>147/6</t>
  </si>
  <si>
    <t>147/7</t>
  </si>
  <si>
    <t>147/8</t>
  </si>
  <si>
    <t>148/1</t>
  </si>
  <si>
    <t>148/2</t>
  </si>
  <si>
    <t>148/3</t>
  </si>
  <si>
    <t>148/4</t>
  </si>
  <si>
    <t>148/5</t>
  </si>
  <si>
    <t>148/6</t>
  </si>
  <si>
    <t>148/7</t>
  </si>
  <si>
    <t>148/8</t>
  </si>
  <si>
    <t>148/9</t>
  </si>
  <si>
    <t>AP149</t>
  </si>
  <si>
    <t>149/1</t>
  </si>
  <si>
    <t>149/2</t>
  </si>
  <si>
    <t>AP150</t>
  </si>
  <si>
    <t>AP151</t>
  </si>
  <si>
    <t>AP152</t>
  </si>
  <si>
    <t>AP153</t>
  </si>
  <si>
    <t>153/1</t>
  </si>
  <si>
    <t>AP154</t>
  </si>
  <si>
    <t>AP155</t>
  </si>
  <si>
    <t>AP156</t>
  </si>
  <si>
    <t>AP157</t>
  </si>
  <si>
    <t>FDN COM</t>
  </si>
  <si>
    <t>TE COM</t>
  </si>
  <si>
    <t>STR COM</t>
  </si>
  <si>
    <t>Crossing Type</t>
  </si>
  <si>
    <t>110kV</t>
  </si>
  <si>
    <t>230kV</t>
  </si>
  <si>
    <t>320kV</t>
  </si>
  <si>
    <t>765kV</t>
  </si>
  <si>
    <t>NH-Xing</t>
  </si>
  <si>
    <t>Railway Xing</t>
  </si>
  <si>
    <t>FDN WIP</t>
  </si>
  <si>
    <t xml:space="preserve">  TE WIP </t>
  </si>
  <si>
    <t xml:space="preserve">  STR WIP </t>
  </si>
  <si>
    <t>Total Nos</t>
  </si>
  <si>
    <t>FDN ROW</t>
  </si>
  <si>
    <t>TE ROW</t>
  </si>
  <si>
    <t>STR ROW</t>
  </si>
  <si>
    <t xml:space="preserve">Completed </t>
  </si>
  <si>
    <t>Balance</t>
  </si>
  <si>
    <t>Earthing  COM</t>
  </si>
  <si>
    <t>Tackwelding COM</t>
  </si>
  <si>
    <t>Nos</t>
  </si>
  <si>
    <t>CMP</t>
  </si>
  <si>
    <t>Kms</t>
  </si>
  <si>
    <t>122/0</t>
  </si>
  <si>
    <t>123/0</t>
  </si>
  <si>
    <t>124/0</t>
  </si>
  <si>
    <t>125/0</t>
  </si>
  <si>
    <t>127/0</t>
  </si>
  <si>
    <t>128/0</t>
  </si>
  <si>
    <t>129/0</t>
  </si>
  <si>
    <t>130/0</t>
  </si>
  <si>
    <t>CHECK SURVEY</t>
  </si>
  <si>
    <t>Tower Schedule from AP-75/0 to AP-92/0 (Section Length = 20.273 kms)</t>
  </si>
  <si>
    <t>AS PER DETAILED SURVEY</t>
  </si>
  <si>
    <t>AS PER CHECK SURVEY</t>
  </si>
  <si>
    <t>Sl. No</t>
  </si>
  <si>
    <t>Twr No.</t>
  </si>
  <si>
    <t>Raise Chimney</t>
  </si>
  <si>
    <t>Deviation Angle (DMS)</t>
  </si>
  <si>
    <t>Span (m)</t>
  </si>
  <si>
    <t>Section Length  (M)</t>
  </si>
  <si>
    <t>Ground Cutting
Length X Height</t>
  </si>
  <si>
    <t>Sum of Adjacent Span</t>
  </si>
  <si>
    <t>Wind Span (m)</t>
  </si>
  <si>
    <t>Weight Span (Cold)</t>
  </si>
  <si>
    <t>Weight Span (Hot)</t>
  </si>
  <si>
    <t>Major Crossings /Remarks</t>
  </si>
  <si>
    <t>UTM Coordinate (Zone  43)</t>
  </si>
  <si>
    <t>Left</t>
  </si>
  <si>
    <t>Right</t>
  </si>
  <si>
    <t>Easting</t>
  </si>
  <si>
    <t>Northing</t>
  </si>
  <si>
    <t>Elevation</t>
  </si>
  <si>
    <r>
      <rPr>
        <sz val="8"/>
        <rFont val="Arial MT"/>
        <charset val="134"/>
      </rPr>
      <t>AP75</t>
    </r>
  </si>
  <si>
    <r>
      <rPr>
        <sz val="8"/>
        <rFont val="Arial MT"/>
        <charset val="134"/>
      </rPr>
      <t>DC+0</t>
    </r>
  </si>
  <si>
    <r>
      <rPr>
        <sz val="8"/>
        <rFont val="Arial MT"/>
        <charset val="134"/>
      </rPr>
      <t>17°34'26"(RT)</t>
    </r>
  </si>
  <si>
    <t>00°00'00"(RT)</t>
  </si>
  <si>
    <r>
      <rPr>
        <sz val="8"/>
        <rFont val="Arial MT"/>
        <charset val="134"/>
      </rPr>
      <t>Road,11Kv Line</t>
    </r>
  </si>
  <si>
    <r>
      <rPr>
        <sz val="8"/>
        <rFont val="Arial MT"/>
        <charset val="134"/>
      </rPr>
      <t>75/1</t>
    </r>
  </si>
  <si>
    <r>
      <rPr>
        <sz val="8"/>
        <rFont val="Arial MT"/>
        <charset val="134"/>
      </rPr>
      <t>DA+0</t>
    </r>
  </si>
  <si>
    <r>
      <rPr>
        <sz val="8"/>
        <rFont val="Arial MT"/>
        <charset val="134"/>
      </rPr>
      <t>Water Tank</t>
    </r>
  </si>
  <si>
    <r>
      <rPr>
        <sz val="8"/>
        <rFont val="Arial MT"/>
        <charset val="134"/>
      </rPr>
      <t>75/2</t>
    </r>
  </si>
  <si>
    <r>
      <rPr>
        <sz val="8"/>
        <rFont val="Arial MT"/>
        <charset val="134"/>
      </rPr>
      <t>75/3</t>
    </r>
  </si>
  <si>
    <r>
      <rPr>
        <sz val="8"/>
        <rFont val="Arial MT"/>
        <charset val="134"/>
      </rPr>
      <t>DA+3</t>
    </r>
  </si>
  <si>
    <r>
      <rPr>
        <sz val="8"/>
        <rFont val="Arial MT"/>
        <charset val="134"/>
      </rPr>
      <t>Cart Track</t>
    </r>
  </si>
  <si>
    <r>
      <rPr>
        <sz val="8"/>
        <rFont val="Arial MT"/>
        <charset val="134"/>
      </rPr>
      <t>75/4</t>
    </r>
  </si>
  <si>
    <r>
      <rPr>
        <sz val="8"/>
        <rFont val="Arial MT"/>
        <charset val="134"/>
      </rPr>
      <t>11kV Line</t>
    </r>
  </si>
  <si>
    <r>
      <rPr>
        <sz val="8"/>
        <rFont val="Arial MT"/>
        <charset val="134"/>
      </rPr>
      <t>75/5</t>
    </r>
  </si>
  <si>
    <r>
      <rPr>
        <sz val="8"/>
        <rFont val="Arial MT"/>
        <charset val="134"/>
      </rPr>
      <t>75/6</t>
    </r>
  </si>
  <si>
    <r>
      <rPr>
        <sz val="8"/>
        <rFont val="Arial MT"/>
        <charset val="134"/>
      </rPr>
      <t>75/7</t>
    </r>
  </si>
  <si>
    <r>
      <rPr>
        <sz val="8"/>
        <rFont val="Arial MT"/>
        <charset val="134"/>
      </rPr>
      <t>AP76</t>
    </r>
  </si>
  <si>
    <r>
      <rPr>
        <sz val="8"/>
        <rFont val="Arial MT"/>
        <charset val="134"/>
      </rPr>
      <t>16°40'52"(LT)</t>
    </r>
  </si>
  <si>
    <r>
      <rPr>
        <sz val="8"/>
        <rFont val="Arial MT"/>
        <charset val="134"/>
      </rPr>
      <t>76/1</t>
    </r>
  </si>
  <si>
    <r>
      <rPr>
        <sz val="8"/>
        <rFont val="Arial MT"/>
        <charset val="134"/>
      </rPr>
      <t>DA+6</t>
    </r>
  </si>
  <si>
    <r>
      <rPr>
        <sz val="8"/>
        <rFont val="Arial MT"/>
        <charset val="134"/>
      </rPr>
      <t>AP77</t>
    </r>
  </si>
  <si>
    <r>
      <rPr>
        <sz val="8"/>
        <rFont val="Arial MT"/>
        <charset val="134"/>
      </rPr>
      <t>DB+0</t>
    </r>
  </si>
  <si>
    <r>
      <rPr>
        <sz val="8"/>
        <rFont val="Arial MT"/>
        <charset val="134"/>
      </rPr>
      <t>12°41'03"(RT)</t>
    </r>
  </si>
  <si>
    <r>
      <rPr>
        <sz val="8"/>
        <rFont val="Arial MT"/>
        <charset val="134"/>
      </rPr>
      <t>77/1</t>
    </r>
  </si>
  <si>
    <r>
      <rPr>
        <sz val="8"/>
        <rFont val="Arial MT"/>
        <charset val="134"/>
      </rPr>
      <t>2Nos.11kV Line,Road</t>
    </r>
  </si>
  <si>
    <r>
      <rPr>
        <sz val="8"/>
        <rFont val="Arial MT"/>
        <charset val="134"/>
      </rPr>
      <t>77/2</t>
    </r>
  </si>
  <si>
    <r>
      <rPr>
        <sz val="8"/>
        <rFont val="Arial MT"/>
        <charset val="134"/>
      </rPr>
      <t>77/3</t>
    </r>
  </si>
  <si>
    <r>
      <rPr>
        <sz val="8"/>
        <rFont val="Arial MT"/>
        <charset val="134"/>
      </rPr>
      <t>11kV Line,Road</t>
    </r>
  </si>
  <si>
    <r>
      <rPr>
        <sz val="8"/>
        <rFont val="Arial MT"/>
        <charset val="134"/>
      </rPr>
      <t>77/4</t>
    </r>
  </si>
  <si>
    <r>
      <rPr>
        <sz val="8"/>
        <rFont val="Arial MT"/>
        <charset val="134"/>
      </rPr>
      <t>77/5</t>
    </r>
  </si>
  <si>
    <r>
      <rPr>
        <sz val="8"/>
        <rFont val="Arial MT"/>
        <charset val="134"/>
      </rPr>
      <t>AP78</t>
    </r>
  </si>
  <si>
    <r>
      <rPr>
        <sz val="8"/>
        <rFont val="Arial MT"/>
        <charset val="134"/>
      </rPr>
      <t>24°47'00"(LT)</t>
    </r>
  </si>
  <si>
    <r>
      <rPr>
        <sz val="8"/>
        <rFont val="Arial MT"/>
        <charset val="134"/>
      </rPr>
      <t>WaterTank</t>
    </r>
  </si>
  <si>
    <r>
      <rPr>
        <sz val="8"/>
        <rFont val="Arial MT"/>
        <charset val="134"/>
      </rPr>
      <t>78/1</t>
    </r>
  </si>
  <si>
    <r>
      <rPr>
        <sz val="8"/>
        <rFont val="Arial MT"/>
        <charset val="134"/>
      </rPr>
      <t>AP79</t>
    </r>
  </si>
  <si>
    <r>
      <rPr>
        <sz val="8"/>
        <rFont val="Arial MT"/>
        <charset val="134"/>
      </rPr>
      <t>DD+0</t>
    </r>
  </si>
  <si>
    <r>
      <rPr>
        <sz val="8"/>
        <rFont val="Arial MT"/>
        <charset val="134"/>
      </rPr>
      <t>38°25'04"(RT)</t>
    </r>
  </si>
  <si>
    <r>
      <rPr>
        <sz val="8"/>
        <rFont val="Arial MT"/>
        <charset val="134"/>
      </rPr>
      <t>3No.11kV Line,Cart Track</t>
    </r>
  </si>
  <si>
    <r>
      <rPr>
        <sz val="8"/>
        <rFont val="Arial MT"/>
        <charset val="134"/>
      </rPr>
      <t>79/1</t>
    </r>
  </si>
  <si>
    <r>
      <rPr>
        <sz val="8"/>
        <rFont val="Arial MT"/>
        <charset val="134"/>
      </rPr>
      <t>DA+9</t>
    </r>
  </si>
  <si>
    <r>
      <rPr>
        <sz val="8"/>
        <rFont val="Arial MT"/>
        <charset val="134"/>
      </rPr>
      <t>79/2</t>
    </r>
  </si>
  <si>
    <r>
      <rPr>
        <sz val="8"/>
        <rFont val="Arial MT"/>
        <charset val="134"/>
      </rPr>
      <t>AP80</t>
    </r>
  </si>
  <si>
    <r>
      <rPr>
        <sz val="8"/>
        <rFont val="Arial MT"/>
        <charset val="134"/>
      </rPr>
      <t>DB+3</t>
    </r>
  </si>
  <si>
    <r>
      <rPr>
        <sz val="8"/>
        <rFont val="Arial MT"/>
        <charset val="134"/>
      </rPr>
      <t>14°24'42"(LT)</t>
    </r>
  </si>
  <si>
    <r>
      <rPr>
        <sz val="8"/>
        <rFont val="Arial MT"/>
        <charset val="134"/>
      </rPr>
      <t>Road</t>
    </r>
  </si>
  <si>
    <r>
      <rPr>
        <sz val="8"/>
        <rFont val="Arial MT"/>
        <charset val="134"/>
      </rPr>
      <t>80/1</t>
    </r>
  </si>
  <si>
    <r>
      <rPr>
        <sz val="8"/>
        <rFont val="Arial MT"/>
        <charset val="134"/>
      </rPr>
      <t>Cart Track,2Nos.11kV Line</t>
    </r>
  </si>
  <si>
    <r>
      <rPr>
        <sz val="8"/>
        <rFont val="Arial MT"/>
        <charset val="134"/>
      </rPr>
      <t>AP81</t>
    </r>
  </si>
  <si>
    <r>
      <rPr>
        <sz val="8"/>
        <rFont val="Arial MT"/>
        <charset val="134"/>
      </rPr>
      <t>DB+9</t>
    </r>
  </si>
  <si>
    <r>
      <rPr>
        <sz val="8"/>
        <rFont val="Arial MT"/>
        <charset val="134"/>
      </rPr>
      <t>14°07'31"(RT)</t>
    </r>
  </si>
  <si>
    <r>
      <rPr>
        <sz val="8"/>
        <rFont val="Arial MT"/>
        <charset val="134"/>
      </rPr>
      <t>81/1</t>
    </r>
  </si>
  <si>
    <t>Benching &amp; RC Required</t>
  </si>
  <si>
    <r>
      <rPr>
        <sz val="8"/>
        <rFont val="Arial MT"/>
        <charset val="134"/>
      </rPr>
      <t>Cart Track,2Nos.WaterTank</t>
    </r>
  </si>
  <si>
    <r>
      <rPr>
        <sz val="8"/>
        <rFont val="Arial MT"/>
        <charset val="134"/>
      </rPr>
      <t>81/2</t>
    </r>
  </si>
  <si>
    <r>
      <rPr>
        <sz val="8"/>
        <rFont val="Arial MT"/>
        <charset val="134"/>
      </rPr>
      <t>81/3</t>
    </r>
  </si>
  <si>
    <r>
      <rPr>
        <sz val="8"/>
        <rFont val="Arial MT"/>
        <charset val="134"/>
      </rPr>
      <t>81/4</t>
    </r>
  </si>
  <si>
    <r>
      <rPr>
        <sz val="8"/>
        <rFont val="Arial MT"/>
        <charset val="134"/>
      </rPr>
      <t>WaterTank,11kV Line,Road,33kV Line</t>
    </r>
  </si>
  <si>
    <r>
      <rPr>
        <sz val="8"/>
        <rFont val="Arial MT"/>
        <charset val="134"/>
      </rPr>
      <t>81/5</t>
    </r>
  </si>
  <si>
    <r>
      <rPr>
        <sz val="8"/>
        <rFont val="Arial MT"/>
        <charset val="134"/>
      </rPr>
      <t>2Nos. 11kV Line</t>
    </r>
  </si>
  <si>
    <r>
      <rPr>
        <sz val="8"/>
        <rFont val="Arial MT"/>
        <charset val="134"/>
      </rPr>
      <t>AP82</t>
    </r>
  </si>
  <si>
    <r>
      <rPr>
        <sz val="8"/>
        <rFont val="Arial MT"/>
        <charset val="134"/>
      </rPr>
      <t>12°00'06"(LT)</t>
    </r>
  </si>
  <si>
    <r>
      <rPr>
        <sz val="8"/>
        <rFont val="Arial MT"/>
        <charset val="134"/>
      </rPr>
      <t>82/1</t>
    </r>
  </si>
  <si>
    <r>
      <rPr>
        <sz val="8"/>
        <rFont val="Arial MT"/>
        <charset val="134"/>
      </rPr>
      <t>82/2</t>
    </r>
  </si>
  <si>
    <r>
      <rPr>
        <sz val="8"/>
        <rFont val="Arial MT"/>
        <charset val="134"/>
      </rPr>
      <t>AP83</t>
    </r>
  </si>
  <si>
    <r>
      <rPr>
        <sz val="8"/>
        <rFont val="Arial MT"/>
        <charset val="134"/>
      </rPr>
      <t>14°21'11"(RT)</t>
    </r>
  </si>
  <si>
    <r>
      <rPr>
        <sz val="8"/>
        <rFont val="Arial MT"/>
        <charset val="134"/>
      </rPr>
      <t>2Nos.Cart Track</t>
    </r>
  </si>
  <si>
    <r>
      <rPr>
        <sz val="8"/>
        <rFont val="Arial MT"/>
        <charset val="134"/>
      </rPr>
      <t>83/1</t>
    </r>
  </si>
  <si>
    <r>
      <rPr>
        <sz val="8"/>
        <rFont val="Arial MT"/>
        <charset val="134"/>
      </rPr>
      <t>AP84</t>
    </r>
  </si>
  <si>
    <r>
      <rPr>
        <sz val="8"/>
        <rFont val="Arial MT"/>
        <charset val="134"/>
      </rPr>
      <t>DC+6</t>
    </r>
  </si>
  <si>
    <r>
      <rPr>
        <sz val="8"/>
        <rFont val="Arial MT"/>
        <charset val="134"/>
      </rPr>
      <t>17°28'54"(LT)</t>
    </r>
  </si>
  <si>
    <r>
      <rPr>
        <sz val="8"/>
        <rFont val="Arial MT"/>
        <charset val="134"/>
      </rPr>
      <t>AP85</t>
    </r>
  </si>
  <si>
    <r>
      <rPr>
        <sz val="8"/>
        <rFont val="Arial MT"/>
        <charset val="134"/>
      </rPr>
      <t>26°43'01"(RT)</t>
    </r>
  </si>
  <si>
    <r>
      <rPr>
        <sz val="8"/>
        <rFont val="Arial MT"/>
        <charset val="134"/>
      </rPr>
      <t>85/1</t>
    </r>
  </si>
  <si>
    <r>
      <rPr>
        <sz val="8"/>
        <rFont val="Arial MT"/>
        <charset val="134"/>
      </rPr>
      <t>AP86</t>
    </r>
  </si>
  <si>
    <r>
      <rPr>
        <sz val="8"/>
        <rFont val="Arial MT"/>
        <charset val="134"/>
      </rPr>
      <t>40°12'50"(LT)</t>
    </r>
  </si>
  <si>
    <r>
      <rPr>
        <sz val="8"/>
        <rFont val="Arial MT"/>
        <charset val="134"/>
      </rPr>
      <t>86/1</t>
    </r>
  </si>
  <si>
    <r>
      <rPr>
        <sz val="8"/>
        <rFont val="Arial MT"/>
        <charset val="134"/>
      </rPr>
      <t>11kV Line,2No.Cart Track</t>
    </r>
  </si>
  <si>
    <r>
      <rPr>
        <sz val="8"/>
        <rFont val="Arial MT"/>
        <charset val="134"/>
      </rPr>
      <t>86/2</t>
    </r>
  </si>
  <si>
    <r>
      <rPr>
        <sz val="8"/>
        <rFont val="Arial MT"/>
        <charset val="134"/>
      </rPr>
      <t>AP87</t>
    </r>
  </si>
  <si>
    <r>
      <rPr>
        <sz val="8"/>
        <rFont val="Arial MT"/>
        <charset val="134"/>
      </rPr>
      <t>23°52'06"(RT)</t>
    </r>
  </si>
  <si>
    <r>
      <rPr>
        <sz val="8"/>
        <rFont val="Arial MT"/>
        <charset val="134"/>
      </rPr>
      <t>87/1</t>
    </r>
  </si>
  <si>
    <r>
      <rPr>
        <sz val="8"/>
        <rFont val="Arial MT"/>
        <charset val="134"/>
      </rPr>
      <t>87/2</t>
    </r>
  </si>
  <si>
    <r>
      <rPr>
        <sz val="8"/>
        <rFont val="Arial MT"/>
        <charset val="134"/>
      </rPr>
      <t xml:space="preserve">Cart Track , </t>
    </r>
    <r>
      <rPr>
        <sz val="8"/>
        <rFont val="Arial"/>
        <family val="2"/>
      </rPr>
      <t>Benching Required 1m depth &amp; 5m Length</t>
    </r>
  </si>
  <si>
    <r>
      <rPr>
        <sz val="8"/>
        <rFont val="Arial MT"/>
        <charset val="134"/>
      </rPr>
      <t>AP88</t>
    </r>
  </si>
  <si>
    <r>
      <rPr>
        <sz val="8"/>
        <rFont val="Arial MT"/>
        <charset val="134"/>
      </rPr>
      <t>24°54'04"(RT)</t>
    </r>
  </si>
  <si>
    <r>
      <rPr>
        <sz val="8"/>
        <rFont val="Arial MT"/>
        <charset val="134"/>
      </rPr>
      <t>AP89</t>
    </r>
  </si>
  <si>
    <r>
      <rPr>
        <sz val="8"/>
        <rFont val="Arial MT"/>
        <charset val="134"/>
      </rPr>
      <t>24°07'20"(LT)</t>
    </r>
  </si>
  <si>
    <r>
      <rPr>
        <sz val="8"/>
        <rFont val="Arial MT"/>
        <charset val="134"/>
      </rPr>
      <t>Road,Cart Track</t>
    </r>
  </si>
  <si>
    <r>
      <rPr>
        <sz val="8"/>
        <rFont val="Arial MT"/>
        <charset val="134"/>
      </rPr>
      <t>89/1</t>
    </r>
  </si>
  <si>
    <r>
      <rPr>
        <sz val="8"/>
        <rFont val="Arial MT"/>
        <charset val="134"/>
      </rPr>
      <t>2Nos.11kV Line</t>
    </r>
  </si>
  <si>
    <r>
      <rPr>
        <sz val="8"/>
        <rFont val="Arial MT"/>
        <charset val="134"/>
      </rPr>
      <t>AP90</t>
    </r>
  </si>
  <si>
    <r>
      <rPr>
        <sz val="8"/>
        <rFont val="Arial MT"/>
        <charset val="134"/>
      </rPr>
      <t>17°57'57"(RT)</t>
    </r>
  </si>
  <si>
    <r>
      <rPr>
        <sz val="8"/>
        <rFont val="Arial MT"/>
        <charset val="134"/>
      </rPr>
      <t>90/1</t>
    </r>
  </si>
  <si>
    <r>
      <rPr>
        <sz val="8"/>
        <rFont val="Arial MT"/>
        <charset val="134"/>
      </rPr>
      <t>2Nos. WaterTank,11kV Line,Cart Track</t>
    </r>
  </si>
  <si>
    <r>
      <rPr>
        <sz val="8"/>
        <rFont val="Arial MT"/>
        <charset val="134"/>
      </rPr>
      <t>AP91</t>
    </r>
  </si>
  <si>
    <r>
      <rPr>
        <sz val="8"/>
        <rFont val="Arial MT"/>
        <charset val="134"/>
      </rPr>
      <t>38°03'06"(LT)</t>
    </r>
  </si>
  <si>
    <r>
      <rPr>
        <sz val="8"/>
        <rFont val="Arial MT"/>
        <charset val="134"/>
      </rPr>
      <t>91/1</t>
    </r>
  </si>
  <si>
    <r>
      <rPr>
        <sz val="8"/>
        <rFont val="Arial MT"/>
        <charset val="134"/>
      </rPr>
      <t>91/2</t>
    </r>
  </si>
  <si>
    <r>
      <rPr>
        <sz val="8"/>
        <rFont val="Arial MT"/>
        <charset val="134"/>
      </rPr>
      <t>Cart Track,11kV Line</t>
    </r>
  </si>
  <si>
    <r>
      <rPr>
        <sz val="8"/>
        <rFont val="Arial MT"/>
        <charset val="134"/>
      </rPr>
      <t>91/3</t>
    </r>
  </si>
  <si>
    <r>
      <rPr>
        <sz val="8"/>
        <rFont val="Arial MT"/>
        <charset val="134"/>
      </rPr>
      <t>AP92</t>
    </r>
  </si>
  <si>
    <r>
      <rPr>
        <sz val="8"/>
        <rFont val="Arial MT"/>
        <charset val="134"/>
      </rPr>
      <t>15°43'35"(LT)</t>
    </r>
  </si>
  <si>
    <t>00°00'00"(LT)</t>
  </si>
  <si>
    <t>Summary of Tower Quantities</t>
  </si>
  <si>
    <t>As per Detail survey</t>
  </si>
  <si>
    <t>As per Check Survey</t>
  </si>
  <si>
    <t>Twr Type</t>
  </si>
  <si>
    <t>Qty in Nos</t>
  </si>
  <si>
    <t>=</t>
  </si>
  <si>
    <t>FOR   KEC INTERNATIONAL LTD</t>
  </si>
  <si>
    <t>FOR   RAJASTHAN IV A POWER TRANSMISSION LTD.</t>
  </si>
  <si>
    <t>SURVEYED BY:</t>
  </si>
  <si>
    <t>CHECKED BY:</t>
  </si>
  <si>
    <t>SUBMITTED BY:</t>
  </si>
  <si>
    <t>RECOMMENDED BY:</t>
  </si>
  <si>
    <t>APPROVED BY:</t>
  </si>
  <si>
    <t>NAME OF LINE: 400kV Transmisison Line Fatehgarh IV to Bhinmal</t>
  </si>
  <si>
    <t>As Per L2</t>
  </si>
  <si>
    <t>Sl. No.</t>
  </si>
  <si>
    <t>ACTIVITY</t>
  </si>
  <si>
    <t>Responsibility</t>
  </si>
  <si>
    <t>Sch. Start date</t>
  </si>
  <si>
    <t>Sch. Finish date</t>
  </si>
  <si>
    <t>Days</t>
  </si>
  <si>
    <t>Unit</t>
  </si>
  <si>
    <t>Quantity</t>
  </si>
  <si>
    <t>Dec'24</t>
  </si>
  <si>
    <t>Jan'25</t>
  </si>
  <si>
    <t>Feb'25</t>
  </si>
  <si>
    <t>Mar'25</t>
  </si>
  <si>
    <t>Apr'25</t>
  </si>
  <si>
    <t>May'25</t>
  </si>
  <si>
    <t>Jun'25</t>
  </si>
  <si>
    <t>Jul'25</t>
  </si>
  <si>
    <t>Aug'25</t>
  </si>
  <si>
    <t>Sep'25</t>
  </si>
  <si>
    <t>Oct'25</t>
  </si>
  <si>
    <t>Nov'25</t>
  </si>
  <si>
    <t>Dec'25</t>
  </si>
  <si>
    <t>Jan'26</t>
  </si>
  <si>
    <t>Feb'26</t>
  </si>
  <si>
    <t>Mar'26</t>
  </si>
  <si>
    <t>Apr'26</t>
  </si>
  <si>
    <t>May'26</t>
  </si>
  <si>
    <t>June'26</t>
  </si>
  <si>
    <t>M0</t>
  </si>
  <si>
    <t>M1</t>
  </si>
  <si>
    <t>M2</t>
  </si>
  <si>
    <t>M3</t>
  </si>
  <si>
    <t>M4</t>
  </si>
  <si>
    <t>M5</t>
  </si>
  <si>
    <t>M6</t>
  </si>
  <si>
    <t>M7</t>
  </si>
  <si>
    <t>M8</t>
  </si>
  <si>
    <t>M9</t>
  </si>
  <si>
    <t>M10</t>
  </si>
  <si>
    <t>M11</t>
  </si>
  <si>
    <t>M12</t>
  </si>
  <si>
    <t>M13</t>
  </si>
  <si>
    <t>M14</t>
  </si>
  <si>
    <t>M15</t>
  </si>
  <si>
    <t>M16</t>
  </si>
  <si>
    <t>M17</t>
  </si>
  <si>
    <t>M18</t>
  </si>
  <si>
    <t>Notice  of Award</t>
  </si>
  <si>
    <t>KEC &amp; Apraava</t>
  </si>
  <si>
    <t>Services</t>
  </si>
  <si>
    <t>Establishment of site office</t>
  </si>
  <si>
    <t>KEC</t>
  </si>
  <si>
    <t>LS</t>
  </si>
  <si>
    <t>Check Survey Submission &amp; Approval</t>
  </si>
  <si>
    <t>Kms.</t>
  </si>
  <si>
    <t>5.a</t>
  </si>
  <si>
    <t>ROW clearance and front avaibility for Civil foundation</t>
  </si>
  <si>
    <t>Apraava</t>
  </si>
  <si>
    <t>25.12.24</t>
  </si>
  <si>
    <t>30.12.25</t>
  </si>
  <si>
    <t>Loc.</t>
  </si>
  <si>
    <t>5.b</t>
  </si>
  <si>
    <t>Foundation Work execution</t>
  </si>
  <si>
    <t xml:space="preserve">Note </t>
  </si>
  <si>
    <t>ROW / Way leave clearance / Forest clearance / Tree Cutting clearance / any other Statutory clearance to be arranged suitably ahead of respective work schedule by</t>
  </si>
  <si>
    <t>Any delay due to ROW / Statutory approvals / Railway, Forest, NHAI , etc shall be on account of Apraava.</t>
  </si>
  <si>
    <t>The L2 schedule is formulated considering average rainfall / heat in these areas, any unprecedented rain / heat waves will have an impact on overall completion schedule.</t>
  </si>
  <si>
    <t>Actual Done</t>
  </si>
  <si>
    <t>Actual Progress</t>
  </si>
  <si>
    <t>ROW Front Clearence</t>
  </si>
  <si>
    <t>Actual Foundation Completed (Nos)</t>
  </si>
  <si>
    <t>Work Stopped</t>
  </si>
  <si>
    <t>Front Availaibility</t>
  </si>
  <si>
    <t>70/0</t>
  </si>
  <si>
    <t>AP 51- AP 121</t>
  </si>
  <si>
    <t>As per Approved Check Survey</t>
  </si>
  <si>
    <t>DA</t>
  </si>
  <si>
    <t>DB</t>
  </si>
  <si>
    <t>DC</t>
  </si>
  <si>
    <t>DD</t>
  </si>
  <si>
    <t>SUMMERY</t>
  </si>
  <si>
    <t>TOT</t>
  </si>
  <si>
    <t>QTY</t>
  </si>
  <si>
    <t>+0</t>
  </si>
  <si>
    <t>+3</t>
  </si>
  <si>
    <t>+6</t>
  </si>
  <si>
    <t>+9</t>
  </si>
  <si>
    <t>Sl.No.</t>
  </si>
  <si>
    <t>Loc.No.</t>
  </si>
  <si>
    <t>Tower Leg</t>
  </si>
  <si>
    <t>D</t>
  </si>
  <si>
    <t>-</t>
  </si>
  <si>
    <t>57/0</t>
  </si>
  <si>
    <t xml:space="preserve">1) Benching - A&amp;D Legs, 2) C-Leg 1MRC, </t>
  </si>
  <si>
    <t>72/0</t>
  </si>
  <si>
    <t>1) ABC Benching, 2) C-Leg 1MRC,D-LEG-3MRC</t>
  </si>
  <si>
    <t>1) A&amp;B Leg Benching, 2) C-Leg 1MRC 3) D-Leg 3MRC</t>
  </si>
  <si>
    <t>1) A-Leg Benching, C-Leg 2MRC &amp; D-Leg 1MRC</t>
  </si>
  <si>
    <t>AP 147/0 - AP 148</t>
  </si>
  <si>
    <t xml:space="preserve">AP 47- AP 50 </t>
  </si>
  <si>
    <t>AP 139 - AP 147</t>
  </si>
  <si>
    <t>AP 136 - AP 139</t>
  </si>
  <si>
    <t xml:space="preserve">AP 42- AP 43 </t>
  </si>
  <si>
    <t>Blance</t>
  </si>
  <si>
    <t>AP 134- AP 135</t>
  </si>
  <si>
    <t>AP 135- AP 136</t>
  </si>
  <si>
    <t xml:space="preserve">Ram Shenai Construction </t>
  </si>
  <si>
    <t xml:space="preserve"> 107/1</t>
  </si>
  <si>
    <t>Loc No</t>
  </si>
  <si>
    <t>Classificatin</t>
  </si>
  <si>
    <t xml:space="preserve">M-10 </t>
  </si>
  <si>
    <t>M-20</t>
  </si>
  <si>
    <t>]]</t>
  </si>
  <si>
    <t>15-02-25 &amp;     21-02-2025</t>
  </si>
  <si>
    <t xml:space="preserve">15.02.2025 ,    24-02-2025    25-02-2025 </t>
  </si>
  <si>
    <t>12-03-2025 &amp; ReSubmission 4-04-2025</t>
  </si>
  <si>
    <t>AP 40- AP 42</t>
  </si>
  <si>
    <t>AP 46- AP 47</t>
  </si>
  <si>
    <t>AP 43- AP 45</t>
  </si>
  <si>
    <t>AP 45- AP 46</t>
  </si>
  <si>
    <t xml:space="preserve">AP 50- AP 51 </t>
  </si>
  <si>
    <t>SL. No.</t>
  </si>
  <si>
    <t>Date of submission</t>
  </si>
  <si>
    <t>Section Length in kms</t>
  </si>
  <si>
    <t>Letter Reference Number</t>
  </si>
  <si>
    <t xml:space="preserve">Date of Approval </t>
  </si>
  <si>
    <t>Approved By</t>
  </si>
  <si>
    <t>AP75 To AP92</t>
  </si>
  <si>
    <t>KEC/FBTL/RPTL/TB507/008A</t>
  </si>
  <si>
    <t>Gundewadi Mallappa</t>
  </si>
  <si>
    <t>AP51 To AP60</t>
  </si>
  <si>
    <t>KEC/FBTL/RPTL/TB507/0014</t>
  </si>
  <si>
    <t>AP92 To AP96</t>
  </si>
  <si>
    <t>KEC/FBTL/RPTL/TB507/0025 &amp; 0029</t>
  </si>
  <si>
    <t>Resubmission on dated 21/02/2025</t>
  </si>
  <si>
    <t>AP60 To AP75</t>
  </si>
  <si>
    <t>KEC/FBTL/RPTL/TB507/0025 , 0030 &amp; 0033</t>
  </si>
  <si>
    <t>Resubmission on dated 24/02/2025 &amp; 25/02/2025</t>
  </si>
  <si>
    <t>AP96 To AP107</t>
  </si>
  <si>
    <t>KEC/FBTL/RPTL/TB507/0032</t>
  </si>
  <si>
    <t>AP107 To AP121</t>
  </si>
  <si>
    <t>KEC/FBTL/RPTL/TB507/0036</t>
  </si>
  <si>
    <t>AP121 To AP131</t>
  </si>
  <si>
    <t>Resubmission on dated 04/04/2025</t>
  </si>
  <si>
    <t>AP139 To AP148</t>
  </si>
  <si>
    <t>KEC/FBTL/RPTL/TB507/0049</t>
  </si>
  <si>
    <t>Resubmission on dated  04/04/2025</t>
  </si>
  <si>
    <t xml:space="preserve">Total </t>
  </si>
  <si>
    <t>Resubmitted</t>
  </si>
  <si>
    <t>AP10 To AP21</t>
  </si>
  <si>
    <t>AP40 To AP51</t>
  </si>
  <si>
    <t>KEC/FBTL/RPTL/TB507/0064</t>
  </si>
  <si>
    <t>Name of Contractor:M/S KEC INTERNATIONAL LIMITED</t>
  </si>
  <si>
    <t>PROGRESS AT A GLANCE :</t>
  </si>
  <si>
    <t>Stringing WIP</t>
  </si>
  <si>
    <t>Stringing Completed</t>
  </si>
  <si>
    <t>UoM</t>
  </si>
  <si>
    <t>Total Qty</t>
  </si>
  <si>
    <t>Completed Till Date</t>
  </si>
  <si>
    <t>Detail survey</t>
  </si>
  <si>
    <t>Check survey</t>
  </si>
  <si>
    <t>Soil Investigation</t>
  </si>
  <si>
    <t>Loc</t>
  </si>
  <si>
    <t>Erection WIP</t>
  </si>
  <si>
    <t>Nos.</t>
  </si>
  <si>
    <t>Erection Comp</t>
  </si>
  <si>
    <t>Railway Crossing</t>
  </si>
  <si>
    <t>Erection</t>
  </si>
  <si>
    <t>Stringing(Paying out)</t>
  </si>
  <si>
    <t>Excavation</t>
  </si>
  <si>
    <t>Stringing (Final Sag)</t>
  </si>
  <si>
    <t>NH/SH</t>
  </si>
  <si>
    <t>66/132/ 220/400KV</t>
  </si>
  <si>
    <t>GNT</t>
  </si>
  <si>
    <t>AP1A</t>
  </si>
  <si>
    <t>3/1</t>
  </si>
  <si>
    <t>4/2</t>
  </si>
  <si>
    <t>4/3</t>
  </si>
  <si>
    <t>4/4</t>
  </si>
  <si>
    <t>4/5</t>
  </si>
  <si>
    <t>T</t>
  </si>
  <si>
    <t>EA</t>
  </si>
  <si>
    <t>ER</t>
  </si>
  <si>
    <t>TW</t>
  </si>
  <si>
    <t>4/6</t>
  </si>
  <si>
    <t>4/7</t>
  </si>
  <si>
    <t>4/8</t>
  </si>
  <si>
    <t>4/9</t>
  </si>
  <si>
    <t>6/1</t>
  </si>
  <si>
    <t>6/2</t>
  </si>
  <si>
    <t>6/3</t>
  </si>
  <si>
    <t>6/4</t>
  </si>
  <si>
    <t>6/5</t>
  </si>
  <si>
    <t>6/6</t>
  </si>
  <si>
    <t>6/7</t>
  </si>
  <si>
    <t>7/7</t>
  </si>
  <si>
    <t>7/8</t>
  </si>
  <si>
    <t>7/9</t>
  </si>
  <si>
    <t>7/10</t>
  </si>
  <si>
    <t>8/1</t>
  </si>
  <si>
    <t>8/2</t>
  </si>
  <si>
    <t>8/3</t>
  </si>
  <si>
    <t>8/4</t>
  </si>
  <si>
    <t>9/1</t>
  </si>
  <si>
    <t>9/2</t>
  </si>
  <si>
    <t>9/3</t>
  </si>
  <si>
    <t>9/4</t>
  </si>
  <si>
    <t>9/5</t>
  </si>
  <si>
    <t>10/1</t>
  </si>
  <si>
    <t>10/2</t>
  </si>
  <si>
    <t>10/3</t>
  </si>
  <si>
    <t>10/4</t>
  </si>
  <si>
    <t>10/5</t>
  </si>
  <si>
    <t>10/6</t>
  </si>
  <si>
    <t>10/7</t>
  </si>
  <si>
    <t>10/8</t>
  </si>
  <si>
    <t>10/9</t>
  </si>
  <si>
    <t>10/10</t>
  </si>
  <si>
    <t>10/11</t>
  </si>
  <si>
    <t>10/12</t>
  </si>
  <si>
    <t>10/13</t>
  </si>
  <si>
    <t>10/14</t>
  </si>
  <si>
    <t>10/15</t>
  </si>
  <si>
    <t>11/1</t>
  </si>
  <si>
    <t>11/2</t>
  </si>
  <si>
    <t>11/3</t>
  </si>
  <si>
    <t>11/4</t>
  </si>
  <si>
    <t>11/5</t>
  </si>
  <si>
    <t>11/6</t>
  </si>
  <si>
    <t>12/1</t>
  </si>
  <si>
    <t>12/2</t>
  </si>
  <si>
    <t>13/1</t>
  </si>
  <si>
    <t>13/2</t>
  </si>
  <si>
    <t>13/3</t>
  </si>
  <si>
    <t>14/1</t>
  </si>
  <si>
    <t>15/1</t>
  </si>
  <si>
    <t>16/1</t>
  </si>
  <si>
    <t>17/1</t>
  </si>
  <si>
    <t>18/1</t>
  </si>
  <si>
    <t>19/1</t>
  </si>
  <si>
    <t>19/2</t>
  </si>
  <si>
    <t>19/3</t>
  </si>
  <si>
    <t>20/1</t>
  </si>
  <si>
    <t>20/2</t>
  </si>
  <si>
    <t>20/3</t>
  </si>
  <si>
    <t>20/4</t>
  </si>
  <si>
    <t>20/5</t>
  </si>
  <si>
    <t>20/6</t>
  </si>
  <si>
    <t>21/1</t>
  </si>
  <si>
    <t>21/2</t>
  </si>
  <si>
    <t>23/1</t>
  </si>
  <si>
    <t>23/2</t>
  </si>
  <si>
    <t>23/3</t>
  </si>
  <si>
    <t>24/1</t>
  </si>
  <si>
    <t>AP27A</t>
  </si>
  <si>
    <t>27A/1</t>
  </si>
  <si>
    <t>27A/2</t>
  </si>
  <si>
    <t>27A/3</t>
  </si>
  <si>
    <t>AP27B</t>
  </si>
  <si>
    <t>27B/1</t>
  </si>
  <si>
    <t>27B/2</t>
  </si>
  <si>
    <t>27B/3</t>
  </si>
  <si>
    <t>DCT+6</t>
  </si>
  <si>
    <t>s</t>
  </si>
  <si>
    <t>AP50</t>
  </si>
  <si>
    <t>RC 3M</t>
  </si>
  <si>
    <t>RC 1M</t>
  </si>
  <si>
    <t>RC 1M &amp; 3M</t>
  </si>
  <si>
    <t>AP77</t>
  </si>
  <si>
    <t>AP95A</t>
  </si>
  <si>
    <t>AP98A</t>
  </si>
  <si>
    <t>AP98B</t>
  </si>
  <si>
    <t>AP131</t>
  </si>
  <si>
    <t>AP132</t>
  </si>
  <si>
    <t>AP147</t>
  </si>
  <si>
    <t>147/9</t>
  </si>
  <si>
    <t>AP148</t>
  </si>
  <si>
    <t>AP153A</t>
  </si>
  <si>
    <t>2/0</t>
  </si>
  <si>
    <t>Mundhan Trading Company</t>
  </si>
  <si>
    <t>Shreeraj Agency</t>
  </si>
  <si>
    <t xml:space="preserve">91/1 </t>
  </si>
  <si>
    <t xml:space="preserve"> 73/1</t>
  </si>
  <si>
    <t xml:space="preserve">  56/1</t>
  </si>
  <si>
    <t xml:space="preserve"> 99A/2</t>
  </si>
  <si>
    <t xml:space="preserve"> 63/1</t>
  </si>
  <si>
    <t xml:space="preserve">  114/1</t>
  </si>
  <si>
    <t>AP150 To Bhinmal GTY</t>
  </si>
  <si>
    <t>KEC/FBTL/RPTL/TB507/0068</t>
  </si>
  <si>
    <t>AP 150 to Bhinmal GTY</t>
  </si>
  <si>
    <t xml:space="preserve"> Submission of Check Survey</t>
  </si>
  <si>
    <t>Gurukripa Enterprizes</t>
  </si>
  <si>
    <t>86/0</t>
  </si>
  <si>
    <t>84/0</t>
  </si>
  <si>
    <t>85/0</t>
  </si>
  <si>
    <t>KEC/FBTL/RPTL/TB507/0043 ,0050,0061</t>
  </si>
  <si>
    <t>21/0-24/0</t>
  </si>
  <si>
    <t>Anjana Const</t>
  </si>
  <si>
    <t>Previous Loc Done 99/2 on 25/4/2025</t>
  </si>
  <si>
    <t xml:space="preserve">104B/1 </t>
  </si>
  <si>
    <t>97/0</t>
  </si>
  <si>
    <t>AP131-AP 133</t>
  </si>
  <si>
    <t>KEC/FBTL/RPTL/TB507/0077</t>
  </si>
  <si>
    <t>102/1-102/2</t>
  </si>
  <si>
    <t>Oil Pipe Crossing</t>
  </si>
  <si>
    <t>29/0-29/1</t>
  </si>
  <si>
    <t>36A/0-37/0</t>
  </si>
  <si>
    <t>99B/0-99C/0</t>
  </si>
  <si>
    <t>134/0-134A/0</t>
  </si>
  <si>
    <t>149/0-149A/0</t>
  </si>
  <si>
    <t>113A/0</t>
  </si>
  <si>
    <t>06-04-2025 &amp; 16.05.2025</t>
  </si>
  <si>
    <t>Resubmission on dated  16/05/2025</t>
  </si>
  <si>
    <t>AP 99-AP 100</t>
  </si>
  <si>
    <t>KEC/FBTL/RPTL/TB507/82</t>
  </si>
  <si>
    <t>KEC/FBTL/RPTL/TB507/79</t>
  </si>
  <si>
    <t xml:space="preserve">99C/2 </t>
  </si>
  <si>
    <t>99B/0</t>
  </si>
  <si>
    <t>AP99C/0</t>
  </si>
  <si>
    <t>99C/1</t>
  </si>
  <si>
    <t>99C/2</t>
  </si>
  <si>
    <t>Re Submitted</t>
  </si>
  <si>
    <t>AP 10- AP 21</t>
  </si>
  <si>
    <t>96/0</t>
  </si>
  <si>
    <t>Ganga Construction Company</t>
  </si>
  <si>
    <t>98/0</t>
  </si>
  <si>
    <t>RRVPNL</t>
  </si>
  <si>
    <t>24/0-40/0</t>
  </si>
  <si>
    <t>16-04-2025 &amp; 16.05.2025</t>
  </si>
  <si>
    <t>26-03-2025 Resubmission    4-04-2025 &amp;28-04-25</t>
  </si>
  <si>
    <t>26-03-2025 Resubmission    4-04-2025 &amp;   28-04-25</t>
  </si>
  <si>
    <t>AP 148-AP 149B</t>
  </si>
  <si>
    <t>Resubmission on dated  25/05/2025</t>
  </si>
  <si>
    <t>Barmer-Jodhpur Single Track</t>
  </si>
  <si>
    <t>AP 04 - AP 05</t>
  </si>
  <si>
    <t>VEDANTA CAIRN OIL &amp; GAS PIPE LINE  RAJASTHAN</t>
  </si>
  <si>
    <t>HRRL CONNECTIVITY GAS PIPE LINE(GSPL INDIA GASNE LIMITED BALOTRA ) RAJASTHAN</t>
  </si>
  <si>
    <t>ARAB MIX CRUDE OIL PIPE LINE(HPCL RAJASTHAN REFINERY LIMITED PACHADRA,BALOTRA ) RAJASTHAN</t>
  </si>
  <si>
    <t>BARMER- PALANPUR PRTROLEUM PIPE LINE (HINDUSTAN PERTOLEUM CORP.LTD) RAJASTHAN</t>
  </si>
  <si>
    <t>AP148/0 - AP 149B</t>
  </si>
  <si>
    <t>MANGALA CRUDE OIL PIPE LINE  (HPCL-RAJASTHAN REFINERY LIMITED) RAJASTHAN</t>
  </si>
  <si>
    <t>Resubmission on dated  10/05/2025</t>
  </si>
  <si>
    <t>AP 133-AP 135</t>
  </si>
  <si>
    <t>AP 135-AP 136</t>
  </si>
  <si>
    <t>KEC/FBTL/RPTL/TB507/0077 on 10/05/25</t>
  </si>
  <si>
    <t>AP136-AP 139</t>
  </si>
  <si>
    <t>134A/1</t>
  </si>
  <si>
    <t>134A/2</t>
  </si>
  <si>
    <t>134A/3</t>
  </si>
  <si>
    <t>Resubmitted on dated  25/05/2025</t>
  </si>
  <si>
    <t>134A/0</t>
  </si>
  <si>
    <t>134A/4</t>
  </si>
  <si>
    <t>149A/0</t>
  </si>
  <si>
    <t>AP149B/0</t>
  </si>
  <si>
    <t>149B/1</t>
  </si>
  <si>
    <t>149B/2</t>
  </si>
  <si>
    <t>149B/3</t>
  </si>
  <si>
    <t>75/0</t>
  </si>
  <si>
    <t>Majisa Construction</t>
  </si>
  <si>
    <t>119/0</t>
  </si>
  <si>
    <t xml:space="preserve">79/0 </t>
  </si>
  <si>
    <t>114/0</t>
  </si>
  <si>
    <t>Goswami and Co</t>
  </si>
  <si>
    <t>DC +0</t>
  </si>
  <si>
    <t xml:space="preserve">147/2 </t>
  </si>
  <si>
    <t>u/p</t>
  </si>
  <si>
    <t>Check Survey</t>
  </si>
  <si>
    <t xml:space="preserve">Action by </t>
  </si>
  <si>
    <t>Sr.no</t>
  </si>
  <si>
    <t>Section AP To AP</t>
  </si>
  <si>
    <t>Section length</t>
  </si>
  <si>
    <t>Approved by Client</t>
  </si>
  <si>
    <t>Pending by Client</t>
  </si>
  <si>
    <t>Apraava Comments</t>
  </si>
  <si>
    <t>AP-1/0 To AP-10/0</t>
  </si>
  <si>
    <t>Discussion and coordination with Statcraft are ongoing. Awaiting their response</t>
  </si>
  <si>
    <t>AP-10/0 To AP-21/0</t>
  </si>
  <si>
    <t>YES</t>
  </si>
  <si>
    <t>KEC was to submit a proposal avoiding the shifting of the 11 kV line; their response is still awaited. The rest of the profile is acceptable—awaiting a hard-signed copy along with revised tower schdule from the KEC team for official release</t>
  </si>
  <si>
    <t>AP-21/0 To AP-40/0</t>
  </si>
  <si>
    <t>Check Survey for two oil/gas pipeline crossings is awaited, and the re-survey for the 400kV line crossing between AP25 to AP26 (underneath crossing) is pending from KEC.</t>
  </si>
  <si>
    <t>AP-40/0 To AP-45/0</t>
  </si>
  <si>
    <t>AP-45/0 To AP-48/0</t>
  </si>
  <si>
    <r>
      <t>Hold due to Railway crossing angle 87</t>
    </r>
    <r>
      <rPr>
        <vertAlign val="superscript"/>
        <sz val="10"/>
        <color theme="1"/>
        <rFont val="Calibri"/>
        <family val="2"/>
        <scheme val="minor"/>
      </rPr>
      <t>0</t>
    </r>
    <r>
      <rPr>
        <sz val="10"/>
        <color theme="1"/>
        <rFont val="Calibri"/>
        <family val="2"/>
        <scheme val="minor"/>
      </rPr>
      <t xml:space="preserve"> to 90</t>
    </r>
    <r>
      <rPr>
        <vertAlign val="superscript"/>
        <sz val="10"/>
        <color theme="1"/>
        <rFont val="Calibri"/>
        <family val="2"/>
        <scheme val="minor"/>
      </rPr>
      <t>0</t>
    </r>
  </si>
  <si>
    <t>Re-survey for the railway crossing between AP46 and AP47, due to alignment change from 86° to 90°, is pending from KEC.</t>
  </si>
  <si>
    <t xml:space="preserve">AP 48/0 to AP 51/0, </t>
  </si>
  <si>
    <t>AP-51/0 To AP-60/0</t>
  </si>
  <si>
    <t>Tower schedule has been approved; however, the profile as per the approved check survey is still awaited from KEC</t>
  </si>
  <si>
    <t>AP-60/0 To AP-75/0</t>
  </si>
  <si>
    <t>AP-75/0 To AP-92/0</t>
  </si>
  <si>
    <t>AP-92/0 To AP-96/0</t>
  </si>
  <si>
    <t>AP-96/0 To AP-107/0</t>
  </si>
  <si>
    <t>AP-107/0 To AP-121/0</t>
  </si>
  <si>
    <t>AP-121/0 To AP-131/0</t>
  </si>
  <si>
    <t>AP-131/0 To AP-133/0</t>
  </si>
  <si>
    <t>Location of AP132 has been changed due to the presence of a house within the corridor; revised check survey and profile are awaited from KEC."</t>
  </si>
  <si>
    <t>AP-133/0 To AP-135/0</t>
  </si>
  <si>
    <t>AP-135/0 To AP-139/0</t>
  </si>
  <si>
    <t>AP-139/0 To AP-148/0</t>
  </si>
  <si>
    <t>AP-148/0 To AP-150/0</t>
  </si>
  <si>
    <t>Hard signed profile &amp; Tower schudle copies are awaited from KEC to offical realse.</t>
  </si>
  <si>
    <t>AP-150/0 To AP-157/0</t>
  </si>
  <si>
    <t>Re-survey for the 400kV line crossing between AP154 to AP155 (underneath crossing) is pending from KEC.</t>
  </si>
  <si>
    <t>CS Submitted</t>
  </si>
  <si>
    <t>AP 21 to AP 24</t>
  </si>
  <si>
    <t>TOTAL</t>
  </si>
  <si>
    <t>AR Patel-1</t>
  </si>
  <si>
    <t>AR Patel-2</t>
  </si>
  <si>
    <t>Gas pipeline</t>
  </si>
  <si>
    <t>Oil pipeline</t>
  </si>
  <si>
    <t>36A</t>
  </si>
  <si>
    <t>Approved on 18-06-2025</t>
  </si>
  <si>
    <t>AP-1/0 To AP-7/0</t>
  </si>
  <si>
    <t>AP-7/0 To AP-10/0</t>
  </si>
  <si>
    <t>Details Survey Completed</t>
  </si>
  <si>
    <t>Check Survry Completed</t>
  </si>
  <si>
    <t>AP-131/0 To AP-139/0</t>
  </si>
  <si>
    <t>Resposnibility</t>
  </si>
  <si>
    <t>M/s Kec</t>
  </si>
  <si>
    <t>Rerouting confirmation given on 12.06.2025 to carry out detail survey, When will be the survey started</t>
  </si>
  <si>
    <t>M/s Apraava</t>
  </si>
  <si>
    <t>Will be approved by 17.06.2025</t>
  </si>
  <si>
    <t>From AP 21 to AP 24 and AP 27 to AP 40 has to be submitted. From AP 24 to AP 27 Underneath data has also to be submitted. When it will be submitted</t>
  </si>
  <si>
    <t>AP-40/0 To AP 45 and AP 48 to AP 51/0</t>
  </si>
  <si>
    <t>From AP 40 to AP 45, AP 48 to AP 51  will be approved by 17.06.2025</t>
  </si>
  <si>
    <t>AP 45 to AP 48</t>
  </si>
  <si>
    <t>Railway crossing detail survey profile, Tower Schedule yet not provided, When will we get this.</t>
  </si>
  <si>
    <t>Yet not submitted</t>
  </si>
  <si>
    <t>M/s Apraava &amp; M/s Kec</t>
  </si>
  <si>
    <t>Under discussion due to Underneath crossing at 154/0 to 155/0 and railway proposal crossing 150/0 to 151/0.</t>
  </si>
  <si>
    <t>S No.</t>
  </si>
  <si>
    <t>MOM as on 11/6/25</t>
  </si>
  <si>
    <t>Timeline</t>
  </si>
  <si>
    <t>Status as on 19/6/25</t>
  </si>
  <si>
    <t>400kv Detail Survey from AP 01 to AP 10</t>
  </si>
  <si>
    <t>a</t>
  </si>
  <si>
    <t>Apraava will give clearance for further proceeding of Detail Survey</t>
  </si>
  <si>
    <t>M/S Apraava</t>
  </si>
  <si>
    <t>Clearance provided for Detail Survey</t>
  </si>
  <si>
    <t>b</t>
  </si>
  <si>
    <t>Completion of Detail Survey</t>
  </si>
  <si>
    <t>M/S KEC</t>
  </si>
  <si>
    <t>Detail Survey work under progress</t>
  </si>
  <si>
    <t>c</t>
  </si>
  <si>
    <t>Detail Survey of 765 kV is submitted by KEC, observation raised by Apraava, KEC has to re-submitted according to observation</t>
  </si>
  <si>
    <t>Reobservation mail by Engg. Team on dt. 19.06.25</t>
  </si>
  <si>
    <t>50 km will be approved</t>
  </si>
  <si>
    <t>M/S Apraava &amp; KEC</t>
  </si>
  <si>
    <t>33 km Approved &amp; 15 km submitted by KEC</t>
  </si>
  <si>
    <t>Pending Section of 21 km will be approved</t>
  </si>
  <si>
    <t>Under Progress</t>
  </si>
  <si>
    <t>Check Survey of 765kV is to be submitted by KEC</t>
  </si>
  <si>
    <t>Statutory Approvals</t>
  </si>
  <si>
    <t>02 No NH Proposal Submission</t>
  </si>
  <si>
    <t>02 No Railway Proposal Submission</t>
  </si>
  <si>
    <t>02 Nos PLC Proposal of 400 kV Underneath has to Submit</t>
  </si>
  <si>
    <t>ASAP</t>
  </si>
  <si>
    <t>d</t>
  </si>
  <si>
    <t>Statutory Approvals tracker to be maintain for monitoring current status of NOC</t>
  </si>
  <si>
    <t>N/A</t>
  </si>
  <si>
    <t>e</t>
  </si>
  <si>
    <t>04 Submission of SH Proposal to SH Authority</t>
  </si>
  <si>
    <t>f</t>
  </si>
  <si>
    <t>03 Submission of Oil Proposal to Oil Authority</t>
  </si>
  <si>
    <t>Deployment of surveyor, supervisors, engineers &amp; section in charge to be expedite in Bhinmal Section</t>
  </si>
  <si>
    <t>KEC committed 43 nos.  foundation for this month &amp; accordingly Apraava will provide ROW clearance</t>
  </si>
  <si>
    <t>Till date 13 foundations completed, 10 are in WIP and 30 work fronts are available</t>
  </si>
  <si>
    <t>Manpower in each foundation gang need to be strengthen with at least 8-10 manpower/gang</t>
  </si>
  <si>
    <t>Apraava asked to increase 4 more foundation gangs to expedite foundation work (currently 7 gangs are available with insufficient manpower</t>
  </si>
  <si>
    <t>9 Gangs are available (insufficient manpower in 4 gangs)</t>
  </si>
  <si>
    <t>40 Nos Departmental Manpower availability at site</t>
  </si>
  <si>
    <t>Quality Constraints</t>
  </si>
  <si>
    <t>Information regarding supply of cement with prior &amp; proper documentation</t>
  </si>
  <si>
    <t>Material availability at site from approved source</t>
  </si>
  <si>
    <t>Approval of use of Curing compound in foundation work need to be expedite after jointly discussion of both team</t>
  </si>
  <si>
    <t>Cubes taken after applying curing compound &amp; further process is u/p</t>
  </si>
  <si>
    <t>CTM Machine at store need be installed on priority for cube testing</t>
  </si>
  <si>
    <t>Erection team to be deployed and erection to be start</t>
  </si>
  <si>
    <t>Erection to be start by Monday, 23/6/25</t>
  </si>
  <si>
    <t>July month foundation &amp; erection plan to be shared by KEC</t>
  </si>
  <si>
    <t>July month plan to be shared within 2-3 days by KEC</t>
  </si>
  <si>
    <t>Supply of conductor to be start in September month</t>
  </si>
  <si>
    <t>Planned for September month</t>
  </si>
  <si>
    <t>Total 121 nos. of DA type of tower supplied to store &amp; 2nd lot of 74 nos. towers (approx. 1500 MT) supply, consisting of DC &amp; DD type towers are scheduled for next month</t>
  </si>
  <si>
    <t>DA type towers are supplied</t>
  </si>
  <si>
    <t>73/0</t>
  </si>
  <si>
    <t>Approval pending from Engg Team</t>
  </si>
  <si>
    <t xml:space="preserve">DA+0 </t>
  </si>
  <si>
    <t>AR Patel</t>
  </si>
  <si>
    <t>AP-21/0 To AP-24/0</t>
  </si>
  <si>
    <t>AP 27 to AP 40(16.753Km) CS completed and                                                                                                                                                                                 Profile Under Process in KEC Engg,      GTY position finalization at AP 24 to AP 27(1.440 KM)</t>
  </si>
  <si>
    <t>Hard Copy Submitted on 24-06-2025</t>
  </si>
  <si>
    <t>AP-24/0 To AP-40/0</t>
  </si>
  <si>
    <t xml:space="preserve">400 KV D/C (TWIN) FATEHGARH IV - BHINMAL (PG) TRANSMISSION LINE (VISUAL CHART) </t>
  </si>
  <si>
    <t xml:space="preserve">AS ON </t>
  </si>
  <si>
    <t>Completed</t>
  </si>
  <si>
    <t>CS Approval</t>
  </si>
  <si>
    <t>Rly. X-ing</t>
  </si>
  <si>
    <t>Stringing(P/0)</t>
  </si>
  <si>
    <t>Pipe Line</t>
  </si>
  <si>
    <t>Stringing (F/S)</t>
  </si>
  <si>
    <t>NH</t>
  </si>
  <si>
    <t>SH</t>
  </si>
  <si>
    <t>66/132/ 220/ 400</t>
  </si>
  <si>
    <t>GANTRY</t>
  </si>
  <si>
    <t>AP 1A</t>
  </si>
  <si>
    <t>AP 10</t>
  </si>
  <si>
    <t>WORK FRONT YET TO BE CLEARED</t>
  </si>
  <si>
    <t>Pit A,B 1MRC</t>
  </si>
  <si>
    <t>B,C Bench</t>
  </si>
  <si>
    <t>Pit D 1MRC</t>
  </si>
  <si>
    <t>Pit B 1MRC</t>
  </si>
  <si>
    <t>Pit</t>
  </si>
  <si>
    <t>3MRC</t>
  </si>
  <si>
    <t>WOK FRONT YET TO BE CLEARED</t>
  </si>
  <si>
    <t>Bench</t>
  </si>
  <si>
    <t>Bench &amp; 1MRC</t>
  </si>
  <si>
    <t>99C/0</t>
  </si>
  <si>
    <t>Bench A&amp;D</t>
  </si>
  <si>
    <t>AP 104A</t>
  </si>
  <si>
    <t>AP 104B</t>
  </si>
  <si>
    <t>AP 109</t>
  </si>
  <si>
    <t>AP 109A</t>
  </si>
  <si>
    <t>AP 113A</t>
  </si>
  <si>
    <t>Total Locations</t>
  </si>
  <si>
    <t>Completed  Locations</t>
  </si>
  <si>
    <t>Work in Progress</t>
  </si>
  <si>
    <t>ROW Cleared Locations</t>
  </si>
  <si>
    <t xml:space="preserve">Not Cleared due to D/S &amp; C/S Approval </t>
  </si>
  <si>
    <t>Hold Due to Major Crossing &amp; Others</t>
  </si>
  <si>
    <t>UNDER HOLD</t>
  </si>
  <si>
    <t>ROW Not Cleared</t>
  </si>
  <si>
    <t>Sr. no</t>
  </si>
  <si>
    <t>S/S Gantry To AP-7/0</t>
  </si>
  <si>
    <t xml:space="preserve">Details Survey Completed. Profile Preperation in process with KEC Engg. </t>
  </si>
  <si>
    <t>Yes</t>
  </si>
  <si>
    <t>Profile Preperation in process with KEC Engg.</t>
  </si>
  <si>
    <t>AP-148/0 To AP-153/0</t>
  </si>
  <si>
    <t>AP-153/0 To AP-154/0</t>
  </si>
  <si>
    <t>AP-154/0 To AP-155/0</t>
  </si>
  <si>
    <t xml:space="preserve">Underneath crossing proposal under process with KEC Engg.  </t>
  </si>
  <si>
    <t>AP-155/0 To S/S Gantry</t>
  </si>
  <si>
    <t xml:space="preserve">Submitted on 16.04.2025, </t>
  </si>
  <si>
    <t>Check Survey Submitted</t>
  </si>
  <si>
    <t xml:space="preserve">Check Survey Approved </t>
  </si>
  <si>
    <t>Balance for Approval by Client</t>
  </si>
  <si>
    <t>Check Survey report to be Submitted</t>
  </si>
  <si>
    <t>10.07.2025</t>
  </si>
  <si>
    <t>Apraava Energy PVT. LTD.</t>
  </si>
  <si>
    <t xml:space="preserve">     AP25 - 26</t>
  </si>
  <si>
    <t xml:space="preserve">  A 27- A 27A</t>
  </si>
  <si>
    <t>AP50-AP51</t>
  </si>
  <si>
    <t>AP58-AP59</t>
  </si>
  <si>
    <t>AP111-AP112</t>
  </si>
  <si>
    <t>AP144-AP145</t>
  </si>
  <si>
    <t>AP152-AP153</t>
  </si>
  <si>
    <t xml:space="preserve"> RRVPNL</t>
  </si>
  <si>
    <t>AP154-AP155</t>
  </si>
  <si>
    <t>C&amp;D-3MRC</t>
  </si>
  <si>
    <t>Mahadev Construction</t>
  </si>
  <si>
    <t>146/0</t>
  </si>
  <si>
    <t>M20</t>
  </si>
  <si>
    <t>Reinforcement</t>
  </si>
  <si>
    <t>Stub</t>
  </si>
  <si>
    <t>JP Enterprises</t>
  </si>
  <si>
    <t xml:space="preserve">Submitted on 3.07.2025, </t>
  </si>
  <si>
    <t>Submited on 30.06.2025</t>
  </si>
  <si>
    <t xml:space="preserve"> C/S REPORT YET TO BE APPROVED</t>
  </si>
  <si>
    <t>C/S REPORT TO BE APPROVED</t>
  </si>
  <si>
    <t>Instance Wave Pvt Ltd</t>
  </si>
  <si>
    <t>400KV D/C Fatehgarh III Fatehgarh IV T/L</t>
  </si>
  <si>
    <t>220 KV S/C PSS To FS IV  Ampin CKT-1.</t>
  </si>
  <si>
    <t>132 KV S/C Sheo to Undoo Line.</t>
  </si>
  <si>
    <t>400kV D/C Rajwest to Jodhpur TL &amp;  Rajwest to Pancpadra</t>
  </si>
  <si>
    <t>220kV S/C BALOTARA TO GIRAL T/ Lin</t>
  </si>
  <si>
    <t>220kV S/C BALOTARA TO BARMER T/ Line</t>
  </si>
  <si>
    <t>132kV S/C BALOTARA TO BARMER T/ Line</t>
  </si>
  <si>
    <t>132kV S/C KHOOKHA TO JIWANA T/ Line</t>
  </si>
  <si>
    <t>132kV S/C BHINMAL TO DASPUR T/ Line</t>
  </si>
  <si>
    <t>220kV D/C SAYLA TO BHINMAL,PGCIL (RRVPNL) T/ Line</t>
  </si>
  <si>
    <t>400kV D/C BARMER-II TO BHINMAL T/ Line</t>
  </si>
  <si>
    <t>Submitted on 24.05.25</t>
  </si>
  <si>
    <t xml:space="preserve">Jalore-Bhinmal Single Track                                                                                                                                                                                                                                                                                                                  </t>
  </si>
  <si>
    <t>07.07.2025</t>
  </si>
  <si>
    <t>109A/0</t>
  </si>
  <si>
    <t xml:space="preserve">85/0 </t>
  </si>
  <si>
    <t>Mundhan Construction</t>
  </si>
  <si>
    <t xml:space="preserve">130/0  </t>
  </si>
  <si>
    <t>Dipak</t>
  </si>
  <si>
    <t>Srikarni</t>
  </si>
  <si>
    <t>Mahadev Enterprises</t>
  </si>
  <si>
    <t>Godara Enterprises</t>
  </si>
  <si>
    <t>Goswami and Company</t>
  </si>
  <si>
    <t>CUM</t>
  </si>
  <si>
    <t>M-10</t>
  </si>
  <si>
    <t>20MM</t>
  </si>
  <si>
    <t>SAND</t>
  </si>
  <si>
    <t>MT</t>
  </si>
  <si>
    <t>Required</t>
  </si>
  <si>
    <t>115/0</t>
  </si>
  <si>
    <t>DC+0,1MRC</t>
  </si>
  <si>
    <t>Goswami and Company-1</t>
  </si>
  <si>
    <t>Goswami and Company-2</t>
  </si>
  <si>
    <t>OM Construction</t>
  </si>
  <si>
    <t xml:space="preserve">20MM </t>
  </si>
  <si>
    <t>ROYALTY ISSUED</t>
  </si>
  <si>
    <t>142/0</t>
  </si>
  <si>
    <t>MS Construction</t>
  </si>
  <si>
    <t>Benching,LegB&amp;C</t>
  </si>
  <si>
    <t>1 MRC-4 Leg</t>
  </si>
  <si>
    <t>3MRC-4 LEG</t>
  </si>
  <si>
    <t>Benching ,Pit C,B 1MRC</t>
  </si>
  <si>
    <t>1MRC-4 leg</t>
  </si>
  <si>
    <t>1MRC-4LEG</t>
  </si>
  <si>
    <t>1MRC-4Leg</t>
  </si>
  <si>
    <t>3MRC-4 Leg</t>
  </si>
  <si>
    <t>RC 3M-4 Leg</t>
  </si>
  <si>
    <t>B Leg A&amp;D,C Leg 1MRC</t>
  </si>
  <si>
    <t>1MRC-4 Leg</t>
  </si>
  <si>
    <t>1MRC-4 Leg, A,D Benching,C Leg 1MRC</t>
  </si>
  <si>
    <t>Bench 4 Legs,RC A&amp;C- 3M, B&amp;D- 1M RC</t>
  </si>
  <si>
    <t>3MRC-4Leg</t>
  </si>
  <si>
    <t>DB+9,3MRC</t>
  </si>
  <si>
    <t>143/0</t>
  </si>
  <si>
    <t>25/1</t>
  </si>
  <si>
    <t xml:space="preserve">GTY </t>
  </si>
  <si>
    <t>25/2</t>
  </si>
  <si>
    <t>GTY</t>
  </si>
  <si>
    <t>AP 26</t>
  </si>
  <si>
    <t>AP 27</t>
  </si>
  <si>
    <t>27A/0</t>
  </si>
  <si>
    <t>29/3</t>
  </si>
  <si>
    <t>38/4</t>
  </si>
  <si>
    <t>38/5</t>
  </si>
  <si>
    <t>Sl No</t>
  </si>
  <si>
    <t>Completion</t>
  </si>
  <si>
    <t>Approved on 20-06-2025</t>
  </si>
  <si>
    <t>Approved on 16-06-2025</t>
  </si>
  <si>
    <t>JMC -01</t>
  </si>
  <si>
    <t>JMC -02</t>
  </si>
  <si>
    <t>JMC -03</t>
  </si>
  <si>
    <t>JMC -04</t>
  </si>
  <si>
    <t>Approved on 23-07-2025</t>
  </si>
  <si>
    <t xml:space="preserve">149B/1 </t>
  </si>
  <si>
    <t>AP-24/0 To AP-27/0</t>
  </si>
  <si>
    <t>AP-27/0 To AP-40/0</t>
  </si>
  <si>
    <t>Anajana Construction</t>
  </si>
  <si>
    <t>116/0</t>
  </si>
  <si>
    <t>Approved on 25-07-2025</t>
  </si>
  <si>
    <t>Details Survey</t>
  </si>
  <si>
    <t xml:space="preserve">Details Survey Completed. Profile &amp; Tower Schedule Submitted with Apraava Engg. </t>
  </si>
  <si>
    <t xml:space="preserve">Check Survey Completed. Profile &amp; Tower Schedule Submitted with Apraava Engg. </t>
  </si>
  <si>
    <t>AP-153/0 To S/S Gantry</t>
  </si>
  <si>
    <t>172 KM Approved</t>
  </si>
  <si>
    <r>
      <t>MUNDRA- BATHINDA CRUDE OIL PIPE LINE  (</t>
    </r>
    <r>
      <rPr>
        <b/>
        <sz val="16"/>
        <color rgb="FF212529"/>
        <rFont val="Calibri"/>
        <family val="2"/>
        <scheme val="minor"/>
      </rPr>
      <t>HPCL-Mittal Pipelines Limited</t>
    </r>
    <r>
      <rPr>
        <b/>
        <sz val="16"/>
        <color rgb="FF000000"/>
        <rFont val="Calibri"/>
        <family val="2"/>
        <scheme val="minor"/>
      </rPr>
      <t>) RAJASTHAN</t>
    </r>
  </si>
  <si>
    <t>DB+3,1MRC</t>
  </si>
  <si>
    <t>112/0</t>
  </si>
  <si>
    <t>Harish Construction</t>
  </si>
  <si>
    <t>Baba Ramdev Construction</t>
  </si>
  <si>
    <t>DA+9,3MRC</t>
  </si>
  <si>
    <t>Ahmed Construction</t>
  </si>
  <si>
    <t>149B/0</t>
  </si>
  <si>
    <t>Intense Wave Pvt Ltd</t>
  </si>
  <si>
    <t>DA+3,Bench A &amp; B, C &amp;D 3M RC</t>
  </si>
  <si>
    <t>79/0</t>
  </si>
  <si>
    <t>Compnay Gang</t>
  </si>
  <si>
    <t xml:space="preserve">99/4 </t>
  </si>
  <si>
    <t>135/0</t>
  </si>
  <si>
    <t>149/0</t>
  </si>
  <si>
    <t>82/0</t>
  </si>
  <si>
    <t>A&amp;D 3MRC</t>
  </si>
  <si>
    <t xml:space="preserve">134A/0 </t>
  </si>
  <si>
    <t xml:space="preserve">134/0 </t>
  </si>
  <si>
    <t>Ajay Kumar</t>
  </si>
  <si>
    <t xml:space="preserve"> 1 MRC -4 Leg</t>
  </si>
  <si>
    <t>Pit C,B 1MRC</t>
  </si>
  <si>
    <t>2MRC ??</t>
  </si>
  <si>
    <t>2MRC??</t>
  </si>
  <si>
    <t>B &amp; RC??</t>
  </si>
  <si>
    <t>Bench A &amp; B, Pit C 1MRC &amp; Pit D 3M RC</t>
  </si>
  <si>
    <t>1MRC-4 Leg??</t>
  </si>
  <si>
    <t>ROW(P)</t>
  </si>
  <si>
    <t>(P)</t>
  </si>
  <si>
    <t>C(P)</t>
  </si>
  <si>
    <t>Goswami &amp; Company</t>
  </si>
  <si>
    <t>SM Infrastructure</t>
  </si>
  <si>
    <t>Bhawna Construction Co</t>
  </si>
  <si>
    <t>Sparkle Telenet Service</t>
  </si>
  <si>
    <t>Bajrang Construction Company</t>
  </si>
  <si>
    <t>Gokul Sarkar</t>
  </si>
  <si>
    <t>Ayansh Const</t>
  </si>
  <si>
    <t>Windbridge Energy</t>
  </si>
  <si>
    <t>R</t>
  </si>
  <si>
    <t>Gurukripa(Company Gang)</t>
  </si>
  <si>
    <t>139/0</t>
  </si>
  <si>
    <t xml:space="preserve">64/0 </t>
  </si>
  <si>
    <t>DC+9,1MRC</t>
  </si>
  <si>
    <t>DC+3,1MRC</t>
  </si>
  <si>
    <t>Ajay Kumar1</t>
  </si>
  <si>
    <t>Ajay Kumar2</t>
  </si>
  <si>
    <t>REVISED DETAIL SURVEY REPORT  SUBMITTED</t>
  </si>
  <si>
    <t>WORK FRONT TO BE CLEARED</t>
  </si>
  <si>
    <t>WORK  FRONT TO BE CLEARED</t>
  </si>
  <si>
    <t>REVISED CHECK SURVEY TO BE SUBMITTED</t>
  </si>
  <si>
    <t>REVISED C/S TO BE SUBMITTED</t>
  </si>
  <si>
    <t>136/0</t>
  </si>
  <si>
    <t>Approved on 5-09-2025</t>
  </si>
  <si>
    <t>Check Survey Approval Pending</t>
  </si>
  <si>
    <t xml:space="preserve">148/1 </t>
  </si>
  <si>
    <t>HOLD</t>
  </si>
  <si>
    <t>58/0</t>
  </si>
  <si>
    <t>113/0,DC+0</t>
  </si>
  <si>
    <t>Prayag Saw1</t>
  </si>
  <si>
    <t>Prayag Saw2</t>
  </si>
  <si>
    <t>17.09.2025</t>
  </si>
  <si>
    <t>18.09.2025</t>
  </si>
  <si>
    <t>48/0</t>
  </si>
  <si>
    <t>20.09.2025</t>
  </si>
  <si>
    <t>21.09.2026</t>
  </si>
  <si>
    <t>115/0,116/1,114/0,112/1,111/0</t>
  </si>
  <si>
    <t>153A/0</t>
  </si>
  <si>
    <t>RA-2</t>
  </si>
  <si>
    <t>RA-3</t>
  </si>
  <si>
    <t>RA-4</t>
  </si>
  <si>
    <t>RA-5</t>
  </si>
  <si>
    <t>RA-6</t>
  </si>
  <si>
    <t>JMC</t>
  </si>
  <si>
    <t xml:space="preserve">765kV D/C Fatehgarh IV (Section-2)PS - Bhinmal (PG) Transmission Line </t>
  </si>
  <si>
    <t>LI</t>
  </si>
  <si>
    <t>LO</t>
  </si>
  <si>
    <t>Route Allignment,Detail Survey,Check survey</t>
  </si>
  <si>
    <t>Chandra Sekhar</t>
  </si>
  <si>
    <t>SL</t>
  </si>
  <si>
    <t>Gang</t>
  </si>
  <si>
    <t>RETENTION</t>
  </si>
  <si>
    <t>GST@18</t>
  </si>
  <si>
    <t>TDS 1%</t>
  </si>
  <si>
    <t>PF 10</t>
  </si>
  <si>
    <t>GST 20</t>
  </si>
  <si>
    <t>ADVANCE</t>
  </si>
  <si>
    <t>NET PAYABLE</t>
  </si>
  <si>
    <t>TIGHT &amp; PUNCH 10</t>
  </si>
  <si>
    <t>ROW SINCE 3-10-25 to 5-10-25</t>
  </si>
  <si>
    <t>Gurukripa</t>
  </si>
  <si>
    <t xml:space="preserve"> AP2/1 - AP3</t>
  </si>
  <si>
    <t xml:space="preserve"> AP4 - AP5</t>
  </si>
  <si>
    <t xml:space="preserve">     AP5D - AP5E</t>
  </si>
  <si>
    <t xml:space="preserve">134A/3 </t>
  </si>
  <si>
    <t xml:space="preserve">148/0 </t>
  </si>
  <si>
    <t>C.</t>
  </si>
  <si>
    <t xml:space="preserve">F. </t>
  </si>
  <si>
    <t>G.</t>
  </si>
  <si>
    <t>Namechand Mahto</t>
  </si>
  <si>
    <t xml:space="preserve"> Strong ROW. Landowner stopped work not allowing to enter at location  and Tower material left without watchmen.</t>
  </si>
  <si>
    <t>47/2 1Pit RCC Done, 2 Pit RCC WIP ROW Since  28.09.25</t>
  </si>
  <si>
    <t>Proposal Submitted to Apraava</t>
  </si>
  <si>
    <t>Crossing Proposal Hardcopy under submission</t>
  </si>
  <si>
    <t>Crossing Proposal Hardcopy  submitted to Apraava</t>
  </si>
  <si>
    <t>Subject to Approval of CS</t>
  </si>
  <si>
    <t>Rev-Detail Survey approved  and Rev CS data submitted by KEC Engg Dep</t>
  </si>
  <si>
    <t>AE will forward proposal for NOC to Chief Zonal by 10.10.2025</t>
  </si>
  <si>
    <t>Proposal submited by KEC.</t>
  </si>
  <si>
    <t>Partial payment done on 25th Sep. Further proceedings of approval are under process.</t>
  </si>
  <si>
    <t xml:space="preserve"> AP 53-AP-54</t>
  </si>
  <si>
    <t>Baytu (Balotra Road) -Chava (Barmer Road)</t>
  </si>
  <si>
    <t>PWD</t>
  </si>
  <si>
    <t>NOC pending</t>
  </si>
  <si>
    <t xml:space="preserve"> AP 71 - 71/1</t>
  </si>
  <si>
    <t>Barmer-Sindhari</t>
  </si>
  <si>
    <t>AP 92- AP 93</t>
  </si>
  <si>
    <t>Sindhari-Gudamalani</t>
  </si>
  <si>
    <t>130/1 - AP 131</t>
  </si>
  <si>
    <t>Bagoda-Sayla</t>
  </si>
  <si>
    <t>AP 147/9 - AP 148</t>
  </si>
  <si>
    <t>Siyawat/Daspa- Bhinmal</t>
  </si>
  <si>
    <t>Re-Route</t>
  </si>
  <si>
    <t>Detail survey submitted by KEC.</t>
  </si>
  <si>
    <t>Demand letter expected by 15.10.2025</t>
  </si>
  <si>
    <t>DD submitted and other documents to be submitted as per GSPL requirement</t>
  </si>
  <si>
    <t>Documents to be submitted as per HRRL requirement</t>
  </si>
  <si>
    <t>Draft agreement copy submitted for HMEL review</t>
  </si>
  <si>
    <t>NOC/Approval Given on 28.08.2025</t>
  </si>
  <si>
    <t>NOC/Approved on21.08.2025</t>
  </si>
  <si>
    <r>
      <rPr>
        <b/>
        <sz val="11"/>
        <color rgb="FF000000"/>
        <rFont val="Arial"/>
        <family val="2"/>
      </rPr>
      <t>Survey Report Submitted to</t>
    </r>
    <r>
      <rPr>
        <b/>
        <sz val="36"/>
        <color rgb="FF000000"/>
        <rFont val="Arial"/>
        <family val="2"/>
      </rPr>
      <t xml:space="preserve"> </t>
    </r>
    <r>
      <rPr>
        <b/>
        <sz val="12"/>
        <color rgb="FF000000"/>
        <rFont val="Arial"/>
        <family val="2"/>
      </rPr>
      <t>Apraava Engg,</t>
    </r>
  </si>
  <si>
    <t>NOC/APPROVAL 26.09.2025</t>
  </si>
  <si>
    <t>Location 
No.</t>
  </si>
  <si>
    <t>Tower Weight</t>
  </si>
  <si>
    <t>Gang Name</t>
  </si>
  <si>
    <t>Completion Date</t>
  </si>
  <si>
    <t>Project Code</t>
  </si>
  <si>
    <t>Project Name</t>
  </si>
  <si>
    <t>Client Name</t>
  </si>
  <si>
    <t>LOA Start Date</t>
  </si>
  <si>
    <t>LOA End Date</t>
  </si>
  <si>
    <t>Planning Engineer</t>
  </si>
  <si>
    <t>PCH</t>
  </si>
  <si>
    <t>Regional Manager</t>
  </si>
  <si>
    <t>Section Incharge</t>
  </si>
  <si>
    <t xml:space="preserve">Supervisor/Engineer </t>
  </si>
  <si>
    <t xml:space="preserve">TB 507 </t>
  </si>
  <si>
    <t>400kV D/C Fatehgarh IV (Section-2)PS - Bhinmal (PG) Transmission Line</t>
  </si>
  <si>
    <t>RAJASTHAN IV A POWER TRANSMISSION LTD</t>
  </si>
  <si>
    <t>31-10--2025</t>
  </si>
  <si>
    <t>113/0</t>
  </si>
  <si>
    <t>Pit marking done, ROW Cleararence  not confirmed</t>
  </si>
  <si>
    <t>89/0</t>
  </si>
  <si>
    <t>DATE</t>
  </si>
  <si>
    <t>Detail Survey</t>
  </si>
  <si>
    <t>kms</t>
  </si>
  <si>
    <t>ROUGH SAG</t>
  </si>
  <si>
    <t>FINAL SAG</t>
  </si>
  <si>
    <t>STRINGING</t>
  </si>
  <si>
    <t xml:space="preserve">Foundatioin </t>
  </si>
  <si>
    <t>TACK WELDING</t>
  </si>
  <si>
    <t>NH/SH CROSSING</t>
  </si>
  <si>
    <t>TOWER ERECTION</t>
  </si>
  <si>
    <t>RAILWAY X-ING</t>
  </si>
  <si>
    <t>FOUNDATION</t>
  </si>
  <si>
    <t>PLC</t>
  </si>
  <si>
    <t>Stringing P/O</t>
  </si>
  <si>
    <t>EARTHING</t>
  </si>
  <si>
    <t>Stringing F/S</t>
  </si>
  <si>
    <t>400 KV</t>
  </si>
  <si>
    <t>132 KV</t>
  </si>
  <si>
    <t>Pit A, B 1MRC</t>
  </si>
  <si>
    <t>B, C Benching</t>
  </si>
  <si>
    <t>27B/0</t>
  </si>
  <si>
    <t>220 KV</t>
  </si>
  <si>
    <t>28/0</t>
  </si>
  <si>
    <t>.28/1</t>
  </si>
  <si>
    <t>.29/1</t>
  </si>
  <si>
    <t>.29/3</t>
  </si>
  <si>
    <t>30/0</t>
  </si>
  <si>
    <t>.30/1</t>
  </si>
  <si>
    <t>.30/3</t>
  </si>
  <si>
    <t>AP 32</t>
  </si>
  <si>
    <t>OIL Line</t>
  </si>
  <si>
    <t>AP 33</t>
  </si>
  <si>
    <t>AP 34</t>
  </si>
  <si>
    <t>AP 35</t>
  </si>
  <si>
    <t>36/0</t>
  </si>
  <si>
    <t>AP36A/0</t>
  </si>
  <si>
    <t>37/0</t>
  </si>
  <si>
    <t>39/0</t>
  </si>
  <si>
    <t>Rly Xing</t>
  </si>
  <si>
    <t>SH-40</t>
  </si>
  <si>
    <t>RC 1M &amp;3M</t>
  </si>
  <si>
    <t>P</t>
  </si>
  <si>
    <t xml:space="preserve">132 KV </t>
  </si>
  <si>
    <t>NH 754</t>
  </si>
  <si>
    <t>SH 16</t>
  </si>
  <si>
    <t>AP134A</t>
  </si>
  <si>
    <t>SH 31</t>
  </si>
  <si>
    <t>AP149A</t>
  </si>
  <si>
    <t>AP149B</t>
  </si>
  <si>
    <t>AP149B/1</t>
  </si>
  <si>
    <t>RLY XING</t>
  </si>
  <si>
    <t>AP154/1</t>
  </si>
  <si>
    <t>AP154/2</t>
  </si>
  <si>
    <t>GANTRY UCS</t>
  </si>
  <si>
    <t>DD+0 (Aux)</t>
  </si>
  <si>
    <t>PGCIL GANTRY</t>
  </si>
  <si>
    <r>
      <t xml:space="preserve">DA+0 </t>
    </r>
    <r>
      <rPr>
        <b/>
        <sz val="16"/>
        <color rgb="FFFF0000"/>
        <rFont val="Calibri"/>
        <family val="2"/>
        <scheme val="minor"/>
      </rPr>
      <t>1MRC</t>
    </r>
  </si>
  <si>
    <t>P(ROW)</t>
  </si>
  <si>
    <t>Plan For NOV'25</t>
  </si>
  <si>
    <t>Progress in NOV'25</t>
  </si>
  <si>
    <t>Excavation WIP. Next Program: PCC, Rebar.</t>
  </si>
  <si>
    <t>Amartya sarkar</t>
  </si>
  <si>
    <t>Sanjay Kr Gupta</t>
  </si>
  <si>
    <t>ALOK SINHA</t>
  </si>
  <si>
    <t>Manpower Arrived, Next Program: Stub Setting, PCC, Rebar</t>
  </si>
  <si>
    <t>Pit A PCC, Pit D Stub Setting, Next Program: PCC, Rebar, RCC</t>
  </si>
  <si>
    <t>Excavation Done, Material Shifting Done, Next Program: Stub Setting, PCC, Rebar.</t>
  </si>
  <si>
    <t>Pit A RCC WIP, Pit B,C,D RCC Done.</t>
  </si>
  <si>
    <t>Pit A,B,D RCC WIP, Next Program: RCC Complete</t>
  </si>
  <si>
    <t>Pit B RCC Done, Pit A,C RCC WIP, Pit D PCC Done, Next Program: Rebar, RCC. Next Loc 140/0.</t>
  </si>
  <si>
    <t>ALOK JANA</t>
  </si>
  <si>
    <t>VARUN TYAGI</t>
  </si>
  <si>
    <t>Project Manager</t>
  </si>
  <si>
    <t>Status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</si>
</sst>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3" formatCode="_(* #,##0.00_);_(* \(#,##0.00\);_(* &quot;-&quot;??_);_(@_)"/>
    <numFmt numFmtId="164" formatCode="_ &quot;₹&quot;\ * #,##0.00_ ;_ &quot;₹&quot;\ * \-#,##0.00_ ;_ &quot;₹&quot;\ * &quot;-&quot;??_ ;_ @_ "/>
    <numFmt numFmtId="165" formatCode="_ * #,##0.00_ ;_ * \-#,##0.00_ ;_ * &quot;-&quot;??_ ;_ @_ "/>
    <numFmt numFmtId="166" formatCode="[$-409]mmm/yy;@"/>
    <numFmt numFmtId="167" formatCode="dd\.mm\.yy"/>
    <numFmt numFmtId="168" formatCode="0.0"/>
    <numFmt numFmtId="169" formatCode="_ * #,##0_ ;_ * \-#,##0_ ;_ * &quot;-&quot;??_ ;_ @_ "/>
    <numFmt numFmtId="170" formatCode="0.000"/>
    <numFmt numFmtId="171" formatCode="d\P\R;@"/>
    <numFmt numFmtId="172" formatCode="[$-409]d/mmm/yy;@"/>
    <numFmt numFmtId="173" formatCode="[$-409]d\-mmm\-yy;@"/>
    <numFmt numFmtId="174" formatCode="#,##0.000"/>
    <numFmt numFmtId="175" formatCode="[$-14009]dd/mm/yyyy;@"/>
    <numFmt numFmtId="176" formatCode="dd/mm/yyyy;@"/>
  </numFmts>
  <fonts count="281">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0"/>
      <name val="Swis721 Cn BT"/>
      <family val="2"/>
    </font>
    <font>
      <b/>
      <sz val="10"/>
      <name val="Calibri"/>
      <family val="2"/>
    </font>
    <font>
      <sz val="11"/>
      <name val="Swis721 Cn BT"/>
      <family val="2"/>
    </font>
    <font>
      <sz val="10"/>
      <name val="Calibri"/>
      <family val="2"/>
    </font>
    <font>
      <sz val="10"/>
      <color theme="1"/>
      <name val="Calibri"/>
      <family val="2"/>
    </font>
    <font>
      <b/>
      <sz val="10"/>
      <color theme="1"/>
      <name val="Calibri"/>
      <family val="2"/>
    </font>
    <font>
      <sz val="10"/>
      <color theme="1"/>
      <name val="Aptos"/>
      <family val="2"/>
    </font>
    <font>
      <b/>
      <u/>
      <sz val="10"/>
      <name val="Calibri"/>
      <family val="2"/>
    </font>
    <font>
      <sz val="10"/>
      <color rgb="FFFF0000"/>
      <name val="Calibri"/>
      <family val="2"/>
    </font>
    <font>
      <b/>
      <sz val="12"/>
      <name val="Calibri"/>
      <family val="2"/>
      <scheme val="minor"/>
    </font>
    <font>
      <b/>
      <sz val="14"/>
      <color theme="1"/>
      <name val="Calibri"/>
      <family val="2"/>
      <scheme val="minor"/>
    </font>
    <font>
      <b/>
      <sz val="16"/>
      <color theme="1"/>
      <name val="Calibri"/>
      <family val="2"/>
      <scheme val="minor"/>
    </font>
    <font>
      <b/>
      <sz val="11"/>
      <name val="Calibri"/>
      <family val="2"/>
      <scheme val="minor"/>
    </font>
    <font>
      <sz val="8"/>
      <color rgb="FF000000"/>
      <name val="Calibri"/>
      <family val="2"/>
    </font>
    <font>
      <sz val="8"/>
      <name val="Arial MT"/>
      <charset val="134"/>
    </font>
    <font>
      <sz val="8"/>
      <color rgb="FF000000"/>
      <name val="Arial MT"/>
      <charset val="134"/>
    </font>
    <font>
      <b/>
      <sz val="11"/>
      <color theme="1"/>
      <name val="Calibri"/>
      <family val="2"/>
      <scheme val="minor"/>
    </font>
    <font>
      <sz val="10"/>
      <color rgb="FF000000"/>
      <name val="Times New Roman"/>
      <family val="1"/>
    </font>
    <font>
      <sz val="8"/>
      <name val="Arial MT"/>
      <charset val="134"/>
    </font>
    <font>
      <sz val="9"/>
      <color rgb="FF000000"/>
      <name val="Arial MT"/>
      <charset val="134"/>
    </font>
    <font>
      <sz val="9"/>
      <color rgb="FF000000"/>
      <name val="Times New Roman"/>
      <family val="1"/>
    </font>
    <font>
      <b/>
      <sz val="10"/>
      <color rgb="FF000000"/>
      <name val="Times New Roman"/>
      <family val="1"/>
    </font>
    <font>
      <b/>
      <sz val="12"/>
      <color theme="1"/>
      <name val="Calibri"/>
      <family val="2"/>
      <scheme val="minor"/>
    </font>
    <font>
      <b/>
      <u/>
      <sz val="11"/>
      <name val="Arial"/>
      <family val="2"/>
    </font>
    <font>
      <b/>
      <u/>
      <sz val="11"/>
      <color indexed="8"/>
      <name val="Arial"/>
      <family val="2"/>
    </font>
    <font>
      <b/>
      <sz val="11"/>
      <color indexed="8"/>
      <name val="Arial"/>
      <family val="2"/>
    </font>
    <font>
      <b/>
      <sz val="14"/>
      <color indexed="8"/>
      <name val="Arial"/>
      <family val="2"/>
    </font>
    <font>
      <sz val="10"/>
      <color theme="1"/>
      <name val="Arial"/>
      <family val="2"/>
    </font>
    <font>
      <sz val="10"/>
      <color rgb="FF00B050"/>
      <name val="Arial"/>
      <family val="2"/>
    </font>
    <font>
      <b/>
      <sz val="10"/>
      <color rgb="FFFF0000"/>
      <name val="Arial"/>
      <family val="2"/>
    </font>
    <font>
      <sz val="10"/>
      <color indexed="8"/>
      <name val="Arial"/>
      <family val="2"/>
    </font>
    <font>
      <sz val="10"/>
      <name val="Arial"/>
      <family val="2"/>
    </font>
    <font>
      <sz val="10"/>
      <color rgb="FFFF0000"/>
      <name val="Arial"/>
      <family val="2"/>
    </font>
    <font>
      <b/>
      <sz val="11"/>
      <color theme="0"/>
      <name val="Arial"/>
      <family val="2"/>
    </font>
    <font>
      <sz val="10"/>
      <color theme="0"/>
      <name val="Arial"/>
      <family val="2"/>
    </font>
    <font>
      <b/>
      <sz val="10"/>
      <color theme="1"/>
      <name val="Arial"/>
      <family val="2"/>
    </font>
    <font>
      <b/>
      <sz val="11"/>
      <color theme="1"/>
      <name val="Arial"/>
      <family val="2"/>
    </font>
    <font>
      <sz val="10"/>
      <color indexed="17"/>
      <name val="Arial"/>
      <family val="2"/>
    </font>
    <font>
      <sz val="11"/>
      <color theme="1"/>
      <name val="Arial"/>
      <family val="2"/>
    </font>
    <font>
      <sz val="10"/>
      <color theme="5"/>
      <name val="Arial"/>
      <family val="2"/>
    </font>
    <font>
      <b/>
      <sz val="10"/>
      <name val="Arial Narrow"/>
      <family val="2"/>
    </font>
    <font>
      <sz val="11"/>
      <name val="Calibri"/>
      <family val="2"/>
      <scheme val="minor"/>
    </font>
    <font>
      <b/>
      <sz val="10"/>
      <color theme="1"/>
      <name val="Calibri"/>
      <family val="2"/>
      <scheme val="minor"/>
    </font>
    <font>
      <sz val="10"/>
      <name val="Calibri"/>
      <family val="2"/>
      <scheme val="minor"/>
    </font>
    <font>
      <b/>
      <sz val="11"/>
      <color theme="1"/>
      <name val="Calibri Light"/>
      <family val="2"/>
    </font>
    <font>
      <sz val="11"/>
      <color theme="1"/>
      <name val="Calibri Light"/>
      <family val="2"/>
    </font>
    <font>
      <sz val="10"/>
      <color theme="1"/>
      <name val="Calibri"/>
      <family val="2"/>
      <scheme val="minor"/>
    </font>
    <font>
      <sz val="12"/>
      <color theme="1"/>
      <name val="Calibri"/>
      <family val="2"/>
      <scheme val="minor"/>
    </font>
    <font>
      <b/>
      <u/>
      <sz val="14"/>
      <color theme="1"/>
      <name val="Calibri"/>
      <family val="2"/>
      <scheme val="minor"/>
    </font>
    <font>
      <sz val="11"/>
      <color rgb="FF242424"/>
      <name val="Aptos"/>
      <family val="2"/>
    </font>
    <font>
      <b/>
      <i/>
      <sz val="11"/>
      <color theme="0"/>
      <name val="Swis721 Cn BT"/>
      <family val="2"/>
    </font>
    <font>
      <b/>
      <u/>
      <sz val="20"/>
      <color theme="0"/>
      <name val="Swis721 Cn BT"/>
      <family val="2"/>
    </font>
    <font>
      <b/>
      <i/>
      <sz val="18"/>
      <color theme="0"/>
      <name val="Swis721 Cn BT"/>
      <family val="2"/>
    </font>
    <font>
      <i/>
      <sz val="15"/>
      <color theme="0"/>
      <name val="Swis721 Cn BT"/>
      <family val="2"/>
    </font>
    <font>
      <i/>
      <sz val="10"/>
      <color theme="0"/>
      <name val="Swis721 Cn BT"/>
      <family val="2"/>
    </font>
    <font>
      <b/>
      <i/>
      <sz val="12"/>
      <color theme="1"/>
      <name val="Swis721 Cn BT"/>
      <family val="2"/>
    </font>
    <font>
      <b/>
      <i/>
      <sz val="20"/>
      <color theme="0"/>
      <name val="Swis721 Cn BT"/>
      <family val="2"/>
    </font>
    <font>
      <sz val="75"/>
      <color theme="1"/>
      <name val="Calibri"/>
      <family val="2"/>
      <scheme val="minor"/>
    </font>
    <font>
      <sz val="10"/>
      <color theme="1"/>
      <name val="Arial Narrow"/>
      <family val="2"/>
    </font>
    <font>
      <sz val="11"/>
      <color theme="1"/>
      <name val="Calibri"/>
      <family val="2"/>
      <scheme val="minor"/>
    </font>
    <font>
      <b/>
      <sz val="11"/>
      <color theme="0"/>
      <name val="Calibri"/>
      <family val="2"/>
      <scheme val="minor"/>
    </font>
    <font>
      <sz val="11"/>
      <color rgb="FF006100"/>
      <name val="Calibri"/>
      <family val="2"/>
      <scheme val="minor"/>
    </font>
    <font>
      <sz val="12"/>
      <color indexed="8"/>
      <name val="Verdana"/>
      <family val="2"/>
    </font>
    <font>
      <sz val="8"/>
      <name val="Arial"/>
      <family val="2"/>
    </font>
    <font>
      <b/>
      <sz val="12"/>
      <name val="Calibri"/>
      <family val="2"/>
      <scheme val="minor"/>
    </font>
    <font>
      <i/>
      <sz val="15"/>
      <color theme="0"/>
      <name val="Swis721 Cn BT"/>
      <family val="2"/>
    </font>
    <font>
      <sz val="10"/>
      <color theme="1"/>
      <name val="Arial"/>
      <family val="2"/>
    </font>
    <font>
      <b/>
      <sz val="11"/>
      <color indexed="8"/>
      <name val="Arial"/>
      <family val="2"/>
    </font>
    <font>
      <sz val="11"/>
      <color rgb="FFFF0000"/>
      <name val="Calibri"/>
      <family val="2"/>
      <scheme val="minor"/>
    </font>
    <font>
      <sz val="8"/>
      <name val="Calibri"/>
      <family val="2"/>
      <scheme val="minor"/>
    </font>
    <font>
      <b/>
      <sz val="9"/>
      <name val="Calibri"/>
      <family val="2"/>
      <scheme val="minor"/>
    </font>
    <font>
      <sz val="9"/>
      <name val="Calibri"/>
      <family val="2"/>
      <scheme val="minor"/>
    </font>
    <font>
      <sz val="9"/>
      <color theme="1"/>
      <name val="Calibri"/>
      <family val="2"/>
      <scheme val="minor"/>
    </font>
    <font>
      <b/>
      <sz val="9"/>
      <color theme="1"/>
      <name val="Calibri"/>
      <family val="2"/>
      <scheme val="minor"/>
    </font>
    <font>
      <sz val="9"/>
      <color theme="0"/>
      <name val="Calibri"/>
      <family val="2"/>
      <scheme val="minor"/>
    </font>
    <font>
      <sz val="8"/>
      <name val="Calibri"/>
      <family val="2"/>
      <scheme val="minor"/>
    </font>
    <font>
      <sz val="8"/>
      <name val="Calibri"/>
      <family val="2"/>
      <scheme val="minor"/>
    </font>
    <font>
      <sz val="11"/>
      <color rgb="FF000000"/>
      <name val="Aptos Narrow"/>
      <family val="2"/>
    </font>
    <font>
      <sz val="20"/>
      <name val="Calibri"/>
      <family val="2"/>
      <scheme val="minor"/>
    </font>
    <font>
      <sz val="9"/>
      <color rgb="FFFF0000"/>
      <name val="Calibri"/>
      <family val="2"/>
      <scheme val="minor"/>
    </font>
    <font>
      <b/>
      <sz val="9"/>
      <color rgb="FFFF0000"/>
      <name val="Calibri"/>
      <family val="2"/>
      <scheme val="minor"/>
    </font>
    <font>
      <vertAlign val="superscript"/>
      <sz val="10"/>
      <color theme="1"/>
      <name val="Calibri"/>
      <family val="2"/>
      <scheme val="minor"/>
    </font>
    <font>
      <sz val="8"/>
      <color rgb="FF242424"/>
      <name val="Segoe UI"/>
      <family val="2"/>
    </font>
    <font>
      <b/>
      <sz val="11"/>
      <color rgb="FF000000"/>
      <name val="Aptos Narrow"/>
      <family val="2"/>
    </font>
    <font>
      <sz val="10"/>
      <color rgb="FF000000"/>
      <name val="Aptos Narrow"/>
      <family val="2"/>
    </font>
    <font>
      <b/>
      <sz val="10"/>
      <color rgb="FF000000"/>
      <name val="Aptos Narrow"/>
      <family val="2"/>
    </font>
    <font>
      <sz val="10"/>
      <color rgb="FF000000"/>
      <name val="Calibri"/>
      <family val="2"/>
    </font>
    <font>
      <b/>
      <sz val="11"/>
      <color rgb="FF215C98"/>
      <name val="Aptos Narrow"/>
      <family val="2"/>
    </font>
    <font>
      <b/>
      <sz val="28"/>
      <color theme="1"/>
      <name val="Calibri"/>
      <family val="2"/>
      <scheme val="minor"/>
    </font>
    <font>
      <b/>
      <sz val="9"/>
      <name val="Arial Black"/>
      <family val="2"/>
    </font>
    <font>
      <b/>
      <sz val="16"/>
      <name val="Arial Black"/>
      <family val="2"/>
    </font>
    <font>
      <b/>
      <sz val="11"/>
      <name val="Arial Black"/>
      <family val="2"/>
    </font>
    <font>
      <b/>
      <sz val="20"/>
      <name val="Arial Black"/>
      <family val="2"/>
    </font>
    <font>
      <b/>
      <sz val="14"/>
      <name val="Arial Black"/>
      <family val="2"/>
    </font>
    <font>
      <b/>
      <sz val="24"/>
      <color theme="1"/>
      <name val="Calibri"/>
      <family val="2"/>
      <scheme val="minor"/>
    </font>
    <font>
      <b/>
      <sz val="18"/>
      <name val="Arial Black"/>
      <family val="2"/>
    </font>
    <font>
      <sz val="36"/>
      <color theme="1"/>
      <name val="Calibri"/>
      <family val="2"/>
      <scheme val="minor"/>
    </font>
    <font>
      <b/>
      <sz val="20"/>
      <color rgb="FFFF0000"/>
      <name val="Arial Black"/>
      <family val="2"/>
    </font>
    <font>
      <b/>
      <sz val="26"/>
      <name val="Calibri"/>
      <family val="2"/>
      <scheme val="minor"/>
    </font>
    <font>
      <sz val="26"/>
      <name val="Calibri"/>
      <family val="2"/>
      <scheme val="minor"/>
    </font>
    <font>
      <b/>
      <sz val="26"/>
      <color rgb="FFFF0000"/>
      <name val="Calibri"/>
      <family val="2"/>
      <scheme val="minor"/>
    </font>
    <font>
      <b/>
      <sz val="20"/>
      <name val="Calibri"/>
      <family val="2"/>
      <scheme val="minor"/>
    </font>
    <font>
      <sz val="26"/>
      <color theme="1"/>
      <name val="Calibri"/>
      <family val="2"/>
      <scheme val="minor"/>
    </font>
    <font>
      <b/>
      <sz val="26"/>
      <color theme="1"/>
      <name val="Calibri"/>
      <family val="2"/>
      <scheme val="minor"/>
    </font>
    <font>
      <b/>
      <sz val="28"/>
      <color rgb="FFFF0000"/>
      <name val="Calibri"/>
      <family val="2"/>
      <scheme val="minor"/>
    </font>
    <font>
      <sz val="20"/>
      <color theme="1"/>
      <name val="Calibri"/>
      <family val="2"/>
      <scheme val="minor"/>
    </font>
    <font>
      <b/>
      <sz val="22"/>
      <color rgb="FFFF0000"/>
      <name val="Calibri"/>
      <family val="2"/>
      <scheme val="minor"/>
    </font>
    <font>
      <b/>
      <sz val="36"/>
      <name val="Calibri"/>
      <family val="2"/>
      <scheme val="minor"/>
    </font>
    <font>
      <b/>
      <sz val="20"/>
      <color rgb="FFFF0000"/>
      <name val="Calibri"/>
      <family val="2"/>
      <scheme val="minor"/>
    </font>
    <font>
      <b/>
      <sz val="26"/>
      <color rgb="FFC00000"/>
      <name val="Calibri"/>
      <family val="2"/>
      <scheme val="minor"/>
    </font>
    <font>
      <b/>
      <sz val="36"/>
      <color rgb="FFFF0000"/>
      <name val="Calibri"/>
      <family val="2"/>
      <scheme val="minor"/>
    </font>
    <font>
      <b/>
      <sz val="20"/>
      <color theme="1"/>
      <name val="Calibri"/>
      <family val="2"/>
      <scheme val="minor"/>
    </font>
    <font>
      <sz val="26"/>
      <color rgb="FFFF0000"/>
      <name val="Calibri"/>
      <family val="2"/>
      <scheme val="minor"/>
    </font>
    <font>
      <sz val="26"/>
      <color theme="0"/>
      <name val="Calibri"/>
      <family val="2"/>
      <scheme val="minor"/>
    </font>
    <font>
      <b/>
      <sz val="22"/>
      <name val="Calibri"/>
      <family val="2"/>
      <scheme val="minor"/>
    </font>
    <font>
      <b/>
      <sz val="12"/>
      <color rgb="FF000000"/>
      <name val="Calibri"/>
      <family val="2"/>
    </font>
    <font>
      <sz val="11"/>
      <color theme="1"/>
      <name val="Calibri"/>
      <family val="2"/>
      <charset val="134"/>
      <scheme val="minor"/>
    </font>
    <font>
      <sz val="12"/>
      <name val="Calibri"/>
      <family val="2"/>
    </font>
    <font>
      <b/>
      <sz val="26"/>
      <color theme="0"/>
      <name val="Calibri"/>
      <family val="2"/>
      <scheme val="minor"/>
    </font>
    <font>
      <sz val="14"/>
      <color theme="1"/>
      <name val="Calibri"/>
      <family val="2"/>
      <scheme val="minor"/>
    </font>
    <font>
      <b/>
      <sz val="12"/>
      <color rgb="FF000000"/>
      <name val="Aptos Narrow"/>
      <family val="2"/>
    </font>
    <font>
      <sz val="12"/>
      <color rgb="FF000000"/>
      <name val="Aptos Narrow"/>
      <family val="2"/>
    </font>
    <font>
      <sz val="12"/>
      <color rgb="FF242424"/>
      <name val="Aptos Narrow"/>
      <family val="2"/>
    </font>
    <font>
      <sz val="16"/>
      <name val="Swis721 Cn BT"/>
      <family val="2"/>
    </font>
    <font>
      <sz val="16"/>
      <color theme="1"/>
      <name val="Swis721 Cn BT"/>
      <family val="2"/>
    </font>
    <font>
      <b/>
      <sz val="16"/>
      <name val="Swis721 Cn BT"/>
      <family val="2"/>
    </font>
    <font>
      <b/>
      <sz val="16"/>
      <color theme="1"/>
      <name val="Swis721 Cn BT"/>
      <family val="2"/>
    </font>
    <font>
      <b/>
      <sz val="16"/>
      <color rgb="FF212529"/>
      <name val="Calibri"/>
      <family val="2"/>
      <scheme val="minor"/>
    </font>
    <font>
      <b/>
      <sz val="16"/>
      <color rgb="FF000000"/>
      <name val="Calibri"/>
      <family val="2"/>
      <scheme val="minor"/>
    </font>
    <font>
      <b/>
      <sz val="36"/>
      <color theme="1"/>
      <name val="Calibri"/>
      <family val="2"/>
      <scheme val="minor"/>
    </font>
    <font>
      <sz val="12"/>
      <name val="Times New Roman"/>
      <family val="1"/>
    </font>
    <font>
      <b/>
      <sz val="11"/>
      <color indexed="9"/>
      <name val="Calibri"/>
      <family val="2"/>
    </font>
    <font>
      <u/>
      <sz val="11"/>
      <color theme="10"/>
      <name val="Calibri"/>
      <family val="2"/>
      <scheme val="minor"/>
    </font>
    <font>
      <b/>
      <sz val="11"/>
      <color rgb="FFFF0000"/>
      <name val="Calibri"/>
      <family val="2"/>
      <scheme val="minor"/>
    </font>
    <font>
      <b/>
      <sz val="14"/>
      <color rgb="FFFF0000"/>
      <name val="Calibri"/>
      <family val="2"/>
      <scheme val="minor"/>
    </font>
    <font>
      <b/>
      <sz val="16"/>
      <color rgb="FFFF0000"/>
      <name val="Swis721 Cn BT"/>
      <family val="2"/>
    </font>
    <font>
      <b/>
      <sz val="11"/>
      <color rgb="FF000000"/>
      <name val="Arial"/>
      <family val="2"/>
    </font>
    <font>
      <b/>
      <sz val="36"/>
      <color rgb="FF000000"/>
      <name val="Arial"/>
      <family val="2"/>
    </font>
    <font>
      <b/>
      <sz val="12"/>
      <color rgb="FF000000"/>
      <name val="Arial"/>
      <family val="2"/>
    </font>
    <font>
      <b/>
      <sz val="16"/>
      <color rgb="FF000000"/>
      <name val="Calibri"/>
      <family val="2"/>
    </font>
    <font>
      <b/>
      <sz val="20"/>
      <color rgb="FF000000"/>
      <name val="Calibri"/>
      <family val="2"/>
    </font>
    <font>
      <b/>
      <sz val="22"/>
      <color rgb="FF000000"/>
      <name val="Calibri"/>
      <family val="2"/>
    </font>
    <font>
      <sz val="10"/>
      <color rgb="FF000000"/>
      <name val="Calibri"/>
      <family val="2"/>
      <scheme val="minor"/>
    </font>
    <font>
      <sz val="16"/>
      <color theme="1"/>
      <name val="Calibri"/>
      <family val="2"/>
      <scheme val="minor"/>
    </font>
    <font>
      <sz val="16"/>
      <name val="Arial"/>
      <family val="2"/>
    </font>
    <font>
      <sz val="16"/>
      <color theme="0"/>
      <name val="Arial"/>
      <family val="2"/>
    </font>
    <font>
      <b/>
      <sz val="16"/>
      <color rgb="FFFF0000"/>
      <name val="Calibri"/>
      <family val="2"/>
      <scheme val="minor"/>
    </font>
    <font>
      <b/>
      <sz val="16"/>
      <name val="Arial"/>
      <family val="2"/>
    </font>
    <font>
      <b/>
      <sz val="16"/>
      <name val="Calibri"/>
      <family val="2"/>
      <scheme val="minor"/>
    </font>
    <font>
      <b/>
      <sz val="16"/>
      <color theme="0"/>
      <name val="Arial"/>
      <family val="2"/>
    </font>
    <font>
      <sz val="16"/>
      <color rgb="FFFF0000"/>
      <name val="Calibri"/>
      <family val="2"/>
      <scheme val="minor"/>
    </font>
    <font>
      <sz val="16"/>
      <name val="Calibri"/>
      <family val="2"/>
      <scheme val="minor"/>
    </font>
    <font>
      <sz val="16"/>
      <color theme="1"/>
      <name val="Arial"/>
      <family val="2"/>
    </font>
    <font>
      <b/>
      <sz val="16"/>
      <color theme="1"/>
      <name val="Arial"/>
      <family val="2"/>
    </font>
  </fonts>
  <fills count="36">
    <fill>
      <patternFill patternType="none"/>
    </fill>
    <fill>
      <patternFill patternType="gray125"/>
    </fill>
    <fill>
      <patternFill patternType="solid">
        <fgColor theme="3" tint="-0.249977111117893"/>
        <bgColor indexed="64"/>
      </patternFill>
    </fill>
    <fill>
      <patternFill patternType="solid">
        <fgColor theme="0"/>
        <bgColor indexed="64"/>
      </patternFill>
    </fill>
    <fill>
      <patternFill patternType="solid">
        <fgColor theme="3" tint="0.89996032593768116"/>
        <bgColor indexed="64"/>
      </patternFill>
    </fill>
    <fill>
      <patternFill patternType="solid">
        <fgColor theme="2"/>
        <bgColor indexed="64"/>
      </patternFill>
    </fill>
    <fill>
      <patternFill patternType="solid">
        <fgColor theme="5" tint="0.59999389629810485"/>
        <bgColor indexed="64"/>
      </patternFill>
    </fill>
    <fill>
      <patternFill patternType="solid">
        <fgColor theme="5" tint="0.39994506668294322"/>
        <bgColor indexed="64"/>
      </patternFill>
    </fill>
    <fill>
      <patternFill patternType="solid">
        <fgColor theme="6"/>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6" tint="0.59999389629810485"/>
        <bgColor indexed="64"/>
      </patternFill>
    </fill>
    <fill>
      <patternFill patternType="solid">
        <fgColor rgb="FF00B050"/>
        <bgColor indexed="64"/>
      </patternFill>
    </fill>
    <fill>
      <patternFill patternType="solid">
        <fgColor theme="4" tint="0.39994506668294322"/>
        <bgColor indexed="64"/>
      </patternFill>
    </fill>
    <fill>
      <patternFill patternType="solid">
        <fgColor theme="1" tint="4.9989318521683403E-2"/>
        <bgColor indexed="64"/>
      </patternFill>
    </fill>
    <fill>
      <patternFill patternType="solid">
        <fgColor rgb="FFFF0000"/>
        <bgColor indexed="64"/>
      </patternFill>
    </fill>
    <fill>
      <patternFill patternType="solid">
        <fgColor rgb="FFC6EFCE"/>
        <bgColor indexed="64"/>
      </patternFill>
    </fill>
    <fill>
      <patternFill patternType="solid">
        <fgColor theme="4" tint="0.79995117038483843"/>
        <bgColor indexed="64"/>
      </patternFill>
    </fill>
    <fill>
      <patternFill patternType="solid">
        <fgColor rgb="FF66FFFF"/>
        <bgColor indexed="64"/>
      </patternFill>
    </fill>
    <fill>
      <patternFill patternType="solid">
        <fgColor theme="3" tint="0.79995117038483843"/>
        <bgColor indexed="64"/>
      </patternFill>
    </fill>
    <fill>
      <patternFill patternType="solid">
        <fgColor rgb="FF92D050"/>
        <bgColor indexed="64"/>
      </patternFill>
    </fill>
    <fill>
      <patternFill patternType="solid">
        <fgColor theme="9"/>
        <bgColor indexed="64"/>
      </patternFill>
    </fill>
    <fill>
      <patternFill patternType="solid">
        <fgColor theme="4" tint="0.59999389629810485"/>
        <bgColor indexed="64"/>
      </patternFill>
    </fill>
    <fill>
      <patternFill patternType="solid">
        <fgColor theme="2" tint="-9.9978637043366805E-2"/>
        <bgColor indexed="64"/>
      </patternFill>
    </fill>
    <fill>
      <patternFill patternType="solid">
        <fgColor theme="0" tint="-0.14996795556505021"/>
        <bgColor indexed="64"/>
      </patternFill>
    </fill>
    <fill>
      <patternFill patternType="solid">
        <fgColor rgb="FFFFFFFF"/>
        <bgColor indexed="64"/>
      </patternFill>
    </fill>
    <fill>
      <patternFill patternType="solid">
        <fgColor rgb="FFA5A5A5"/>
        <bgColor indexed="64"/>
      </patternFill>
    </fill>
    <fill>
      <patternFill patternType="solid">
        <fgColor theme="0" tint="-0.14999847407452621"/>
        <bgColor indexed="64"/>
      </patternFill>
    </fill>
    <fill>
      <patternFill patternType="solid">
        <fgColor rgb="FF00B0F0"/>
        <bgColor indexed="64"/>
      </patternFill>
    </fill>
    <fill>
      <patternFill patternType="solid">
        <fgColor theme="8"/>
        <bgColor indexed="64"/>
      </patternFill>
    </fill>
    <fill>
      <patternFill patternType="solid">
        <fgColor theme="9" tint="0.59999389629810485"/>
        <bgColor indexed="64"/>
      </patternFill>
    </fill>
    <fill>
      <patternFill patternType="solid">
        <fgColor theme="1"/>
        <bgColor indexed="64"/>
      </patternFill>
    </fill>
    <fill>
      <patternFill patternType="solid">
        <fgColor indexed="55"/>
      </patternFill>
    </fill>
    <fill>
      <patternFill patternType="solid">
        <fgColor rgb="FF9BC2E6"/>
        <bgColor rgb="FF000000"/>
      </patternFill>
    </fill>
    <fill>
      <patternFill patternType="solid">
        <fgColor rgb="FFFFC000"/>
        <bgColor indexed="64"/>
      </patternFill>
    </fill>
    <fill>
      <patternFill patternType="solid">
        <fgColor theme="9" tint="0.39997558519241921"/>
        <bgColor indexed="64"/>
      </patternFill>
    </fill>
  </fills>
  <borders count="77">
    <border>
      <left/>
      <right/>
      <top/>
      <bottom/>
      <diagonal/>
    </border>
    <border>
      <left style="thin">
        <color theme="0"/>
      </left>
      <right style="thin">
        <color theme="0"/>
      </right>
      <top style="thin">
        <color auto="1"/>
      </top>
      <bottom style="thin">
        <color theme="0"/>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top style="thin">
        <color auto="1"/>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thin">
        <color auto="1"/>
      </right>
      <top style="medium">
        <color auto="1"/>
      </top>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diagonal/>
    </border>
    <border>
      <left style="thin">
        <color auto="1"/>
      </left>
      <right style="medium">
        <color auto="1"/>
      </right>
      <top style="thin">
        <color auto="1"/>
      </top>
      <bottom style="medium">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thin">
        <color auto="1"/>
      </left>
      <right/>
      <top/>
      <bottom/>
      <diagonal/>
    </border>
    <border>
      <left style="thin">
        <color auto="1"/>
      </left>
      <right/>
      <top style="medium">
        <color auto="1"/>
      </top>
      <bottom/>
      <diagonal/>
    </border>
    <border>
      <left/>
      <right/>
      <top style="medium">
        <color auto="1"/>
      </top>
      <bottom/>
      <diagonal/>
    </border>
    <border>
      <left style="thin">
        <color auto="1"/>
      </left>
      <right/>
      <top style="thin">
        <color auto="1"/>
      </top>
      <bottom/>
      <diagonal/>
    </border>
    <border>
      <left/>
      <right style="thin">
        <color auto="1"/>
      </right>
      <top style="thin">
        <color auto="1"/>
      </top>
      <bottom/>
      <diagonal/>
    </border>
    <border>
      <left style="thin">
        <color auto="1"/>
      </left>
      <right/>
      <top style="thin">
        <color auto="1"/>
      </top>
      <bottom style="thin">
        <color auto="1"/>
      </bottom>
      <diagonal/>
    </border>
    <border>
      <left style="thin">
        <color auto="1"/>
      </left>
      <right/>
      <top/>
      <bottom style="thin">
        <color auto="1"/>
      </bottom>
      <diagonal/>
    </border>
    <border>
      <left/>
      <right style="thin">
        <color auto="1"/>
      </right>
      <top/>
      <bottom style="thin">
        <color auto="1"/>
      </bottom>
      <diagonal/>
    </border>
    <border>
      <left/>
      <right style="thin">
        <color auto="1"/>
      </right>
      <top style="thin">
        <color auto="1"/>
      </top>
      <bottom style="thin">
        <color auto="1"/>
      </bottom>
      <diagonal/>
    </border>
    <border>
      <left/>
      <right style="thick">
        <color auto="1"/>
      </right>
      <top/>
      <bottom/>
      <diagonal/>
    </border>
    <border>
      <left style="thick">
        <color auto="1"/>
      </left>
      <right style="thick">
        <color auto="1"/>
      </right>
      <top style="thick">
        <color auto="1"/>
      </top>
      <bottom style="thick">
        <color auto="1"/>
      </bottom>
      <diagonal/>
    </border>
    <border>
      <left style="thick">
        <color auto="1"/>
      </left>
      <right style="thick">
        <color auto="1"/>
      </right>
      <top/>
      <bottom/>
      <diagonal/>
    </border>
    <border>
      <left/>
      <right/>
      <top/>
      <bottom style="thin">
        <color auto="1"/>
      </bottom>
      <diagonal/>
    </border>
    <border>
      <left/>
      <right/>
      <top style="thin">
        <color auto="1"/>
      </top>
      <bottom style="thin">
        <color auto="1"/>
      </bottom>
      <diagonal/>
    </border>
    <border>
      <left style="thick">
        <color auto="1"/>
      </left>
      <right/>
      <top/>
      <bottom/>
      <diagonal/>
    </border>
    <border>
      <left/>
      <right style="thin">
        <color auto="1"/>
      </right>
      <top/>
      <bottom/>
      <diagonal/>
    </border>
    <border>
      <left style="medium">
        <color auto="1"/>
      </left>
      <right style="medium">
        <color auto="1"/>
      </right>
      <top style="medium">
        <color auto="1"/>
      </top>
      <bottom style="thick">
        <color auto="1"/>
      </bottom>
      <diagonal/>
    </border>
    <border>
      <left style="medium">
        <color auto="1"/>
      </left>
      <right style="medium">
        <color auto="1"/>
      </right>
      <top style="thick">
        <color auto="1"/>
      </top>
      <bottom style="medium">
        <color auto="1"/>
      </bottom>
      <diagonal/>
    </border>
    <border>
      <left style="thick">
        <color auto="1"/>
      </left>
      <right/>
      <top style="thick">
        <color auto="1"/>
      </top>
      <bottom style="thick">
        <color auto="1"/>
      </bottom>
      <diagonal/>
    </border>
    <border>
      <left style="thin">
        <color auto="1"/>
      </left>
      <right style="thick">
        <color auto="1"/>
      </right>
      <top/>
      <bottom/>
      <diagonal/>
    </border>
    <border>
      <left style="thick">
        <color auto="1"/>
      </left>
      <right style="thin">
        <color auto="1"/>
      </right>
      <top style="thick">
        <color auto="1"/>
      </top>
      <bottom style="thick">
        <color auto="1"/>
      </bottom>
      <diagonal/>
    </border>
    <border>
      <left style="thick">
        <color auto="1"/>
      </left>
      <right style="thick">
        <color auto="1"/>
      </right>
      <top style="thick">
        <color auto="1"/>
      </top>
      <bottom/>
      <diagonal/>
    </border>
    <border>
      <left style="medium">
        <color auto="1"/>
      </left>
      <right style="medium">
        <color auto="1"/>
      </right>
      <top style="medium">
        <color auto="1"/>
      </top>
      <bottom style="medium">
        <color auto="1"/>
      </bottom>
      <diagonal/>
    </border>
    <border>
      <left style="medium">
        <color auto="1"/>
      </left>
      <right/>
      <top/>
      <bottom/>
      <diagonal/>
    </border>
    <border>
      <left style="medium">
        <color auto="1"/>
      </left>
      <right/>
      <top/>
      <bottom style="medium">
        <color auto="1"/>
      </bottom>
      <diagonal/>
    </border>
    <border>
      <left/>
      <right/>
      <top/>
      <bottom style="medium">
        <color auto="1"/>
      </bottom>
      <diagonal/>
    </border>
    <border>
      <left style="thin">
        <color auto="1"/>
      </left>
      <right style="thin">
        <color auto="1"/>
      </right>
      <top/>
      <bottom/>
      <diagonal/>
    </border>
    <border>
      <left/>
      <right style="medium">
        <color auto="1"/>
      </right>
      <top/>
      <bottom/>
      <diagonal/>
    </border>
    <border>
      <left/>
      <right style="medium">
        <color auto="1"/>
      </right>
      <top/>
      <bottom style="medium">
        <color auto="1"/>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thin">
        <color auto="1"/>
      </left>
      <right style="thin">
        <color theme="0"/>
      </right>
      <top style="thin">
        <color auto="1"/>
      </top>
      <bottom style="thin">
        <color theme="0"/>
      </bottom>
      <diagonal/>
    </border>
    <border>
      <left style="thin">
        <color theme="0"/>
      </left>
      <right style="thin">
        <color auto="1"/>
      </right>
      <top style="thin">
        <color auto="1"/>
      </top>
      <bottom style="thin">
        <color theme="0"/>
      </bottom>
      <diagonal/>
    </border>
    <border>
      <left style="double">
        <color rgb="FF3F3F3F"/>
      </left>
      <right style="double">
        <color rgb="FF3F3F3F"/>
      </right>
      <top style="double">
        <color rgb="FF3F3F3F"/>
      </top>
      <bottom style="double">
        <color rgb="FF3F3F3F"/>
      </bottom>
      <diagonal/>
    </border>
    <border>
      <left/>
      <right style="thin">
        <color indexed="64"/>
      </right>
      <top style="medium">
        <color indexed="64"/>
      </top>
      <bottom style="medium">
        <color indexed="64"/>
      </bottom>
      <diagonal/>
    </border>
    <border>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style="medium">
        <color rgb="FF000000"/>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style="double">
        <color indexed="63"/>
      </left>
      <right style="double">
        <color indexed="63"/>
      </right>
      <top style="double">
        <color indexed="63"/>
      </top>
      <bottom style="double">
        <color indexed="63"/>
      </bottom>
      <diagonal/>
    </border>
    <border>
      <left style="medium">
        <color indexed="64"/>
      </left>
      <right/>
      <top/>
      <bottom style="thin">
        <color indexed="64"/>
      </bottom>
      <diagonal/>
    </border>
  </borders>
  <cellStyleXfs count="52">
    <xf numFmtId="0" fontId="0" fillId="0" borderId="0"/>
    <xf numFmtId="165" fontId="186" fillId="0" borderId="0" applyFont="0" applyFill="0" applyBorder="0" applyAlignment="0" applyProtection="0"/>
    <xf numFmtId="164" fontId="186" fillId="0" borderId="0" applyFont="0" applyFill="0" applyBorder="0" applyAlignment="0" applyProtection="0"/>
    <xf numFmtId="9" fontId="186" fillId="0" borderId="0" applyFont="0" applyFill="0" applyBorder="0" applyAlignment="0" applyProtection="0"/>
    <xf numFmtId="0" fontId="187" fillId="26" borderId="56" applyNumberFormat="0" applyAlignment="0" applyProtection="0"/>
    <xf numFmtId="0" fontId="188" fillId="16" borderId="0" applyNumberFormat="0" applyBorder="0" applyAlignment="0" applyProtection="0"/>
    <xf numFmtId="0" fontId="186" fillId="17" borderId="0" applyNumberFormat="0" applyBorder="0" applyAlignment="0" applyProtection="0"/>
    <xf numFmtId="165" fontId="158" fillId="0" borderId="0" applyFont="0" applyFill="0" applyBorder="0" applyAlignment="0" applyProtection="0"/>
    <xf numFmtId="43" fontId="158" fillId="0" borderId="0" applyFont="0" applyFill="0" applyBorder="0" applyAlignment="0" applyProtection="0"/>
    <xf numFmtId="43" fontId="186" fillId="0" borderId="0" applyFont="0" applyFill="0" applyBorder="0" applyAlignment="0" applyProtection="0"/>
    <xf numFmtId="0" fontId="158" fillId="0" borderId="0"/>
    <xf numFmtId="0" fontId="158" fillId="0" borderId="0"/>
    <xf numFmtId="0" fontId="158" fillId="0" borderId="0"/>
    <xf numFmtId="0" fontId="158" fillId="0" borderId="0" applyNumberFormat="0" applyFont="0" applyFill="0" applyBorder="0" applyAlignment="0" applyProtection="0">
      <alignment vertical="top"/>
    </xf>
    <xf numFmtId="0" fontId="186" fillId="0" borderId="0"/>
    <xf numFmtId="0" fontId="189" fillId="0" borderId="0" applyNumberFormat="0" applyFill="0" applyBorder="0" applyProtection="0">
      <alignment vertical="top" wrapText="1"/>
    </xf>
    <xf numFmtId="0" fontId="158" fillId="0" borderId="0"/>
    <xf numFmtId="0" fontId="158" fillId="0" borderId="0"/>
    <xf numFmtId="0" fontId="158" fillId="0" borderId="0"/>
    <xf numFmtId="0" fontId="158" fillId="0" borderId="0"/>
    <xf numFmtId="0" fontId="186" fillId="0" borderId="0"/>
    <xf numFmtId="0" fontId="158" fillId="0" borderId="0"/>
    <xf numFmtId="0" fontId="186" fillId="0" borderId="0"/>
    <xf numFmtId="0" fontId="158" fillId="0" borderId="0"/>
    <xf numFmtId="0" fontId="158" fillId="0" borderId="0"/>
    <xf numFmtId="0" fontId="158" fillId="0" borderId="0"/>
    <xf numFmtId="0" fontId="158" fillId="0" borderId="0"/>
    <xf numFmtId="0" fontId="158" fillId="0" borderId="0"/>
    <xf numFmtId="0" fontId="158" fillId="0" borderId="0"/>
    <xf numFmtId="9" fontId="158" fillId="0" borderId="0" applyFont="0" applyFill="0" applyBorder="0" applyAlignment="0" applyProtection="0"/>
    <xf numFmtId="0" fontId="31" fillId="0" borderId="0"/>
    <xf numFmtId="0" fontId="31" fillId="0" borderId="0"/>
    <xf numFmtId="0" fontId="31" fillId="0" borderId="0"/>
    <xf numFmtId="0" fontId="31" fillId="0" borderId="0"/>
    <xf numFmtId="0" fontId="31" fillId="0" borderId="0"/>
    <xf numFmtId="0" fontId="158" fillId="0" borderId="0"/>
    <xf numFmtId="0" fontId="257" fillId="0" borderId="0"/>
    <xf numFmtId="0" fontId="31" fillId="0" borderId="0"/>
    <xf numFmtId="0" fontId="257" fillId="0" borderId="0"/>
    <xf numFmtId="0" fontId="31" fillId="0" borderId="0"/>
    <xf numFmtId="0" fontId="31" fillId="0" borderId="0"/>
    <xf numFmtId="0" fontId="31" fillId="0" borderId="0"/>
    <xf numFmtId="0" fontId="31" fillId="0" borderId="0"/>
    <xf numFmtId="0" fontId="31" fillId="0" borderId="0"/>
    <xf numFmtId="0" fontId="158" fillId="0" borderId="0"/>
    <xf numFmtId="0" fontId="158" fillId="0" borderId="0" applyNumberFormat="0" applyFill="0" applyBorder="0" applyAlignment="0" applyProtection="0"/>
    <xf numFmtId="0" fontId="258" fillId="32" borderId="75" applyNumberFormat="0" applyAlignment="0" applyProtection="0"/>
    <xf numFmtId="165" fontId="158" fillId="0" borderId="0" applyFont="0" applyFill="0" applyBorder="0" applyAlignment="0" applyProtection="0"/>
    <xf numFmtId="0" fontId="158" fillId="0" borderId="0"/>
    <xf numFmtId="0" fontId="158" fillId="0" borderId="0"/>
    <xf numFmtId="0" fontId="259" fillId="0" borderId="0" applyNumberFormat="0" applyFill="0" applyBorder="0" applyAlignment="0" applyProtection="0"/>
    <xf numFmtId="0" fontId="2" fillId="0" borderId="0"/>
  </cellStyleXfs>
  <cellXfs count="1769">
    <xf numFmtId="0" fontId="0" fillId="0" borderId="0" xfId="0"/>
    <xf numFmtId="0" fontId="127" fillId="2" borderId="1" xfId="0" applyFont="1" applyFill="1" applyBorder="1" applyAlignment="1" applyProtection="1">
      <alignment horizontal="center" vertical="center" wrapText="1"/>
      <protection hidden="1"/>
    </xf>
    <xf numFmtId="0" fontId="127" fillId="3" borderId="1" xfId="0" applyFont="1" applyFill="1" applyBorder="1" applyAlignment="1" applyProtection="1">
      <alignment horizontal="center" vertical="center" wrapText="1"/>
      <protection hidden="1"/>
    </xf>
    <xf numFmtId="166" fontId="128" fillId="4" borderId="2" xfId="0" applyNumberFormat="1" applyFont="1" applyFill="1" applyBorder="1" applyAlignment="1">
      <alignment horizontal="center" vertical="center"/>
    </xf>
    <xf numFmtId="0" fontId="129" fillId="0" borderId="2" xfId="0" applyFont="1" applyBorder="1" applyAlignment="1" applyProtection="1">
      <alignment vertical="center" wrapText="1"/>
      <protection hidden="1"/>
    </xf>
    <xf numFmtId="0" fontId="130" fillId="3" borderId="2" xfId="0" applyFont="1" applyFill="1" applyBorder="1" applyAlignment="1">
      <alignment horizontal="right" vertical="top" wrapText="1"/>
    </xf>
    <xf numFmtId="0" fontId="130" fillId="3" borderId="2" xfId="0" applyFont="1" applyFill="1" applyBorder="1" applyAlignment="1">
      <alignment horizontal="left" vertical="top" wrapText="1"/>
    </xf>
    <xf numFmtId="0" fontId="130" fillId="3" borderId="2" xfId="0" applyFont="1" applyFill="1" applyBorder="1" applyAlignment="1">
      <alignment horizontal="center" vertical="top" wrapText="1"/>
    </xf>
    <xf numFmtId="0" fontId="129" fillId="5" borderId="2" xfId="0" applyFont="1" applyFill="1" applyBorder="1" applyAlignment="1" applyProtection="1">
      <alignment vertical="center" wrapText="1"/>
      <protection hidden="1"/>
    </xf>
    <xf numFmtId="0" fontId="130" fillId="3" borderId="2" xfId="0" applyFont="1" applyFill="1" applyBorder="1" applyAlignment="1">
      <alignment horizontal="center" vertical="top"/>
    </xf>
    <xf numFmtId="0" fontId="131" fillId="0" borderId="0" xfId="0" applyFont="1"/>
    <xf numFmtId="1" fontId="128" fillId="4" borderId="3" xfId="0" applyNumberFormat="1" applyFont="1" applyFill="1" applyBorder="1" applyAlignment="1">
      <alignment horizontal="center" vertical="center" wrapText="1"/>
    </xf>
    <xf numFmtId="1" fontId="130" fillId="4" borderId="4" xfId="0" applyNumberFormat="1" applyFont="1" applyFill="1" applyBorder="1"/>
    <xf numFmtId="0" fontId="128" fillId="3" borderId="2" xfId="0" applyFont="1" applyFill="1" applyBorder="1" applyAlignment="1">
      <alignment horizontal="center" vertical="center" wrapText="1"/>
    </xf>
    <xf numFmtId="1" fontId="128" fillId="3" borderId="2" xfId="0" applyNumberFormat="1" applyFont="1" applyFill="1" applyBorder="1" applyAlignment="1">
      <alignment horizontal="left" vertical="center" wrapText="1"/>
    </xf>
    <xf numFmtId="1" fontId="131" fillId="3" borderId="2" xfId="0" applyNumberFormat="1" applyFont="1" applyFill="1" applyBorder="1" applyAlignment="1">
      <alignment horizontal="left" vertical="center" wrapText="1"/>
    </xf>
    <xf numFmtId="167" fontId="130" fillId="3" borderId="2" xfId="0" applyNumberFormat="1" applyFont="1" applyFill="1" applyBorder="1" applyAlignment="1">
      <alignment horizontal="center" vertical="center" wrapText="1"/>
    </xf>
    <xf numFmtId="1" fontId="130" fillId="3" borderId="2" xfId="0" applyNumberFormat="1" applyFont="1" applyFill="1" applyBorder="1" applyAlignment="1">
      <alignment horizontal="center" vertical="center" wrapText="1"/>
    </xf>
    <xf numFmtId="0" fontId="130" fillId="3" borderId="2" xfId="0" applyFont="1" applyFill="1" applyBorder="1" applyAlignment="1">
      <alignment horizontal="center" vertical="center" wrapText="1"/>
    </xf>
    <xf numFmtId="2" fontId="132" fillId="3" borderId="2" xfId="0" applyNumberFormat="1" applyFont="1" applyFill="1" applyBorder="1" applyAlignment="1">
      <alignment horizontal="center" vertical="center" wrapText="1"/>
    </xf>
    <xf numFmtId="0" fontId="132" fillId="3" borderId="2" xfId="0" applyFont="1" applyFill="1" applyBorder="1" applyAlignment="1">
      <alignment horizontal="left" vertical="center" wrapText="1"/>
    </xf>
    <xf numFmtId="0" fontId="131" fillId="3" borderId="2" xfId="0" applyFont="1" applyFill="1" applyBorder="1" applyAlignment="1">
      <alignment horizontal="left" vertical="center" wrapText="1"/>
    </xf>
    <xf numFmtId="2" fontId="131" fillId="3" borderId="2" xfId="0" applyNumberFormat="1" applyFont="1" applyFill="1" applyBorder="1" applyAlignment="1">
      <alignment horizontal="center" vertical="center" wrapText="1"/>
    </xf>
    <xf numFmtId="0" fontId="131" fillId="3" borderId="2" xfId="0" applyFont="1" applyFill="1" applyBorder="1" applyAlignment="1">
      <alignment horizontal="center" vertical="center" wrapText="1"/>
    </xf>
    <xf numFmtId="2" fontId="130" fillId="3" borderId="2" xfId="0" applyNumberFormat="1" applyFont="1" applyFill="1" applyBorder="1" applyAlignment="1">
      <alignment horizontal="left" vertical="center" wrapText="1"/>
    </xf>
    <xf numFmtId="167" fontId="130" fillId="3" borderId="2" xfId="16" applyNumberFormat="1" applyFont="1" applyFill="1" applyBorder="1" applyAlignment="1">
      <alignment horizontal="center" vertical="center" wrapText="1"/>
    </xf>
    <xf numFmtId="2" fontId="130" fillId="3" borderId="2" xfId="0" applyNumberFormat="1" applyFont="1" applyFill="1" applyBorder="1" applyAlignment="1">
      <alignment horizontal="center" vertical="top" wrapText="1"/>
    </xf>
    <xf numFmtId="2" fontId="130" fillId="3" borderId="2" xfId="16" applyNumberFormat="1" applyFont="1" applyFill="1" applyBorder="1" applyAlignment="1">
      <alignment horizontal="left" vertical="center" wrapText="1"/>
    </xf>
    <xf numFmtId="2" fontId="130" fillId="3" borderId="2" xfId="0" applyNumberFormat="1" applyFont="1" applyFill="1" applyBorder="1" applyAlignment="1">
      <alignment horizontal="center" vertical="center" wrapText="1"/>
    </xf>
    <xf numFmtId="2" fontId="130" fillId="3" borderId="2" xfId="16" applyNumberFormat="1" applyFont="1" applyFill="1" applyBorder="1" applyAlignment="1">
      <alignment horizontal="left" vertical="center"/>
    </xf>
    <xf numFmtId="0" fontId="131" fillId="3" borderId="0" xfId="0" applyFont="1" applyFill="1" applyAlignment="1">
      <alignment vertical="center"/>
    </xf>
    <xf numFmtId="1" fontId="131" fillId="3" borderId="0" xfId="0" applyNumberFormat="1" applyFont="1" applyFill="1" applyAlignment="1">
      <alignment vertical="center"/>
    </xf>
    <xf numFmtId="0" fontId="131" fillId="3" borderId="0" xfId="0" applyFont="1" applyFill="1" applyAlignment="1">
      <alignment horizontal="center" vertical="center"/>
    </xf>
    <xf numFmtId="0" fontId="133" fillId="0" borderId="0" xfId="0" applyFont="1" applyAlignment="1">
      <alignment horizontal="left" vertical="center" indent="1"/>
    </xf>
    <xf numFmtId="0" fontId="132" fillId="0" borderId="0" xfId="0" applyFont="1"/>
    <xf numFmtId="0" fontId="134" fillId="3" borderId="0" xfId="0" applyFont="1" applyFill="1" applyAlignment="1">
      <alignment horizontal="left" vertical="center"/>
    </xf>
    <xf numFmtId="0" fontId="130" fillId="3" borderId="2" xfId="0" applyFont="1" applyFill="1" applyBorder="1" applyAlignment="1">
      <alignment horizontal="left"/>
    </xf>
    <xf numFmtId="17" fontId="130" fillId="3" borderId="2" xfId="0" applyNumberFormat="1" applyFont="1" applyFill="1" applyBorder="1" applyAlignment="1">
      <alignment horizontal="center" vertical="center"/>
    </xf>
    <xf numFmtId="9" fontId="131" fillId="3" borderId="2" xfId="0" applyNumberFormat="1" applyFont="1" applyFill="1" applyBorder="1" applyAlignment="1">
      <alignment horizontal="center" vertical="center"/>
    </xf>
    <xf numFmtId="9" fontId="131" fillId="3" borderId="2" xfId="0" applyNumberFormat="1" applyFont="1" applyFill="1" applyBorder="1" applyAlignment="1">
      <alignment vertical="center" wrapText="1"/>
    </xf>
    <xf numFmtId="9" fontId="131" fillId="3" borderId="2" xfId="0" applyNumberFormat="1" applyFont="1" applyFill="1" applyBorder="1" applyAlignment="1">
      <alignment horizontal="center" vertical="center" wrapText="1"/>
    </xf>
    <xf numFmtId="0" fontId="131" fillId="3" borderId="2" xfId="0" applyFont="1" applyFill="1" applyBorder="1" applyAlignment="1">
      <alignment vertical="center" wrapText="1"/>
    </xf>
    <xf numFmtId="0" fontId="135" fillId="3" borderId="0" xfId="0" applyFont="1" applyFill="1" applyAlignment="1">
      <alignment horizontal="center" vertical="center"/>
    </xf>
    <xf numFmtId="0" fontId="135" fillId="3" borderId="0" xfId="0" applyFont="1" applyFill="1" applyAlignment="1">
      <alignment vertical="center"/>
    </xf>
    <xf numFmtId="9" fontId="130" fillId="3" borderId="2" xfId="0" applyNumberFormat="1" applyFont="1" applyFill="1" applyBorder="1" applyAlignment="1">
      <alignment horizontal="center" vertical="top" wrapText="1"/>
    </xf>
    <xf numFmtId="0" fontId="130" fillId="3" borderId="0" xfId="0" applyFont="1" applyFill="1" applyAlignment="1">
      <alignment vertical="center"/>
    </xf>
    <xf numFmtId="0" fontId="0" fillId="0" borderId="0" xfId="0" applyAlignment="1">
      <alignment horizontal="left" vertical="top"/>
    </xf>
    <xf numFmtId="1" fontId="140" fillId="9" borderId="6" xfId="0" applyNumberFormat="1" applyFont="1" applyFill="1" applyBorder="1" applyAlignment="1">
      <alignment horizontal="center" vertical="center" shrinkToFit="1"/>
    </xf>
    <xf numFmtId="0" fontId="141" fillId="9" borderId="7" xfId="0" applyFont="1" applyFill="1" applyBorder="1" applyAlignment="1">
      <alignment horizontal="center" vertical="center" wrapText="1"/>
    </xf>
    <xf numFmtId="169" fontId="0" fillId="9" borderId="7" xfId="1" applyNumberFormat="1" applyFont="1" applyFill="1" applyBorder="1" applyAlignment="1">
      <alignment horizontal="center" vertical="center" wrapText="1"/>
    </xf>
    <xf numFmtId="0" fontId="0" fillId="9" borderId="7" xfId="0" applyFill="1" applyBorder="1" applyAlignment="1">
      <alignment horizontal="left" vertical="center" wrapText="1"/>
    </xf>
    <xf numFmtId="0" fontId="0" fillId="9" borderId="7" xfId="0" applyFill="1" applyBorder="1" applyAlignment="1">
      <alignment horizontal="left" vertical="top"/>
    </xf>
    <xf numFmtId="1" fontId="140" fillId="9" borderId="7" xfId="0" applyNumberFormat="1" applyFont="1" applyFill="1" applyBorder="1" applyAlignment="1">
      <alignment horizontal="center" vertical="center" shrinkToFit="1"/>
    </xf>
    <xf numFmtId="0" fontId="0" fillId="0" borderId="8" xfId="0" applyBorder="1" applyAlignment="1">
      <alignment horizontal="left" vertical="center" wrapText="1"/>
    </xf>
    <xf numFmtId="0" fontId="0" fillId="0" borderId="2" xfId="0" applyBorder="1" applyAlignment="1">
      <alignment horizontal="left" vertical="center" wrapText="1"/>
    </xf>
    <xf numFmtId="169" fontId="0" fillId="0" borderId="2" xfId="1" applyNumberFormat="1" applyFont="1" applyBorder="1" applyAlignment="1">
      <alignment horizontal="center" vertical="center" wrapText="1"/>
    </xf>
    <xf numFmtId="2" fontId="142" fillId="0" borderId="2" xfId="0" applyNumberFormat="1" applyFont="1" applyBorder="1" applyAlignment="1">
      <alignment horizontal="center" vertical="center" shrinkToFit="1"/>
    </xf>
    <xf numFmtId="0" fontId="0" fillId="0" borderId="2" xfId="0" applyBorder="1" applyAlignment="1">
      <alignment horizontal="center" vertical="center"/>
    </xf>
    <xf numFmtId="0" fontId="0" fillId="0" borderId="2" xfId="0" applyBorder="1" applyAlignment="1">
      <alignment horizontal="center" vertical="center" wrapText="1"/>
    </xf>
    <xf numFmtId="1" fontId="140" fillId="0" borderId="8" xfId="0" applyNumberFormat="1" applyFont="1" applyBorder="1" applyAlignment="1">
      <alignment horizontal="center" vertical="center" shrinkToFit="1"/>
    </xf>
    <xf numFmtId="0" fontId="141" fillId="0" borderId="2" xfId="0" applyFont="1" applyBorder="1" applyAlignment="1">
      <alignment horizontal="center" vertical="center" wrapText="1"/>
    </xf>
    <xf numFmtId="1" fontId="140" fillId="0" borderId="2" xfId="0" applyNumberFormat="1" applyFont="1" applyBorder="1" applyAlignment="1">
      <alignment horizontal="center" vertical="center" shrinkToFit="1"/>
    </xf>
    <xf numFmtId="1" fontId="140" fillId="9" borderId="8" xfId="0" applyNumberFormat="1" applyFont="1" applyFill="1" applyBorder="1" applyAlignment="1">
      <alignment horizontal="center" vertical="center" shrinkToFit="1"/>
    </xf>
    <xf numFmtId="0" fontId="141" fillId="9" borderId="2" xfId="0" applyFont="1" applyFill="1" applyBorder="1" applyAlignment="1">
      <alignment horizontal="center" vertical="center" wrapText="1"/>
    </xf>
    <xf numFmtId="169" fontId="0" fillId="9" borderId="2" xfId="1" applyNumberFormat="1" applyFont="1" applyFill="1" applyBorder="1" applyAlignment="1">
      <alignment horizontal="center" vertical="center" wrapText="1"/>
    </xf>
    <xf numFmtId="0" fontId="0" fillId="9" borderId="2" xfId="0" applyFill="1" applyBorder="1" applyAlignment="1">
      <alignment horizontal="left" vertical="center" wrapText="1"/>
    </xf>
    <xf numFmtId="0" fontId="0" fillId="9" borderId="2" xfId="0" applyFill="1" applyBorder="1" applyAlignment="1">
      <alignment horizontal="left" vertical="top"/>
    </xf>
    <xf numFmtId="1" fontId="140" fillId="9" borderId="2" xfId="0" applyNumberFormat="1" applyFont="1" applyFill="1" applyBorder="1" applyAlignment="1">
      <alignment horizontal="center" vertical="center" shrinkToFit="1"/>
    </xf>
    <xf numFmtId="169" fontId="142" fillId="0" borderId="2" xfId="1" applyNumberFormat="1" applyFont="1" applyBorder="1" applyAlignment="1">
      <alignment horizontal="center" vertical="center" shrinkToFit="1"/>
    </xf>
    <xf numFmtId="169" fontId="142" fillId="9" borderId="2" xfId="1" applyNumberFormat="1" applyFont="1" applyFill="1" applyBorder="1" applyAlignment="1">
      <alignment horizontal="center" vertical="center" shrinkToFit="1"/>
    </xf>
    <xf numFmtId="1" fontId="139" fillId="8" borderId="11" xfId="0" applyNumberFormat="1" applyFont="1" applyFill="1" applyBorder="1" applyAlignment="1">
      <alignment horizontal="center" vertical="center"/>
    </xf>
    <xf numFmtId="169" fontId="0" fillId="9" borderId="7" xfId="1" applyNumberFormat="1" applyFont="1" applyFill="1" applyBorder="1" applyAlignment="1">
      <alignment horizontal="center" vertical="center"/>
    </xf>
    <xf numFmtId="0" fontId="144" fillId="9" borderId="7" xfId="0" applyFont="1" applyFill="1" applyBorder="1" applyAlignment="1">
      <alignment horizontal="center" vertical="top" wrapText="1"/>
    </xf>
    <xf numFmtId="0" fontId="145" fillId="9" borderId="7" xfId="0" applyFont="1" applyFill="1" applyBorder="1" applyAlignment="1">
      <alignment horizontal="center" vertical="center" wrapText="1"/>
    </xf>
    <xf numFmtId="2" fontId="140" fillId="9" borderId="7" xfId="0" applyNumberFormat="1" applyFont="1" applyFill="1" applyBorder="1" applyAlignment="1">
      <alignment horizontal="center" vertical="top" shrinkToFit="1"/>
    </xf>
    <xf numFmtId="169" fontId="0" fillId="0" borderId="2" xfId="1" applyNumberFormat="1" applyFont="1" applyBorder="1" applyAlignment="1">
      <alignment horizontal="center" vertical="center"/>
    </xf>
    <xf numFmtId="0" fontId="0" fillId="0" borderId="2" xfId="0" applyBorder="1" applyAlignment="1">
      <alignment horizontal="left" vertical="top"/>
    </xf>
    <xf numFmtId="0" fontId="144" fillId="0" borderId="2" xfId="0" applyFont="1" applyBorder="1" applyAlignment="1">
      <alignment horizontal="left" wrapText="1"/>
    </xf>
    <xf numFmtId="2" fontId="140" fillId="0" borderId="2" xfId="0" applyNumberFormat="1" applyFont="1" applyBorder="1" applyAlignment="1">
      <alignment horizontal="center" vertical="top" shrinkToFit="1"/>
    </xf>
    <xf numFmtId="169" fontId="0" fillId="9" borderId="2" xfId="1" applyNumberFormat="1" applyFont="1" applyFill="1" applyBorder="1" applyAlignment="1">
      <alignment horizontal="center" vertical="center"/>
    </xf>
    <xf numFmtId="2" fontId="140" fillId="9" borderId="2" xfId="0" applyNumberFormat="1" applyFont="1" applyFill="1" applyBorder="1" applyAlignment="1">
      <alignment horizontal="center" vertical="top" shrinkToFit="1"/>
    </xf>
    <xf numFmtId="0" fontId="144" fillId="3" borderId="2" xfId="0" applyFont="1" applyFill="1" applyBorder="1" applyAlignment="1">
      <alignment horizontal="center" vertical="top" wrapText="1"/>
    </xf>
    <xf numFmtId="168" fontId="142" fillId="9" borderId="7" xfId="0" applyNumberFormat="1" applyFont="1" applyFill="1" applyBorder="1" applyAlignment="1">
      <alignment horizontal="center" vertical="top" shrinkToFit="1"/>
    </xf>
    <xf numFmtId="1" fontId="142" fillId="9" borderId="7" xfId="0" applyNumberFormat="1" applyFont="1" applyFill="1" applyBorder="1" applyAlignment="1">
      <alignment horizontal="center" vertical="top" shrinkToFit="1"/>
    </xf>
    <xf numFmtId="1" fontId="140" fillId="9" borderId="7" xfId="0" applyNumberFormat="1" applyFont="1" applyFill="1" applyBorder="1" applyAlignment="1">
      <alignment horizontal="center" vertical="top" shrinkToFit="1"/>
    </xf>
    <xf numFmtId="168" fontId="142" fillId="0" borderId="2" xfId="0" applyNumberFormat="1" applyFont="1" applyBorder="1" applyAlignment="1">
      <alignment horizontal="center" vertical="top" shrinkToFit="1"/>
    </xf>
    <xf numFmtId="1" fontId="142" fillId="0" borderId="2" xfId="0" applyNumberFormat="1" applyFont="1" applyBorder="1" applyAlignment="1">
      <alignment horizontal="center" vertical="top" shrinkToFit="1"/>
    </xf>
    <xf numFmtId="1" fontId="140" fillId="0" borderId="2" xfId="0" applyNumberFormat="1" applyFont="1" applyBorder="1" applyAlignment="1">
      <alignment horizontal="center" vertical="top" shrinkToFit="1"/>
    </xf>
    <xf numFmtId="168" fontId="142" fillId="9" borderId="2" xfId="0" applyNumberFormat="1" applyFont="1" applyFill="1" applyBorder="1" applyAlignment="1">
      <alignment horizontal="center" vertical="top" shrinkToFit="1"/>
    </xf>
    <xf numFmtId="1" fontId="142" fillId="9" borderId="2" xfId="0" applyNumberFormat="1" applyFont="1" applyFill="1" applyBorder="1" applyAlignment="1">
      <alignment horizontal="center" vertical="top" shrinkToFit="1"/>
    </xf>
    <xf numFmtId="1" fontId="140" fillId="9" borderId="2" xfId="0" applyNumberFormat="1" applyFont="1" applyFill="1" applyBorder="1" applyAlignment="1">
      <alignment horizontal="center" vertical="top" shrinkToFit="1"/>
    </xf>
    <xf numFmtId="0" fontId="0" fillId="8" borderId="7" xfId="0" applyFill="1" applyBorder="1"/>
    <xf numFmtId="0" fontId="0" fillId="8" borderId="13" xfId="0" applyFill="1" applyBorder="1"/>
    <xf numFmtId="170" fontId="139" fillId="8" borderId="11" xfId="0" applyNumberFormat="1" applyFont="1" applyFill="1" applyBorder="1" applyAlignment="1">
      <alignment horizontal="center" vertical="center"/>
    </xf>
    <xf numFmtId="170" fontId="139" fillId="8" borderId="16" xfId="0" applyNumberFormat="1" applyFont="1" applyFill="1" applyBorder="1" applyAlignment="1">
      <alignment horizontal="center" vertical="center"/>
    </xf>
    <xf numFmtId="0" fontId="144" fillId="9" borderId="7" xfId="0" applyFont="1" applyFill="1" applyBorder="1" applyAlignment="1">
      <alignment horizontal="left" wrapText="1"/>
    </xf>
    <xf numFmtId="170" fontId="146" fillId="9" borderId="7" xfId="0" applyNumberFormat="1" applyFont="1" applyFill="1" applyBorder="1" applyAlignment="1">
      <alignment horizontal="center" vertical="top" shrinkToFit="1"/>
    </xf>
    <xf numFmtId="170" fontId="142" fillId="9" borderId="13" xfId="0" applyNumberFormat="1" applyFont="1" applyFill="1" applyBorder="1" applyAlignment="1">
      <alignment horizontal="center" vertical="top" shrinkToFit="1"/>
    </xf>
    <xf numFmtId="0" fontId="141" fillId="0" borderId="2" xfId="0" applyFont="1" applyBorder="1" applyAlignment="1">
      <alignment horizontal="center" vertical="top" wrapText="1"/>
    </xf>
    <xf numFmtId="0" fontId="147" fillId="0" borderId="2" xfId="0" applyFont="1" applyBorder="1" applyAlignment="1">
      <alignment horizontal="left" wrapText="1"/>
    </xf>
    <xf numFmtId="0" fontId="144" fillId="0" borderId="14" xfId="0" applyFont="1" applyBorder="1" applyAlignment="1">
      <alignment horizontal="left" wrapText="1"/>
    </xf>
    <xf numFmtId="170" fontId="146" fillId="0" borderId="2" xfId="0" applyNumberFormat="1" applyFont="1" applyBorder="1" applyAlignment="1">
      <alignment horizontal="center" vertical="top" shrinkToFit="1"/>
    </xf>
    <xf numFmtId="170" fontId="142" fillId="0" borderId="14" xfId="0" applyNumberFormat="1" applyFont="1" applyBorder="1" applyAlignment="1">
      <alignment horizontal="center" vertical="top" shrinkToFit="1"/>
    </xf>
    <xf numFmtId="0" fontId="144" fillId="9" borderId="2" xfId="0" applyFont="1" applyFill="1" applyBorder="1" applyAlignment="1">
      <alignment horizontal="left" wrapText="1"/>
    </xf>
    <xf numFmtId="170" fontId="146" fillId="9" borderId="2" xfId="0" applyNumberFormat="1" applyFont="1" applyFill="1" applyBorder="1" applyAlignment="1">
      <alignment horizontal="center" vertical="top" shrinkToFit="1"/>
    </xf>
    <xf numFmtId="170" fontId="142" fillId="9" borderId="14" xfId="0" applyNumberFormat="1" applyFont="1" applyFill="1" applyBorder="1" applyAlignment="1">
      <alignment horizontal="center" vertical="top" shrinkToFit="1"/>
    </xf>
    <xf numFmtId="0" fontId="0" fillId="0" borderId="2" xfId="0" applyBorder="1" applyAlignment="1">
      <alignment horizontal="center" vertical="top" wrapText="1"/>
    </xf>
    <xf numFmtId="0" fontId="0" fillId="9" borderId="2" xfId="0" applyFill="1" applyBorder="1" applyAlignment="1">
      <alignment vertical="top"/>
    </xf>
    <xf numFmtId="1" fontId="140" fillId="9" borderId="10" xfId="0" applyNumberFormat="1" applyFont="1" applyFill="1" applyBorder="1" applyAlignment="1">
      <alignment horizontal="center" vertical="center" shrinkToFit="1"/>
    </xf>
    <xf numFmtId="0" fontId="141" fillId="9" borderId="11" xfId="0" applyFont="1" applyFill="1" applyBorder="1" applyAlignment="1">
      <alignment horizontal="center" vertical="center" wrapText="1"/>
    </xf>
    <xf numFmtId="169" fontId="0" fillId="9" borderId="11" xfId="1" applyNumberFormat="1" applyFont="1" applyFill="1" applyBorder="1" applyAlignment="1">
      <alignment horizontal="center" vertical="center" wrapText="1"/>
    </xf>
    <xf numFmtId="0" fontId="0" fillId="9" borderId="11" xfId="0" applyFill="1" applyBorder="1" applyAlignment="1">
      <alignment horizontal="left" vertical="center" wrapText="1"/>
    </xf>
    <xf numFmtId="0" fontId="0" fillId="9" borderId="11" xfId="0" applyFill="1" applyBorder="1" applyAlignment="1">
      <alignment horizontal="left" vertical="top"/>
    </xf>
    <xf numFmtId="1" fontId="140" fillId="9" borderId="11" xfId="0" applyNumberFormat="1" applyFont="1" applyFill="1" applyBorder="1" applyAlignment="1">
      <alignment horizontal="center" vertical="center" shrinkToFit="1"/>
    </xf>
    <xf numFmtId="0" fontId="148" fillId="0" borderId="0" xfId="0" applyFont="1" applyAlignment="1">
      <alignment horizontal="left" vertical="top"/>
    </xf>
    <xf numFmtId="169" fontId="0" fillId="9" borderId="11" xfId="1" applyNumberFormat="1" applyFont="1" applyFill="1" applyBorder="1" applyAlignment="1">
      <alignment horizontal="center" vertical="center"/>
    </xf>
    <xf numFmtId="0" fontId="145" fillId="9" borderId="11" xfId="0" applyFont="1" applyFill="1" applyBorder="1" applyAlignment="1">
      <alignment horizontal="center" vertical="center" wrapText="1"/>
    </xf>
    <xf numFmtId="2" fontId="140" fillId="9" borderId="11" xfId="0" applyNumberFormat="1" applyFont="1" applyFill="1" applyBorder="1" applyAlignment="1">
      <alignment horizontal="center" vertical="top" shrinkToFit="1"/>
    </xf>
    <xf numFmtId="168" fontId="142" fillId="9" borderId="11" xfId="0" applyNumberFormat="1" applyFont="1" applyFill="1" applyBorder="1" applyAlignment="1">
      <alignment horizontal="center" vertical="top" shrinkToFit="1"/>
    </xf>
    <xf numFmtId="1" fontId="142" fillId="9" borderId="11" xfId="0" applyNumberFormat="1" applyFont="1" applyFill="1" applyBorder="1" applyAlignment="1">
      <alignment horizontal="center" vertical="top" shrinkToFit="1"/>
    </xf>
    <xf numFmtId="1" fontId="140" fillId="9" borderId="11" xfId="0" applyNumberFormat="1" applyFont="1" applyFill="1" applyBorder="1" applyAlignment="1">
      <alignment horizontal="center" vertical="top" shrinkToFit="1"/>
    </xf>
    <xf numFmtId="0" fontId="144" fillId="0" borderId="2" xfId="0" applyFont="1" applyBorder="1" applyAlignment="1">
      <alignment horizontal="center" vertical="top" wrapText="1"/>
    </xf>
    <xf numFmtId="0" fontId="144" fillId="9" borderId="11" xfId="0" applyFont="1" applyFill="1" applyBorder="1" applyAlignment="1">
      <alignment horizontal="left" wrapText="1"/>
    </xf>
    <xf numFmtId="170" fontId="146" fillId="9" borderId="11" xfId="0" applyNumberFormat="1" applyFont="1" applyFill="1" applyBorder="1" applyAlignment="1">
      <alignment horizontal="center" vertical="top" shrinkToFit="1"/>
    </xf>
    <xf numFmtId="170" fontId="142" fillId="9" borderId="16" xfId="0" applyNumberFormat="1" applyFont="1" applyFill="1" applyBorder="1" applyAlignment="1">
      <alignment horizontal="center" vertical="top" shrinkToFit="1"/>
    </xf>
    <xf numFmtId="0" fontId="152" fillId="0" borderId="21" xfId="0" applyFont="1" applyBorder="1" applyAlignment="1">
      <alignment horizontal="center" vertical="center"/>
    </xf>
    <xf numFmtId="0" fontId="152" fillId="0" borderId="22" xfId="0" applyFont="1" applyBorder="1" applyAlignment="1">
      <alignment horizontal="center" vertical="center"/>
    </xf>
    <xf numFmtId="0" fontId="152" fillId="0" borderId="0" xfId="0" applyFont="1" applyAlignment="1">
      <alignment horizontal="center" vertical="center"/>
    </xf>
    <xf numFmtId="0" fontId="152" fillId="11" borderId="2" xfId="0" applyFont="1" applyFill="1" applyBorder="1" applyAlignment="1">
      <alignment horizontal="center" vertical="center"/>
    </xf>
    <xf numFmtId="0" fontId="152" fillId="0" borderId="20" xfId="0" applyFont="1" applyBorder="1" applyAlignment="1">
      <alignment horizontal="center" vertical="center"/>
    </xf>
    <xf numFmtId="0" fontId="152" fillId="0" borderId="2" xfId="0" applyFont="1" applyBorder="1" applyAlignment="1">
      <alignment horizontal="center" vertical="center"/>
    </xf>
    <xf numFmtId="168" fontId="152" fillId="0" borderId="2" xfId="0" applyNumberFormat="1" applyFont="1" applyBorder="1" applyAlignment="1">
      <alignment horizontal="center" vertical="center"/>
    </xf>
    <xf numFmtId="0" fontId="154" fillId="0" borderId="20" xfId="0" applyFont="1" applyBorder="1" applyAlignment="1">
      <alignment horizontal="center" vertical="center"/>
    </xf>
    <xf numFmtId="0" fontId="154" fillId="0" borderId="0" xfId="0" applyFont="1" applyAlignment="1">
      <alignment horizontal="center" vertical="center"/>
    </xf>
    <xf numFmtId="2" fontId="154" fillId="0" borderId="20" xfId="0" applyNumberFormat="1" applyFont="1" applyBorder="1" applyAlignment="1">
      <alignment horizontal="center" vertical="center"/>
    </xf>
    <xf numFmtId="2" fontId="154" fillId="0" borderId="0" xfId="0" applyNumberFormat="1" applyFont="1" applyAlignment="1">
      <alignment horizontal="center" vertical="center"/>
    </xf>
    <xf numFmtId="0" fontId="155" fillId="0" borderId="20" xfId="0" applyFont="1" applyBorder="1" applyAlignment="1">
      <alignment horizontal="center" vertical="center"/>
    </xf>
    <xf numFmtId="0" fontId="154" fillId="0" borderId="29" xfId="0" applyFont="1" applyBorder="1" applyAlignment="1">
      <alignment horizontal="center" vertical="center"/>
    </xf>
    <xf numFmtId="0" fontId="156" fillId="0" borderId="30" xfId="0" applyFont="1" applyBorder="1" applyAlignment="1">
      <alignment horizontal="center" vertical="center"/>
    </xf>
    <xf numFmtId="0" fontId="154" fillId="0" borderId="31" xfId="0" applyFont="1" applyBorder="1" applyAlignment="1">
      <alignment horizontal="center" vertical="center"/>
    </xf>
    <xf numFmtId="0" fontId="155" fillId="0" borderId="30" xfId="0" applyFont="1" applyBorder="1" applyAlignment="1">
      <alignment horizontal="center" vertical="center"/>
    </xf>
    <xf numFmtId="0" fontId="154" fillId="0" borderId="30" xfId="0" applyFont="1" applyBorder="1" applyAlignment="1">
      <alignment horizontal="center" vertical="center"/>
    </xf>
    <xf numFmtId="0" fontId="156" fillId="0" borderId="20" xfId="0" applyFont="1" applyBorder="1" applyAlignment="1">
      <alignment horizontal="center" vertical="center"/>
    </xf>
    <xf numFmtId="0" fontId="157" fillId="0" borderId="0" xfId="0" applyFont="1"/>
    <xf numFmtId="0" fontId="156" fillId="0" borderId="0" xfId="0" applyFont="1" applyAlignment="1">
      <alignment horizontal="center" vertical="center"/>
    </xf>
    <xf numFmtId="164" fontId="154" fillId="0" borderId="0" xfId="2" applyFont="1" applyFill="1" applyBorder="1" applyAlignment="1">
      <alignment horizontal="center" vertical="center"/>
    </xf>
    <xf numFmtId="0" fontId="156" fillId="3" borderId="20" xfId="0" applyFont="1" applyFill="1" applyBorder="1" applyAlignment="1">
      <alignment horizontal="center" vertical="center"/>
    </xf>
    <xf numFmtId="0" fontId="156" fillId="3" borderId="0" xfId="0" applyFont="1" applyFill="1" applyAlignment="1">
      <alignment horizontal="center" vertical="center"/>
    </xf>
    <xf numFmtId="164" fontId="154" fillId="3" borderId="0" xfId="2" applyFont="1" applyFill="1" applyBorder="1" applyAlignment="1">
      <alignment horizontal="center" vertical="center"/>
    </xf>
    <xf numFmtId="0" fontId="154" fillId="3" borderId="0" xfId="0" applyFont="1" applyFill="1" applyAlignment="1">
      <alignment horizontal="center" vertical="center"/>
    </xf>
    <xf numFmtId="0" fontId="154" fillId="3" borderId="26" xfId="0" applyFont="1" applyFill="1" applyBorder="1" applyAlignment="1">
      <alignment horizontal="center" vertical="center"/>
    </xf>
    <xf numFmtId="0" fontId="154" fillId="3" borderId="32" xfId="0" applyFont="1" applyFill="1" applyBorder="1" applyAlignment="1">
      <alignment horizontal="center" vertical="center"/>
    </xf>
    <xf numFmtId="0" fontId="154" fillId="0" borderId="23" xfId="0" applyFont="1" applyBorder="1" applyAlignment="1">
      <alignment horizontal="center" vertical="center"/>
    </xf>
    <xf numFmtId="0" fontId="154" fillId="3" borderId="5" xfId="0" applyFont="1" applyFill="1" applyBorder="1" applyAlignment="1">
      <alignment horizontal="center" vertical="center"/>
    </xf>
    <xf numFmtId="0" fontId="156" fillId="0" borderId="0" xfId="0" applyFont="1" applyAlignment="1">
      <alignment vertical="center"/>
    </xf>
    <xf numFmtId="0" fontId="154" fillId="0" borderId="0" xfId="0" applyFont="1" applyAlignment="1">
      <alignment vertical="center"/>
    </xf>
    <xf numFmtId="2" fontId="154" fillId="3" borderId="0" xfId="0" applyNumberFormat="1" applyFont="1" applyFill="1" applyAlignment="1">
      <alignment horizontal="center" vertical="center"/>
    </xf>
    <xf numFmtId="0" fontId="158" fillId="12" borderId="30" xfId="0" applyFont="1" applyFill="1" applyBorder="1" applyAlignment="1">
      <alignment horizontal="center" vertical="center"/>
    </xf>
    <xf numFmtId="0" fontId="154" fillId="12" borderId="30" xfId="0" applyFont="1" applyFill="1" applyBorder="1" applyAlignment="1">
      <alignment horizontal="center" vertical="center"/>
    </xf>
    <xf numFmtId="0" fontId="156" fillId="0" borderId="32" xfId="0" applyFont="1" applyBorder="1" applyAlignment="1">
      <alignment horizontal="center" vertical="center"/>
    </xf>
    <xf numFmtId="0" fontId="159" fillId="0" borderId="0" xfId="0" applyFont="1" applyAlignment="1">
      <alignment horizontal="center" vertical="center"/>
    </xf>
    <xf numFmtId="0" fontId="154" fillId="0" borderId="0" xfId="0" applyFont="1" applyAlignment="1">
      <alignment horizontal="center" vertical="top"/>
    </xf>
    <xf numFmtId="0" fontId="154" fillId="0" borderId="34" xfId="0" applyFont="1" applyBorder="1" applyAlignment="1">
      <alignment horizontal="center" vertical="center"/>
    </xf>
    <xf numFmtId="0" fontId="160" fillId="3" borderId="22" xfId="0" applyFont="1" applyFill="1" applyBorder="1" applyAlignment="1">
      <alignment horizontal="center" vertical="center"/>
    </xf>
    <xf numFmtId="0" fontId="0" fillId="0" borderId="24" xfId="0" applyBorder="1"/>
    <xf numFmtId="0" fontId="152" fillId="3" borderId="0" xfId="0" applyFont="1" applyFill="1" applyAlignment="1">
      <alignment horizontal="center" vertical="center"/>
    </xf>
    <xf numFmtId="0" fontId="160" fillId="3" borderId="0" xfId="0" applyFont="1" applyFill="1" applyAlignment="1">
      <alignment horizontal="center" vertical="center"/>
    </xf>
    <xf numFmtId="0" fontId="0" fillId="0" borderId="35" xfId="0" applyBorder="1"/>
    <xf numFmtId="1" fontId="152" fillId="0" borderId="2" xfId="0" applyNumberFormat="1" applyFont="1" applyBorder="1" applyAlignment="1">
      <alignment horizontal="center" vertical="center"/>
    </xf>
    <xf numFmtId="1" fontId="152" fillId="3" borderId="0" xfId="0" applyNumberFormat="1" applyFont="1" applyFill="1" applyAlignment="1">
      <alignment horizontal="center" vertical="center"/>
    </xf>
    <xf numFmtId="0" fontId="161" fillId="3" borderId="0" xfId="0" applyFont="1" applyFill="1" applyAlignment="1">
      <alignment horizontal="center" vertical="center"/>
    </xf>
    <xf numFmtId="2" fontId="161" fillId="3" borderId="0" xfId="0" applyNumberFormat="1" applyFont="1" applyFill="1" applyAlignment="1">
      <alignment horizontal="center" vertical="center"/>
    </xf>
    <xf numFmtId="0" fontId="154" fillId="0" borderId="32" xfId="0" applyFont="1" applyBorder="1" applyAlignment="1">
      <alignment horizontal="center" vertical="center"/>
    </xf>
    <xf numFmtId="0" fontId="161" fillId="3" borderId="32" xfId="0" applyFont="1" applyFill="1" applyBorder="1" applyAlignment="1">
      <alignment horizontal="center" vertical="center"/>
    </xf>
    <xf numFmtId="0" fontId="0" fillId="0" borderId="27" xfId="0" applyBorder="1"/>
    <xf numFmtId="0" fontId="154" fillId="0" borderId="5" xfId="0" applyFont="1" applyBorder="1" applyAlignment="1">
      <alignment horizontal="center" vertical="center"/>
    </xf>
    <xf numFmtId="0" fontId="161" fillId="3" borderId="24" xfId="0" applyFont="1" applyFill="1" applyBorder="1" applyAlignment="1">
      <alignment horizontal="center" vertical="center"/>
    </xf>
    <xf numFmtId="0" fontId="161" fillId="3" borderId="35" xfId="0" applyFont="1" applyFill="1" applyBorder="1" applyAlignment="1">
      <alignment horizontal="center" vertical="center"/>
    </xf>
    <xf numFmtId="2" fontId="161" fillId="3" borderId="35" xfId="0" applyNumberFormat="1" applyFont="1" applyFill="1" applyBorder="1" applyAlignment="1">
      <alignment horizontal="center" vertical="center"/>
    </xf>
    <xf numFmtId="0" fontId="156" fillId="0" borderId="35" xfId="0" applyFont="1" applyBorder="1" applyAlignment="1">
      <alignment horizontal="center" vertical="center"/>
    </xf>
    <xf numFmtId="164" fontId="154" fillId="0" borderId="35" xfId="2" applyFont="1" applyFill="1" applyBorder="1" applyAlignment="1">
      <alignment horizontal="center" vertical="center"/>
    </xf>
    <xf numFmtId="0" fontId="155" fillId="0" borderId="36" xfId="0" applyFont="1" applyBorder="1" applyAlignment="1">
      <alignment horizontal="center" vertical="center"/>
    </xf>
    <xf numFmtId="0" fontId="154" fillId="0" borderId="37" xfId="0" applyFont="1" applyBorder="1" applyAlignment="1">
      <alignment horizontal="center" vertical="center"/>
    </xf>
    <xf numFmtId="0" fontId="156" fillId="3" borderId="35" xfId="0" applyFont="1" applyFill="1" applyBorder="1" applyAlignment="1">
      <alignment horizontal="center" vertical="center"/>
    </xf>
    <xf numFmtId="164" fontId="162" fillId="3" borderId="0" xfId="2" applyFont="1" applyFill="1" applyBorder="1" applyAlignment="1">
      <alignment horizontal="center" vertical="center"/>
    </xf>
    <xf numFmtId="0" fontId="154" fillId="12" borderId="38" xfId="0" applyFont="1" applyFill="1" applyBorder="1" applyAlignment="1">
      <alignment horizontal="center" vertical="center"/>
    </xf>
    <xf numFmtId="0" fontId="154" fillId="0" borderId="38" xfId="0" applyFont="1" applyBorder="1" applyAlignment="1">
      <alignment horizontal="center" vertical="center"/>
    </xf>
    <xf numFmtId="0" fontId="0" fillId="0" borderId="20" xfId="0" applyBorder="1"/>
    <xf numFmtId="0" fontId="0" fillId="0" borderId="0" xfId="0" applyAlignment="1">
      <alignment horizontal="center"/>
    </xf>
    <xf numFmtId="0" fontId="154" fillId="0" borderId="39" xfId="0" applyFont="1" applyBorder="1" applyAlignment="1">
      <alignment horizontal="center" vertical="center"/>
    </xf>
    <xf numFmtId="0" fontId="156" fillId="9" borderId="30" xfId="0" applyFont="1" applyFill="1" applyBorder="1" applyAlignment="1">
      <alignment horizontal="center" vertical="center"/>
    </xf>
    <xf numFmtId="0" fontId="163" fillId="0" borderId="0" xfId="0" applyFont="1" applyAlignment="1">
      <alignment horizontal="center"/>
    </xf>
    <xf numFmtId="0" fontId="154" fillId="3" borderId="0" xfId="0" applyFont="1" applyFill="1" applyAlignment="1">
      <alignment vertical="center"/>
    </xf>
    <xf numFmtId="164" fontId="154" fillId="0" borderId="0" xfId="2" applyFont="1" applyFill="1" applyBorder="1" applyAlignment="1">
      <alignment vertical="center"/>
    </xf>
    <xf numFmtId="0" fontId="158" fillId="3" borderId="35" xfId="0" applyFont="1" applyFill="1" applyBorder="1" applyAlignment="1">
      <alignment horizontal="center" vertical="center"/>
    </xf>
    <xf numFmtId="0" fontId="154" fillId="0" borderId="35" xfId="0" applyFont="1" applyBorder="1" applyAlignment="1">
      <alignment horizontal="center" vertical="center"/>
    </xf>
    <xf numFmtId="2" fontId="154" fillId="0" borderId="35" xfId="0" applyNumberFormat="1" applyFont="1" applyBorder="1" applyAlignment="1">
      <alignment horizontal="center" vertical="center"/>
    </xf>
    <xf numFmtId="0" fontId="155" fillId="0" borderId="40" xfId="0" applyFont="1" applyBorder="1" applyAlignment="1">
      <alignment horizontal="center" vertical="center"/>
    </xf>
    <xf numFmtId="0" fontId="154" fillId="0" borderId="40" xfId="0" applyFont="1" applyBorder="1" applyAlignment="1">
      <alignment horizontal="center" vertical="center"/>
    </xf>
    <xf numFmtId="164" fontId="154" fillId="3" borderId="35" xfId="2" applyFont="1" applyFill="1" applyBorder="1" applyAlignment="1">
      <alignment horizontal="center" vertical="center"/>
    </xf>
    <xf numFmtId="0" fontId="154" fillId="0" borderId="35" xfId="0" applyFont="1" applyBorder="1" applyAlignment="1">
      <alignment horizontal="center" vertical="top"/>
    </xf>
    <xf numFmtId="164" fontId="156" fillId="3" borderId="0" xfId="2" applyFont="1" applyFill="1" applyBorder="1" applyAlignment="1">
      <alignment horizontal="center" vertical="center"/>
    </xf>
    <xf numFmtId="0" fontId="155" fillId="0" borderId="41" xfId="0" applyFont="1" applyBorder="1" applyAlignment="1">
      <alignment horizontal="center" vertical="center"/>
    </xf>
    <xf numFmtId="0" fontId="154" fillId="0" borderId="42" xfId="0" applyFont="1" applyBorder="1" applyAlignment="1">
      <alignment horizontal="center" vertical="center"/>
    </xf>
    <xf numFmtId="164" fontId="156" fillId="3" borderId="35" xfId="2" applyFont="1" applyFill="1" applyBorder="1" applyAlignment="1">
      <alignment horizontal="center" vertical="center"/>
    </xf>
    <xf numFmtId="0" fontId="162" fillId="0" borderId="2" xfId="0" applyFont="1" applyBorder="1" applyAlignment="1">
      <alignment horizontal="center" vertical="center"/>
    </xf>
    <xf numFmtId="0" fontId="154" fillId="0" borderId="2" xfId="0" applyFont="1" applyBorder="1" applyAlignment="1">
      <alignment horizontal="center" vertical="center"/>
    </xf>
    <xf numFmtId="0" fontId="163" fillId="13" borderId="26" xfId="0" applyFont="1" applyFill="1" applyBorder="1" applyAlignment="1">
      <alignment horizontal="center"/>
    </xf>
    <xf numFmtId="0" fontId="163" fillId="13" borderId="32" xfId="0" applyFont="1" applyFill="1" applyBorder="1" applyAlignment="1">
      <alignment horizontal="center"/>
    </xf>
    <xf numFmtId="0" fontId="154" fillId="0" borderId="43" xfId="0" applyFont="1" applyBorder="1" applyAlignment="1">
      <alignment horizontal="center" vertical="center"/>
    </xf>
    <xf numFmtId="0" fontId="154" fillId="0" borderId="0" xfId="0" applyFont="1"/>
    <xf numFmtId="0" fontId="154" fillId="0" borderId="0" xfId="0" applyFont="1" applyAlignment="1">
      <alignment horizontal="left" vertical="center"/>
    </xf>
    <xf numFmtId="0" fontId="154" fillId="9" borderId="30" xfId="0" applyFont="1" applyFill="1" applyBorder="1" applyAlignment="1">
      <alignment horizontal="center" vertical="center"/>
    </xf>
    <xf numFmtId="0" fontId="154" fillId="14" borderId="30" xfId="0" applyFont="1" applyFill="1" applyBorder="1" applyAlignment="1">
      <alignment horizontal="center" vertical="center"/>
    </xf>
    <xf numFmtId="0" fontId="158" fillId="3" borderId="30" xfId="0" applyFont="1" applyFill="1" applyBorder="1" applyAlignment="1">
      <alignment horizontal="center" vertical="center"/>
    </xf>
    <xf numFmtId="0" fontId="157" fillId="0" borderId="0" xfId="0" applyFont="1" applyAlignment="1">
      <alignment horizontal="center"/>
    </xf>
    <xf numFmtId="0" fontId="157" fillId="0" borderId="0" xfId="0" applyFont="1" applyAlignment="1">
      <alignment horizontal="left"/>
    </xf>
    <xf numFmtId="0" fontId="157" fillId="0" borderId="0" xfId="0" applyFont="1" applyAlignment="1">
      <alignment horizontal="center" vertical="center"/>
    </xf>
    <xf numFmtId="0" fontId="161" fillId="15" borderId="30" xfId="0" applyFont="1" applyFill="1" applyBorder="1" applyAlignment="1">
      <alignment horizontal="center" vertical="center"/>
    </xf>
    <xf numFmtId="0" fontId="157" fillId="0" borderId="0" xfId="0" applyFont="1" applyAlignment="1">
      <alignment horizontal="right"/>
    </xf>
    <xf numFmtId="49" fontId="157" fillId="0" borderId="0" xfId="0" applyNumberFormat="1" applyFont="1"/>
    <xf numFmtId="0" fontId="158" fillId="0" borderId="0" xfId="12"/>
    <xf numFmtId="0" fontId="158" fillId="0" borderId="0" xfId="27" applyAlignment="1">
      <alignment horizontal="left"/>
    </xf>
    <xf numFmtId="0" fontId="154" fillId="0" borderId="44" xfId="0" applyFont="1" applyBorder="1" applyAlignment="1">
      <alignment horizontal="center" vertical="center"/>
    </xf>
    <xf numFmtId="0" fontId="154" fillId="0" borderId="45" xfId="0" applyFont="1" applyBorder="1" applyAlignment="1">
      <alignment horizontal="center" vertical="center"/>
    </xf>
    <xf numFmtId="0" fontId="157" fillId="0" borderId="45" xfId="0" applyFont="1" applyBorder="1"/>
    <xf numFmtId="0" fontId="157" fillId="0" borderId="45" xfId="0" applyFont="1" applyBorder="1" applyAlignment="1">
      <alignment horizontal="left"/>
    </xf>
    <xf numFmtId="0" fontId="157" fillId="0" borderId="45" xfId="0" applyFont="1" applyBorder="1" applyAlignment="1">
      <alignment horizontal="center" vertical="center"/>
    </xf>
    <xf numFmtId="170" fontId="154" fillId="0" borderId="2" xfId="0" applyNumberFormat="1" applyFont="1" applyBorder="1" applyAlignment="1">
      <alignment horizontal="center" vertical="center"/>
    </xf>
    <xf numFmtId="170" fontId="154" fillId="0" borderId="0" xfId="0" applyNumberFormat="1" applyFont="1" applyAlignment="1">
      <alignment horizontal="center" vertical="center"/>
    </xf>
    <xf numFmtId="0" fontId="158" fillId="0" borderId="0" xfId="21" applyAlignment="1">
      <alignment horizontal="center"/>
    </xf>
    <xf numFmtId="0" fontId="164" fillId="16" borderId="0" xfId="5" applyFont="1" applyBorder="1"/>
    <xf numFmtId="0" fontId="158" fillId="0" borderId="0" xfId="10" applyAlignment="1">
      <alignment horizontal="left" vertical="center"/>
    </xf>
    <xf numFmtId="0" fontId="158" fillId="0" borderId="0" xfId="28" applyAlignment="1">
      <alignment horizontal="left"/>
    </xf>
    <xf numFmtId="0" fontId="157" fillId="0" borderId="45" xfId="0" applyFont="1" applyBorder="1" applyAlignment="1">
      <alignment horizontal="center"/>
    </xf>
    <xf numFmtId="0" fontId="163" fillId="13" borderId="27" xfId="0" applyFont="1" applyFill="1" applyBorder="1" applyAlignment="1">
      <alignment horizontal="center"/>
    </xf>
    <xf numFmtId="0" fontId="161" fillId="3" borderId="47" xfId="0" applyFont="1" applyFill="1" applyBorder="1" applyAlignment="1">
      <alignment horizontal="center" vertical="center"/>
    </xf>
    <xf numFmtId="0" fontId="162" fillId="0" borderId="0" xfId="0" applyFont="1" applyAlignment="1">
      <alignment horizontal="left" vertical="center"/>
    </xf>
    <xf numFmtId="0" fontId="158" fillId="0" borderId="0" xfId="26"/>
    <xf numFmtId="0" fontId="158" fillId="0" borderId="0" xfId="23" applyAlignment="1">
      <alignment horizontal="left"/>
    </xf>
    <xf numFmtId="0" fontId="158" fillId="0" borderId="0" xfId="24" applyAlignment="1">
      <alignment horizontal="left"/>
    </xf>
    <xf numFmtId="0" fontId="158" fillId="0" borderId="0" xfId="26" applyAlignment="1">
      <alignment horizontal="center"/>
    </xf>
    <xf numFmtId="0" fontId="157" fillId="17" borderId="0" xfId="6" applyFont="1" applyBorder="1" applyAlignment="1">
      <alignment horizontal="center"/>
    </xf>
    <xf numFmtId="0" fontId="158" fillId="0" borderId="0" xfId="11" applyAlignment="1">
      <alignment horizontal="left" vertical="center"/>
    </xf>
    <xf numFmtId="0" fontId="161" fillId="3" borderId="48" xfId="0" applyFont="1" applyFill="1" applyBorder="1" applyAlignment="1">
      <alignment horizontal="center" vertical="center"/>
    </xf>
    <xf numFmtId="0" fontId="163" fillId="0" borderId="49" xfId="0" applyFont="1" applyBorder="1" applyAlignment="1">
      <alignment horizontal="center" vertical="center"/>
    </xf>
    <xf numFmtId="0" fontId="163" fillId="0" borderId="22" xfId="0" applyFont="1" applyBorder="1" applyAlignment="1">
      <alignment horizontal="center" vertical="center"/>
    </xf>
    <xf numFmtId="0" fontId="163" fillId="0" borderId="43" xfId="0" applyFont="1" applyBorder="1" applyAlignment="1">
      <alignment horizontal="center" vertical="center"/>
    </xf>
    <xf numFmtId="0" fontId="165" fillId="0" borderId="0" xfId="0" applyFont="1" applyAlignment="1">
      <alignment horizontal="center" vertical="center"/>
    </xf>
    <xf numFmtId="0" fontId="155" fillId="3" borderId="30" xfId="0" applyFont="1" applyFill="1" applyBorder="1" applyAlignment="1">
      <alignment horizontal="center" vertical="center"/>
    </xf>
    <xf numFmtId="0" fontId="154" fillId="3" borderId="31" xfId="0" applyFont="1" applyFill="1" applyBorder="1" applyAlignment="1">
      <alignment horizontal="center" vertical="center"/>
    </xf>
    <xf numFmtId="0" fontId="154" fillId="3" borderId="30" xfId="0" applyFont="1" applyFill="1" applyBorder="1" applyAlignment="1">
      <alignment horizontal="center" vertical="center"/>
    </xf>
    <xf numFmtId="0" fontId="162" fillId="0" borderId="0" xfId="0" applyFont="1" applyAlignment="1">
      <alignment horizontal="center" vertical="center"/>
    </xf>
    <xf numFmtId="0" fontId="155" fillId="0" borderId="2" xfId="0" applyFont="1" applyBorder="1" applyAlignment="1">
      <alignment horizontal="center" vertical="center"/>
    </xf>
    <xf numFmtId="0" fontId="164" fillId="0" borderId="0" xfId="5" applyFont="1" applyFill="1" applyBorder="1"/>
    <xf numFmtId="0" fontId="154" fillId="3" borderId="45" xfId="0" applyFont="1" applyFill="1" applyBorder="1" applyAlignment="1">
      <alignment horizontal="center" vertical="center"/>
    </xf>
    <xf numFmtId="0" fontId="154" fillId="0" borderId="49" xfId="0" applyFont="1" applyBorder="1" applyAlignment="1">
      <alignment horizontal="center" vertical="center"/>
    </xf>
    <xf numFmtId="0" fontId="154" fillId="0" borderId="22" xfId="0" applyFont="1" applyBorder="1" applyAlignment="1">
      <alignment horizontal="center" vertical="center"/>
    </xf>
    <xf numFmtId="49" fontId="154" fillId="3" borderId="0" xfId="0" applyNumberFormat="1" applyFont="1" applyFill="1" applyAlignment="1">
      <alignment horizontal="center" vertical="center"/>
    </xf>
    <xf numFmtId="0" fontId="158" fillId="0" borderId="0" xfId="0" applyFont="1" applyAlignment="1">
      <alignment horizontal="center" vertical="center"/>
    </xf>
    <xf numFmtId="0" fontId="162" fillId="3" borderId="0" xfId="0" applyFont="1" applyFill="1" applyAlignment="1">
      <alignment horizontal="center" vertical="center"/>
    </xf>
    <xf numFmtId="0" fontId="166" fillId="0" borderId="31" xfId="0" applyFont="1" applyBorder="1" applyAlignment="1">
      <alignment horizontal="center" vertical="center"/>
    </xf>
    <xf numFmtId="0" fontId="160" fillId="3" borderId="50" xfId="0" applyFont="1" applyFill="1" applyBorder="1" applyAlignment="1">
      <alignment horizontal="center" vertical="center"/>
    </xf>
    <xf numFmtId="0" fontId="157" fillId="0" borderId="22" xfId="0" applyFont="1" applyBorder="1" applyAlignment="1">
      <alignment horizontal="center" vertical="center"/>
    </xf>
    <xf numFmtId="0" fontId="160" fillId="3" borderId="47" xfId="0" applyFont="1" applyFill="1" applyBorder="1" applyAlignment="1">
      <alignment horizontal="center" vertical="center"/>
    </xf>
    <xf numFmtId="2" fontId="161" fillId="3" borderId="47" xfId="0" applyNumberFormat="1" applyFont="1" applyFill="1" applyBorder="1" applyAlignment="1">
      <alignment horizontal="center" vertical="center"/>
    </xf>
    <xf numFmtId="0" fontId="154" fillId="0" borderId="22" xfId="0" applyFont="1" applyBorder="1" applyAlignment="1">
      <alignment horizontal="center" vertical="top"/>
    </xf>
    <xf numFmtId="0" fontId="161" fillId="3" borderId="50" xfId="0" applyFont="1" applyFill="1" applyBorder="1" applyAlignment="1">
      <alignment horizontal="center" vertical="center"/>
    </xf>
    <xf numFmtId="0" fontId="161" fillId="3" borderId="30" xfId="0" applyFont="1" applyFill="1" applyBorder="1" applyAlignment="1">
      <alignment horizontal="center" vertical="center"/>
    </xf>
    <xf numFmtId="0" fontId="154" fillId="3" borderId="34" xfId="0" applyFont="1" applyFill="1" applyBorder="1" applyAlignment="1">
      <alignment horizontal="center" vertical="center"/>
    </xf>
    <xf numFmtId="9" fontId="154" fillId="0" borderId="0" xfId="3" applyFont="1" applyAlignment="1">
      <alignment horizontal="center" vertical="center"/>
    </xf>
    <xf numFmtId="0" fontId="161" fillId="0" borderId="30" xfId="0" applyFont="1" applyBorder="1" applyAlignment="1">
      <alignment horizontal="center" vertical="center"/>
    </xf>
    <xf numFmtId="0" fontId="154" fillId="0" borderId="26" xfId="0" applyFont="1" applyBorder="1" applyAlignment="1">
      <alignment horizontal="center" vertical="center"/>
    </xf>
    <xf numFmtId="0" fontId="154" fillId="0" borderId="41" xfId="0" applyFont="1" applyBorder="1" applyAlignment="1">
      <alignment horizontal="center" vertical="center"/>
    </xf>
    <xf numFmtId="0" fontId="161" fillId="3" borderId="27" xfId="0" applyFont="1" applyFill="1" applyBorder="1" applyAlignment="1">
      <alignment horizontal="center" vertical="center"/>
    </xf>
    <xf numFmtId="0" fontId="156" fillId="18" borderId="0" xfId="0" applyFont="1" applyFill="1" applyAlignment="1">
      <alignment horizontal="center" vertical="center"/>
    </xf>
    <xf numFmtId="0" fontId="154" fillId="18" borderId="0" xfId="0" applyFont="1" applyFill="1" applyAlignment="1">
      <alignment horizontal="center" vertical="center"/>
    </xf>
    <xf numFmtId="164" fontId="154" fillId="18" borderId="0" xfId="2" applyFont="1" applyFill="1" applyBorder="1" applyAlignment="1">
      <alignment horizontal="center" vertical="center"/>
    </xf>
    <xf numFmtId="0" fontId="159" fillId="18" borderId="0" xfId="0" applyFont="1" applyFill="1" applyAlignment="1">
      <alignment horizontal="center" vertical="center"/>
    </xf>
    <xf numFmtId="0" fontId="154" fillId="0" borderId="5" xfId="0" applyFont="1" applyBorder="1" applyAlignment="1">
      <alignment horizontal="center" vertical="top"/>
    </xf>
    <xf numFmtId="0" fontId="161" fillId="0" borderId="35" xfId="0" applyFont="1" applyBorder="1" applyAlignment="1">
      <alignment horizontal="center" vertical="center"/>
    </xf>
    <xf numFmtId="2" fontId="161" fillId="0" borderId="35" xfId="0" applyNumberFormat="1" applyFont="1" applyBorder="1" applyAlignment="1">
      <alignment horizontal="center" vertical="center"/>
    </xf>
    <xf numFmtId="164" fontId="162" fillId="0" borderId="0" xfId="2" applyFont="1" applyFill="1" applyBorder="1" applyAlignment="1">
      <alignment horizontal="center" vertical="center"/>
    </xf>
    <xf numFmtId="164" fontId="154" fillId="3" borderId="0" xfId="2" applyFont="1" applyFill="1" applyAlignment="1">
      <alignment horizontal="center" vertical="center"/>
    </xf>
    <xf numFmtId="0" fontId="139" fillId="19" borderId="2" xfId="0" applyFont="1" applyFill="1" applyBorder="1" applyAlignment="1">
      <alignment horizontal="center" vertical="center" wrapText="1"/>
    </xf>
    <xf numFmtId="0" fontId="139" fillId="19" borderId="2" xfId="0" applyFont="1" applyFill="1" applyBorder="1" applyAlignment="1">
      <alignment horizontal="center" vertical="center"/>
    </xf>
    <xf numFmtId="0" fontId="167" fillId="0" borderId="2" xfId="0" applyFont="1" applyBorder="1" applyAlignment="1">
      <alignment horizontal="left" vertical="center" wrapText="1"/>
    </xf>
    <xf numFmtId="0" fontId="162" fillId="19" borderId="2" xfId="0" applyFont="1" applyFill="1" applyBorder="1" applyAlignment="1">
      <alignment horizontal="center" vertical="center"/>
    </xf>
    <xf numFmtId="0" fontId="163" fillId="13" borderId="43" xfId="0" applyFont="1" applyFill="1" applyBorder="1" applyAlignment="1">
      <alignment horizontal="center"/>
    </xf>
    <xf numFmtId="0" fontId="163" fillId="13" borderId="0" xfId="0" applyFont="1" applyFill="1" applyAlignment="1">
      <alignment horizontal="center"/>
    </xf>
    <xf numFmtId="0" fontId="155" fillId="0" borderId="0" xfId="0" applyFont="1" applyAlignment="1">
      <alignment horizontal="center" vertical="center"/>
    </xf>
    <xf numFmtId="0" fontId="154" fillId="9" borderId="28" xfId="0" applyFont="1" applyFill="1" applyBorder="1" applyAlignment="1">
      <alignment horizontal="center" vertical="center"/>
    </xf>
    <xf numFmtId="0" fontId="163" fillId="13" borderId="47" xfId="0" applyFont="1" applyFill="1" applyBorder="1" applyAlignment="1">
      <alignment horizontal="center"/>
    </xf>
    <xf numFmtId="1" fontId="154" fillId="0" borderId="0" xfId="0" applyNumberFormat="1" applyFont="1" applyAlignment="1">
      <alignment horizontal="center" vertical="center"/>
    </xf>
    <xf numFmtId="0" fontId="154" fillId="9" borderId="2" xfId="0" applyFont="1" applyFill="1" applyBorder="1" applyAlignment="1">
      <alignment horizontal="center" vertical="center"/>
    </xf>
    <xf numFmtId="0" fontId="154" fillId="0" borderId="2" xfId="0" applyFont="1" applyBorder="1" applyAlignment="1">
      <alignment vertical="center"/>
    </xf>
    <xf numFmtId="0" fontId="152" fillId="0" borderId="49" xfId="0" applyFont="1" applyBorder="1" applyAlignment="1">
      <alignment horizontal="center" vertical="center"/>
    </xf>
    <xf numFmtId="0" fontId="152" fillId="0" borderId="43" xfId="0" applyFont="1" applyBorder="1" applyAlignment="1">
      <alignment horizontal="center" vertical="center"/>
    </xf>
    <xf numFmtId="2" fontId="154" fillId="0" borderId="43" xfId="0" applyNumberFormat="1" applyFont="1" applyBorder="1" applyAlignment="1">
      <alignment horizontal="center" vertical="center"/>
    </xf>
    <xf numFmtId="0" fontId="155" fillId="0" borderId="43" xfId="0" applyFont="1" applyBorder="1" applyAlignment="1">
      <alignment horizontal="center" vertical="center"/>
    </xf>
    <xf numFmtId="0" fontId="156" fillId="0" borderId="43" xfId="0" applyFont="1" applyBorder="1" applyAlignment="1">
      <alignment horizontal="center" vertical="center"/>
    </xf>
    <xf numFmtId="0" fontId="156" fillId="3" borderId="43" xfId="0" applyFont="1" applyFill="1" applyBorder="1" applyAlignment="1">
      <alignment horizontal="center" vertical="center"/>
    </xf>
    <xf numFmtId="0" fontId="154" fillId="3" borderId="44" xfId="0" applyFont="1" applyFill="1" applyBorder="1" applyAlignment="1">
      <alignment horizontal="center" vertical="center"/>
    </xf>
    <xf numFmtId="0" fontId="154" fillId="0" borderId="21" xfId="0" applyFont="1" applyBorder="1" applyAlignment="1">
      <alignment horizontal="center" vertical="center"/>
    </xf>
    <xf numFmtId="164" fontId="154" fillId="0" borderId="0" xfId="2" applyFont="1" applyFill="1" applyAlignment="1">
      <alignment horizontal="center" vertical="center"/>
    </xf>
    <xf numFmtId="0" fontId="158" fillId="0" borderId="30" xfId="0" applyFont="1" applyBorder="1" applyAlignment="1">
      <alignment horizontal="center" vertical="center"/>
    </xf>
    <xf numFmtId="0" fontId="156" fillId="0" borderId="45" xfId="0" applyFont="1" applyBorder="1" applyAlignment="1">
      <alignment horizontal="center" vertical="center"/>
    </xf>
    <xf numFmtId="0" fontId="158" fillId="3" borderId="0" xfId="0" applyFont="1" applyFill="1" applyAlignment="1">
      <alignment horizontal="center" vertical="center"/>
    </xf>
    <xf numFmtId="12" fontId="154" fillId="3" borderId="0" xfId="2" applyNumberFormat="1" applyFont="1" applyFill="1" applyAlignment="1">
      <alignment horizontal="center" vertical="center"/>
    </xf>
    <xf numFmtId="0" fontId="169" fillId="0" borderId="2" xfId="0" applyFont="1" applyBorder="1" applyAlignment="1">
      <alignment horizontal="center" vertical="center" wrapText="1"/>
    </xf>
    <xf numFmtId="0" fontId="0" fillId="0" borderId="2" xfId="0" applyBorder="1"/>
    <xf numFmtId="0" fontId="169" fillId="0" borderId="3" xfId="0" applyFont="1" applyBorder="1" applyAlignment="1">
      <alignment horizontal="center" vertical="center" wrapText="1"/>
    </xf>
    <xf numFmtId="172" fontId="169" fillId="0" borderId="3" xfId="0" applyNumberFormat="1" applyFont="1" applyBorder="1" applyAlignment="1">
      <alignment horizontal="center" vertical="center" wrapText="1"/>
    </xf>
    <xf numFmtId="0" fontId="0" fillId="0" borderId="3" xfId="0" applyBorder="1"/>
    <xf numFmtId="14" fontId="0" fillId="0" borderId="2" xfId="0" applyNumberFormat="1" applyBorder="1" applyAlignment="1">
      <alignment horizontal="center" vertical="center"/>
    </xf>
    <xf numFmtId="0" fontId="0" fillId="0" borderId="2" xfId="0" applyBorder="1" applyAlignment="1">
      <alignment horizontal="center"/>
    </xf>
    <xf numFmtId="0" fontId="170" fillId="0" borderId="2" xfId="0" applyFont="1" applyBorder="1" applyAlignment="1">
      <alignment horizontal="center"/>
    </xf>
    <xf numFmtId="0" fontId="171" fillId="0" borderId="0" xfId="0" applyFont="1" applyAlignment="1">
      <alignment horizontal="justify" vertical="center" wrapText="1"/>
    </xf>
    <xf numFmtId="0" fontId="172" fillId="0" borderId="0" xfId="0" applyFont="1" applyAlignment="1">
      <alignment horizontal="justify" vertical="center" wrapText="1"/>
    </xf>
    <xf numFmtId="0" fontId="0" fillId="0" borderId="0" xfId="0" applyAlignment="1">
      <alignment vertical="center" wrapText="1"/>
    </xf>
    <xf numFmtId="3" fontId="172" fillId="0" borderId="0" xfId="0" applyNumberFormat="1" applyFont="1" applyAlignment="1">
      <alignment horizontal="justify" vertical="center" wrapText="1"/>
    </xf>
    <xf numFmtId="0" fontId="170" fillId="0" borderId="0" xfId="0" applyFont="1"/>
    <xf numFmtId="0" fontId="170" fillId="0" borderId="0" xfId="0" applyFont="1" applyAlignment="1">
      <alignment horizontal="center"/>
    </xf>
    <xf numFmtId="0" fontId="173" fillId="0" borderId="2" xfId="0" applyFont="1" applyBorder="1" applyAlignment="1">
      <alignment horizontal="center" vertical="center" wrapText="1"/>
    </xf>
    <xf numFmtId="14" fontId="0" fillId="9" borderId="2" xfId="0" applyNumberFormat="1" applyFill="1" applyBorder="1" applyAlignment="1">
      <alignment horizontal="center" vertical="center"/>
    </xf>
    <xf numFmtId="0" fontId="170" fillId="0" borderId="2" xfId="0" applyFont="1" applyBorder="1" applyAlignment="1">
      <alignment horizontal="center" vertical="center"/>
    </xf>
    <xf numFmtId="0" fontId="168" fillId="0" borderId="2" xfId="0" applyFont="1" applyBorder="1" applyAlignment="1">
      <alignment horizontal="center" vertical="center"/>
    </xf>
    <xf numFmtId="0" fontId="170" fillId="0" borderId="2" xfId="0" applyFont="1" applyBorder="1"/>
    <xf numFmtId="0" fontId="168" fillId="9" borderId="3" xfId="0" applyFont="1" applyFill="1" applyBorder="1" applyAlignment="1">
      <alignment horizontal="center" vertical="center"/>
    </xf>
    <xf numFmtId="0" fontId="168" fillId="9" borderId="2" xfId="0" applyFont="1" applyFill="1" applyBorder="1" applyAlignment="1">
      <alignment horizontal="center" vertical="center"/>
    </xf>
    <xf numFmtId="0" fontId="168" fillId="3" borderId="2" xfId="0" applyFont="1" applyFill="1" applyBorder="1" applyAlignment="1">
      <alignment horizontal="center" vertical="center"/>
    </xf>
    <xf numFmtId="0" fontId="168" fillId="0" borderId="3" xfId="0" applyFont="1" applyBorder="1" applyAlignment="1">
      <alignment horizontal="center" vertical="center"/>
    </xf>
    <xf numFmtId="0" fontId="168" fillId="3" borderId="3" xfId="0" applyFont="1" applyFill="1" applyBorder="1" applyAlignment="1">
      <alignment horizontal="center" vertical="center"/>
    </xf>
    <xf numFmtId="14" fontId="169" fillId="0" borderId="2" xfId="0" applyNumberFormat="1" applyFont="1" applyBorder="1" applyAlignment="1">
      <alignment horizontal="center" vertical="center" wrapText="1"/>
    </xf>
    <xf numFmtId="0" fontId="136" fillId="3" borderId="0" xfId="0" applyFont="1" applyFill="1" applyAlignment="1">
      <alignment horizontal="left" vertical="center" wrapText="1"/>
    </xf>
    <xf numFmtId="0" fontId="174" fillId="0" borderId="0" xfId="0" applyFont="1" applyAlignment="1">
      <alignment horizontal="justify" vertical="center"/>
    </xf>
    <xf numFmtId="0" fontId="173" fillId="0" borderId="2" xfId="0" applyFont="1" applyBorder="1" applyAlignment="1">
      <alignment horizontal="left" vertical="center"/>
    </xf>
    <xf numFmtId="0" fontId="168" fillId="20" borderId="2" xfId="0" applyFont="1" applyFill="1" applyBorder="1" applyAlignment="1">
      <alignment horizontal="center" vertical="center"/>
    </xf>
    <xf numFmtId="0" fontId="170" fillId="20" borderId="2" xfId="0" applyFont="1" applyFill="1" applyBorder="1"/>
    <xf numFmtId="0" fontId="169" fillId="20" borderId="2" xfId="0" applyFont="1" applyFill="1" applyBorder="1" applyAlignment="1">
      <alignment horizontal="center" vertical="center" wrapText="1"/>
    </xf>
    <xf numFmtId="14" fontId="169" fillId="20" borderId="2" xfId="0" applyNumberFormat="1" applyFont="1" applyFill="1" applyBorder="1" applyAlignment="1">
      <alignment horizontal="center" vertical="center" wrapText="1"/>
    </xf>
    <xf numFmtId="0" fontId="170" fillId="20" borderId="2" xfId="0" applyFont="1" applyFill="1" applyBorder="1" applyAlignment="1">
      <alignment horizontal="center" vertical="center"/>
    </xf>
    <xf numFmtId="0" fontId="170" fillId="20" borderId="2" xfId="0" applyFont="1" applyFill="1" applyBorder="1" applyAlignment="1">
      <alignment horizontal="center"/>
    </xf>
    <xf numFmtId="172" fontId="169" fillId="0" borderId="2" xfId="0" applyNumberFormat="1" applyFont="1" applyBorder="1" applyAlignment="1">
      <alignment horizontal="center" vertical="center" wrapText="1"/>
    </xf>
    <xf numFmtId="0" fontId="170" fillId="12" borderId="2" xfId="0" applyFont="1" applyFill="1" applyBorder="1"/>
    <xf numFmtId="172" fontId="173" fillId="0" borderId="2" xfId="0" applyNumberFormat="1" applyFont="1" applyBorder="1" applyAlignment="1">
      <alignment vertical="center"/>
    </xf>
    <xf numFmtId="0" fontId="173" fillId="0" borderId="2" xfId="0" applyFont="1" applyBorder="1" applyAlignment="1">
      <alignment vertical="center"/>
    </xf>
    <xf numFmtId="0" fontId="170" fillId="9" borderId="2" xfId="0" applyFont="1" applyFill="1" applyBorder="1"/>
    <xf numFmtId="0" fontId="0" fillId="20" borderId="2" xfId="0" applyFill="1" applyBorder="1"/>
    <xf numFmtId="0" fontId="0" fillId="20" borderId="0" xfId="0" applyFill="1"/>
    <xf numFmtId="15" fontId="175" fillId="22" borderId="2" xfId="0" applyNumberFormat="1" applyFont="1" applyFill="1" applyBorder="1" applyAlignment="1">
      <alignment vertical="center"/>
    </xf>
    <xf numFmtId="0" fontId="143" fillId="23" borderId="2" xfId="0" applyFont="1" applyFill="1" applyBorder="1" applyAlignment="1">
      <alignment horizontal="center" vertical="center"/>
    </xf>
    <xf numFmtId="0" fontId="139" fillId="24" borderId="2" xfId="0" applyFont="1" applyFill="1" applyBorder="1" applyAlignment="1">
      <alignment horizontal="center" vertical="center" wrapText="1"/>
    </xf>
    <xf numFmtId="0" fontId="143" fillId="0" borderId="2" xfId="0" applyFont="1" applyBorder="1" applyAlignment="1">
      <alignment horizontal="center" vertical="center"/>
    </xf>
    <xf numFmtId="0" fontId="176" fillId="25" borderId="2" xfId="0" applyFont="1" applyFill="1" applyBorder="1" applyAlignment="1">
      <alignment vertical="center" wrapText="1"/>
    </xf>
    <xf numFmtId="14" fontId="168" fillId="0" borderId="28" xfId="0" applyNumberFormat="1" applyFont="1" applyBorder="1" applyAlignment="1">
      <alignment horizontal="center" vertical="center" wrapText="1"/>
    </xf>
    <xf numFmtId="0" fontId="139" fillId="0" borderId="2" xfId="0" applyFont="1" applyBorder="1" applyAlignment="1">
      <alignment horizontal="center" vertical="center" wrapText="1"/>
    </xf>
    <xf numFmtId="14" fontId="0" fillId="0" borderId="28" xfId="0" applyNumberFormat="1" applyBorder="1" applyAlignment="1">
      <alignment horizontal="center" vertical="center"/>
    </xf>
    <xf numFmtId="0" fontId="176" fillId="25" borderId="48" xfId="0" applyFont="1" applyFill="1" applyBorder="1" applyAlignment="1">
      <alignment vertical="center" wrapText="1"/>
    </xf>
    <xf numFmtId="0" fontId="176" fillId="0" borderId="48" xfId="0" applyFont="1" applyBorder="1" applyAlignment="1">
      <alignment vertical="center" wrapText="1"/>
    </xf>
    <xf numFmtId="0" fontId="143" fillId="0" borderId="2" xfId="0" applyFont="1" applyBorder="1" applyAlignment="1">
      <alignment horizontal="center"/>
    </xf>
    <xf numFmtId="0" fontId="143" fillId="0" borderId="0" xfId="0" applyFont="1" applyAlignment="1">
      <alignment horizontal="left" vertical="top"/>
    </xf>
    <xf numFmtId="0" fontId="143" fillId="0" borderId="2" xfId="0" applyFont="1" applyBorder="1" applyAlignment="1">
      <alignment horizontal="left" vertical="top"/>
    </xf>
    <xf numFmtId="0" fontId="173" fillId="0" borderId="0" xfId="0" applyFont="1" applyAlignment="1">
      <alignment wrapText="1"/>
    </xf>
    <xf numFmtId="168" fontId="177" fillId="2" borderId="2" xfId="4" applyNumberFormat="1" applyFont="1" applyFill="1" applyBorder="1" applyAlignment="1" applyProtection="1">
      <alignment vertical="center"/>
      <protection hidden="1"/>
    </xf>
    <xf numFmtId="168" fontId="177" fillId="2" borderId="2" xfId="4" applyNumberFormat="1" applyFont="1" applyFill="1" applyBorder="1" applyAlignment="1" applyProtection="1">
      <alignment horizontal="left" vertical="center"/>
      <protection hidden="1"/>
    </xf>
    <xf numFmtId="15" fontId="177" fillId="2" borderId="2" xfId="4" applyNumberFormat="1" applyFont="1" applyFill="1" applyBorder="1" applyAlignment="1" applyProtection="1">
      <alignment horizontal="center" vertical="center"/>
      <protection hidden="1"/>
    </xf>
    <xf numFmtId="0" fontId="180" fillId="2" borderId="0" xfId="0" applyFont="1" applyFill="1" applyAlignment="1" applyProtection="1">
      <alignment horizontal="left" indent="3"/>
      <protection hidden="1"/>
    </xf>
    <xf numFmtId="0" fontId="180" fillId="2" borderId="0" xfId="0" applyFont="1" applyFill="1" applyProtection="1">
      <protection hidden="1"/>
    </xf>
    <xf numFmtId="0" fontId="181" fillId="2" borderId="0" xfId="0" applyFont="1" applyFill="1" applyProtection="1">
      <protection hidden="1"/>
    </xf>
    <xf numFmtId="1" fontId="177" fillId="2" borderId="2" xfId="4" applyNumberFormat="1" applyFont="1" applyFill="1" applyBorder="1" applyAlignment="1" applyProtection="1">
      <alignment horizontal="center" vertical="center"/>
      <protection hidden="1"/>
    </xf>
    <xf numFmtId="0" fontId="127" fillId="2" borderId="54" xfId="0" applyFont="1" applyFill="1" applyBorder="1" applyAlignment="1" applyProtection="1">
      <alignment horizontal="center" vertical="center" wrapText="1"/>
      <protection hidden="1"/>
    </xf>
    <xf numFmtId="49" fontId="127" fillId="2" borderId="1" xfId="0" applyNumberFormat="1" applyFont="1" applyFill="1" applyBorder="1" applyAlignment="1" applyProtection="1">
      <alignment horizontal="center" vertical="center" wrapText="1"/>
      <protection hidden="1"/>
    </xf>
    <xf numFmtId="0" fontId="173" fillId="0" borderId="2" xfId="0" applyFont="1" applyBorder="1"/>
    <xf numFmtId="15" fontId="183" fillId="2" borderId="2" xfId="0" applyNumberFormat="1" applyFont="1" applyFill="1" applyBorder="1" applyAlignment="1" applyProtection="1">
      <alignment horizontal="center" vertical="center"/>
      <protection hidden="1"/>
    </xf>
    <xf numFmtId="0" fontId="181" fillId="2" borderId="35" xfId="0" applyFont="1" applyFill="1" applyBorder="1" applyProtection="1">
      <protection hidden="1"/>
    </xf>
    <xf numFmtId="15" fontId="182" fillId="5" borderId="2" xfId="0" applyNumberFormat="1" applyFont="1" applyFill="1" applyBorder="1" applyAlignment="1" applyProtection="1">
      <alignment horizontal="center" vertical="center" wrapText="1"/>
      <protection hidden="1"/>
    </xf>
    <xf numFmtId="0" fontId="127" fillId="2" borderId="1" xfId="0" applyFont="1" applyFill="1" applyBorder="1" applyAlignment="1" applyProtection="1">
      <alignment horizontal="center" vertical="center"/>
      <protection hidden="1"/>
    </xf>
    <xf numFmtId="0" fontId="127" fillId="2" borderId="55" xfId="0" applyFont="1" applyFill="1" applyBorder="1" applyAlignment="1" applyProtection="1">
      <alignment horizontal="center" vertical="center" wrapText="1"/>
      <protection hidden="1"/>
    </xf>
    <xf numFmtId="0" fontId="168" fillId="0" borderId="0" xfId="0" applyFont="1" applyAlignment="1">
      <alignment horizontal="center" vertical="center"/>
    </xf>
    <xf numFmtId="0" fontId="184" fillId="0" borderId="0" xfId="0" applyFont="1" applyAlignment="1">
      <alignment vertical="center"/>
    </xf>
    <xf numFmtId="0" fontId="185" fillId="0" borderId="0" xfId="0" applyFont="1" applyAlignment="1">
      <alignment vertical="center" wrapText="1"/>
    </xf>
    <xf numFmtId="0" fontId="173" fillId="0" borderId="0" xfId="0" applyFont="1" applyAlignment="1">
      <alignment vertical="center"/>
    </xf>
    <xf numFmtId="0" fontId="0" fillId="0" borderId="2" xfId="0" quotePrefix="1" applyBorder="1" applyAlignment="1">
      <alignment horizontal="center" vertical="center"/>
    </xf>
    <xf numFmtId="164" fontId="154" fillId="0" borderId="0" xfId="2" quotePrefix="1" applyFont="1" applyFill="1" applyBorder="1" applyAlignment="1">
      <alignment horizontal="center" vertical="center"/>
    </xf>
    <xf numFmtId="164" fontId="154" fillId="0" borderId="0" xfId="2" quotePrefix="1" applyFont="1" applyFill="1" applyAlignment="1">
      <alignment horizontal="center" vertical="center"/>
    </xf>
    <xf numFmtId="164" fontId="154" fillId="3" borderId="0" xfId="2" quotePrefix="1" applyFont="1" applyFill="1" applyAlignment="1">
      <alignment horizontal="center" vertical="center"/>
    </xf>
    <xf numFmtId="12" fontId="154" fillId="3" borderId="0" xfId="2" quotePrefix="1" applyNumberFormat="1" applyFont="1" applyFill="1" applyAlignment="1">
      <alignment horizontal="center" vertical="center"/>
    </xf>
    <xf numFmtId="16" fontId="158" fillId="0" borderId="0" xfId="0" quotePrefix="1" applyNumberFormat="1" applyFont="1" applyAlignment="1">
      <alignment horizontal="center" vertical="center"/>
    </xf>
    <xf numFmtId="0" fontId="158" fillId="0" borderId="0" xfId="0" quotePrefix="1" applyFont="1" applyAlignment="1">
      <alignment horizontal="center" vertical="center"/>
    </xf>
    <xf numFmtId="16" fontId="154" fillId="0" borderId="0" xfId="0" quotePrefix="1" applyNumberFormat="1" applyFont="1" applyAlignment="1">
      <alignment horizontal="center" vertical="center"/>
    </xf>
    <xf numFmtId="16" fontId="156" fillId="3" borderId="0" xfId="0" quotePrefix="1" applyNumberFormat="1" applyFont="1" applyFill="1" applyAlignment="1">
      <alignment horizontal="center" vertical="center"/>
    </xf>
    <xf numFmtId="0" fontId="154" fillId="3" borderId="0" xfId="0" quotePrefix="1" applyFont="1" applyFill="1" applyAlignment="1">
      <alignment horizontal="center" vertical="center"/>
    </xf>
    <xf numFmtId="16" fontId="154" fillId="3" borderId="0" xfId="0" quotePrefix="1" applyNumberFormat="1" applyFont="1" applyFill="1" applyAlignment="1">
      <alignment horizontal="center" vertical="center"/>
    </xf>
    <xf numFmtId="0" fontId="154" fillId="0" borderId="0" xfId="0" quotePrefix="1" applyFont="1" applyAlignment="1">
      <alignment horizontal="center" vertical="center"/>
    </xf>
    <xf numFmtId="164" fontId="154" fillId="3" borderId="0" xfId="2" quotePrefix="1" applyFont="1" applyFill="1" applyBorder="1" applyAlignment="1">
      <alignment horizontal="center" vertical="center"/>
    </xf>
    <xf numFmtId="164" fontId="154" fillId="3" borderId="35" xfId="2" quotePrefix="1" applyFont="1" applyFill="1" applyBorder="1" applyAlignment="1">
      <alignment horizontal="center" vertical="center"/>
    </xf>
    <xf numFmtId="12" fontId="154" fillId="3" borderId="0" xfId="2" quotePrefix="1" applyNumberFormat="1" applyFont="1" applyFill="1" applyBorder="1" applyAlignment="1">
      <alignment horizontal="center" vertical="center"/>
    </xf>
    <xf numFmtId="12" fontId="154" fillId="3" borderId="35" xfId="2" quotePrefix="1" applyNumberFormat="1" applyFont="1" applyFill="1" applyBorder="1" applyAlignment="1">
      <alignment horizontal="center" vertical="center"/>
    </xf>
    <xf numFmtId="0" fontId="128" fillId="6" borderId="2" xfId="0" quotePrefix="1" applyFont="1" applyFill="1" applyBorder="1" applyAlignment="1">
      <alignment horizontal="center" vertical="center"/>
    </xf>
    <xf numFmtId="0" fontId="192" fillId="2" borderId="0" xfId="0" applyFont="1" applyFill="1" applyAlignment="1" applyProtection="1">
      <alignment horizontal="left" indent="3"/>
      <protection hidden="1"/>
    </xf>
    <xf numFmtId="164" fontId="193" fillId="0" borderId="0" xfId="2" quotePrefix="1" applyFont="1" applyFill="1" applyBorder="1" applyAlignment="1">
      <alignment horizontal="center" vertical="center"/>
    </xf>
    <xf numFmtId="164" fontId="193" fillId="0" borderId="0" xfId="2" applyFont="1" applyFill="1" applyBorder="1" applyAlignment="1">
      <alignment horizontal="center" vertical="center"/>
    </xf>
    <xf numFmtId="0" fontId="126" fillId="0" borderId="0" xfId="0" applyFont="1"/>
    <xf numFmtId="0" fontId="161" fillId="0" borderId="0" xfId="0" applyFont="1" applyAlignment="1">
      <alignment horizontal="center" vertical="center"/>
    </xf>
    <xf numFmtId="2" fontId="161" fillId="0" borderId="0" xfId="0" applyNumberFormat="1" applyFont="1" applyAlignment="1">
      <alignment horizontal="center" vertical="center"/>
    </xf>
    <xf numFmtId="0" fontId="161" fillId="0" borderId="32" xfId="0" applyFont="1" applyBorder="1" applyAlignment="1">
      <alignment horizontal="center" vertical="center"/>
    </xf>
    <xf numFmtId="0" fontId="161" fillId="0" borderId="24" xfId="0" applyFont="1" applyBorder="1" applyAlignment="1">
      <alignment horizontal="center" vertical="center"/>
    </xf>
    <xf numFmtId="0" fontId="158" fillId="0" borderId="35" xfId="0" applyFont="1" applyBorder="1" applyAlignment="1">
      <alignment horizontal="center" vertical="center"/>
    </xf>
    <xf numFmtId="164" fontId="154" fillId="0" borderId="35" xfId="2" quotePrefix="1" applyFont="1" applyFill="1" applyBorder="1" applyAlignment="1">
      <alignment horizontal="center" vertical="center"/>
    </xf>
    <xf numFmtId="164" fontId="156" fillId="0" borderId="0" xfId="2" applyFont="1" applyFill="1" applyBorder="1" applyAlignment="1">
      <alignment horizontal="center" vertical="center"/>
    </xf>
    <xf numFmtId="12" fontId="154" fillId="0" borderId="0" xfId="2" quotePrefix="1" applyNumberFormat="1" applyFont="1" applyFill="1" applyBorder="1" applyAlignment="1">
      <alignment horizontal="center" vertical="center"/>
    </xf>
    <xf numFmtId="164" fontId="156" fillId="0" borderId="35" xfId="2" applyFont="1" applyFill="1" applyBorder="1" applyAlignment="1">
      <alignment horizontal="center" vertical="center"/>
    </xf>
    <xf numFmtId="12" fontId="154" fillId="0" borderId="35" xfId="2" quotePrefix="1" applyNumberFormat="1" applyFont="1" applyFill="1" applyBorder="1" applyAlignment="1">
      <alignment horizontal="center" vertical="center"/>
    </xf>
    <xf numFmtId="0" fontId="126" fillId="0" borderId="2" xfId="0" applyFont="1" applyBorder="1"/>
    <xf numFmtId="0" fontId="126" fillId="27" borderId="2" xfId="0" applyFont="1" applyFill="1" applyBorder="1"/>
    <xf numFmtId="0" fontId="126" fillId="27" borderId="25" xfId="0" applyFont="1" applyFill="1" applyBorder="1"/>
    <xf numFmtId="0" fontId="0" fillId="9" borderId="2" xfId="0" applyFill="1" applyBorder="1"/>
    <xf numFmtId="0" fontId="0" fillId="28" borderId="0" xfId="0" applyFill="1"/>
    <xf numFmtId="0" fontId="0" fillId="12" borderId="0" xfId="0" applyFill="1"/>
    <xf numFmtId="0" fontId="126" fillId="0" borderId="2" xfId="0" quotePrefix="1" applyFont="1" applyBorder="1"/>
    <xf numFmtId="0" fontId="143" fillId="0" borderId="2" xfId="0" applyFont="1" applyBorder="1" applyAlignment="1">
      <alignment horizontal="left" vertical="center"/>
    </xf>
    <xf numFmtId="0" fontId="0" fillId="0" borderId="2" xfId="0" applyBorder="1" applyAlignment="1">
      <alignment horizontal="left" vertical="center"/>
    </xf>
    <xf numFmtId="0" fontId="195" fillId="0" borderId="2" xfId="0" applyFont="1" applyBorder="1" applyAlignment="1">
      <alignment horizontal="center" vertical="center"/>
    </xf>
    <xf numFmtId="0" fontId="195" fillId="0" borderId="2" xfId="0" applyFont="1" applyBorder="1" applyAlignment="1">
      <alignment horizontal="left" vertical="center"/>
    </xf>
    <xf numFmtId="0" fontId="195" fillId="0" borderId="2" xfId="0" quotePrefix="1" applyFont="1" applyBorder="1" applyAlignment="1">
      <alignment horizontal="center" vertical="center"/>
    </xf>
    <xf numFmtId="0" fontId="126" fillId="27" borderId="0" xfId="0" applyFont="1" applyFill="1"/>
    <xf numFmtId="0" fontId="0" fillId="0" borderId="46" xfId="0" applyBorder="1"/>
    <xf numFmtId="0" fontId="123" fillId="0" borderId="2" xfId="0" applyFont="1" applyBorder="1" applyAlignment="1">
      <alignment horizontal="center"/>
    </xf>
    <xf numFmtId="0" fontId="123" fillId="0" borderId="0" xfId="0" applyFont="1" applyAlignment="1">
      <alignment horizontal="left" vertical="top"/>
    </xf>
    <xf numFmtId="0" fontId="122" fillId="0" borderId="0" xfId="0" applyFont="1"/>
    <xf numFmtId="14" fontId="0" fillId="9" borderId="25" xfId="0" applyNumberFormat="1" applyFill="1" applyBorder="1" applyAlignment="1">
      <alignment horizontal="center" vertical="center"/>
    </xf>
    <xf numFmtId="14" fontId="0" fillId="0" borderId="25" xfId="0" applyNumberFormat="1" applyBorder="1" applyAlignment="1">
      <alignment horizontal="center" vertical="center"/>
    </xf>
    <xf numFmtId="0" fontId="170" fillId="0" borderId="25" xfId="0" applyFont="1" applyBorder="1" applyAlignment="1">
      <alignment horizontal="center"/>
    </xf>
    <xf numFmtId="0" fontId="122" fillId="0" borderId="2" xfId="0" applyFont="1" applyBorder="1"/>
    <xf numFmtId="0" fontId="0" fillId="28" borderId="2" xfId="0" applyFill="1" applyBorder="1"/>
    <xf numFmtId="0" fontId="143" fillId="0" borderId="2" xfId="0" applyFont="1" applyBorder="1" applyAlignment="1">
      <alignment horizontal="center" vertical="center" wrapText="1"/>
    </xf>
    <xf numFmtId="14" fontId="0" fillId="0" borderId="2" xfId="0" applyNumberFormat="1" applyBorder="1"/>
    <xf numFmtId="0" fontId="0" fillId="0" borderId="2" xfId="0" applyBorder="1" applyAlignment="1">
      <alignment horizontal="right"/>
    </xf>
    <xf numFmtId="14" fontId="0" fillId="0" borderId="2" xfId="0" applyNumberFormat="1" applyBorder="1" applyAlignment="1">
      <alignment horizontal="right"/>
    </xf>
    <xf numFmtId="0" fontId="119" fillId="0" borderId="2" xfId="0" applyFont="1" applyBorder="1" applyAlignment="1">
      <alignment horizontal="center"/>
    </xf>
    <xf numFmtId="0" fontId="197" fillId="3" borderId="0" xfId="24" applyFont="1" applyFill="1"/>
    <xf numFmtId="0" fontId="197" fillId="3" borderId="0" xfId="24" applyFont="1" applyFill="1" applyAlignment="1">
      <alignment vertical="center"/>
    </xf>
    <xf numFmtId="49" fontId="198" fillId="0" borderId="0" xfId="0" applyNumberFormat="1" applyFont="1" applyAlignment="1">
      <alignment horizontal="center" vertical="center" wrapText="1"/>
    </xf>
    <xf numFmtId="165" fontId="198" fillId="0" borderId="0" xfId="1" applyFont="1" applyFill="1" applyBorder="1" applyAlignment="1">
      <alignment horizontal="center" vertical="center"/>
    </xf>
    <xf numFmtId="1" fontId="198" fillId="15" borderId="42" xfId="1" applyNumberFormat="1" applyFont="1" applyFill="1" applyBorder="1" applyAlignment="1">
      <alignment horizontal="center" vertical="center"/>
    </xf>
    <xf numFmtId="1" fontId="198" fillId="0" borderId="42" xfId="1" applyNumberFormat="1" applyFont="1" applyFill="1" applyBorder="1" applyAlignment="1">
      <alignment horizontal="center" vertical="center"/>
    </xf>
    <xf numFmtId="1" fontId="198" fillId="21" borderId="42" xfId="1" applyNumberFormat="1" applyFont="1" applyFill="1" applyBorder="1" applyAlignment="1">
      <alignment horizontal="center" vertical="center"/>
    </xf>
    <xf numFmtId="49" fontId="198" fillId="0" borderId="22" xfId="0" applyNumberFormat="1" applyFont="1" applyBorder="1" applyAlignment="1">
      <alignment horizontal="center" vertical="center" wrapText="1"/>
    </xf>
    <xf numFmtId="49" fontId="198" fillId="0" borderId="0" xfId="0" applyNumberFormat="1" applyFont="1" applyAlignment="1">
      <alignment horizontal="center" vertical="center"/>
    </xf>
    <xf numFmtId="0" fontId="197" fillId="0" borderId="0" xfId="0" applyFont="1"/>
    <xf numFmtId="1" fontId="198" fillId="20" borderId="42" xfId="1" applyNumberFormat="1" applyFont="1" applyFill="1" applyBorder="1" applyAlignment="1">
      <alignment horizontal="center" vertical="center"/>
    </xf>
    <xf numFmtId="1" fontId="198" fillId="0" borderId="0" xfId="1" applyNumberFormat="1" applyFont="1" applyFill="1" applyBorder="1" applyAlignment="1">
      <alignment horizontal="center" vertical="center"/>
    </xf>
    <xf numFmtId="0" fontId="199" fillId="0" borderId="22" xfId="0" applyFont="1" applyBorder="1"/>
    <xf numFmtId="0" fontId="199" fillId="0" borderId="50" xfId="0" applyFont="1" applyBorder="1"/>
    <xf numFmtId="0" fontId="199" fillId="0" borderId="0" xfId="0" applyFont="1"/>
    <xf numFmtId="0" fontId="197" fillId="3" borderId="58" xfId="0" applyFont="1" applyFill="1" applyBorder="1" applyAlignment="1">
      <alignment horizontal="left" vertical="center"/>
    </xf>
    <xf numFmtId="0" fontId="199" fillId="0" borderId="47" xfId="0" applyFont="1" applyBorder="1"/>
    <xf numFmtId="0" fontId="197" fillId="3" borderId="0" xfId="24" applyFont="1" applyFill="1" applyAlignment="1">
      <alignment vertical="center" wrapText="1"/>
    </xf>
    <xf numFmtId="0" fontId="198" fillId="3" borderId="0" xfId="0" applyFont="1" applyFill="1"/>
    <xf numFmtId="0" fontId="198" fillId="3" borderId="0" xfId="0" applyFont="1" applyFill="1" applyAlignment="1">
      <alignment horizontal="center"/>
    </xf>
    <xf numFmtId="0" fontId="198" fillId="3" borderId="35" xfId="0" applyFont="1" applyFill="1" applyBorder="1" applyAlignment="1">
      <alignment horizontal="center"/>
    </xf>
    <xf numFmtId="0" fontId="198" fillId="3" borderId="0" xfId="0" applyFont="1" applyFill="1" applyAlignment="1">
      <alignment horizontal="center" vertical="center"/>
    </xf>
    <xf numFmtId="0" fontId="198" fillId="3" borderId="35" xfId="0" applyFont="1" applyFill="1" applyBorder="1" applyAlignment="1">
      <alignment horizontal="left"/>
    </xf>
    <xf numFmtId="0" fontId="197" fillId="3" borderId="0" xfId="24" applyFont="1" applyFill="1" applyAlignment="1">
      <alignment horizontal="left" vertical="center"/>
    </xf>
    <xf numFmtId="0" fontId="197" fillId="3" borderId="32" xfId="24" applyFont="1" applyFill="1" applyBorder="1" applyAlignment="1">
      <alignment vertical="center" wrapText="1"/>
    </xf>
    <xf numFmtId="0" fontId="198" fillId="3" borderId="32" xfId="0" applyFont="1" applyFill="1" applyBorder="1" applyAlignment="1">
      <alignment horizontal="center"/>
    </xf>
    <xf numFmtId="0" fontId="199" fillId="0" borderId="43" xfId="0" applyFont="1" applyBorder="1"/>
    <xf numFmtId="49" fontId="197" fillId="0" borderId="0" xfId="0" applyNumberFormat="1" applyFont="1" applyAlignment="1">
      <alignment horizontal="center" vertical="center" wrapText="1"/>
    </xf>
    <xf numFmtId="49" fontId="197" fillId="0" borderId="0" xfId="0" quotePrefix="1" applyNumberFormat="1" applyFont="1" applyAlignment="1">
      <alignment horizontal="center" vertical="center" wrapText="1"/>
    </xf>
    <xf numFmtId="0" fontId="200" fillId="0" borderId="2" xfId="0" applyFont="1" applyBorder="1" applyAlignment="1">
      <alignment horizontal="center" vertical="center"/>
    </xf>
    <xf numFmtId="0" fontId="200" fillId="0" borderId="14" xfId="0" applyFont="1" applyBorder="1" applyAlignment="1">
      <alignment horizontal="center" vertical="center"/>
    </xf>
    <xf numFmtId="0" fontId="198" fillId="0" borderId="0" xfId="0" applyFont="1" applyAlignment="1">
      <alignment horizontal="center" vertical="center"/>
    </xf>
    <xf numFmtId="0" fontId="198" fillId="0" borderId="0" xfId="0" applyFont="1"/>
    <xf numFmtId="0" fontId="200" fillId="0" borderId="20" xfId="0" applyFont="1" applyBorder="1" applyAlignment="1">
      <alignment horizontal="center" vertical="center"/>
    </xf>
    <xf numFmtId="0" fontId="200" fillId="0" borderId="0" xfId="0" applyFont="1" applyAlignment="1">
      <alignment horizontal="center" vertical="center"/>
    </xf>
    <xf numFmtId="0" fontId="200" fillId="0" borderId="47" xfId="0" applyFont="1" applyBorder="1" applyAlignment="1">
      <alignment horizontal="center" vertical="center"/>
    </xf>
    <xf numFmtId="0" fontId="197" fillId="0" borderId="0" xfId="0" applyFont="1" applyAlignment="1">
      <alignment horizontal="center"/>
    </xf>
    <xf numFmtId="0" fontId="198" fillId="15" borderId="42" xfId="0" applyFont="1" applyFill="1" applyBorder="1" applyAlignment="1">
      <alignment horizontal="center" vertical="center"/>
    </xf>
    <xf numFmtId="0" fontId="198" fillId="0" borderId="42" xfId="0" applyFont="1" applyBorder="1" applyAlignment="1">
      <alignment horizontal="center" vertical="center"/>
    </xf>
    <xf numFmtId="1" fontId="197" fillId="0" borderId="0" xfId="0" quotePrefix="1" applyNumberFormat="1" applyFont="1" applyAlignment="1">
      <alignment horizontal="center" vertical="center" wrapText="1"/>
    </xf>
    <xf numFmtId="0" fontId="197" fillId="0" borderId="0" xfId="0" applyFont="1" applyAlignment="1">
      <alignment vertical="center"/>
    </xf>
    <xf numFmtId="1" fontId="197" fillId="0" borderId="0" xfId="0" applyNumberFormat="1" applyFont="1" applyAlignment="1">
      <alignment horizontal="center"/>
    </xf>
    <xf numFmtId="0" fontId="200" fillId="0" borderId="0" xfId="0" applyFont="1"/>
    <xf numFmtId="0" fontId="198" fillId="0" borderId="0" xfId="0" applyFont="1" applyAlignment="1">
      <alignment horizontal="center"/>
    </xf>
    <xf numFmtId="0" fontId="199" fillId="0" borderId="44" xfId="0" applyFont="1" applyBorder="1"/>
    <xf numFmtId="0" fontId="200" fillId="0" borderId="45" xfId="0" applyFont="1" applyBorder="1"/>
    <xf numFmtId="0" fontId="198" fillId="0" borderId="45" xfId="0" applyFont="1" applyBorder="1"/>
    <xf numFmtId="0" fontId="199" fillId="0" borderId="45" xfId="0" applyFont="1" applyBorder="1"/>
    <xf numFmtId="0" fontId="200" fillId="0" borderId="64" xfId="0" applyFont="1" applyBorder="1" applyAlignment="1">
      <alignment horizontal="center" vertical="center"/>
    </xf>
    <xf numFmtId="0" fontId="200" fillId="0" borderId="45" xfId="0" applyFont="1" applyBorder="1" applyAlignment="1">
      <alignment horizontal="center" vertical="center"/>
    </xf>
    <xf numFmtId="0" fontId="200" fillId="0" borderId="48" xfId="0" applyFont="1" applyBorder="1" applyAlignment="1">
      <alignment horizontal="center" vertical="center"/>
    </xf>
    <xf numFmtId="0" fontId="199" fillId="0" borderId="49" xfId="0" applyFont="1" applyBorder="1"/>
    <xf numFmtId="49" fontId="197" fillId="0" borderId="22" xfId="0" applyNumberFormat="1" applyFont="1" applyBorder="1" applyAlignment="1">
      <alignment horizontal="center" vertical="center" wrapText="1"/>
    </xf>
    <xf numFmtId="0" fontId="198" fillId="0" borderId="22" xfId="0" applyFont="1" applyBorder="1"/>
    <xf numFmtId="0" fontId="200" fillId="0" borderId="21" xfId="0" applyFont="1" applyBorder="1" applyAlignment="1">
      <alignment horizontal="center" vertical="center"/>
    </xf>
    <xf numFmtId="0" fontId="200" fillId="0" borderId="22" xfId="0" applyFont="1" applyBorder="1" applyAlignment="1">
      <alignment horizontal="center" vertical="center"/>
    </xf>
    <xf numFmtId="0" fontId="200" fillId="0" borderId="50" xfId="0" applyFont="1" applyBorder="1" applyAlignment="1">
      <alignment horizontal="center" vertical="center"/>
    </xf>
    <xf numFmtId="0" fontId="197" fillId="0" borderId="0" xfId="0" applyFont="1" applyAlignment="1">
      <alignment horizontal="center" vertical="center"/>
    </xf>
    <xf numFmtId="0" fontId="197" fillId="0" borderId="0" xfId="0" applyFont="1" applyAlignment="1">
      <alignment horizontal="right"/>
    </xf>
    <xf numFmtId="1" fontId="197" fillId="0" borderId="0" xfId="0" applyNumberFormat="1" applyFont="1" applyAlignment="1">
      <alignment horizontal="left"/>
    </xf>
    <xf numFmtId="49" fontId="197" fillId="0" borderId="0" xfId="0" applyNumberFormat="1" applyFont="1" applyAlignment="1">
      <alignment horizontal="center" vertical="center"/>
    </xf>
    <xf numFmtId="0" fontId="197" fillId="0" borderId="0" xfId="0" applyFont="1" applyAlignment="1">
      <alignment horizontal="left"/>
    </xf>
    <xf numFmtId="0" fontId="200" fillId="0" borderId="0" xfId="0" applyFont="1" applyAlignment="1">
      <alignment horizontal="center"/>
    </xf>
    <xf numFmtId="0" fontId="197" fillId="0" borderId="0" xfId="16" applyFont="1" applyAlignment="1">
      <alignment horizontal="center" vertical="center"/>
    </xf>
    <xf numFmtId="0" fontId="201" fillId="0" borderId="0" xfId="0" applyFont="1"/>
    <xf numFmtId="0" fontId="200" fillId="0" borderId="23" xfId="0" applyFont="1" applyBorder="1" applyAlignment="1">
      <alignment horizontal="center" vertical="center"/>
    </xf>
    <xf numFmtId="0" fontId="199" fillId="0" borderId="20" xfId="0" applyFont="1" applyBorder="1"/>
    <xf numFmtId="0" fontId="200" fillId="0" borderId="0" xfId="0" applyFont="1" applyAlignment="1">
      <alignment horizontal="left"/>
    </xf>
    <xf numFmtId="14" fontId="0" fillId="0" borderId="3" xfId="0" applyNumberFormat="1" applyBorder="1" applyAlignment="1">
      <alignment horizontal="left" vertical="center"/>
    </xf>
    <xf numFmtId="14" fontId="0" fillId="0" borderId="2" xfId="0" applyNumberFormat="1" applyBorder="1" applyAlignment="1">
      <alignment horizontal="left" vertical="top" wrapText="1"/>
    </xf>
    <xf numFmtId="0" fontId="0" fillId="0" borderId="0" xfId="0" applyAlignment="1">
      <alignment horizontal="left" vertical="top" wrapText="1"/>
    </xf>
    <xf numFmtId="14" fontId="0" fillId="0" borderId="2" xfId="0" applyNumberFormat="1" applyBorder="1" applyAlignment="1">
      <alignment horizontal="left" vertical="top"/>
    </xf>
    <xf numFmtId="14" fontId="0" fillId="0" borderId="3" xfId="0" applyNumberFormat="1" applyBorder="1" applyAlignment="1">
      <alignment horizontal="left" vertical="top" wrapText="1"/>
    </xf>
    <xf numFmtId="0" fontId="120" fillId="0" borderId="0" xfId="0" applyFont="1" applyAlignment="1">
      <alignment horizontal="left" vertical="top"/>
    </xf>
    <xf numFmtId="0" fontId="126" fillId="0" borderId="2" xfId="0" applyFont="1" applyBorder="1" applyAlignment="1">
      <alignment horizontal="left" vertical="top"/>
    </xf>
    <xf numFmtId="0" fontId="121" fillId="0" borderId="2" xfId="0" applyFont="1" applyBorder="1" applyAlignment="1">
      <alignment horizontal="left" vertical="top"/>
    </xf>
    <xf numFmtId="0" fontId="125" fillId="0" borderId="2" xfId="0" applyFont="1" applyBorder="1" applyAlignment="1">
      <alignment horizontal="left" vertical="top"/>
    </xf>
    <xf numFmtId="0" fontId="124" fillId="0" borderId="2" xfId="0" applyFont="1" applyBorder="1" applyAlignment="1">
      <alignment horizontal="left" vertical="top"/>
    </xf>
    <xf numFmtId="14" fontId="170" fillId="20" borderId="2" xfId="0" applyNumberFormat="1" applyFont="1" applyFill="1" applyBorder="1" applyAlignment="1">
      <alignment horizontal="center" vertical="center"/>
    </xf>
    <xf numFmtId="0" fontId="118" fillId="0" borderId="2" xfId="0" applyFont="1" applyBorder="1" applyAlignment="1">
      <alignment horizontal="center" vertical="center"/>
    </xf>
    <xf numFmtId="0" fontId="117" fillId="0" borderId="2" xfId="0" applyFont="1" applyBorder="1" applyAlignment="1">
      <alignment horizontal="center"/>
    </xf>
    <xf numFmtId="0" fontId="116" fillId="0" borderId="2" xfId="0" applyFont="1" applyBorder="1" applyAlignment="1">
      <alignment horizontal="left" vertical="top"/>
    </xf>
    <xf numFmtId="0" fontId="115" fillId="0" borderId="2" xfId="0" applyFont="1" applyBorder="1" applyAlignment="1">
      <alignment horizontal="center"/>
    </xf>
    <xf numFmtId="0" fontId="136" fillId="0" borderId="0" xfId="0" applyFont="1" applyAlignment="1">
      <alignment horizontal="left" vertical="center" wrapText="1"/>
    </xf>
    <xf numFmtId="0" fontId="114" fillId="0" borderId="2" xfId="0" applyFont="1" applyBorder="1" applyAlignment="1">
      <alignment horizontal="center" vertical="center"/>
    </xf>
    <xf numFmtId="0" fontId="113" fillId="0" borderId="2" xfId="0" applyFont="1" applyBorder="1" applyAlignment="1">
      <alignment horizontal="center"/>
    </xf>
    <xf numFmtId="174" fontId="0" fillId="0" borderId="2" xfId="0" applyNumberFormat="1" applyBorder="1" applyAlignment="1">
      <alignment horizontal="left" vertical="top"/>
    </xf>
    <xf numFmtId="14" fontId="112" fillId="0" borderId="2" xfId="0" applyNumberFormat="1" applyFont="1" applyBorder="1"/>
    <xf numFmtId="0" fontId="143" fillId="0" borderId="2" xfId="0" applyFont="1" applyBorder="1" applyAlignment="1">
      <alignment horizontal="left" vertical="top" wrapText="1"/>
    </xf>
    <xf numFmtId="0" fontId="0" fillId="0" borderId="2" xfId="0" applyBorder="1" applyAlignment="1">
      <alignment horizontal="left"/>
    </xf>
    <xf numFmtId="0" fontId="0" fillId="0" borderId="0" xfId="0" applyAlignment="1">
      <alignment wrapText="1"/>
    </xf>
    <xf numFmtId="0" fontId="0" fillId="0" borderId="2" xfId="0" applyBorder="1" applyAlignment="1">
      <alignment wrapText="1"/>
    </xf>
    <xf numFmtId="0" fontId="111" fillId="20" borderId="2" xfId="0" applyFont="1" applyFill="1" applyBorder="1" applyAlignment="1">
      <alignment horizontal="left" vertical="top"/>
    </xf>
    <xf numFmtId="14" fontId="109" fillId="0" borderId="2" xfId="0" applyNumberFormat="1" applyFont="1" applyBorder="1" applyAlignment="1">
      <alignment wrapText="1"/>
    </xf>
    <xf numFmtId="0" fontId="109" fillId="0" borderId="2" xfId="0" applyFont="1" applyBorder="1" applyAlignment="1">
      <alignment horizontal="left" vertical="top"/>
    </xf>
    <xf numFmtId="14" fontId="109" fillId="0" borderId="2" xfId="0" applyNumberFormat="1" applyFont="1" applyBorder="1"/>
    <xf numFmtId="0" fontId="108" fillId="0" borderId="2" xfId="0" applyFont="1" applyBorder="1" applyAlignment="1">
      <alignment horizontal="left" vertical="top"/>
    </xf>
    <xf numFmtId="0" fontId="107" fillId="0" borderId="2" xfId="0" applyFont="1" applyBorder="1" applyAlignment="1">
      <alignment horizontal="center"/>
    </xf>
    <xf numFmtId="14" fontId="0" fillId="0" borderId="2" xfId="0" applyNumberFormat="1" applyBorder="1" applyAlignment="1">
      <alignment vertical="center"/>
    </xf>
    <xf numFmtId="14" fontId="0" fillId="20" borderId="2" xfId="0" applyNumberFormat="1" applyFill="1" applyBorder="1" applyAlignment="1">
      <alignment vertical="center"/>
    </xf>
    <xf numFmtId="0" fontId="170" fillId="0" borderId="2" xfId="0" applyFont="1" applyBorder="1" applyAlignment="1">
      <alignment vertical="center"/>
    </xf>
    <xf numFmtId="0" fontId="168" fillId="0" borderId="2" xfId="0" applyFont="1" applyBorder="1" applyAlignment="1">
      <alignment vertical="center"/>
    </xf>
    <xf numFmtId="0" fontId="168" fillId="0" borderId="3" xfId="0" applyFont="1" applyBorder="1" applyAlignment="1">
      <alignment vertical="center"/>
    </xf>
    <xf numFmtId="14" fontId="170" fillId="0" borderId="2" xfId="0" applyNumberFormat="1" applyFont="1" applyBorder="1"/>
    <xf numFmtId="0" fontId="123" fillId="9" borderId="2" xfId="0" applyFont="1" applyFill="1" applyBorder="1" applyAlignment="1">
      <alignment horizontal="left" vertical="top"/>
    </xf>
    <xf numFmtId="0" fontId="106" fillId="0" borderId="2" xfId="0" applyFont="1" applyBorder="1"/>
    <xf numFmtId="0" fontId="106" fillId="0" borderId="2" xfId="0" applyFont="1" applyBorder="1" applyAlignment="1">
      <alignment horizontal="center"/>
    </xf>
    <xf numFmtId="0" fontId="170" fillId="0" borderId="2" xfId="0" applyFont="1" applyBorder="1" applyAlignment="1">
      <alignment horizontal="left"/>
    </xf>
    <xf numFmtId="0" fontId="106" fillId="9" borderId="2" xfId="0" applyFont="1" applyFill="1" applyBorder="1" applyAlignment="1">
      <alignment horizontal="left" vertical="top"/>
    </xf>
    <xf numFmtId="0" fontId="106" fillId="0" borderId="2" xfId="0" applyFont="1" applyBorder="1" applyAlignment="1">
      <alignment horizontal="left" vertical="top"/>
    </xf>
    <xf numFmtId="14" fontId="106" fillId="0" borderId="2" xfId="0" applyNumberFormat="1" applyFont="1" applyBorder="1" applyAlignment="1">
      <alignment horizontal="left" vertical="top" wrapText="1"/>
    </xf>
    <xf numFmtId="0" fontId="105" fillId="20" borderId="2" xfId="0" applyFont="1" applyFill="1" applyBorder="1" applyAlignment="1">
      <alignment horizontal="left" vertical="top"/>
    </xf>
    <xf numFmtId="0" fontId="105" fillId="0" borderId="2" xfId="0" applyFont="1" applyBorder="1" applyAlignment="1">
      <alignment horizontal="left" vertical="top"/>
    </xf>
    <xf numFmtId="0" fontId="174" fillId="0" borderId="2" xfId="0" applyFont="1" applyBorder="1" applyAlignment="1">
      <alignment horizontal="left" vertical="center"/>
    </xf>
    <xf numFmtId="0" fontId="173" fillId="0" borderId="2" xfId="0" applyFont="1" applyBorder="1" applyAlignment="1">
      <alignment horizontal="center" vertical="center"/>
    </xf>
    <xf numFmtId="0" fontId="197" fillId="20" borderId="0" xfId="0" applyFont="1" applyFill="1"/>
    <xf numFmtId="0" fontId="104" fillId="0" borderId="2" xfId="0" applyFont="1" applyBorder="1"/>
    <xf numFmtId="0" fontId="200" fillId="9" borderId="0" xfId="0" applyFont="1" applyFill="1"/>
    <xf numFmtId="0" fontId="200" fillId="20" borderId="0" xfId="0" applyFont="1" applyFill="1"/>
    <xf numFmtId="1" fontId="205" fillId="0" borderId="42" xfId="1" applyNumberFormat="1" applyFont="1" applyFill="1" applyBorder="1" applyAlignment="1">
      <alignment horizontal="center" vertical="center"/>
    </xf>
    <xf numFmtId="0" fontId="103" fillId="0" borderId="2" xfId="0" applyFont="1" applyBorder="1" applyAlignment="1">
      <alignment horizontal="center"/>
    </xf>
    <xf numFmtId="1" fontId="206" fillId="0" borderId="42" xfId="1" applyNumberFormat="1" applyFont="1" applyFill="1" applyBorder="1" applyAlignment="1">
      <alignment horizontal="center" vertical="center"/>
    </xf>
    <xf numFmtId="0" fontId="102" fillId="0" borderId="2" xfId="0" applyFont="1" applyBorder="1" applyAlignment="1">
      <alignment horizontal="center"/>
    </xf>
    <xf numFmtId="0" fontId="101" fillId="0" borderId="2" xfId="0" applyFont="1" applyBorder="1" applyAlignment="1">
      <alignment horizontal="center"/>
    </xf>
    <xf numFmtId="0" fontId="173" fillId="20" borderId="2" xfId="0" applyFont="1" applyFill="1" applyBorder="1"/>
    <xf numFmtId="0" fontId="100" fillId="0" borderId="2" xfId="0" applyFont="1" applyBorder="1" applyAlignment="1">
      <alignment horizontal="center"/>
    </xf>
    <xf numFmtId="0" fontId="99" fillId="0" borderId="2" xfId="0" applyFont="1" applyBorder="1" applyAlignment="1">
      <alignment horizontal="center"/>
    </xf>
    <xf numFmtId="0" fontId="207" fillId="0" borderId="42" xfId="0" applyFont="1" applyBorder="1" applyAlignment="1">
      <alignment horizontal="center" vertical="center"/>
    </xf>
    <xf numFmtId="0" fontId="173" fillId="20" borderId="2" xfId="0" applyFont="1" applyFill="1" applyBorder="1" applyAlignment="1">
      <alignment horizontal="center" vertical="center"/>
    </xf>
    <xf numFmtId="14" fontId="173" fillId="0" borderId="2" xfId="0" applyNumberFormat="1" applyFont="1" applyBorder="1" applyAlignment="1">
      <alignment horizontal="center" vertical="center"/>
    </xf>
    <xf numFmtId="0" fontId="173" fillId="20" borderId="2" xfId="0" applyFont="1" applyFill="1" applyBorder="1" applyAlignment="1">
      <alignment horizontal="left" vertical="center" wrapText="1"/>
    </xf>
    <xf numFmtId="0" fontId="173" fillId="9" borderId="2" xfId="0" applyFont="1" applyFill="1" applyBorder="1" applyAlignment="1">
      <alignment horizontal="left" vertical="center" wrapText="1"/>
    </xf>
    <xf numFmtId="0" fontId="0" fillId="0" borderId="2" xfId="0" applyBorder="1" applyAlignment="1">
      <alignment horizontal="left" wrapText="1"/>
    </xf>
    <xf numFmtId="0" fontId="173" fillId="20" borderId="46" xfId="0" applyFont="1" applyFill="1" applyBorder="1" applyAlignment="1">
      <alignment horizontal="left" vertical="center" wrapText="1"/>
    </xf>
    <xf numFmtId="0" fontId="131" fillId="0" borderId="2" xfId="0" applyFont="1" applyBorder="1" applyAlignment="1">
      <alignment horizontal="center" vertical="center"/>
    </xf>
    <xf numFmtId="0" fontId="0" fillId="0" borderId="2" xfId="0" applyBorder="1" applyAlignment="1">
      <alignment vertical="center" wrapText="1"/>
    </xf>
    <xf numFmtId="0" fontId="0" fillId="0" borderId="0" xfId="0" applyAlignment="1">
      <alignment horizontal="center" vertical="center"/>
    </xf>
    <xf numFmtId="0" fontId="0" fillId="9" borderId="0" xfId="0" applyFill="1"/>
    <xf numFmtId="0" fontId="169" fillId="0" borderId="2" xfId="0" applyFont="1" applyBorder="1" applyAlignment="1">
      <alignment horizontal="center" vertical="center"/>
    </xf>
    <xf numFmtId="0" fontId="197" fillId="9" borderId="0" xfId="0" applyFont="1" applyFill="1"/>
    <xf numFmtId="0" fontId="199" fillId="9" borderId="0" xfId="0" applyFont="1" applyFill="1"/>
    <xf numFmtId="0" fontId="198" fillId="9" borderId="0" xfId="0" applyFont="1" applyFill="1"/>
    <xf numFmtId="0" fontId="98" fillId="0" borderId="2" xfId="0" applyFont="1" applyBorder="1" applyAlignment="1">
      <alignment horizontal="center"/>
    </xf>
    <xf numFmtId="0" fontId="169" fillId="9" borderId="2" xfId="0" applyFont="1" applyFill="1" applyBorder="1" applyAlignment="1">
      <alignment horizontal="center" vertical="center"/>
    </xf>
    <xf numFmtId="0" fontId="0" fillId="0" borderId="0" xfId="0" applyAlignment="1">
      <alignment horizontal="left"/>
    </xf>
    <xf numFmtId="0" fontId="173" fillId="12" borderId="2" xfId="0" applyFont="1" applyFill="1" applyBorder="1" applyAlignment="1">
      <alignment horizontal="center" vertical="center"/>
    </xf>
    <xf numFmtId="0" fontId="131" fillId="12" borderId="2" xfId="0" applyFont="1" applyFill="1" applyBorder="1" applyAlignment="1">
      <alignment horizontal="center" vertical="center"/>
    </xf>
    <xf numFmtId="0" fontId="169" fillId="0" borderId="28" xfId="0" applyFont="1" applyBorder="1" applyAlignment="1">
      <alignment horizontal="left" vertical="center"/>
    </xf>
    <xf numFmtId="0" fontId="143" fillId="0" borderId="2" xfId="0" applyFont="1" applyBorder="1" applyAlignment="1">
      <alignment horizontal="center" vertical="top"/>
    </xf>
    <xf numFmtId="0" fontId="210" fillId="25" borderId="42" xfId="0" applyFont="1" applyFill="1" applyBorder="1" applyAlignment="1">
      <alignment horizontal="center" vertical="center" wrapText="1"/>
    </xf>
    <xf numFmtId="0" fontId="210" fillId="25" borderId="53" xfId="0" applyFont="1" applyFill="1" applyBorder="1" applyAlignment="1">
      <alignment horizontal="center" vertical="center" wrapText="1"/>
    </xf>
    <xf numFmtId="0" fontId="211" fillId="25" borderId="65" xfId="0" applyFont="1" applyFill="1" applyBorder="1" applyAlignment="1">
      <alignment horizontal="center" vertical="center" wrapText="1"/>
    </xf>
    <xf numFmtId="0" fontId="211" fillId="25" borderId="48" xfId="0" applyFont="1" applyFill="1" applyBorder="1" applyAlignment="1">
      <alignment vertical="center" wrapText="1"/>
    </xf>
    <xf numFmtId="0" fontId="211" fillId="25" borderId="48" xfId="0" applyFont="1" applyFill="1" applyBorder="1" applyAlignment="1">
      <alignment horizontal="center" vertical="center" wrapText="1"/>
    </xf>
    <xf numFmtId="0" fontId="212" fillId="25" borderId="48" xfId="0" applyFont="1" applyFill="1" applyBorder="1" applyAlignment="1">
      <alignment horizontal="center" vertical="center" wrapText="1"/>
    </xf>
    <xf numFmtId="0" fontId="204" fillId="25" borderId="48" xfId="0" applyFont="1" applyFill="1" applyBorder="1" applyAlignment="1">
      <alignment vertical="center" wrapText="1"/>
    </xf>
    <xf numFmtId="14" fontId="211" fillId="25" borderId="48" xfId="0" applyNumberFormat="1" applyFont="1" applyFill="1" applyBorder="1" applyAlignment="1">
      <alignment horizontal="center" vertical="center" wrapText="1"/>
    </xf>
    <xf numFmtId="0" fontId="209" fillId="25" borderId="0" xfId="0" applyFont="1" applyFill="1" applyAlignment="1">
      <alignment wrapText="1"/>
    </xf>
    <xf numFmtId="0" fontId="211" fillId="25" borderId="67" xfId="0" applyFont="1" applyFill="1" applyBorder="1" applyAlignment="1">
      <alignment vertical="center" wrapText="1"/>
    </xf>
    <xf numFmtId="0" fontId="204" fillId="9" borderId="0" xfId="0" applyFont="1" applyFill="1" applyAlignment="1">
      <alignment horizontal="right" vertical="center" wrapText="1"/>
    </xf>
    <xf numFmtId="0" fontId="214" fillId="25" borderId="42" xfId="0" applyFont="1" applyFill="1" applyBorder="1" applyAlignment="1">
      <alignment horizontal="center" vertical="center" wrapText="1"/>
    </xf>
    <xf numFmtId="0" fontId="214" fillId="25" borderId="53" xfId="0" applyFont="1" applyFill="1" applyBorder="1" applyAlignment="1">
      <alignment horizontal="center" vertical="center" wrapText="1"/>
    </xf>
    <xf numFmtId="0" fontId="214" fillId="9" borderId="53" xfId="0" applyFont="1" applyFill="1" applyBorder="1" applyAlignment="1">
      <alignment horizontal="center" vertical="center" wrapText="1"/>
    </xf>
    <xf numFmtId="0" fontId="204" fillId="25" borderId="65" xfId="0" applyFont="1" applyFill="1" applyBorder="1" applyAlignment="1">
      <alignment horizontal="center" vertical="center" wrapText="1"/>
    </xf>
    <xf numFmtId="0" fontId="210" fillId="25" borderId="48" xfId="0" applyFont="1" applyFill="1" applyBorder="1" applyAlignment="1">
      <alignment vertical="center" wrapText="1"/>
    </xf>
    <xf numFmtId="0" fontId="204" fillId="25" borderId="48" xfId="0" applyFont="1" applyFill="1" applyBorder="1" applyAlignment="1">
      <alignment horizontal="center" vertical="center" wrapText="1"/>
    </xf>
    <xf numFmtId="15" fontId="204" fillId="25" borderId="48" xfId="0" applyNumberFormat="1" applyFont="1" applyFill="1" applyBorder="1" applyAlignment="1">
      <alignment horizontal="center" vertical="center" wrapText="1"/>
    </xf>
    <xf numFmtId="0" fontId="204" fillId="20" borderId="65" xfId="0" applyFont="1" applyFill="1" applyBorder="1" applyAlignment="1">
      <alignment horizontal="center" vertical="center" wrapText="1"/>
    </xf>
    <xf numFmtId="0" fontId="204" fillId="20" borderId="48" xfId="0" applyFont="1" applyFill="1" applyBorder="1" applyAlignment="1">
      <alignment vertical="center" wrapText="1"/>
    </xf>
    <xf numFmtId="15" fontId="204" fillId="20" borderId="48" xfId="0" applyNumberFormat="1" applyFont="1" applyFill="1" applyBorder="1" applyAlignment="1">
      <alignment horizontal="center" vertical="center" wrapText="1"/>
    </xf>
    <xf numFmtId="0" fontId="204" fillId="20" borderId="48" xfId="0" applyFont="1" applyFill="1" applyBorder="1" applyAlignment="1">
      <alignment horizontal="center" vertical="center" wrapText="1"/>
    </xf>
    <xf numFmtId="0" fontId="173" fillId="28" borderId="2" xfId="0" applyFont="1" applyFill="1" applyBorder="1" applyAlignment="1">
      <alignment horizontal="center" vertical="center"/>
    </xf>
    <xf numFmtId="0" fontId="0" fillId="20" borderId="2" xfId="0" applyFill="1" applyBorder="1" applyAlignment="1">
      <alignment horizontal="center"/>
    </xf>
    <xf numFmtId="0" fontId="104" fillId="20" borderId="2" xfId="0" applyFont="1" applyFill="1" applyBorder="1" applyAlignment="1">
      <alignment horizontal="center"/>
    </xf>
    <xf numFmtId="0" fontId="106" fillId="20" borderId="2" xfId="0" applyFont="1" applyFill="1" applyBorder="1" applyAlignment="1">
      <alignment horizontal="center"/>
    </xf>
    <xf numFmtId="0" fontId="97" fillId="0" borderId="2" xfId="0" applyFont="1" applyBorder="1" applyAlignment="1">
      <alignment horizontal="center"/>
    </xf>
    <xf numFmtId="0" fontId="170" fillId="0" borderId="2" xfId="0" applyFont="1" applyBorder="1" applyAlignment="1">
      <alignment horizontal="left" vertical="center"/>
    </xf>
    <xf numFmtId="0" fontId="173" fillId="20" borderId="2" xfId="0" applyFont="1" applyFill="1" applyBorder="1" applyAlignment="1">
      <alignment horizontal="left" vertical="center"/>
    </xf>
    <xf numFmtId="1" fontId="130" fillId="3" borderId="5" xfId="0" applyNumberFormat="1" applyFont="1" applyFill="1" applyBorder="1" applyAlignment="1">
      <alignment horizontal="center" vertical="center" wrapText="1"/>
    </xf>
    <xf numFmtId="2" fontId="130" fillId="3" borderId="0" xfId="0" applyNumberFormat="1" applyFont="1" applyFill="1" applyAlignment="1">
      <alignment horizontal="left" vertical="center" wrapText="1"/>
    </xf>
    <xf numFmtId="167" fontId="130" fillId="3" borderId="0" xfId="0" applyNumberFormat="1" applyFont="1" applyFill="1" applyAlignment="1">
      <alignment horizontal="center" vertical="center" wrapText="1"/>
    </xf>
    <xf numFmtId="1" fontId="130" fillId="3" borderId="0" xfId="0" applyNumberFormat="1" applyFont="1" applyFill="1" applyAlignment="1">
      <alignment horizontal="center" vertical="center" wrapText="1"/>
    </xf>
    <xf numFmtId="2" fontId="130" fillId="3" borderId="0" xfId="0" applyNumberFormat="1" applyFont="1" applyFill="1" applyAlignment="1">
      <alignment horizontal="center" vertical="center" wrapText="1"/>
    </xf>
    <xf numFmtId="0" fontId="130" fillId="3" borderId="0" xfId="0" applyFont="1" applyFill="1" applyAlignment="1">
      <alignment horizontal="center" vertical="center" wrapText="1"/>
    </xf>
    <xf numFmtId="0" fontId="130" fillId="3" borderId="0" xfId="0" applyFont="1" applyFill="1" applyAlignment="1">
      <alignment horizontal="right" vertical="top" wrapText="1"/>
    </xf>
    <xf numFmtId="0" fontId="130" fillId="3" borderId="0" xfId="0" applyFont="1" applyFill="1" applyAlignment="1">
      <alignment horizontal="center" vertical="top" wrapText="1"/>
    </xf>
    <xf numFmtId="0" fontId="130" fillId="3" borderId="0" xfId="0" applyFont="1" applyFill="1" applyAlignment="1">
      <alignment horizontal="center" vertical="top"/>
    </xf>
    <xf numFmtId="0" fontId="170" fillId="0" borderId="2" xfId="0" applyFont="1" applyBorder="1" applyAlignment="1">
      <alignment horizontal="left" vertical="top"/>
    </xf>
    <xf numFmtId="0" fontId="96" fillId="0" borderId="2" xfId="0" applyFont="1" applyBorder="1" applyAlignment="1">
      <alignment horizontal="center"/>
    </xf>
    <xf numFmtId="0" fontId="170" fillId="3" borderId="2" xfId="0" applyFont="1" applyFill="1" applyBorder="1" applyAlignment="1">
      <alignment vertical="center"/>
    </xf>
    <xf numFmtId="0" fontId="170" fillId="3" borderId="2" xfId="0" applyFont="1" applyFill="1" applyBorder="1"/>
    <xf numFmtId="0" fontId="170" fillId="3" borderId="2" xfId="0" applyFont="1" applyFill="1" applyBorder="1" applyAlignment="1">
      <alignment horizontal="left"/>
    </xf>
    <xf numFmtId="0" fontId="170" fillId="3" borderId="2" xfId="0" applyFont="1" applyFill="1" applyBorder="1" applyAlignment="1">
      <alignment horizontal="left" vertical="center"/>
    </xf>
    <xf numFmtId="14" fontId="170" fillId="3" borderId="2" xfId="0" applyNumberFormat="1" applyFont="1" applyFill="1" applyBorder="1"/>
    <xf numFmtId="14" fontId="170" fillId="3" borderId="2" xfId="0" applyNumberFormat="1" applyFont="1" applyFill="1" applyBorder="1" applyAlignment="1">
      <alignment horizontal="right"/>
    </xf>
    <xf numFmtId="0" fontId="170" fillId="3" borderId="2" xfId="0" applyFont="1" applyFill="1" applyBorder="1" applyAlignment="1">
      <alignment horizontal="center"/>
    </xf>
    <xf numFmtId="0" fontId="170" fillId="3" borderId="2" xfId="0" applyFont="1" applyFill="1" applyBorder="1" applyAlignment="1">
      <alignment horizontal="center" vertical="center"/>
    </xf>
    <xf numFmtId="14" fontId="170" fillId="3" borderId="2" xfId="0" applyNumberFormat="1" applyFont="1" applyFill="1" applyBorder="1" applyAlignment="1">
      <alignment vertical="center"/>
    </xf>
    <xf numFmtId="0" fontId="173" fillId="0" borderId="2" xfId="0" applyFont="1" applyBorder="1" applyAlignment="1">
      <alignment horizontal="left" vertical="center" wrapText="1"/>
    </xf>
    <xf numFmtId="0" fontId="170" fillId="9" borderId="2" xfId="0" applyFont="1" applyFill="1" applyBorder="1" applyAlignment="1">
      <alignment horizontal="left" vertical="top"/>
    </xf>
    <xf numFmtId="0" fontId="170" fillId="9" borderId="2" xfId="0" applyFont="1" applyFill="1" applyBorder="1" applyAlignment="1">
      <alignment horizontal="left"/>
    </xf>
    <xf numFmtId="14" fontId="170" fillId="0" borderId="2" xfId="0" applyNumberFormat="1" applyFont="1" applyBorder="1" applyAlignment="1">
      <alignment vertical="center"/>
    </xf>
    <xf numFmtId="14" fontId="170" fillId="0" borderId="2" xfId="0" applyNumberFormat="1" applyFont="1" applyBorder="1" applyAlignment="1">
      <alignment vertical="top"/>
    </xf>
    <xf numFmtId="0" fontId="170" fillId="0" borderId="2" xfId="0" applyFont="1" applyBorder="1" applyAlignment="1">
      <alignment vertical="top"/>
    </xf>
    <xf numFmtId="14" fontId="170" fillId="0" borderId="2" xfId="0" applyNumberFormat="1" applyFont="1" applyBorder="1" applyAlignment="1">
      <alignment horizontal="right" vertical="center"/>
    </xf>
    <xf numFmtId="0" fontId="170" fillId="0" borderId="3" xfId="0" applyFont="1" applyBorder="1" applyAlignment="1">
      <alignment horizontal="left" vertical="center"/>
    </xf>
    <xf numFmtId="14" fontId="170" fillId="0" borderId="3" xfId="0" applyNumberFormat="1" applyFont="1" applyBorder="1" applyAlignment="1">
      <alignment horizontal="right" vertical="center"/>
    </xf>
    <xf numFmtId="14" fontId="170" fillId="0" borderId="2" xfId="0" applyNumberFormat="1" applyFont="1" applyBorder="1" applyAlignment="1">
      <alignment horizontal="right"/>
    </xf>
    <xf numFmtId="0" fontId="216" fillId="3" borderId="0" xfId="24" applyFont="1" applyFill="1" applyAlignment="1">
      <alignment vertical="center" wrapText="1"/>
    </xf>
    <xf numFmtId="0" fontId="216" fillId="3" borderId="0" xfId="0" applyFont="1" applyFill="1"/>
    <xf numFmtId="0" fontId="216" fillId="3" borderId="0" xfId="0" applyFont="1" applyFill="1" applyAlignment="1">
      <alignment horizontal="center"/>
    </xf>
    <xf numFmtId="0" fontId="218" fillId="3" borderId="0" xfId="0" applyFont="1" applyFill="1" applyAlignment="1">
      <alignment horizontal="center"/>
    </xf>
    <xf numFmtId="0" fontId="217" fillId="3" borderId="0" xfId="0" applyFont="1" applyFill="1" applyAlignment="1">
      <alignment horizontal="center"/>
    </xf>
    <xf numFmtId="0" fontId="218" fillId="3" borderId="0" xfId="24" applyFont="1" applyFill="1" applyAlignment="1">
      <alignment vertical="center" wrapText="1"/>
    </xf>
    <xf numFmtId="0" fontId="220" fillId="3" borderId="0" xfId="0" applyFont="1" applyFill="1" applyAlignment="1">
      <alignment horizontal="center"/>
    </xf>
    <xf numFmtId="0" fontId="218" fillId="3" borderId="0" xfId="24" applyFont="1" applyFill="1"/>
    <xf numFmtId="0" fontId="216" fillId="3" borderId="0" xfId="24" applyFont="1" applyFill="1"/>
    <xf numFmtId="0" fontId="219" fillId="3" borderId="0" xfId="24" applyFont="1" applyFill="1" applyAlignment="1">
      <alignment vertical="center"/>
    </xf>
    <xf numFmtId="0" fontId="219" fillId="3" borderId="0" xfId="24" applyFont="1" applyFill="1"/>
    <xf numFmtId="0" fontId="217" fillId="3" borderId="0" xfId="24" applyFont="1" applyFill="1" applyAlignment="1">
      <alignment vertical="center" wrapText="1"/>
    </xf>
    <xf numFmtId="0" fontId="217" fillId="3" borderId="0" xfId="0" applyFont="1" applyFill="1" applyAlignment="1">
      <alignment horizontal="center" vertical="center"/>
    </xf>
    <xf numFmtId="0" fontId="216" fillId="3" borderId="0" xfId="24" applyFont="1" applyFill="1" applyAlignment="1">
      <alignment vertical="center"/>
    </xf>
    <xf numFmtId="0" fontId="216" fillId="3" borderId="0" xfId="24" applyFont="1" applyFill="1" applyAlignment="1">
      <alignment horizontal="left" vertical="center"/>
    </xf>
    <xf numFmtId="170" fontId="223" fillId="0" borderId="0" xfId="0" applyNumberFormat="1" applyFont="1"/>
    <xf numFmtId="0" fontId="216" fillId="3" borderId="32" xfId="24" applyFont="1" applyFill="1" applyBorder="1" applyAlignment="1">
      <alignment vertical="center" wrapText="1"/>
    </xf>
    <xf numFmtId="0" fontId="216" fillId="3" borderId="32" xfId="0" applyFont="1" applyFill="1" applyBorder="1" applyAlignment="1">
      <alignment horizontal="center"/>
    </xf>
    <xf numFmtId="0" fontId="218" fillId="3" borderId="32" xfId="0" applyFont="1" applyFill="1" applyBorder="1" applyAlignment="1">
      <alignment horizontal="center"/>
    </xf>
    <xf numFmtId="0" fontId="224" fillId="3" borderId="32" xfId="0" applyFont="1" applyFill="1" applyBorder="1" applyAlignment="1">
      <alignment horizontal="left" vertical="center"/>
    </xf>
    <xf numFmtId="0" fontId="224" fillId="3" borderId="32" xfId="0" applyFont="1" applyFill="1" applyBorder="1" applyAlignment="1">
      <alignment horizontal="center" vertical="center"/>
    </xf>
    <xf numFmtId="49" fontId="225" fillId="0" borderId="0" xfId="0" quotePrefix="1" applyNumberFormat="1" applyFont="1" applyAlignment="1">
      <alignment horizontal="center" vertical="center" wrapText="1"/>
    </xf>
    <xf numFmtId="49" fontId="226" fillId="0" borderId="0" xfId="0" applyNumberFormat="1" applyFont="1" applyAlignment="1">
      <alignment horizontal="center" vertical="center" wrapText="1"/>
    </xf>
    <xf numFmtId="49" fontId="225" fillId="0" borderId="0" xfId="0" applyNumberFormat="1" applyFont="1" applyAlignment="1">
      <alignment horizontal="center" vertical="center" wrapText="1"/>
    </xf>
    <xf numFmtId="0" fontId="227" fillId="0" borderId="0" xfId="0" applyFont="1" applyAlignment="1">
      <alignment horizontal="center" vertical="center"/>
    </xf>
    <xf numFmtId="0" fontId="95" fillId="0" borderId="0" xfId="0" applyFont="1"/>
    <xf numFmtId="0" fontId="168" fillId="0" borderId="0" xfId="0" applyFont="1"/>
    <xf numFmtId="165" fontId="168" fillId="0" borderId="0" xfId="1" applyFont="1" applyFill="1" applyBorder="1" applyAlignment="1">
      <alignment horizontal="center" vertical="center"/>
    </xf>
    <xf numFmtId="1" fontId="168" fillId="29" borderId="42" xfId="1" applyNumberFormat="1" applyFont="1" applyFill="1" applyBorder="1" applyAlignment="1">
      <alignment horizontal="center" vertical="center"/>
    </xf>
    <xf numFmtId="1" fontId="225" fillId="0" borderId="0" xfId="0" applyNumberFormat="1" applyFont="1" applyAlignment="1">
      <alignment horizontal="center"/>
    </xf>
    <xf numFmtId="1" fontId="226" fillId="0" borderId="42" xfId="1" applyNumberFormat="1" applyFont="1" applyFill="1" applyBorder="1" applyAlignment="1">
      <alignment horizontal="center" vertical="center"/>
    </xf>
    <xf numFmtId="1" fontId="228" fillId="0" borderId="0" xfId="0" applyNumberFormat="1" applyFont="1" applyAlignment="1">
      <alignment horizontal="center"/>
    </xf>
    <xf numFmtId="0" fontId="168" fillId="29" borderId="42" xfId="0" applyFont="1" applyFill="1" applyBorder="1" applyAlignment="1">
      <alignment horizontal="center" vertical="center"/>
    </xf>
    <xf numFmtId="0" fontId="168" fillId="0" borderId="42" xfId="0" applyFont="1" applyBorder="1" applyAlignment="1">
      <alignment horizontal="center" vertical="center"/>
    </xf>
    <xf numFmtId="0" fontId="143" fillId="0" borderId="20" xfId="0" applyFont="1" applyBorder="1" applyAlignment="1">
      <alignment horizontal="center" vertical="center"/>
    </xf>
    <xf numFmtId="0" fontId="143" fillId="0" borderId="0" xfId="0" applyFont="1" applyAlignment="1">
      <alignment horizontal="center" vertical="center"/>
    </xf>
    <xf numFmtId="0" fontId="229" fillId="0" borderId="43" xfId="0" applyFont="1" applyBorder="1"/>
    <xf numFmtId="0" fontId="225" fillId="0" borderId="0" xfId="0" applyFont="1"/>
    <xf numFmtId="0" fontId="227" fillId="9" borderId="0" xfId="0" applyFont="1" applyFill="1" applyAlignment="1">
      <alignment horizontal="center" vertical="center"/>
    </xf>
    <xf numFmtId="0" fontId="227" fillId="3" borderId="0" xfId="0" applyFont="1" applyFill="1" applyAlignment="1">
      <alignment horizontal="center" vertical="center"/>
    </xf>
    <xf numFmtId="0" fontId="230" fillId="3" borderId="0" xfId="0" applyFont="1" applyFill="1" applyAlignment="1">
      <alignment horizontal="center" vertical="center"/>
    </xf>
    <xf numFmtId="0" fontId="226" fillId="0" borderId="0" xfId="0" applyFont="1"/>
    <xf numFmtId="0" fontId="232" fillId="0" borderId="0" xfId="0" applyFont="1"/>
    <xf numFmtId="0" fontId="205" fillId="0" borderId="0" xfId="0" applyFont="1" applyAlignment="1">
      <alignment horizontal="center" vertical="center"/>
    </xf>
    <xf numFmtId="0" fontId="205" fillId="0" borderId="0" xfId="0" applyFont="1"/>
    <xf numFmtId="165" fontId="205" fillId="0" borderId="0" xfId="1" applyFont="1" applyFill="1" applyBorder="1" applyAlignment="1">
      <alignment horizontal="center" vertical="center"/>
    </xf>
    <xf numFmtId="0" fontId="225" fillId="0" borderId="0" xfId="0" applyFont="1" applyAlignment="1">
      <alignment horizontal="center"/>
    </xf>
    <xf numFmtId="0" fontId="228" fillId="0" borderId="0" xfId="0" applyFont="1" applyAlignment="1">
      <alignment horizontal="center"/>
    </xf>
    <xf numFmtId="0" fontId="205" fillId="0" borderId="42" xfId="0" applyFont="1" applyBorder="1" applyAlignment="1">
      <alignment horizontal="center" vertical="center"/>
    </xf>
    <xf numFmtId="0" fontId="226" fillId="0" borderId="42" xfId="0" applyFont="1" applyBorder="1" applyAlignment="1">
      <alignment horizontal="center" vertical="center"/>
    </xf>
    <xf numFmtId="1" fontId="225" fillId="0" borderId="0" xfId="0" quotePrefix="1" applyNumberFormat="1" applyFont="1" applyAlignment="1">
      <alignment horizontal="center" vertical="center" wrapText="1"/>
    </xf>
    <xf numFmtId="0" fontId="226" fillId="0" borderId="0" xfId="0" applyFont="1" applyAlignment="1">
      <alignment horizontal="center" vertical="center"/>
    </xf>
    <xf numFmtId="0" fontId="225" fillId="0" borderId="0" xfId="0" applyFont="1" applyAlignment="1">
      <alignment vertical="center"/>
    </xf>
    <xf numFmtId="165" fontId="226" fillId="0" borderId="0" xfId="1" applyFont="1" applyFill="1" applyBorder="1" applyAlignment="1">
      <alignment horizontal="center" vertical="center"/>
    </xf>
    <xf numFmtId="0" fontId="230" fillId="0" borderId="0" xfId="0" applyFont="1"/>
    <xf numFmtId="0" fontId="228" fillId="0" borderId="0" xfId="0" applyFont="1"/>
    <xf numFmtId="0" fontId="233" fillId="23" borderId="0" xfId="0" applyFont="1" applyFill="1"/>
    <xf numFmtId="0" fontId="234" fillId="3" borderId="43" xfId="0" applyFont="1" applyFill="1" applyBorder="1" applyAlignment="1">
      <alignment horizontal="center" vertical="center"/>
    </xf>
    <xf numFmtId="0" fontId="234" fillId="3" borderId="0" xfId="0" applyFont="1" applyFill="1" applyAlignment="1">
      <alignment horizontal="center" vertical="center"/>
    </xf>
    <xf numFmtId="0" fontId="229" fillId="0" borderId="0" xfId="0" applyFont="1"/>
    <xf numFmtId="0" fontId="226" fillId="0" borderId="0" xfId="0" applyFont="1" applyAlignment="1">
      <alignment horizontal="center"/>
    </xf>
    <xf numFmtId="0" fontId="230" fillId="0" borderId="20" xfId="0" applyFont="1" applyBorder="1" applyAlignment="1">
      <alignment horizontal="center" vertical="center"/>
    </xf>
    <xf numFmtId="0" fontId="230" fillId="0" borderId="0" xfId="0" applyFont="1" applyAlignment="1">
      <alignment horizontal="center" vertical="center"/>
    </xf>
    <xf numFmtId="0" fontId="230" fillId="0" borderId="2" xfId="0" applyFont="1" applyBorder="1" applyAlignment="1">
      <alignment horizontal="center" vertical="center"/>
    </xf>
    <xf numFmtId="0" fontId="199" fillId="3" borderId="43" xfId="0" applyFont="1" applyFill="1" applyBorder="1"/>
    <xf numFmtId="0" fontId="228" fillId="3" borderId="0" xfId="0" applyFont="1" applyFill="1"/>
    <xf numFmtId="0" fontId="235" fillId="3" borderId="0" xfId="0" applyFont="1" applyFill="1" applyAlignment="1">
      <alignment horizontal="center" vertical="center"/>
    </xf>
    <xf numFmtId="0" fontId="227" fillId="20" borderId="0" xfId="0" applyFont="1" applyFill="1" applyAlignment="1">
      <alignment horizontal="center" vertical="center"/>
    </xf>
    <xf numFmtId="0" fontId="227" fillId="0" borderId="0" xfId="0" applyFont="1"/>
    <xf numFmtId="0" fontId="236" fillId="0" borderId="0" xfId="0" applyFont="1"/>
    <xf numFmtId="49" fontId="227" fillId="0" borderId="0" xfId="0" applyNumberFormat="1" applyFont="1" applyAlignment="1">
      <alignment horizontal="center" vertical="center" wrapText="1"/>
    </xf>
    <xf numFmtId="1" fontId="225" fillId="0" borderId="42" xfId="1" applyNumberFormat="1" applyFont="1" applyFill="1" applyBorder="1" applyAlignment="1">
      <alignment horizontal="center" vertical="center"/>
    </xf>
    <xf numFmtId="1" fontId="226" fillId="21" borderId="42" xfId="1" applyNumberFormat="1" applyFont="1" applyFill="1" applyBorder="1" applyAlignment="1">
      <alignment horizontal="center" vertical="center"/>
    </xf>
    <xf numFmtId="0" fontId="227" fillId="23" borderId="0" xfId="0" applyFont="1" applyFill="1"/>
    <xf numFmtId="0" fontId="237" fillId="3" borderId="0" xfId="0" applyFont="1" applyFill="1" applyAlignment="1">
      <alignment vertical="center"/>
    </xf>
    <xf numFmtId="0" fontId="238" fillId="0" borderId="0" xfId="0" applyFont="1"/>
    <xf numFmtId="0" fontId="225" fillId="0" borderId="0" xfId="0" applyFont="1" applyAlignment="1">
      <alignment horizontal="center" vertical="center"/>
    </xf>
    <xf numFmtId="0" fontId="225" fillId="0" borderId="0" xfId="0" applyFont="1" applyAlignment="1">
      <alignment horizontal="right"/>
    </xf>
    <xf numFmtId="1" fontId="225" fillId="0" borderId="0" xfId="0" applyNumberFormat="1" applyFont="1" applyAlignment="1">
      <alignment horizontal="left"/>
    </xf>
    <xf numFmtId="49" fontId="226" fillId="0" borderId="0" xfId="0" applyNumberFormat="1" applyFont="1" applyAlignment="1">
      <alignment horizontal="center" vertical="center"/>
    </xf>
    <xf numFmtId="49" fontId="225" fillId="0" borderId="0" xfId="0" applyNumberFormat="1" applyFont="1" applyAlignment="1">
      <alignment horizontal="center" vertical="center"/>
    </xf>
    <xf numFmtId="0" fontId="225" fillId="0" borderId="0" xfId="0" applyFont="1" applyAlignment="1">
      <alignment horizontal="left"/>
    </xf>
    <xf numFmtId="0" fontId="226" fillId="0" borderId="65" xfId="0" applyFont="1" applyBorder="1" applyAlignment="1">
      <alignment horizontal="center" vertical="center"/>
    </xf>
    <xf numFmtId="0" fontId="230" fillId="0" borderId="0" xfId="0" applyFont="1" applyAlignment="1">
      <alignment horizontal="center"/>
    </xf>
    <xf numFmtId="0" fontId="227" fillId="0" borderId="0" xfId="0" applyFont="1" applyAlignment="1">
      <alignment horizontal="center"/>
    </xf>
    <xf numFmtId="0" fontId="238" fillId="0" borderId="0" xfId="0" applyFont="1" applyAlignment="1">
      <alignment horizontal="center"/>
    </xf>
    <xf numFmtId="0" fontId="237" fillId="3" borderId="43" xfId="0" applyFont="1" applyFill="1" applyBorder="1" applyAlignment="1">
      <alignment vertical="center"/>
    </xf>
    <xf numFmtId="0" fontId="237" fillId="30" borderId="0" xfId="0" applyFont="1" applyFill="1" applyAlignment="1">
      <alignment vertical="center"/>
    </xf>
    <xf numFmtId="0" fontId="225" fillId="0" borderId="0" xfId="16" applyFont="1" applyAlignment="1">
      <alignment horizontal="center" vertical="center"/>
    </xf>
    <xf numFmtId="0" fontId="239" fillId="0" borderId="0" xfId="0" applyFont="1"/>
    <xf numFmtId="0" fontId="240" fillId="0" borderId="0" xfId="0" applyFont="1"/>
    <xf numFmtId="0" fontId="227" fillId="0" borderId="0" xfId="0" applyFont="1" applyAlignment="1">
      <alignment vertical="center"/>
    </xf>
    <xf numFmtId="0" fontId="228" fillId="0" borderId="0" xfId="0" applyFont="1" applyAlignment="1">
      <alignment vertical="center"/>
    </xf>
    <xf numFmtId="0" fontId="228" fillId="3" borderId="0" xfId="0" applyFont="1" applyFill="1" applyAlignment="1">
      <alignment vertical="center"/>
    </xf>
    <xf numFmtId="0" fontId="205" fillId="3" borderId="0" xfId="0" applyFont="1" applyFill="1" applyAlignment="1">
      <alignment vertical="center"/>
    </xf>
    <xf numFmtId="0" fontId="232" fillId="3" borderId="0" xfId="0" applyFont="1" applyFill="1" applyAlignment="1">
      <alignment vertical="center"/>
    </xf>
    <xf numFmtId="0" fontId="199" fillId="0" borderId="0" xfId="0" applyFont="1" applyAlignment="1">
      <alignment vertical="center"/>
    </xf>
    <xf numFmtId="0" fontId="235" fillId="0" borderId="0" xfId="0" applyFont="1" applyAlignment="1">
      <alignment wrapText="1"/>
    </xf>
    <xf numFmtId="0" fontId="235" fillId="0" borderId="0" xfId="0" applyFont="1" applyAlignment="1">
      <alignment vertical="center"/>
    </xf>
    <xf numFmtId="0" fontId="231" fillId="3" borderId="43" xfId="0" applyFont="1" applyFill="1" applyBorder="1" applyAlignment="1">
      <alignment vertical="center"/>
    </xf>
    <xf numFmtId="0" fontId="231" fillId="30" borderId="0" xfId="0" applyFont="1" applyFill="1" applyAlignment="1">
      <alignment vertical="center"/>
    </xf>
    <xf numFmtId="0" fontId="231" fillId="3" borderId="0" xfId="0" applyFont="1" applyFill="1" applyAlignment="1">
      <alignment vertical="center"/>
    </xf>
    <xf numFmtId="1" fontId="226" fillId="20" borderId="42" xfId="1" applyNumberFormat="1" applyFont="1" applyFill="1" applyBorder="1" applyAlignment="1">
      <alignment horizontal="center" vertical="center"/>
    </xf>
    <xf numFmtId="0" fontId="235" fillId="9" borderId="0" xfId="0" applyFont="1" applyFill="1" applyAlignment="1">
      <alignment horizontal="center" vertical="center"/>
    </xf>
    <xf numFmtId="0" fontId="233" fillId="30" borderId="0" xfId="0" applyFont="1" applyFill="1"/>
    <xf numFmtId="0" fontId="235" fillId="30" borderId="0" xfId="0" applyFont="1" applyFill="1"/>
    <xf numFmtId="1" fontId="239" fillId="0" borderId="42" xfId="1" applyNumberFormat="1" applyFont="1" applyFill="1" applyBorder="1" applyAlignment="1">
      <alignment horizontal="center" vertical="center"/>
    </xf>
    <xf numFmtId="0" fontId="227" fillId="30" borderId="0" xfId="0" applyFont="1" applyFill="1" applyAlignment="1">
      <alignment vertical="center"/>
    </xf>
    <xf numFmtId="1" fontId="225" fillId="0" borderId="0" xfId="0" applyNumberFormat="1" applyFont="1" applyAlignment="1">
      <alignment horizontal="center" vertical="top"/>
    </xf>
    <xf numFmtId="0" fontId="225" fillId="0" borderId="0" xfId="0" applyFont="1" applyAlignment="1">
      <alignment horizontal="center" vertical="top"/>
    </xf>
    <xf numFmtId="0" fontId="206" fillId="9" borderId="0" xfId="0" applyFont="1" applyFill="1" applyAlignment="1">
      <alignment horizontal="center" vertical="center"/>
    </xf>
    <xf numFmtId="0" fontId="206" fillId="0" borderId="43" xfId="0" applyFont="1" applyBorder="1" applyAlignment="1">
      <alignment horizontal="center" vertical="center"/>
    </xf>
    <xf numFmtId="0" fontId="227" fillId="9" borderId="0" xfId="0" applyFont="1" applyFill="1" applyAlignment="1">
      <alignment horizontal="center"/>
    </xf>
    <xf numFmtId="49" fontId="225" fillId="0" borderId="0" xfId="0" applyNumberFormat="1" applyFont="1" applyAlignment="1">
      <alignment horizontal="center"/>
    </xf>
    <xf numFmtId="0" fontId="227" fillId="3" borderId="42" xfId="0" applyFont="1" applyFill="1" applyBorder="1" applyAlignment="1">
      <alignment horizontal="center" vertical="center"/>
    </xf>
    <xf numFmtId="0" fontId="235" fillId="30" borderId="0" xfId="0" applyFont="1" applyFill="1" applyAlignment="1">
      <alignment horizontal="center" vertical="center"/>
    </xf>
    <xf numFmtId="1" fontId="229" fillId="0" borderId="42" xfId="1" applyNumberFormat="1" applyFont="1" applyFill="1" applyBorder="1" applyAlignment="1">
      <alignment horizontal="center" vertical="center"/>
    </xf>
    <xf numFmtId="0" fontId="229" fillId="0" borderId="0" xfId="0" applyFont="1" applyAlignment="1">
      <alignment vertical="center"/>
    </xf>
    <xf numFmtId="49" fontId="241" fillId="0" borderId="0" xfId="0" applyNumberFormat="1" applyFont="1" applyAlignment="1">
      <alignment horizontal="center" vertical="center" wrapText="1"/>
    </xf>
    <xf numFmtId="0" fontId="227" fillId="30" borderId="0" xfId="0" applyFont="1" applyFill="1"/>
    <xf numFmtId="0" fontId="95" fillId="0" borderId="20" xfId="0" applyFont="1" applyBorder="1"/>
    <xf numFmtId="0" fontId="227" fillId="30" borderId="0" xfId="0" applyFont="1" applyFill="1" applyAlignment="1">
      <alignment horizontal="center" vertical="center"/>
    </xf>
    <xf numFmtId="0" fontId="229" fillId="0" borderId="0" xfId="0" applyFont="1" applyAlignment="1">
      <alignment horizontal="left"/>
    </xf>
    <xf numFmtId="0" fontId="227" fillId="0" borderId="42" xfId="0" applyFont="1" applyBorder="1" applyAlignment="1">
      <alignment horizontal="center" vertical="center"/>
    </xf>
    <xf numFmtId="0" fontId="229" fillId="0" borderId="42" xfId="0" applyFont="1" applyBorder="1" applyAlignment="1">
      <alignment horizontal="center" vertical="center"/>
    </xf>
    <xf numFmtId="0" fontId="230" fillId="0" borderId="0" xfId="0" applyFont="1" applyAlignment="1">
      <alignment vertical="center"/>
    </xf>
    <xf numFmtId="0" fontId="230" fillId="0" borderId="0" xfId="0" applyFont="1" applyAlignment="1">
      <alignment horizontal="left"/>
    </xf>
    <xf numFmtId="0" fontId="225" fillId="0" borderId="42" xfId="0" applyFont="1" applyBorder="1" applyAlignment="1">
      <alignment horizontal="center" vertical="center"/>
    </xf>
    <xf numFmtId="0" fontId="227" fillId="9" borderId="0" xfId="0" applyFont="1" applyFill="1"/>
    <xf numFmtId="0" fontId="226" fillId="3" borderId="0" xfId="0" applyFont="1" applyFill="1" applyAlignment="1">
      <alignment horizontal="center" vertical="center"/>
    </xf>
    <xf numFmtId="0" fontId="95" fillId="0" borderId="2" xfId="0" applyFont="1" applyBorder="1"/>
    <xf numFmtId="0" fontId="225" fillId="0" borderId="2" xfId="0" applyFont="1" applyBorder="1" applyAlignment="1">
      <alignment horizontal="center" vertical="center"/>
    </xf>
    <xf numFmtId="1" fontId="225" fillId="0" borderId="2" xfId="1" applyNumberFormat="1" applyFont="1" applyFill="1" applyBorder="1" applyAlignment="1">
      <alignment horizontal="center" vertical="center"/>
    </xf>
    <xf numFmtId="1" fontId="226" fillId="29" borderId="42" xfId="1" applyNumberFormat="1" applyFont="1" applyFill="1" applyBorder="1" applyAlignment="1">
      <alignment horizontal="center" vertical="center"/>
    </xf>
    <xf numFmtId="1" fontId="226" fillId="0" borderId="0" xfId="1" applyNumberFormat="1" applyFont="1" applyFill="1" applyBorder="1" applyAlignment="1">
      <alignment horizontal="center" vertical="center"/>
    </xf>
    <xf numFmtId="0" fontId="226" fillId="29" borderId="42" xfId="0" applyFont="1" applyFill="1" applyBorder="1" applyAlignment="1">
      <alignment horizontal="center" vertical="center"/>
    </xf>
    <xf numFmtId="0" fontId="230" fillId="3" borderId="2" xfId="0" applyFont="1" applyFill="1" applyBorder="1" applyAlignment="1">
      <alignment horizontal="center" vertical="center"/>
    </xf>
    <xf numFmtId="0" fontId="95" fillId="0" borderId="0" xfId="0" applyFont="1" applyAlignment="1">
      <alignment horizontal="left" vertical="top"/>
    </xf>
    <xf numFmtId="0" fontId="95" fillId="0" borderId="2" xfId="0" applyFont="1" applyBorder="1" applyAlignment="1">
      <alignment horizontal="left" vertical="top"/>
    </xf>
    <xf numFmtId="0" fontId="95" fillId="9" borderId="2" xfId="0" applyFont="1" applyFill="1" applyBorder="1" applyAlignment="1">
      <alignment horizontal="left" vertical="top"/>
    </xf>
    <xf numFmtId="14" fontId="95" fillId="0" borderId="2" xfId="0" applyNumberFormat="1" applyFont="1" applyBorder="1" applyAlignment="1">
      <alignment horizontal="left" vertical="top" wrapText="1"/>
    </xf>
    <xf numFmtId="0" fontId="95" fillId="20" borderId="2" xfId="0" applyFont="1" applyFill="1" applyBorder="1" applyAlignment="1">
      <alignment horizontal="left" vertical="top"/>
    </xf>
    <xf numFmtId="14" fontId="95" fillId="0" borderId="2" xfId="0" applyNumberFormat="1" applyFont="1" applyBorder="1"/>
    <xf numFmtId="14" fontId="95" fillId="0" borderId="2" xfId="0" applyNumberFormat="1" applyFont="1" applyBorder="1" applyAlignment="1">
      <alignment wrapText="1"/>
    </xf>
    <xf numFmtId="0" fontId="95" fillId="20" borderId="2" xfId="0" applyFont="1" applyFill="1" applyBorder="1" applyAlignment="1">
      <alignment horizontal="center"/>
    </xf>
    <xf numFmtId="0" fontId="95" fillId="0" borderId="2" xfId="0" applyFont="1" applyBorder="1" applyAlignment="1">
      <alignment horizontal="center"/>
    </xf>
    <xf numFmtId="0" fontId="0" fillId="3" borderId="2" xfId="0" applyFill="1" applyBorder="1"/>
    <xf numFmtId="0" fontId="143" fillId="3" borderId="2" xfId="0" applyFont="1" applyFill="1" applyBorder="1" applyAlignment="1">
      <alignment horizontal="center" vertical="center"/>
    </xf>
    <xf numFmtId="0" fontId="143" fillId="3" borderId="2" xfId="0" applyFont="1" applyFill="1" applyBorder="1" applyAlignment="1">
      <alignment horizontal="center" vertical="center" wrapText="1"/>
    </xf>
    <xf numFmtId="0" fontId="173" fillId="3" borderId="2" xfId="0" applyFont="1" applyFill="1" applyBorder="1" applyAlignment="1">
      <alignment horizontal="center" vertical="center"/>
    </xf>
    <xf numFmtId="0" fontId="169" fillId="3" borderId="2" xfId="0" applyFont="1" applyFill="1" applyBorder="1" applyAlignment="1">
      <alignment horizontal="left" vertical="center"/>
    </xf>
    <xf numFmtId="170" fontId="169" fillId="3" borderId="2" xfId="0" applyNumberFormat="1" applyFont="1" applyFill="1" applyBorder="1" applyAlignment="1">
      <alignment horizontal="center" vertical="center" wrapText="1"/>
    </xf>
    <xf numFmtId="0" fontId="169" fillId="3" borderId="2" xfId="0" applyFont="1" applyFill="1" applyBorder="1" applyAlignment="1">
      <alignment horizontal="center" vertical="center" wrapText="1"/>
    </xf>
    <xf numFmtId="0" fontId="169" fillId="3" borderId="2" xfId="0" applyFont="1" applyFill="1" applyBorder="1" applyAlignment="1">
      <alignment horizontal="left" vertical="center" wrapText="1"/>
    </xf>
    <xf numFmtId="0" fontId="173" fillId="3" borderId="2" xfId="0" applyFont="1" applyFill="1" applyBorder="1" applyAlignment="1">
      <alignment horizontal="left" vertical="center"/>
    </xf>
    <xf numFmtId="0" fontId="173" fillId="3" borderId="2" xfId="0" applyFont="1" applyFill="1" applyBorder="1" applyAlignment="1">
      <alignment horizontal="center" vertical="center" wrapText="1"/>
    </xf>
    <xf numFmtId="0" fontId="173" fillId="3" borderId="2" xfId="0" applyFont="1" applyFill="1" applyBorder="1" applyAlignment="1">
      <alignment horizontal="left" vertical="center" wrapText="1"/>
    </xf>
    <xf numFmtId="170" fontId="173" fillId="3" borderId="2" xfId="0" applyNumberFormat="1" applyFont="1" applyFill="1" applyBorder="1" applyAlignment="1">
      <alignment horizontal="center" vertical="center"/>
    </xf>
    <xf numFmtId="14" fontId="173" fillId="3" borderId="2" xfId="0" applyNumberFormat="1" applyFont="1" applyFill="1" applyBorder="1" applyAlignment="1">
      <alignment horizontal="center" vertical="center"/>
    </xf>
    <xf numFmtId="0" fontId="0" fillId="3" borderId="2" xfId="0" applyFill="1" applyBorder="1" applyAlignment="1">
      <alignment horizontal="left" vertical="center"/>
    </xf>
    <xf numFmtId="0" fontId="169" fillId="3" borderId="2" xfId="0" applyFont="1" applyFill="1" applyBorder="1" applyAlignment="1">
      <alignment horizontal="center" vertical="center"/>
    </xf>
    <xf numFmtId="14" fontId="169" fillId="3" borderId="2" xfId="0" applyNumberFormat="1" applyFont="1" applyFill="1" applyBorder="1" applyAlignment="1">
      <alignment horizontal="center" vertical="center"/>
    </xf>
    <xf numFmtId="0" fontId="173" fillId="3" borderId="46" xfId="0" applyFont="1" applyFill="1" applyBorder="1" applyAlignment="1">
      <alignment horizontal="left" vertical="center" wrapText="1"/>
    </xf>
    <xf numFmtId="170" fontId="132" fillId="3" borderId="2" xfId="0" applyNumberFormat="1" applyFont="1" applyFill="1" applyBorder="1" applyAlignment="1">
      <alignment horizontal="center" vertical="center"/>
    </xf>
    <xf numFmtId="0" fontId="131" fillId="3" borderId="2" xfId="0" applyFont="1" applyFill="1" applyBorder="1" applyAlignment="1">
      <alignment horizontal="center" vertical="center"/>
    </xf>
    <xf numFmtId="14" fontId="0" fillId="3" borderId="2" xfId="0" applyNumberFormat="1" applyFill="1" applyBorder="1" applyAlignment="1">
      <alignment horizontal="center" vertical="center"/>
    </xf>
    <xf numFmtId="170" fontId="169" fillId="0" borderId="2" xfId="0" applyNumberFormat="1" applyFont="1" applyBorder="1" applyAlignment="1">
      <alignment horizontal="center" vertical="center"/>
    </xf>
    <xf numFmtId="14" fontId="143" fillId="3" borderId="2" xfId="0" applyNumberFormat="1" applyFont="1" applyFill="1" applyBorder="1" applyAlignment="1">
      <alignment horizontal="center" vertical="center"/>
    </xf>
    <xf numFmtId="0" fontId="0" fillId="3" borderId="2" xfId="0" applyFill="1" applyBorder="1" applyAlignment="1">
      <alignment horizontal="left" vertical="center" wrapText="1"/>
    </xf>
    <xf numFmtId="170" fontId="173" fillId="0" borderId="2" xfId="0" applyNumberFormat="1" applyFont="1" applyBorder="1" applyAlignment="1">
      <alignment horizontal="center" vertical="center"/>
    </xf>
    <xf numFmtId="0" fontId="0" fillId="3" borderId="0" xfId="0" applyFill="1" applyAlignment="1">
      <alignment horizontal="left" vertical="top"/>
    </xf>
    <xf numFmtId="0" fontId="0" fillId="3" borderId="0" xfId="0" applyFill="1"/>
    <xf numFmtId="0" fontId="169" fillId="3" borderId="3" xfId="0" applyFont="1" applyFill="1" applyBorder="1" applyAlignment="1">
      <alignment horizontal="left" vertical="center"/>
    </xf>
    <xf numFmtId="0" fontId="169" fillId="3" borderId="3" xfId="0" applyFont="1" applyFill="1" applyBorder="1" applyAlignment="1">
      <alignment horizontal="center" vertical="center"/>
    </xf>
    <xf numFmtId="0" fontId="169" fillId="3" borderId="28" xfId="0" applyFont="1" applyFill="1" applyBorder="1" applyAlignment="1">
      <alignment horizontal="left" vertical="center"/>
    </xf>
    <xf numFmtId="0" fontId="137" fillId="3" borderId="2" xfId="0" applyFont="1" applyFill="1" applyBorder="1" applyAlignment="1">
      <alignment horizontal="center"/>
    </xf>
    <xf numFmtId="174" fontId="137" fillId="3" borderId="2" xfId="0" applyNumberFormat="1" applyFont="1" applyFill="1" applyBorder="1" applyAlignment="1">
      <alignment horizontal="center" vertical="center"/>
    </xf>
    <xf numFmtId="174" fontId="137" fillId="3" borderId="2" xfId="0" applyNumberFormat="1" applyFont="1" applyFill="1" applyBorder="1" applyAlignment="1">
      <alignment horizontal="center"/>
    </xf>
    <xf numFmtId="0" fontId="137" fillId="3" borderId="2" xfId="0" applyFont="1" applyFill="1" applyBorder="1" applyAlignment="1">
      <alignment horizontal="center" vertical="center"/>
    </xf>
    <xf numFmtId="0" fontId="231" fillId="30" borderId="2" xfId="0" applyFont="1" applyFill="1" applyBorder="1" applyAlignment="1">
      <alignment vertical="center"/>
    </xf>
    <xf numFmtId="0" fontId="231" fillId="0" borderId="0" xfId="0" applyFont="1" applyAlignment="1">
      <alignment vertical="center"/>
    </xf>
    <xf numFmtId="0" fontId="227" fillId="0" borderId="0" xfId="0" applyFont="1" applyAlignment="1">
      <alignment vertical="center" wrapText="1"/>
    </xf>
    <xf numFmtId="0" fontId="94" fillId="0" borderId="2" xfId="0" applyFont="1" applyBorder="1" applyAlignment="1">
      <alignment horizontal="center"/>
    </xf>
    <xf numFmtId="0" fontId="93" fillId="0" borderId="2" xfId="0" applyFont="1" applyBorder="1" applyAlignment="1">
      <alignment horizontal="center"/>
    </xf>
    <xf numFmtId="14" fontId="93" fillId="0" borderId="2" xfId="0" applyNumberFormat="1" applyFont="1" applyBorder="1" applyAlignment="1">
      <alignment horizontal="center" vertical="center"/>
    </xf>
    <xf numFmtId="14" fontId="170" fillId="0" borderId="2" xfId="0" applyNumberFormat="1" applyFont="1" applyBorder="1" applyAlignment="1">
      <alignment horizontal="right" vertical="top"/>
    </xf>
    <xf numFmtId="0" fontId="92" fillId="0" borderId="2" xfId="0" applyFont="1" applyBorder="1" applyAlignment="1">
      <alignment horizontal="center"/>
    </xf>
    <xf numFmtId="0" fontId="170" fillId="0" borderId="3" xfId="0" applyFont="1" applyBorder="1" applyAlignment="1">
      <alignment horizontal="left" vertical="top"/>
    </xf>
    <xf numFmtId="0" fontId="170" fillId="0" borderId="3" xfId="0" applyFont="1" applyBorder="1" applyAlignment="1">
      <alignment horizontal="left"/>
    </xf>
    <xf numFmtId="14" fontId="170" fillId="0" borderId="3" xfId="0" applyNumberFormat="1" applyFont="1" applyBorder="1"/>
    <xf numFmtId="0" fontId="91" fillId="0" borderId="2" xfId="0" applyFont="1" applyBorder="1" applyAlignment="1">
      <alignment horizontal="center"/>
    </xf>
    <xf numFmtId="14" fontId="91" fillId="0" borderId="2" xfId="0" applyNumberFormat="1" applyFont="1" applyBorder="1" applyAlignment="1">
      <alignment horizontal="center" vertical="center"/>
    </xf>
    <xf numFmtId="170" fontId="244" fillId="0" borderId="2" xfId="14" applyNumberFormat="1" applyFont="1" applyBorder="1" applyAlignment="1">
      <alignment horizontal="center" vertical="center" wrapText="1"/>
    </xf>
    <xf numFmtId="0" fontId="91" fillId="0" borderId="0" xfId="0" applyFont="1" applyAlignment="1">
      <alignment horizontal="center"/>
    </xf>
    <xf numFmtId="0" fontId="170" fillId="0" borderId="2" xfId="0" applyFont="1" applyBorder="1" applyAlignment="1">
      <alignment horizontal="center" vertical="top"/>
    </xf>
    <xf numFmtId="0" fontId="170" fillId="0" borderId="3" xfId="0" applyFont="1" applyBorder="1" applyAlignment="1">
      <alignment horizontal="center" vertical="center"/>
    </xf>
    <xf numFmtId="0" fontId="170" fillId="0" borderId="3" xfId="0" applyFont="1" applyBorder="1" applyAlignment="1">
      <alignment horizontal="center"/>
    </xf>
    <xf numFmtId="0" fontId="90" fillId="0" borderId="2" xfId="0" applyFont="1" applyBorder="1" applyAlignment="1">
      <alignment horizontal="left" vertical="top"/>
    </xf>
    <xf numFmtId="0" fontId="90" fillId="9" borderId="2" xfId="0" applyFont="1" applyFill="1" applyBorder="1" applyAlignment="1">
      <alignment horizontal="left" vertical="top"/>
    </xf>
    <xf numFmtId="14" fontId="90" fillId="0" borderId="2" xfId="0" applyNumberFormat="1" applyFont="1" applyBorder="1" applyAlignment="1">
      <alignment horizontal="left" vertical="top" wrapText="1"/>
    </xf>
    <xf numFmtId="0" fontId="90" fillId="20" borderId="2" xfId="0" applyFont="1" applyFill="1" applyBorder="1" applyAlignment="1">
      <alignment horizontal="left" vertical="top"/>
    </xf>
    <xf numFmtId="14" fontId="90" fillId="0" borderId="2" xfId="0" applyNumberFormat="1" applyFont="1" applyBorder="1"/>
    <xf numFmtId="14" fontId="90" fillId="0" borderId="2" xfId="0" applyNumberFormat="1" applyFont="1" applyBorder="1" applyAlignment="1">
      <alignment wrapText="1"/>
    </xf>
    <xf numFmtId="0" fontId="90" fillId="20" borderId="2" xfId="0" applyFont="1" applyFill="1" applyBorder="1" applyAlignment="1">
      <alignment horizontal="center"/>
    </xf>
    <xf numFmtId="0" fontId="90" fillId="0" borderId="2" xfId="0" applyFont="1" applyBorder="1"/>
    <xf numFmtId="0" fontId="90" fillId="0" borderId="2" xfId="0" applyFont="1" applyBorder="1" applyAlignment="1">
      <alignment horizontal="center"/>
    </xf>
    <xf numFmtId="0" fontId="92" fillId="0" borderId="3" xfId="0" applyFont="1" applyBorder="1" applyAlignment="1">
      <alignment horizontal="center"/>
    </xf>
    <xf numFmtId="0" fontId="170" fillId="3" borderId="0" xfId="0" applyFont="1" applyFill="1" applyAlignment="1">
      <alignment horizontal="center" vertical="center"/>
    </xf>
    <xf numFmtId="14" fontId="89" fillId="0" borderId="2" xfId="0" applyNumberFormat="1" applyFont="1" applyBorder="1" applyAlignment="1">
      <alignment horizontal="center" vertical="center"/>
    </xf>
    <xf numFmtId="0" fontId="173" fillId="0" borderId="2" xfId="0" applyFont="1" applyBorder="1" applyAlignment="1">
      <alignment vertical="top"/>
    </xf>
    <xf numFmtId="0" fontId="173" fillId="0" borderId="2" xfId="0" applyFont="1" applyBorder="1" applyAlignment="1">
      <alignment horizontal="left" vertical="top"/>
    </xf>
    <xf numFmtId="0" fontId="245" fillId="3" borderId="2" xfId="0" applyFont="1" applyFill="1" applyBorder="1" applyAlignment="1">
      <alignment horizontal="center" vertical="center"/>
    </xf>
    <xf numFmtId="0" fontId="88" fillId="0" borderId="2" xfId="0" applyFont="1" applyBorder="1" applyAlignment="1">
      <alignment horizontal="center"/>
    </xf>
    <xf numFmtId="14" fontId="0" fillId="0" borderId="2" xfId="0" applyNumberFormat="1" applyBorder="1" applyAlignment="1">
      <alignment horizontal="left" vertical="center"/>
    </xf>
    <xf numFmtId="0" fontId="0" fillId="0" borderId="2" xfId="0" applyBorder="1" applyAlignment="1">
      <alignment horizontal="left" vertical="top" wrapText="1"/>
    </xf>
    <xf numFmtId="0" fontId="87" fillId="0" borderId="2" xfId="0" applyFont="1" applyBorder="1" applyAlignment="1">
      <alignment horizontal="center"/>
    </xf>
    <xf numFmtId="0" fontId="86" fillId="0" borderId="0" xfId="0" applyFont="1"/>
    <xf numFmtId="0" fontId="170" fillId="3" borderId="3" xfId="0" applyFont="1" applyFill="1" applyBorder="1" applyAlignment="1">
      <alignment horizontal="left"/>
    </xf>
    <xf numFmtId="0" fontId="86" fillId="0" borderId="2" xfId="0" applyFont="1" applyBorder="1"/>
    <xf numFmtId="0" fontId="84" fillId="0" borderId="0" xfId="0" applyFont="1"/>
    <xf numFmtId="0" fontId="84" fillId="0" borderId="2" xfId="0" applyFont="1" applyBorder="1"/>
    <xf numFmtId="0" fontId="231" fillId="30" borderId="25" xfId="0" applyFont="1" applyFill="1" applyBorder="1" applyAlignment="1">
      <alignment vertical="center"/>
    </xf>
    <xf numFmtId="0" fontId="221" fillId="0" borderId="0" xfId="0" applyFont="1" applyAlignment="1">
      <alignment vertical="center"/>
    </xf>
    <xf numFmtId="0" fontId="83" fillId="0" borderId="2" xfId="0" applyFont="1" applyBorder="1" applyAlignment="1">
      <alignment horizontal="center"/>
    </xf>
    <xf numFmtId="0" fontId="246" fillId="0" borderId="0" xfId="0" applyFont="1"/>
    <xf numFmtId="0" fontId="83" fillId="0" borderId="0" xfId="0" applyFont="1"/>
    <xf numFmtId="14" fontId="82" fillId="0" borderId="2" xfId="0" applyNumberFormat="1" applyFont="1" applyBorder="1" applyAlignment="1">
      <alignment horizontal="center" vertical="center"/>
    </xf>
    <xf numFmtId="1" fontId="225" fillId="20" borderId="42" xfId="1" applyNumberFormat="1" applyFont="1" applyFill="1" applyBorder="1" applyAlignment="1">
      <alignment horizontal="center" vertical="center"/>
    </xf>
    <xf numFmtId="0" fontId="82" fillId="0" borderId="0" xfId="0" applyFont="1"/>
    <xf numFmtId="0" fontId="239" fillId="0" borderId="42" xfId="0" applyFont="1" applyBorder="1" applyAlignment="1">
      <alignment horizontal="center" vertical="center"/>
    </xf>
    <xf numFmtId="169" fontId="215" fillId="0" borderId="0" xfId="0" applyNumberFormat="1" applyFont="1" applyAlignment="1">
      <alignment horizontal="center" vertical="center"/>
    </xf>
    <xf numFmtId="169" fontId="215" fillId="20" borderId="0" xfId="0" applyNumberFormat="1" applyFont="1" applyFill="1" applyAlignment="1">
      <alignment horizontal="center" vertical="center"/>
    </xf>
    <xf numFmtId="0" fontId="231" fillId="30" borderId="0" xfId="0" applyFont="1" applyFill="1" applyAlignment="1">
      <alignment horizontal="center" vertical="center"/>
    </xf>
    <xf numFmtId="0" fontId="231" fillId="3" borderId="0" xfId="0" applyFont="1" applyFill="1" applyAlignment="1">
      <alignment horizontal="center" vertical="center"/>
    </xf>
    <xf numFmtId="0" fontId="235" fillId="0" borderId="0" xfId="0" applyFont="1" applyAlignment="1">
      <alignment horizontal="left" vertical="center" wrapText="1"/>
    </xf>
    <xf numFmtId="0" fontId="231" fillId="18" borderId="0" xfId="0" applyFont="1" applyFill="1" applyAlignment="1">
      <alignment horizontal="center" vertical="center"/>
    </xf>
    <xf numFmtId="0" fontId="81" fillId="0" borderId="2" xfId="0" applyFont="1" applyBorder="1" applyAlignment="1">
      <alignment horizontal="center"/>
    </xf>
    <xf numFmtId="14" fontId="81" fillId="0" borderId="2" xfId="0" applyNumberFormat="1" applyFont="1" applyBorder="1" applyAlignment="1">
      <alignment horizontal="center" vertical="center"/>
    </xf>
    <xf numFmtId="0" fontId="80" fillId="0" borderId="2" xfId="0" applyFont="1" applyBorder="1"/>
    <xf numFmtId="0" fontId="232" fillId="0" borderId="0" xfId="0" applyFont="1" applyAlignment="1">
      <alignment horizontal="center"/>
    </xf>
    <xf numFmtId="14" fontId="170" fillId="9" borderId="2" xfId="0" applyNumberFormat="1" applyFont="1" applyFill="1" applyBorder="1"/>
    <xf numFmtId="14" fontId="170" fillId="9" borderId="2" xfId="0" applyNumberFormat="1" applyFont="1" applyFill="1" applyBorder="1" applyAlignment="1">
      <alignment horizontal="right"/>
    </xf>
    <xf numFmtId="14" fontId="170" fillId="9" borderId="3" xfId="0" applyNumberFormat="1" applyFont="1" applyFill="1" applyBorder="1" applyAlignment="1">
      <alignment vertical="center"/>
    </xf>
    <xf numFmtId="14" fontId="170" fillId="9" borderId="2" xfId="0" applyNumberFormat="1" applyFont="1" applyFill="1" applyBorder="1" applyAlignment="1">
      <alignment horizontal="right" vertical="top"/>
    </xf>
    <xf numFmtId="0" fontId="79" fillId="0" borderId="2" xfId="0" applyFont="1" applyBorder="1" applyAlignment="1">
      <alignment horizontal="center"/>
    </xf>
    <xf numFmtId="0" fontId="173" fillId="0" borderId="2" xfId="0" applyFont="1" applyBorder="1" applyAlignment="1">
      <alignment horizontal="left"/>
    </xf>
    <xf numFmtId="0" fontId="78" fillId="0" borderId="0" xfId="0" applyFont="1"/>
    <xf numFmtId="0" fontId="78" fillId="0" borderId="2" xfId="0" applyFont="1" applyBorder="1" applyAlignment="1">
      <alignment horizontal="center"/>
    </xf>
    <xf numFmtId="0" fontId="77" fillId="0" borderId="2" xfId="0" applyFont="1" applyBorder="1" applyAlignment="1">
      <alignment horizontal="center"/>
    </xf>
    <xf numFmtId="0" fontId="91" fillId="9" borderId="2" xfId="0" applyFont="1" applyFill="1" applyBorder="1" applyAlignment="1">
      <alignment horizontal="center"/>
    </xf>
    <xf numFmtId="170" fontId="244" fillId="9" borderId="2" xfId="14" applyNumberFormat="1" applyFont="1" applyFill="1" applyBorder="1" applyAlignment="1">
      <alignment horizontal="center" vertical="center" wrapText="1"/>
    </xf>
    <xf numFmtId="0" fontId="91" fillId="9" borderId="0" xfId="0" applyFont="1" applyFill="1" applyAlignment="1">
      <alignment horizontal="center"/>
    </xf>
    <xf numFmtId="0" fontId="170" fillId="9" borderId="2" xfId="0" applyFont="1" applyFill="1" applyBorder="1" applyAlignment="1">
      <alignment horizontal="center"/>
    </xf>
    <xf numFmtId="0" fontId="76" fillId="0" borderId="2" xfId="0" applyFont="1" applyBorder="1" applyAlignment="1">
      <alignment horizontal="center"/>
    </xf>
    <xf numFmtId="14" fontId="76" fillId="0" borderId="2" xfId="0" applyNumberFormat="1" applyFont="1" applyBorder="1" applyAlignment="1">
      <alignment horizontal="center" vertical="center"/>
    </xf>
    <xf numFmtId="0" fontId="170" fillId="0" borderId="2" xfId="0" applyFont="1" applyBorder="1" applyAlignment="1">
      <alignment horizontal="center" wrapText="1"/>
    </xf>
    <xf numFmtId="14" fontId="170" fillId="0" borderId="3" xfId="0" applyNumberFormat="1" applyFont="1" applyBorder="1" applyAlignment="1">
      <alignment horizontal="right" vertical="top"/>
    </xf>
    <xf numFmtId="0" fontId="173" fillId="0" borderId="3" xfId="0" applyFont="1" applyBorder="1" applyAlignment="1">
      <alignment horizontal="left" vertical="top"/>
    </xf>
    <xf numFmtId="0" fontId="170" fillId="0" borderId="2" xfId="0" applyFont="1" applyBorder="1" applyAlignment="1">
      <alignment horizontal="left" vertical="top" wrapText="1"/>
    </xf>
    <xf numFmtId="0" fontId="247" fillId="0" borderId="0" xfId="0" applyFont="1" applyAlignment="1">
      <alignment horizontal="center" vertical="center" wrapText="1"/>
    </xf>
    <xf numFmtId="0" fontId="248" fillId="0" borderId="0" xfId="0" applyFont="1" applyAlignment="1">
      <alignment vertical="center" wrapText="1"/>
    </xf>
    <xf numFmtId="0" fontId="248" fillId="0" borderId="0" xfId="0" applyFont="1" applyAlignment="1">
      <alignment horizontal="center" vertical="center" wrapText="1"/>
    </xf>
    <xf numFmtId="0" fontId="249" fillId="0" borderId="0" xfId="0" applyFont="1" applyAlignment="1">
      <alignment vertical="center" wrapText="1"/>
    </xf>
    <xf numFmtId="0" fontId="249" fillId="0" borderId="0" xfId="0" applyFont="1" applyAlignment="1">
      <alignment horizontal="center" vertical="center" wrapText="1"/>
    </xf>
    <xf numFmtId="0" fontId="75" fillId="0" borderId="2" xfId="0" applyFont="1" applyBorder="1" applyAlignment="1">
      <alignment horizontal="center"/>
    </xf>
    <xf numFmtId="14" fontId="75" fillId="0" borderId="2" xfId="0" applyNumberFormat="1" applyFont="1" applyBorder="1" applyAlignment="1">
      <alignment horizontal="center" vertical="center"/>
    </xf>
    <xf numFmtId="0" fontId="74" fillId="0" borderId="2" xfId="0" applyFont="1" applyBorder="1" applyAlignment="1">
      <alignment horizontal="center"/>
    </xf>
    <xf numFmtId="0" fontId="149" fillId="9" borderId="71" xfId="0" applyFont="1" applyFill="1" applyBorder="1" applyAlignment="1">
      <alignment horizontal="center" vertical="center"/>
    </xf>
    <xf numFmtId="0" fontId="149" fillId="9" borderId="72" xfId="0" applyFont="1" applyFill="1" applyBorder="1" applyAlignment="1">
      <alignment horizontal="center" vertical="center" wrapText="1"/>
    </xf>
    <xf numFmtId="0" fontId="149" fillId="9" borderId="73" xfId="0" applyFont="1" applyFill="1" applyBorder="1" applyAlignment="1">
      <alignment horizontal="center" vertical="center"/>
    </xf>
    <xf numFmtId="0" fontId="173" fillId="3" borderId="6" xfId="0" applyFont="1" applyFill="1" applyBorder="1" applyAlignment="1">
      <alignment horizontal="center" vertical="center"/>
    </xf>
    <xf numFmtId="0" fontId="173" fillId="3" borderId="7" xfId="0" applyFont="1" applyFill="1" applyBorder="1" applyAlignment="1">
      <alignment horizontal="left" vertical="center"/>
    </xf>
    <xf numFmtId="170" fontId="173" fillId="3" borderId="7" xfId="0" applyNumberFormat="1" applyFont="1" applyFill="1" applyBorder="1" applyAlignment="1">
      <alignment horizontal="center" vertical="center" wrapText="1"/>
    </xf>
    <xf numFmtId="14" fontId="173" fillId="3" borderId="7" xfId="0" applyNumberFormat="1" applyFont="1" applyFill="1" applyBorder="1" applyAlignment="1">
      <alignment horizontal="center" vertical="center"/>
    </xf>
    <xf numFmtId="0" fontId="173" fillId="3" borderId="13" xfId="0" applyFont="1" applyFill="1" applyBorder="1" applyAlignment="1">
      <alignment horizontal="left" vertical="center" wrapText="1"/>
    </xf>
    <xf numFmtId="0" fontId="173" fillId="3" borderId="8" xfId="0" applyFont="1" applyFill="1" applyBorder="1" applyAlignment="1">
      <alignment horizontal="center" vertical="center"/>
    </xf>
    <xf numFmtId="0" fontId="173" fillId="3" borderId="14" xfId="0" applyFont="1" applyFill="1" applyBorder="1" applyAlignment="1">
      <alignment horizontal="left" vertical="center" wrapText="1"/>
    </xf>
    <xf numFmtId="14" fontId="173" fillId="3" borderId="2" xfId="0" applyNumberFormat="1" applyFont="1" applyFill="1" applyBorder="1" applyAlignment="1">
      <alignment horizontal="left" vertical="center"/>
    </xf>
    <xf numFmtId="0" fontId="0" fillId="0" borderId="0" xfId="0" applyAlignment="1">
      <alignment horizontal="left" vertical="center"/>
    </xf>
    <xf numFmtId="14" fontId="169" fillId="3" borderId="2" xfId="0" applyNumberFormat="1" applyFont="1" applyFill="1" applyBorder="1" applyAlignment="1">
      <alignment horizontal="left" vertical="center"/>
    </xf>
    <xf numFmtId="170" fontId="131" fillId="3" borderId="2" xfId="0" applyNumberFormat="1" applyFont="1" applyFill="1" applyBorder="1" applyAlignment="1">
      <alignment horizontal="center" vertical="center"/>
    </xf>
    <xf numFmtId="0" fontId="173" fillId="3" borderId="10" xfId="0" applyFont="1" applyFill="1" applyBorder="1" applyAlignment="1">
      <alignment horizontal="center" vertical="center"/>
    </xf>
    <xf numFmtId="0" fontId="173" fillId="3" borderId="11" xfId="0" applyFont="1" applyFill="1" applyBorder="1" applyAlignment="1">
      <alignment horizontal="left" vertical="center"/>
    </xf>
    <xf numFmtId="170" fontId="173" fillId="0" borderId="11" xfId="0" applyNumberFormat="1" applyFont="1" applyBorder="1" applyAlignment="1">
      <alignment horizontal="center" vertical="center"/>
    </xf>
    <xf numFmtId="14" fontId="173" fillId="3" borderId="11" xfId="0" applyNumberFormat="1" applyFont="1" applyFill="1" applyBorder="1" applyAlignment="1">
      <alignment horizontal="center" vertical="center"/>
    </xf>
    <xf numFmtId="14" fontId="0" fillId="3" borderId="11" xfId="0" applyNumberFormat="1" applyFill="1" applyBorder="1" applyAlignment="1">
      <alignment horizontal="left" vertical="center"/>
    </xf>
    <xf numFmtId="0" fontId="173" fillId="3" borderId="16" xfId="0" applyFont="1" applyFill="1" applyBorder="1" applyAlignment="1">
      <alignment horizontal="left" vertical="center" wrapText="1"/>
    </xf>
    <xf numFmtId="0" fontId="0" fillId="3" borderId="51" xfId="0" applyFill="1" applyBorder="1" applyAlignment="1">
      <alignment horizontal="center" vertical="top"/>
    </xf>
    <xf numFmtId="0" fontId="143" fillId="3" borderId="72" xfId="0" applyFont="1" applyFill="1" applyBorder="1" applyAlignment="1">
      <alignment horizontal="center" vertical="center"/>
    </xf>
    <xf numFmtId="0" fontId="73" fillId="0" borderId="2" xfId="0" applyFont="1" applyBorder="1" applyAlignment="1">
      <alignment horizontal="center"/>
    </xf>
    <xf numFmtId="14" fontId="73" fillId="0" borderId="2" xfId="0" applyNumberFormat="1" applyFont="1" applyBorder="1" applyAlignment="1">
      <alignment horizontal="center" vertical="center"/>
    </xf>
    <xf numFmtId="14" fontId="170" fillId="0" borderId="3" xfId="0" applyNumberFormat="1" applyFont="1" applyBorder="1" applyAlignment="1">
      <alignment horizontal="right"/>
    </xf>
    <xf numFmtId="0" fontId="173" fillId="0" borderId="3" xfId="0" applyFont="1" applyBorder="1" applyAlignment="1">
      <alignment horizontal="left"/>
    </xf>
    <xf numFmtId="0" fontId="72" fillId="0" borderId="2" xfId="0" applyFont="1" applyBorder="1" applyAlignment="1">
      <alignment horizontal="center"/>
    </xf>
    <xf numFmtId="0" fontId="173" fillId="0" borderId="46" xfId="0" applyFont="1" applyBorder="1" applyAlignment="1">
      <alignment horizontal="left" vertical="center" wrapText="1"/>
    </xf>
    <xf numFmtId="0" fontId="71" fillId="0" borderId="0" xfId="0" applyFont="1"/>
    <xf numFmtId="0" fontId="169" fillId="0" borderId="2" xfId="0" applyFont="1" applyBorder="1" applyAlignment="1">
      <alignment horizontal="left" vertical="center"/>
    </xf>
    <xf numFmtId="170" fontId="169" fillId="0" borderId="2" xfId="0" applyNumberFormat="1" applyFont="1" applyBorder="1" applyAlignment="1">
      <alignment horizontal="center" vertical="center" wrapText="1"/>
    </xf>
    <xf numFmtId="0" fontId="169" fillId="0" borderId="2" xfId="0" applyFont="1" applyBorder="1" applyAlignment="1">
      <alignment horizontal="left" vertical="center" wrapText="1"/>
    </xf>
    <xf numFmtId="14" fontId="169" fillId="0" borderId="2" xfId="0" applyNumberFormat="1" applyFont="1" applyBorder="1" applyAlignment="1">
      <alignment horizontal="center" vertical="center"/>
    </xf>
    <xf numFmtId="170" fontId="132" fillId="0" borderId="2" xfId="0" applyNumberFormat="1" applyFont="1" applyBorder="1" applyAlignment="1">
      <alignment horizontal="center" vertical="center"/>
    </xf>
    <xf numFmtId="14" fontId="143" fillId="0" borderId="2" xfId="0" applyNumberFormat="1" applyFont="1" applyBorder="1" applyAlignment="1">
      <alignment horizontal="center" vertical="center"/>
    </xf>
    <xf numFmtId="170" fontId="143" fillId="0" borderId="2" xfId="0" applyNumberFormat="1" applyFont="1" applyBorder="1" applyAlignment="1">
      <alignment horizontal="center" vertical="center"/>
    </xf>
    <xf numFmtId="0" fontId="169" fillId="0" borderId="3" xfId="0" applyFont="1" applyBorder="1" applyAlignment="1">
      <alignment horizontal="left" vertical="center"/>
    </xf>
    <xf numFmtId="0" fontId="169" fillId="0" borderId="3" xfId="0" applyFont="1" applyBorder="1" applyAlignment="1">
      <alignment horizontal="center" vertical="center"/>
    </xf>
    <xf numFmtId="0" fontId="137" fillId="0" borderId="2" xfId="0" applyFont="1" applyBorder="1" applyAlignment="1">
      <alignment horizontal="center"/>
    </xf>
    <xf numFmtId="174" fontId="137" fillId="0" borderId="2" xfId="0" applyNumberFormat="1" applyFont="1" applyBorder="1" applyAlignment="1">
      <alignment horizontal="center" vertical="center"/>
    </xf>
    <xf numFmtId="174" fontId="137" fillId="0" borderId="2" xfId="0" applyNumberFormat="1" applyFont="1" applyBorder="1" applyAlignment="1">
      <alignment horizontal="center"/>
    </xf>
    <xf numFmtId="0" fontId="71" fillId="0" borderId="2" xfId="0" applyFont="1" applyBorder="1" applyAlignment="1">
      <alignment horizontal="left" vertical="center"/>
    </xf>
    <xf numFmtId="0" fontId="71" fillId="0" borderId="0" xfId="0" applyFont="1" applyAlignment="1">
      <alignment horizontal="left" vertical="top"/>
    </xf>
    <xf numFmtId="0" fontId="173" fillId="9" borderId="2" xfId="0" applyFont="1" applyFill="1" applyBorder="1" applyAlignment="1">
      <alignment horizontal="left" vertical="top"/>
    </xf>
    <xf numFmtId="0" fontId="170" fillId="9" borderId="3" xfId="0" applyFont="1" applyFill="1" applyBorder="1" applyAlignment="1">
      <alignment horizontal="left"/>
    </xf>
    <xf numFmtId="0" fontId="70" fillId="0" borderId="2" xfId="0" applyFont="1" applyBorder="1" applyAlignment="1">
      <alignment horizontal="center"/>
    </xf>
    <xf numFmtId="0" fontId="0" fillId="31" borderId="0" xfId="0" applyFill="1"/>
    <xf numFmtId="0" fontId="250" fillId="0" borderId="4" xfId="0" applyFont="1" applyBorder="1" applyAlignment="1" applyProtection="1">
      <alignment horizontal="center" vertical="center" wrapText="1"/>
      <protection hidden="1"/>
    </xf>
    <xf numFmtId="0" fontId="250" fillId="0" borderId="4" xfId="0" applyFont="1" applyBorder="1" applyAlignment="1" applyProtection="1">
      <alignment vertical="center" wrapText="1"/>
      <protection hidden="1"/>
    </xf>
    <xf numFmtId="170" fontId="250" fillId="0" borderId="4" xfId="0" applyNumberFormat="1" applyFont="1" applyBorder="1" applyAlignment="1" applyProtection="1">
      <alignment horizontal="center" vertical="center"/>
      <protection hidden="1"/>
    </xf>
    <xf numFmtId="170" fontId="250" fillId="0" borderId="4" xfId="0" applyNumberFormat="1" applyFont="1" applyBorder="1" applyAlignment="1" applyProtection="1">
      <alignment horizontal="left" vertical="center" wrapText="1"/>
      <protection hidden="1"/>
    </xf>
    <xf numFmtId="0" fontId="250" fillId="0" borderId="2" xfId="0" applyFont="1" applyBorder="1" applyAlignment="1" applyProtection="1">
      <alignment horizontal="center" vertical="center" wrapText="1"/>
      <protection hidden="1"/>
    </xf>
    <xf numFmtId="0" fontId="250" fillId="0" borderId="2" xfId="0" applyFont="1" applyBorder="1" applyAlignment="1" applyProtection="1">
      <alignment vertical="center" wrapText="1"/>
      <protection hidden="1"/>
    </xf>
    <xf numFmtId="170" fontId="250" fillId="0" borderId="2" xfId="0" applyNumberFormat="1" applyFont="1" applyBorder="1" applyAlignment="1" applyProtection="1">
      <alignment horizontal="center" vertical="center"/>
      <protection hidden="1"/>
    </xf>
    <xf numFmtId="170" fontId="250" fillId="0" borderId="2" xfId="0" applyNumberFormat="1" applyFont="1" applyBorder="1" applyAlignment="1" applyProtection="1">
      <alignment vertical="center"/>
      <protection hidden="1"/>
    </xf>
    <xf numFmtId="170" fontId="250" fillId="0" borderId="2" xfId="0" applyNumberFormat="1" applyFont="1" applyBorder="1" applyAlignment="1" applyProtection="1">
      <alignment horizontal="center" vertical="center" wrapText="1"/>
      <protection hidden="1"/>
    </xf>
    <xf numFmtId="1" fontId="250" fillId="0" borderId="2" xfId="0" applyNumberFormat="1" applyFont="1" applyBorder="1" applyAlignment="1" applyProtection="1">
      <alignment horizontal="center" vertical="center"/>
      <protection hidden="1"/>
    </xf>
    <xf numFmtId="1" fontId="250" fillId="0" borderId="2" xfId="0" applyNumberFormat="1" applyFont="1" applyBorder="1" applyAlignment="1" applyProtection="1">
      <alignment horizontal="left" vertical="center" wrapText="1"/>
      <protection hidden="1"/>
    </xf>
    <xf numFmtId="0" fontId="250" fillId="5" borderId="2" xfId="0" applyFont="1" applyFill="1" applyBorder="1" applyAlignment="1" applyProtection="1">
      <alignment horizontal="center" vertical="center" wrapText="1"/>
      <protection hidden="1"/>
    </xf>
    <xf numFmtId="0" fontId="250" fillId="5" borderId="2" xfId="0" applyFont="1" applyFill="1" applyBorder="1" applyAlignment="1" applyProtection="1">
      <alignment vertical="center" wrapText="1"/>
      <protection hidden="1"/>
    </xf>
    <xf numFmtId="1" fontId="250" fillId="5" borderId="2" xfId="0" applyNumberFormat="1" applyFont="1" applyFill="1" applyBorder="1" applyAlignment="1" applyProtection="1">
      <alignment horizontal="center" vertical="center"/>
      <protection hidden="1"/>
    </xf>
    <xf numFmtId="1" fontId="250" fillId="5" borderId="2" xfId="0" applyNumberFormat="1" applyFont="1" applyFill="1" applyBorder="1" applyAlignment="1" applyProtection="1">
      <alignment horizontal="center" vertical="center" wrapText="1"/>
      <protection hidden="1"/>
    </xf>
    <xf numFmtId="1" fontId="250" fillId="3" borderId="2" xfId="0" applyNumberFormat="1" applyFont="1" applyFill="1" applyBorder="1" applyAlignment="1" applyProtection="1">
      <alignment horizontal="center" vertical="center"/>
      <protection hidden="1"/>
    </xf>
    <xf numFmtId="0" fontId="251" fillId="0" borderId="2" xfId="0" applyFont="1" applyBorder="1" applyAlignment="1" applyProtection="1">
      <alignment horizontal="center" vertical="center"/>
      <protection hidden="1"/>
    </xf>
    <xf numFmtId="170" fontId="250" fillId="5" borderId="2" xfId="0" applyNumberFormat="1" applyFont="1" applyFill="1" applyBorder="1" applyAlignment="1" applyProtection="1">
      <alignment horizontal="center" vertical="center"/>
      <protection hidden="1"/>
    </xf>
    <xf numFmtId="170" fontId="250" fillId="5" borderId="2" xfId="0" applyNumberFormat="1" applyFont="1" applyFill="1" applyBorder="1" applyAlignment="1" applyProtection="1">
      <alignment horizontal="center" vertical="center" wrapText="1"/>
      <protection hidden="1"/>
    </xf>
    <xf numFmtId="170" fontId="250" fillId="3" borderId="2" xfId="0" applyNumberFormat="1" applyFont="1" applyFill="1" applyBorder="1" applyAlignment="1" applyProtection="1">
      <alignment horizontal="center" vertical="center"/>
      <protection hidden="1"/>
    </xf>
    <xf numFmtId="0" fontId="251" fillId="3" borderId="33" xfId="0" applyFont="1" applyFill="1" applyBorder="1" applyProtection="1">
      <protection hidden="1"/>
    </xf>
    <xf numFmtId="1" fontId="252" fillId="3" borderId="33" xfId="0" applyNumberFormat="1" applyFont="1" applyFill="1" applyBorder="1" applyAlignment="1" applyProtection="1">
      <alignment horizontal="center" vertical="center"/>
      <protection hidden="1"/>
    </xf>
    <xf numFmtId="0" fontId="251" fillId="10" borderId="2" xfId="0" applyFont="1" applyFill="1" applyBorder="1" applyAlignment="1" applyProtection="1">
      <alignment horizontal="center" vertical="center" wrapText="1"/>
      <protection hidden="1"/>
    </xf>
    <xf numFmtId="0" fontId="253" fillId="10" borderId="25" xfId="0" applyFont="1" applyFill="1" applyBorder="1" applyAlignment="1" applyProtection="1">
      <alignment horizontal="center" vertical="center"/>
      <protection hidden="1"/>
    </xf>
    <xf numFmtId="0" fontId="253" fillId="10" borderId="33" xfId="0" applyFont="1" applyFill="1" applyBorder="1" applyAlignment="1" applyProtection="1">
      <alignment vertical="center" wrapText="1"/>
      <protection hidden="1"/>
    </xf>
    <xf numFmtId="0" fontId="253" fillId="10" borderId="33" xfId="0" applyFont="1" applyFill="1" applyBorder="1" applyAlignment="1" applyProtection="1">
      <alignment horizontal="left" vertical="center" wrapText="1"/>
      <protection hidden="1"/>
    </xf>
    <xf numFmtId="0" fontId="253" fillId="10" borderId="2" xfId="0" applyFont="1" applyFill="1" applyBorder="1" applyAlignment="1" applyProtection="1">
      <alignment horizontal="center" vertical="center"/>
      <protection hidden="1"/>
    </xf>
    <xf numFmtId="0" fontId="253" fillId="10" borderId="33" xfId="0" applyFont="1" applyFill="1" applyBorder="1" applyAlignment="1" applyProtection="1">
      <alignment horizontal="center" vertical="center"/>
      <protection hidden="1"/>
    </xf>
    <xf numFmtId="0" fontId="253" fillId="10" borderId="28" xfId="0" applyFont="1" applyFill="1" applyBorder="1" applyAlignment="1" applyProtection="1">
      <alignment horizontal="center" vertical="center"/>
      <protection hidden="1"/>
    </xf>
    <xf numFmtId="0" fontId="253" fillId="10" borderId="33" xfId="0" applyFont="1" applyFill="1" applyBorder="1" applyAlignment="1" applyProtection="1">
      <alignment vertical="center"/>
      <protection hidden="1"/>
    </xf>
    <xf numFmtId="0" fontId="143" fillId="0" borderId="2" xfId="0" applyFont="1" applyBorder="1" applyAlignment="1">
      <alignment horizontal="left" vertical="center" wrapText="1"/>
    </xf>
    <xf numFmtId="0" fontId="69" fillId="0" borderId="2" xfId="0" applyFont="1" applyBorder="1" applyAlignment="1">
      <alignment horizontal="center"/>
    </xf>
    <xf numFmtId="0" fontId="68" fillId="0" borderId="2" xfId="0" applyFont="1" applyBorder="1" applyAlignment="1">
      <alignment horizontal="center"/>
    </xf>
    <xf numFmtId="0" fontId="67" fillId="0" borderId="2" xfId="0" applyFont="1" applyBorder="1" applyAlignment="1">
      <alignment horizontal="center"/>
    </xf>
    <xf numFmtId="0" fontId="65" fillId="0" borderId="2" xfId="0" applyFont="1" applyBorder="1" applyAlignment="1">
      <alignment horizontal="center"/>
    </xf>
    <xf numFmtId="170" fontId="251" fillId="0" borderId="2" xfId="0" applyNumberFormat="1" applyFont="1" applyBorder="1" applyAlignment="1" applyProtection="1">
      <alignment horizontal="left" vertical="center" wrapText="1"/>
      <protection hidden="1"/>
    </xf>
    <xf numFmtId="0" fontId="64" fillId="0" borderId="2" xfId="0" applyFont="1" applyBorder="1"/>
    <xf numFmtId="0" fontId="64" fillId="0" borderId="2" xfId="0" applyFont="1" applyBorder="1" applyAlignment="1">
      <alignment horizontal="center"/>
    </xf>
    <xf numFmtId="0" fontId="63" fillId="0" borderId="2" xfId="0" applyFont="1" applyBorder="1" applyAlignment="1">
      <alignment horizontal="center"/>
    </xf>
    <xf numFmtId="0" fontId="173" fillId="0" borderId="0" xfId="0" applyFont="1"/>
    <xf numFmtId="0" fontId="62" fillId="0" borderId="2" xfId="0" applyFont="1" applyBorder="1" applyAlignment="1">
      <alignment horizontal="center"/>
    </xf>
    <xf numFmtId="0" fontId="60" fillId="0" borderId="2" xfId="0" applyFont="1" applyBorder="1" applyAlignment="1">
      <alignment horizontal="center"/>
    </xf>
    <xf numFmtId="14" fontId="60" fillId="0" borderId="2" xfId="0" applyNumberFormat="1" applyFont="1" applyBorder="1" applyAlignment="1">
      <alignment horizontal="center" vertical="center"/>
    </xf>
    <xf numFmtId="0" fontId="61" fillId="0" borderId="2" xfId="0" applyFont="1" applyBorder="1" applyAlignment="1">
      <alignment horizontal="center"/>
    </xf>
    <xf numFmtId="14" fontId="170" fillId="0" borderId="2" xfId="0" applyNumberFormat="1" applyFont="1" applyBorder="1" applyAlignment="1">
      <alignment horizontal="center" vertical="center"/>
    </xf>
    <xf numFmtId="14" fontId="170" fillId="0" borderId="2" xfId="0" applyNumberFormat="1" applyFont="1" applyBorder="1" applyAlignment="1">
      <alignment horizontal="center"/>
    </xf>
    <xf numFmtId="0" fontId="59" fillId="0" borderId="2" xfId="0" applyFont="1" applyBorder="1" applyAlignment="1">
      <alignment horizontal="center"/>
    </xf>
    <xf numFmtId="0" fontId="58" fillId="0" borderId="2" xfId="0" applyFont="1" applyBorder="1" applyAlignment="1">
      <alignment horizontal="center"/>
    </xf>
    <xf numFmtId="0" fontId="57" fillId="0" borderId="2" xfId="0" applyFont="1" applyBorder="1" applyAlignment="1">
      <alignment horizontal="center" vertical="center"/>
    </xf>
    <xf numFmtId="0" fontId="58" fillId="0" borderId="2" xfId="0" applyFont="1" applyBorder="1" applyAlignment="1">
      <alignment horizontal="center" vertical="center"/>
    </xf>
    <xf numFmtId="0" fontId="227" fillId="23" borderId="0" xfId="0" applyFont="1" applyFill="1" applyAlignment="1">
      <alignment wrapText="1"/>
    </xf>
    <xf numFmtId="1" fontId="226" fillId="15" borderId="42" xfId="1" applyNumberFormat="1" applyFont="1" applyFill="1" applyBorder="1" applyAlignment="1">
      <alignment horizontal="center" vertical="center"/>
    </xf>
    <xf numFmtId="1" fontId="229" fillId="15" borderId="42" xfId="1" applyNumberFormat="1" applyFont="1" applyFill="1" applyBorder="1" applyAlignment="1">
      <alignment horizontal="center" vertical="center"/>
    </xf>
    <xf numFmtId="0" fontId="55" fillId="0" borderId="2" xfId="0" applyFont="1" applyBorder="1" applyAlignment="1">
      <alignment horizontal="center"/>
    </xf>
    <xf numFmtId="14" fontId="170" fillId="0" borderId="3" xfId="0" applyNumberFormat="1" applyFont="1" applyBorder="1" applyAlignment="1">
      <alignment horizontal="center"/>
    </xf>
    <xf numFmtId="0" fontId="170" fillId="0" borderId="28" xfId="0" applyFont="1" applyBorder="1" applyAlignment="1">
      <alignment horizontal="center"/>
    </xf>
    <xf numFmtId="0" fontId="131" fillId="0" borderId="2" xfId="0" applyFont="1" applyBorder="1"/>
    <xf numFmtId="0" fontId="51" fillId="0" borderId="2" xfId="0" applyFont="1" applyBorder="1" applyAlignment="1">
      <alignment horizontal="center"/>
    </xf>
    <xf numFmtId="0" fontId="173" fillId="0" borderId="2" xfId="0" applyFont="1" applyBorder="1" applyAlignment="1">
      <alignment horizontal="center" vertical="top"/>
    </xf>
    <xf numFmtId="0" fontId="231" fillId="30" borderId="33" xfId="0" applyFont="1" applyFill="1" applyBorder="1" applyAlignment="1">
      <alignment horizontal="center" vertical="center"/>
    </xf>
    <xf numFmtId="1" fontId="229" fillId="0" borderId="2" xfId="1" applyNumberFormat="1" applyFont="1" applyFill="1" applyBorder="1" applyAlignment="1">
      <alignment horizontal="center" vertical="center"/>
    </xf>
    <xf numFmtId="0" fontId="226" fillId="0" borderId="2" xfId="0" applyFont="1" applyBorder="1" applyAlignment="1">
      <alignment horizontal="center" vertical="center"/>
    </xf>
    <xf numFmtId="0" fontId="231" fillId="18" borderId="0" xfId="0" applyFont="1" applyFill="1" applyAlignment="1">
      <alignment vertical="center"/>
    </xf>
    <xf numFmtId="0" fontId="237" fillId="0" borderId="0" xfId="0" applyFont="1" applyAlignment="1">
      <alignment vertical="center"/>
    </xf>
    <xf numFmtId="0" fontId="231" fillId="30" borderId="33" xfId="0" applyFont="1" applyFill="1" applyBorder="1" applyAlignment="1">
      <alignment vertical="center"/>
    </xf>
    <xf numFmtId="0" fontId="231" fillId="0" borderId="43" xfId="0" applyFont="1" applyBorder="1" applyAlignment="1">
      <alignment vertical="center"/>
    </xf>
    <xf numFmtId="0" fontId="231" fillId="30" borderId="46" xfId="0" applyFont="1" applyFill="1" applyBorder="1" applyAlignment="1">
      <alignment vertical="center"/>
    </xf>
    <xf numFmtId="0" fontId="231" fillId="3" borderId="46" xfId="0" applyFont="1" applyFill="1" applyBorder="1" applyAlignment="1">
      <alignment vertical="center"/>
    </xf>
    <xf numFmtId="0" fontId="231" fillId="3" borderId="35" xfId="0" applyFont="1" applyFill="1" applyBorder="1" applyAlignment="1">
      <alignment vertical="center"/>
    </xf>
    <xf numFmtId="0" fontId="231" fillId="30" borderId="35" xfId="0" applyFont="1" applyFill="1" applyBorder="1" applyAlignment="1">
      <alignment vertical="center"/>
    </xf>
    <xf numFmtId="0" fontId="231" fillId="3" borderId="20" xfId="0" applyFont="1" applyFill="1" applyBorder="1" applyAlignment="1">
      <alignment vertical="center"/>
    </xf>
    <xf numFmtId="0" fontId="230" fillId="0" borderId="4" xfId="0" applyFont="1" applyBorder="1" applyAlignment="1">
      <alignment horizontal="center" vertical="center"/>
    </xf>
    <xf numFmtId="0" fontId="50" fillId="0" borderId="2" xfId="0" applyFont="1" applyBorder="1" applyAlignment="1">
      <alignment horizontal="center" vertical="center"/>
    </xf>
    <xf numFmtId="0" fontId="49" fillId="0" borderId="2" xfId="0" applyFont="1" applyBorder="1" applyAlignment="1">
      <alignment horizontal="center"/>
    </xf>
    <xf numFmtId="0" fontId="170" fillId="0" borderId="24" xfId="0" applyFont="1" applyBorder="1" applyAlignment="1">
      <alignment horizontal="center"/>
    </xf>
    <xf numFmtId="0" fontId="43" fillId="0" borderId="2" xfId="0" applyFont="1" applyBorder="1" applyAlignment="1">
      <alignment horizontal="center"/>
    </xf>
    <xf numFmtId="0" fontId="42" fillId="0" borderId="2" xfId="0" applyFont="1" applyBorder="1" applyAlignment="1">
      <alignment horizontal="center"/>
    </xf>
    <xf numFmtId="0" fontId="41" fillId="0" borderId="2" xfId="0" applyFont="1" applyBorder="1" applyAlignment="1">
      <alignment horizontal="center"/>
    </xf>
    <xf numFmtId="0" fontId="39" fillId="0" borderId="2" xfId="0" applyFont="1" applyBorder="1" applyAlignment="1">
      <alignment horizontal="center"/>
    </xf>
    <xf numFmtId="1" fontId="226" fillId="0" borderId="42" xfId="1" applyNumberFormat="1" applyFont="1" applyFill="1" applyBorder="1" applyAlignment="1">
      <alignment horizontal="center" vertical="center" wrapText="1"/>
    </xf>
    <xf numFmtId="0" fontId="231" fillId="0" borderId="2" xfId="0" applyFont="1" applyBorder="1" applyAlignment="1">
      <alignment vertical="center"/>
    </xf>
    <xf numFmtId="0" fontId="31" fillId="0" borderId="2" xfId="0" applyFont="1" applyBorder="1" applyAlignment="1">
      <alignment horizontal="center"/>
    </xf>
    <xf numFmtId="0" fontId="31" fillId="0" borderId="0" xfId="0" applyFont="1"/>
    <xf numFmtId="0" fontId="30" fillId="0" borderId="0" xfId="0" applyFont="1"/>
    <xf numFmtId="0" fontId="30" fillId="0" borderId="2" xfId="0" applyFont="1" applyBorder="1"/>
    <xf numFmtId="0" fontId="78" fillId="0" borderId="2" xfId="0" applyFont="1" applyBorder="1"/>
    <xf numFmtId="0" fontId="143" fillId="0" borderId="0" xfId="0" applyFont="1"/>
    <xf numFmtId="0" fontId="143" fillId="0" borderId="2" xfId="0" applyFont="1" applyBorder="1"/>
    <xf numFmtId="170" fontId="131" fillId="0" borderId="2" xfId="0" applyNumberFormat="1" applyFont="1" applyBorder="1" applyAlignment="1">
      <alignment horizontal="center" vertical="center"/>
    </xf>
    <xf numFmtId="0" fontId="30" fillId="0" borderId="0" xfId="0" applyFont="1" applyAlignment="1">
      <alignment horizontal="center"/>
    </xf>
    <xf numFmtId="0" fontId="143" fillId="0" borderId="2" xfId="0" applyFont="1" applyBorder="1" applyAlignment="1">
      <alignment vertical="center"/>
    </xf>
    <xf numFmtId="2" fontId="143" fillId="0" borderId="2" xfId="0" applyNumberFormat="1" applyFont="1" applyBorder="1" applyAlignment="1">
      <alignment horizontal="center" vertical="center"/>
    </xf>
    <xf numFmtId="0" fontId="24" fillId="0" borderId="2" xfId="0" applyFont="1" applyBorder="1" applyAlignment="1">
      <alignment horizontal="center"/>
    </xf>
    <xf numFmtId="0" fontId="231" fillId="30" borderId="28" xfId="0" applyFont="1" applyFill="1" applyBorder="1" applyAlignment="1">
      <alignment vertical="center"/>
    </xf>
    <xf numFmtId="1" fontId="262" fillId="0" borderId="2" xfId="0" applyNumberFormat="1" applyFont="1" applyBorder="1" applyAlignment="1" applyProtection="1">
      <alignment horizontal="left" vertical="center" wrapText="1"/>
      <protection hidden="1"/>
    </xf>
    <xf numFmtId="0" fontId="22" fillId="0" borderId="2" xfId="0" applyFont="1" applyBorder="1" applyAlignment="1">
      <alignment horizontal="center"/>
    </xf>
    <xf numFmtId="14" fontId="170" fillId="9" borderId="2" xfId="0" applyNumberFormat="1" applyFont="1" applyFill="1" applyBorder="1" applyAlignment="1">
      <alignment horizontal="center"/>
    </xf>
    <xf numFmtId="0" fontId="170" fillId="9" borderId="3" xfId="0" applyFont="1" applyFill="1" applyBorder="1" applyAlignment="1">
      <alignment horizontal="center"/>
    </xf>
    <xf numFmtId="1" fontId="240" fillId="0" borderId="42" xfId="1" applyNumberFormat="1" applyFont="1" applyFill="1" applyBorder="1" applyAlignment="1">
      <alignment horizontal="center" vertical="center"/>
    </xf>
    <xf numFmtId="0" fontId="170" fillId="3" borderId="2" xfId="0" applyFont="1" applyFill="1" applyBorder="1" applyAlignment="1">
      <alignment horizontal="center" vertical="top"/>
    </xf>
    <xf numFmtId="0" fontId="110" fillId="0" borderId="2" xfId="0" applyFont="1" applyBorder="1" applyAlignment="1">
      <alignment horizontal="center"/>
    </xf>
    <xf numFmtId="0" fontId="173" fillId="0" borderId="2" xfId="0" applyFont="1" applyBorder="1" applyAlignment="1">
      <alignment horizontal="center"/>
    </xf>
    <xf numFmtId="16" fontId="22" fillId="0" borderId="2" xfId="0" quotePrefix="1" applyNumberFormat="1" applyFont="1" applyBorder="1" applyAlignment="1">
      <alignment horizontal="center"/>
    </xf>
    <xf numFmtId="175" fontId="0" fillId="0" borderId="2" xfId="0" applyNumberFormat="1" applyBorder="1" applyAlignment="1">
      <alignment horizontal="center" vertical="center"/>
    </xf>
    <xf numFmtId="175" fontId="0" fillId="0" borderId="2" xfId="0" applyNumberFormat="1" applyBorder="1" applyAlignment="1">
      <alignment horizontal="center"/>
    </xf>
    <xf numFmtId="175" fontId="0" fillId="0" borderId="2" xfId="0" applyNumberFormat="1" applyBorder="1"/>
    <xf numFmtId="175" fontId="0" fillId="0" borderId="3" xfId="0" applyNumberFormat="1" applyBorder="1" applyAlignment="1">
      <alignment horizontal="center"/>
    </xf>
    <xf numFmtId="175" fontId="0" fillId="0" borderId="2" xfId="0" applyNumberFormat="1" applyBorder="1" applyAlignment="1">
      <alignment horizontal="right"/>
    </xf>
    <xf numFmtId="175" fontId="51" fillId="0" borderId="2" xfId="0" applyNumberFormat="1" applyFont="1" applyBorder="1"/>
    <xf numFmtId="175" fontId="0" fillId="30" borderId="2" xfId="0" applyNumberFormat="1" applyFill="1" applyBorder="1" applyAlignment="1">
      <alignment horizontal="center" vertical="center"/>
    </xf>
    <xf numFmtId="0" fontId="242" fillId="0" borderId="2" xfId="0" applyFont="1" applyBorder="1" applyAlignment="1">
      <alignment horizontal="center" vertical="center" wrapText="1" readingOrder="1"/>
    </xf>
    <xf numFmtId="0" fontId="242" fillId="0" borderId="2" xfId="0" applyFont="1" applyBorder="1" applyAlignment="1">
      <alignment horizontal="left" vertical="center" readingOrder="1"/>
    </xf>
    <xf numFmtId="0" fontId="149" fillId="0" borderId="2" xfId="0" applyFont="1" applyBorder="1" applyAlignment="1">
      <alignment horizontal="left" vertical="center" wrapText="1"/>
    </xf>
    <xf numFmtId="0" fontId="266" fillId="0" borderId="2" xfId="0" applyFont="1" applyBorder="1" applyAlignment="1">
      <alignment horizontal="center" vertical="center" wrapText="1" readingOrder="1"/>
    </xf>
    <xf numFmtId="0" fontId="266" fillId="0" borderId="2" xfId="0" applyFont="1" applyBorder="1" applyAlignment="1">
      <alignment horizontal="left" vertical="center" readingOrder="1"/>
    </xf>
    <xf numFmtId="0" fontId="267" fillId="0" borderId="2" xfId="0" applyFont="1" applyBorder="1" applyAlignment="1">
      <alignment horizontal="center" vertical="center" wrapText="1" readingOrder="1"/>
    </xf>
    <xf numFmtId="0" fontId="267" fillId="0" borderId="2" xfId="0" applyFont="1" applyBorder="1" applyAlignment="1">
      <alignment horizontal="left" vertical="center" readingOrder="1"/>
    </xf>
    <xf numFmtId="0" fontId="268" fillId="0" borderId="2" xfId="0" applyFont="1" applyBorder="1" applyAlignment="1">
      <alignment horizontal="center" vertical="center" wrapText="1" readingOrder="1"/>
    </xf>
    <xf numFmtId="0" fontId="268" fillId="0" borderId="2" xfId="0" applyFont="1" applyBorder="1" applyAlignment="1">
      <alignment horizontal="left" vertical="center" readingOrder="1"/>
    </xf>
    <xf numFmtId="0" fontId="170" fillId="0" borderId="2" xfId="0" applyFont="1" applyBorder="1" applyAlignment="1">
      <alignment horizontal="center" vertical="center" wrapText="1"/>
    </xf>
    <xf numFmtId="0" fontId="269" fillId="33" borderId="2" xfId="0" applyFont="1" applyFill="1" applyBorder="1" applyAlignment="1">
      <alignment horizontal="center" vertical="center"/>
    </xf>
    <xf numFmtId="0" fontId="269" fillId="0" borderId="0" xfId="0" applyFont="1" applyAlignment="1">
      <alignment vertical="top"/>
    </xf>
    <xf numFmtId="0" fontId="269" fillId="0" borderId="0" xfId="0" applyFont="1" applyAlignment="1">
      <alignment horizontal="left" vertical="top"/>
    </xf>
    <xf numFmtId="14" fontId="269" fillId="0" borderId="0" xfId="0" applyNumberFormat="1" applyFont="1" applyAlignment="1">
      <alignment vertical="top"/>
    </xf>
    <xf numFmtId="14" fontId="20" fillId="0" borderId="2" xfId="0" applyNumberFormat="1" applyFont="1" applyBorder="1" applyAlignment="1">
      <alignment horizontal="center" vertical="center"/>
    </xf>
    <xf numFmtId="14" fontId="0" fillId="20" borderId="2" xfId="0" applyNumberFormat="1" applyFill="1" applyBorder="1" applyAlignment="1">
      <alignment horizontal="center" vertical="center"/>
    </xf>
    <xf numFmtId="0" fontId="174" fillId="0" borderId="0" xfId="0" applyFont="1" applyAlignment="1">
      <alignment horizontal="center"/>
    </xf>
    <xf numFmtId="14" fontId="170" fillId="3" borderId="2" xfId="0" applyNumberFormat="1" applyFont="1" applyFill="1" applyBorder="1" applyAlignment="1">
      <alignment horizontal="center"/>
    </xf>
    <xf numFmtId="14" fontId="170" fillId="3" borderId="2" xfId="0" applyNumberFormat="1" applyFont="1" applyFill="1" applyBorder="1" applyAlignment="1">
      <alignment horizontal="center" vertical="center"/>
    </xf>
    <xf numFmtId="14" fontId="170" fillId="0" borderId="2" xfId="0" applyNumberFormat="1" applyFont="1" applyBorder="1" applyAlignment="1">
      <alignment horizontal="center" vertical="top"/>
    </xf>
    <xf numFmtId="0" fontId="170" fillId="9" borderId="2" xfId="0" applyFont="1" applyFill="1" applyBorder="1" applyAlignment="1">
      <alignment horizontal="center" vertical="top"/>
    </xf>
    <xf numFmtId="14" fontId="170" fillId="0" borderId="3" xfId="0" applyNumberFormat="1" applyFont="1" applyBorder="1" applyAlignment="1">
      <alignment horizontal="center" vertical="center"/>
    </xf>
    <xf numFmtId="14" fontId="170" fillId="9" borderId="3" xfId="0" applyNumberFormat="1" applyFont="1" applyFill="1" applyBorder="1" applyAlignment="1">
      <alignment horizontal="center" vertical="center"/>
    </xf>
    <xf numFmtId="14" fontId="30" fillId="0" borderId="2" xfId="0" applyNumberFormat="1" applyFont="1" applyBorder="1" applyAlignment="1">
      <alignment horizontal="center" vertical="center"/>
    </xf>
    <xf numFmtId="14" fontId="170" fillId="9" borderId="2" xfId="0" applyNumberFormat="1" applyFont="1" applyFill="1" applyBorder="1" applyAlignment="1">
      <alignment horizontal="center" vertical="top"/>
    </xf>
    <xf numFmtId="0" fontId="173" fillId="0" borderId="3" xfId="0" applyFont="1" applyBorder="1" applyAlignment="1">
      <alignment horizontal="center"/>
    </xf>
    <xf numFmtId="0" fontId="91" fillId="0" borderId="2" xfId="0" applyFont="1" applyBorder="1" applyAlignment="1">
      <alignment horizontal="center" vertical="center"/>
    </xf>
    <xf numFmtId="0" fontId="91" fillId="0" borderId="0" xfId="0" applyFont="1" applyAlignment="1">
      <alignment horizontal="center" vertical="center"/>
    </xf>
    <xf numFmtId="0" fontId="170" fillId="0" borderId="3" xfId="0" applyFont="1" applyBorder="1" applyAlignment="1">
      <alignment horizontal="center" vertical="top"/>
    </xf>
    <xf numFmtId="170" fontId="244" fillId="0" borderId="2" xfId="14" applyNumberFormat="1" applyFont="1" applyBorder="1" applyAlignment="1">
      <alignment horizontal="center" wrapText="1"/>
    </xf>
    <xf numFmtId="0" fontId="170" fillId="0" borderId="0" xfId="0" applyFont="1" applyAlignment="1">
      <alignment horizontal="center" vertical="top"/>
    </xf>
    <xf numFmtId="14" fontId="170" fillId="0" borderId="3" xfId="0" applyNumberFormat="1" applyFont="1" applyBorder="1" applyAlignment="1">
      <alignment horizontal="center" vertical="top"/>
    </xf>
    <xf numFmtId="0" fontId="173" fillId="0" borderId="3" xfId="0" applyFont="1" applyBorder="1" applyAlignment="1">
      <alignment horizontal="center" vertical="top"/>
    </xf>
    <xf numFmtId="0" fontId="173" fillId="9" borderId="2" xfId="0" applyFont="1" applyFill="1" applyBorder="1" applyAlignment="1">
      <alignment horizontal="center" vertical="top"/>
    </xf>
    <xf numFmtId="0" fontId="170" fillId="0" borderId="25" xfId="0" applyFont="1" applyBorder="1" applyAlignment="1">
      <alignment horizontal="center" vertical="top"/>
    </xf>
    <xf numFmtId="0" fontId="170" fillId="0" borderId="23" xfId="0" applyFont="1" applyBorder="1" applyAlignment="1">
      <alignment horizontal="center"/>
    </xf>
    <xf numFmtId="0" fontId="170" fillId="0" borderId="25" xfId="0" applyFont="1" applyBorder="1" applyAlignment="1">
      <alignment horizontal="center" vertical="center"/>
    </xf>
    <xf numFmtId="0" fontId="173" fillId="0" borderId="0" xfId="0" applyFont="1" applyAlignment="1">
      <alignment horizontal="center"/>
    </xf>
    <xf numFmtId="0" fontId="170" fillId="9" borderId="2" xfId="0" applyFont="1" applyFill="1" applyBorder="1" applyAlignment="1">
      <alignment horizontal="center" vertical="center"/>
    </xf>
    <xf numFmtId="0" fontId="170" fillId="9" borderId="0" xfId="0" applyFont="1" applyFill="1" applyAlignment="1">
      <alignment horizontal="center"/>
    </xf>
    <xf numFmtId="0" fontId="173" fillId="9" borderId="2" xfId="0" applyFont="1" applyFill="1" applyBorder="1" applyAlignment="1">
      <alignment horizontal="center"/>
    </xf>
    <xf numFmtId="14" fontId="0" fillId="20" borderId="3" xfId="0" applyNumberFormat="1" applyFill="1" applyBorder="1" applyAlignment="1">
      <alignment horizontal="center" vertical="center"/>
    </xf>
    <xf numFmtId="0" fontId="52" fillId="0" borderId="2" xfId="0" applyFont="1" applyBorder="1" applyAlignment="1">
      <alignment horizontal="center"/>
    </xf>
    <xf numFmtId="0" fontId="47" fillId="0" borderId="3" xfId="0" applyFont="1" applyBorder="1" applyAlignment="1">
      <alignment horizontal="center"/>
    </xf>
    <xf numFmtId="14" fontId="0" fillId="9" borderId="3" xfId="0" applyNumberFormat="1" applyFill="1" applyBorder="1" applyAlignment="1">
      <alignment horizontal="center" vertical="center"/>
    </xf>
    <xf numFmtId="0" fontId="37" fillId="0" borderId="3" xfId="0" applyFont="1" applyBorder="1" applyAlignment="1">
      <alignment horizontal="center"/>
    </xf>
    <xf numFmtId="0" fontId="136" fillId="0" borderId="0" xfId="0" applyFont="1" applyAlignment="1">
      <alignment horizontal="center" vertical="center"/>
    </xf>
    <xf numFmtId="0" fontId="136" fillId="3" borderId="0" xfId="0" applyFont="1" applyFill="1" applyAlignment="1">
      <alignment horizontal="center" vertical="center" wrapText="1"/>
    </xf>
    <xf numFmtId="14" fontId="88" fillId="0" borderId="2" xfId="0" applyNumberFormat="1" applyFont="1" applyBorder="1" applyAlignment="1">
      <alignment horizontal="center" vertical="center"/>
    </xf>
    <xf numFmtId="3" fontId="172" fillId="0" borderId="0" xfId="0" applyNumberFormat="1" applyFont="1" applyAlignment="1">
      <alignment horizontal="center" vertical="center" wrapText="1"/>
    </xf>
    <xf numFmtId="0" fontId="0" fillId="0" borderId="0" xfId="0" applyAlignment="1">
      <alignment horizontal="center" vertical="center" wrapText="1"/>
    </xf>
    <xf numFmtId="0" fontId="49" fillId="0" borderId="2" xfId="0" applyFont="1" applyBorder="1" applyAlignment="1">
      <alignment horizontal="center" vertical="center"/>
    </xf>
    <xf numFmtId="165" fontId="0" fillId="0" borderId="0" xfId="0" applyNumberFormat="1" applyAlignment="1">
      <alignment horizontal="center" vertical="center"/>
    </xf>
    <xf numFmtId="0" fontId="243" fillId="0" borderId="2" xfId="0" applyFont="1" applyBorder="1" applyAlignment="1">
      <alignment horizontal="center" vertical="center"/>
    </xf>
    <xf numFmtId="0" fontId="93" fillId="0" borderId="2" xfId="0" applyFont="1" applyBorder="1" applyAlignment="1">
      <alignment horizontal="center" vertical="center"/>
    </xf>
    <xf numFmtId="0" fontId="89" fillId="0" borderId="2" xfId="0" applyFont="1" applyBorder="1" applyAlignment="1">
      <alignment horizontal="center" vertical="center"/>
    </xf>
    <xf numFmtId="0" fontId="85" fillId="0" borderId="2" xfId="0" applyFont="1" applyBorder="1" applyAlignment="1">
      <alignment horizontal="center" vertical="center"/>
    </xf>
    <xf numFmtId="0" fontId="82" fillId="0" borderId="2" xfId="0" applyFont="1" applyBorder="1" applyAlignment="1">
      <alignment horizontal="center" vertical="center"/>
    </xf>
    <xf numFmtId="0" fontId="81" fillId="0" borderId="2" xfId="0" applyFont="1" applyBorder="1" applyAlignment="1">
      <alignment horizontal="center" vertical="center"/>
    </xf>
    <xf numFmtId="0" fontId="76" fillId="0" borderId="2" xfId="0" applyFont="1" applyBorder="1" applyAlignment="1">
      <alignment horizontal="center" vertical="center"/>
    </xf>
    <xf numFmtId="0" fontId="75" fillId="0" borderId="2" xfId="0" applyFont="1" applyBorder="1" applyAlignment="1">
      <alignment horizontal="center" vertical="center"/>
    </xf>
    <xf numFmtId="0" fontId="73" fillId="0" borderId="2" xfId="0" applyFont="1" applyBorder="1" applyAlignment="1">
      <alignment horizontal="center" vertical="center"/>
    </xf>
    <xf numFmtId="0" fontId="70" fillId="0" borderId="2" xfId="0" applyFont="1" applyBorder="1" applyAlignment="1">
      <alignment horizontal="center" vertical="center"/>
    </xf>
    <xf numFmtId="0" fontId="66" fillId="0" borderId="2" xfId="0" applyFont="1" applyBorder="1" applyAlignment="1">
      <alignment horizontal="center" vertical="center"/>
    </xf>
    <xf numFmtId="0" fontId="64" fillId="0" borderId="2" xfId="0" applyFont="1" applyBorder="1" applyAlignment="1">
      <alignment horizontal="center" vertical="center"/>
    </xf>
    <xf numFmtId="0" fontId="60" fillId="0" borderId="2" xfId="0" applyFont="1" applyBorder="1" applyAlignment="1">
      <alignment horizontal="center" vertical="center"/>
    </xf>
    <xf numFmtId="0" fontId="62" fillId="0" borderId="2" xfId="0" applyFont="1" applyBorder="1" applyAlignment="1">
      <alignment horizontal="center" vertical="center"/>
    </xf>
    <xf numFmtId="0" fontId="56" fillId="0" borderId="2" xfId="0" applyFont="1" applyBorder="1" applyAlignment="1">
      <alignment horizontal="center" vertical="center"/>
    </xf>
    <xf numFmtId="0" fontId="53" fillId="0" borderId="0" xfId="0" applyFont="1" applyAlignment="1">
      <alignment horizontal="center" vertical="center"/>
    </xf>
    <xf numFmtId="0" fontId="54" fillId="0" borderId="2" xfId="0" applyFont="1" applyBorder="1" applyAlignment="1">
      <alignment horizontal="center" vertical="center"/>
    </xf>
    <xf numFmtId="0" fontId="51" fillId="0" borderId="2" xfId="0" applyFont="1" applyBorder="1" applyAlignment="1">
      <alignment horizontal="center" vertical="center"/>
    </xf>
    <xf numFmtId="0" fontId="48" fillId="0" borderId="2" xfId="0" applyFont="1" applyBorder="1" applyAlignment="1">
      <alignment horizontal="center" vertical="center"/>
    </xf>
    <xf numFmtId="0" fontId="45" fillId="20" borderId="0" xfId="0" applyFont="1" applyFill="1" applyAlignment="1">
      <alignment horizontal="center" vertical="center"/>
    </xf>
    <xf numFmtId="0" fontId="44" fillId="0" borderId="2" xfId="0" applyFont="1" applyBorder="1" applyAlignment="1">
      <alignment horizontal="center" vertical="center"/>
    </xf>
    <xf numFmtId="0" fontId="55" fillId="0" borderId="2" xfId="0" applyFont="1" applyBorder="1" applyAlignment="1">
      <alignment horizontal="center" vertical="center"/>
    </xf>
    <xf numFmtId="0" fontId="43" fillId="0" borderId="2" xfId="0" applyFont="1" applyBorder="1" applyAlignment="1">
      <alignment horizontal="center" vertical="center"/>
    </xf>
    <xf numFmtId="0" fontId="41" fillId="0" borderId="0" xfId="0" applyFont="1" applyAlignment="1">
      <alignment horizontal="center" vertical="center"/>
    </xf>
    <xf numFmtId="0" fontId="45" fillId="0" borderId="2" xfId="0" applyFont="1" applyBorder="1" applyAlignment="1">
      <alignment horizontal="center" vertical="center"/>
    </xf>
    <xf numFmtId="14" fontId="40" fillId="0" borderId="0" xfId="0" applyNumberFormat="1" applyFont="1" applyAlignment="1">
      <alignment horizontal="center" vertical="center"/>
    </xf>
    <xf numFmtId="0" fontId="46" fillId="0" borderId="2" xfId="0" applyFont="1" applyBorder="1" applyAlignment="1">
      <alignment horizontal="center" vertical="center"/>
    </xf>
    <xf numFmtId="0" fontId="42" fillId="0" borderId="2" xfId="0" applyFont="1" applyBorder="1" applyAlignment="1">
      <alignment horizontal="center" vertical="center"/>
    </xf>
    <xf numFmtId="0" fontId="39" fillId="0" borderId="2" xfId="0" applyFont="1" applyBorder="1" applyAlignment="1">
      <alignment horizontal="center" vertical="center"/>
    </xf>
    <xf numFmtId="0" fontId="40" fillId="0" borderId="0" xfId="0" applyFont="1" applyAlignment="1">
      <alignment horizontal="center" vertical="center"/>
    </xf>
    <xf numFmtId="0" fontId="53" fillId="0" borderId="2" xfId="0" applyFont="1" applyBorder="1" applyAlignment="1">
      <alignment horizontal="center" vertical="center"/>
    </xf>
    <xf numFmtId="0" fontId="40" fillId="0" borderId="2" xfId="0" applyFont="1" applyBorder="1" applyAlignment="1">
      <alignment horizontal="center" vertical="center"/>
    </xf>
    <xf numFmtId="0" fontId="38" fillId="20" borderId="0" xfId="0" applyFont="1" applyFill="1" applyAlignment="1">
      <alignment horizontal="center" vertical="center"/>
    </xf>
    <xf numFmtId="14" fontId="40" fillId="0" borderId="2" xfId="0" applyNumberFormat="1" applyFont="1" applyBorder="1" applyAlignment="1">
      <alignment horizontal="center" vertical="center"/>
    </xf>
    <xf numFmtId="0" fontId="36" fillId="0" borderId="2" xfId="0" applyFont="1" applyBorder="1" applyAlignment="1">
      <alignment horizontal="center" vertical="center"/>
    </xf>
    <xf numFmtId="14" fontId="35" fillId="0" borderId="2" xfId="0" applyNumberFormat="1" applyFont="1" applyBorder="1" applyAlignment="1">
      <alignment horizontal="center" vertical="center"/>
    </xf>
    <xf numFmtId="0" fontId="36" fillId="9" borderId="0" xfId="0" applyFont="1" applyFill="1" applyAlignment="1">
      <alignment horizontal="center" vertical="center"/>
    </xf>
    <xf numFmtId="0" fontId="36" fillId="0" borderId="0" xfId="0" applyFont="1" applyAlignment="1">
      <alignment horizontal="center" vertical="center"/>
    </xf>
    <xf numFmtId="0" fontId="36" fillId="20" borderId="0" xfId="0" applyFont="1" applyFill="1" applyAlignment="1">
      <alignment horizontal="center" vertical="center"/>
    </xf>
    <xf numFmtId="0" fontId="41" fillId="0" borderId="2" xfId="0" applyFont="1" applyBorder="1" applyAlignment="1">
      <alignment horizontal="center" vertical="center"/>
    </xf>
    <xf numFmtId="14" fontId="0" fillId="0" borderId="0" xfId="0" applyNumberFormat="1" applyAlignment="1">
      <alignment horizontal="center" vertical="center"/>
    </xf>
    <xf numFmtId="0" fontId="38" fillId="9" borderId="0" xfId="0" applyFont="1" applyFill="1" applyAlignment="1">
      <alignment horizontal="center" vertical="center"/>
    </xf>
    <xf numFmtId="0" fontId="34" fillId="0" borderId="2" xfId="0" applyFont="1" applyBorder="1" applyAlignment="1">
      <alignment horizontal="center" vertical="center"/>
    </xf>
    <xf numFmtId="14" fontId="38" fillId="0" borderId="0" xfId="0" applyNumberFormat="1" applyFont="1" applyAlignment="1">
      <alignment horizontal="center" vertical="center"/>
    </xf>
    <xf numFmtId="0" fontId="33" fillId="0" borderId="2" xfId="0" applyFont="1" applyBorder="1" applyAlignment="1">
      <alignment horizontal="center" vertical="center"/>
    </xf>
    <xf numFmtId="0" fontId="33" fillId="20" borderId="0" xfId="0" applyFont="1" applyFill="1" applyAlignment="1">
      <alignment horizontal="center" vertical="center"/>
    </xf>
    <xf numFmtId="14" fontId="0" fillId="15" borderId="0" xfId="0" applyNumberFormat="1" applyFill="1" applyAlignment="1">
      <alignment horizontal="center" vertical="center"/>
    </xf>
    <xf numFmtId="0" fontId="0" fillId="20" borderId="0" xfId="0" applyFill="1" applyAlignment="1">
      <alignment horizontal="center" vertical="center"/>
    </xf>
    <xf numFmtId="0" fontId="29" fillId="0" borderId="2" xfId="0" applyFont="1" applyBorder="1" applyAlignment="1">
      <alignment horizontal="center" vertical="center"/>
    </xf>
    <xf numFmtId="0" fontId="28" fillId="0" borderId="2" xfId="0" applyFont="1" applyBorder="1" applyAlignment="1">
      <alignment horizontal="center" vertical="center"/>
    </xf>
    <xf numFmtId="0" fontId="32" fillId="0" borderId="2" xfId="0" applyFont="1" applyBorder="1" applyAlignment="1">
      <alignment horizontal="center" vertical="center"/>
    </xf>
    <xf numFmtId="0" fontId="26" fillId="0" borderId="2" xfId="0" applyFont="1" applyBorder="1" applyAlignment="1">
      <alignment horizontal="center" vertical="center"/>
    </xf>
    <xf numFmtId="14" fontId="26" fillId="0" borderId="2" xfId="0" applyNumberFormat="1" applyFont="1" applyBorder="1" applyAlignment="1">
      <alignment horizontal="center" vertical="center"/>
    </xf>
    <xf numFmtId="0" fontId="29" fillId="20" borderId="2" xfId="0" applyFont="1" applyFill="1" applyBorder="1" applyAlignment="1">
      <alignment horizontal="center" vertical="center"/>
    </xf>
    <xf numFmtId="0" fontId="30" fillId="0" borderId="2" xfId="0" applyFont="1" applyBorder="1" applyAlignment="1">
      <alignment horizontal="center" vertical="center"/>
    </xf>
    <xf numFmtId="0" fontId="26" fillId="0" borderId="0" xfId="0" applyFont="1" applyAlignment="1">
      <alignment horizontal="center" vertical="center"/>
    </xf>
    <xf numFmtId="0" fontId="27" fillId="0" borderId="2" xfId="0" applyFont="1" applyBorder="1" applyAlignment="1">
      <alignment horizontal="center" vertical="center"/>
    </xf>
    <xf numFmtId="14" fontId="25" fillId="0" borderId="2" xfId="0" applyNumberFormat="1" applyFont="1" applyBorder="1" applyAlignment="1">
      <alignment horizontal="center" vertical="center"/>
    </xf>
    <xf numFmtId="0" fontId="26" fillId="9" borderId="0" xfId="0" applyFont="1" applyFill="1" applyAlignment="1">
      <alignment horizontal="center" vertical="center"/>
    </xf>
    <xf numFmtId="14" fontId="26" fillId="0" borderId="0" xfId="0" applyNumberFormat="1" applyFont="1" applyAlignment="1">
      <alignment horizontal="center" vertical="center"/>
    </xf>
    <xf numFmtId="0" fontId="28" fillId="20" borderId="2" xfId="0" applyFont="1" applyFill="1" applyBorder="1" applyAlignment="1">
      <alignment horizontal="center" vertical="center"/>
    </xf>
    <xf numFmtId="0" fontId="40" fillId="20" borderId="2" xfId="0" applyFont="1" applyFill="1" applyBorder="1" applyAlignment="1">
      <alignment horizontal="center" vertical="center"/>
    </xf>
    <xf numFmtId="0" fontId="25" fillId="0" borderId="2" xfId="0" applyFont="1" applyBorder="1" applyAlignment="1">
      <alignment horizontal="center" vertical="center"/>
    </xf>
    <xf numFmtId="0" fontId="23" fillId="0" borderId="2" xfId="0" applyFont="1" applyBorder="1" applyAlignment="1">
      <alignment horizontal="center" vertical="center"/>
    </xf>
    <xf numFmtId="0" fontId="259" fillId="0" borderId="0" xfId="50" applyAlignment="1">
      <alignment horizontal="center" vertical="center"/>
    </xf>
    <xf numFmtId="0" fontId="195" fillId="0" borderId="2" xfId="0" applyFont="1" applyBorder="1" applyAlignment="1">
      <alignment horizontal="center" vertical="center" wrapText="1"/>
    </xf>
    <xf numFmtId="0" fontId="21" fillId="0" borderId="2" xfId="0" applyFont="1" applyBorder="1" applyAlignment="1">
      <alignment horizontal="center" vertical="center"/>
    </xf>
    <xf numFmtId="0" fontId="18" fillId="0" borderId="2" xfId="0" applyFont="1" applyBorder="1" applyAlignment="1">
      <alignment horizontal="center" vertical="center"/>
    </xf>
    <xf numFmtId="0" fontId="19" fillId="0" borderId="2" xfId="0" applyFont="1" applyBorder="1" applyAlignment="1">
      <alignment horizontal="center" vertical="center"/>
    </xf>
    <xf numFmtId="0" fontId="64" fillId="0" borderId="0" xfId="0" applyFont="1" applyAlignment="1">
      <alignment horizontal="center" vertical="center"/>
    </xf>
    <xf numFmtId="0" fontId="70" fillId="0" borderId="0" xfId="0" applyFont="1" applyAlignment="1">
      <alignment horizontal="center" vertical="center"/>
    </xf>
    <xf numFmtId="0" fontId="24" fillId="0" borderId="2" xfId="0" applyFont="1" applyBorder="1" applyAlignment="1">
      <alignment horizontal="center" vertical="center"/>
    </xf>
    <xf numFmtId="0" fontId="260" fillId="0" borderId="0" xfId="0" applyFont="1" applyAlignment="1">
      <alignment horizontal="center" vertical="center"/>
    </xf>
    <xf numFmtId="165" fontId="260" fillId="0" borderId="0" xfId="0" applyNumberFormat="1" applyFont="1" applyAlignment="1">
      <alignment horizontal="center" vertical="center"/>
    </xf>
    <xf numFmtId="0" fontId="17" fillId="0" borderId="0" xfId="0" applyFont="1" applyAlignment="1">
      <alignment horizontal="center" vertical="center"/>
    </xf>
    <xf numFmtId="0" fontId="14" fillId="0" borderId="2" xfId="0" applyFont="1" applyBorder="1" applyAlignment="1">
      <alignment horizontal="center" vertical="center"/>
    </xf>
    <xf numFmtId="0" fontId="26" fillId="0" borderId="0" xfId="0" applyFont="1" applyAlignment="1">
      <alignment horizontal="center" vertical="center" wrapText="1"/>
    </xf>
    <xf numFmtId="0" fontId="261" fillId="0" borderId="0" xfId="0" applyFont="1" applyAlignment="1">
      <alignment horizontal="center" vertical="center"/>
    </xf>
    <xf numFmtId="165" fontId="261" fillId="0" borderId="0" xfId="0" applyNumberFormat="1" applyFont="1" applyAlignment="1">
      <alignment horizontal="center" vertical="center"/>
    </xf>
    <xf numFmtId="0" fontId="17" fillId="0" borderId="2" xfId="0" applyFont="1" applyBorder="1" applyAlignment="1">
      <alignment horizontal="center" vertical="center"/>
    </xf>
    <xf numFmtId="0" fontId="16" fillId="0" borderId="2" xfId="0" applyFont="1" applyBorder="1" applyAlignment="1">
      <alignment horizontal="center" vertical="center"/>
    </xf>
    <xf numFmtId="14" fontId="16" fillId="0" borderId="2" xfId="0" applyNumberFormat="1" applyFont="1" applyBorder="1" applyAlignment="1">
      <alignment horizontal="center" vertical="center"/>
    </xf>
    <xf numFmtId="0" fontId="15" fillId="0" borderId="2" xfId="0" applyFont="1" applyBorder="1" applyAlignment="1">
      <alignment horizontal="center" vertical="center"/>
    </xf>
    <xf numFmtId="14" fontId="13" fillId="0" borderId="2" xfId="0" applyNumberFormat="1" applyFont="1" applyBorder="1" applyAlignment="1">
      <alignment horizontal="center" vertical="center"/>
    </xf>
    <xf numFmtId="0" fontId="14" fillId="9" borderId="2" xfId="0" applyFont="1" applyFill="1" applyBorder="1" applyAlignment="1">
      <alignment horizontal="center" vertical="center"/>
    </xf>
    <xf numFmtId="14" fontId="12" fillId="0" borderId="2" xfId="0" applyNumberFormat="1" applyFont="1" applyBorder="1" applyAlignment="1">
      <alignment horizontal="center" vertical="center"/>
    </xf>
    <xf numFmtId="0" fontId="12" fillId="0" borderId="2" xfId="0" applyFont="1" applyBorder="1" applyAlignment="1">
      <alignment horizontal="center" vertical="center"/>
    </xf>
    <xf numFmtId="0" fontId="18" fillId="9" borderId="2" xfId="0" applyFont="1" applyFill="1" applyBorder="1" applyAlignment="1">
      <alignment horizontal="center" vertical="center"/>
    </xf>
    <xf numFmtId="0" fontId="10" fillId="0" borderId="0" xfId="0" applyFont="1" applyAlignment="1">
      <alignment horizontal="center" vertical="center"/>
    </xf>
    <xf numFmtId="0" fontId="13" fillId="0" borderId="2" xfId="0" applyFont="1" applyBorder="1" applyAlignment="1">
      <alignment horizontal="center" vertical="center"/>
    </xf>
    <xf numFmtId="14" fontId="8" fillId="0" borderId="2" xfId="0" applyNumberFormat="1" applyFont="1" applyBorder="1" applyAlignment="1">
      <alignment horizontal="center" vertical="center"/>
    </xf>
    <xf numFmtId="0" fontId="11" fillId="0" borderId="0" xfId="0" applyFont="1" applyAlignment="1">
      <alignment horizontal="center" vertical="center"/>
    </xf>
    <xf numFmtId="0" fontId="9" fillId="0" borderId="0" xfId="0" applyFont="1" applyAlignment="1">
      <alignment horizontal="center" vertical="center"/>
    </xf>
    <xf numFmtId="0" fontId="10" fillId="0" borderId="2" xfId="0" applyFont="1" applyBorder="1" applyAlignment="1">
      <alignment horizontal="center" vertical="center"/>
    </xf>
    <xf numFmtId="14" fontId="7" fillId="0" borderId="2" xfId="0" applyNumberFormat="1" applyFont="1" applyBorder="1" applyAlignment="1">
      <alignment horizontal="center" vertical="center"/>
    </xf>
    <xf numFmtId="0" fontId="6" fillId="0" borderId="0" xfId="0" applyFont="1" applyAlignment="1">
      <alignment horizontal="center" vertical="center"/>
    </xf>
    <xf numFmtId="14" fontId="5" fillId="0" borderId="2" xfId="0" applyNumberFormat="1" applyFont="1" applyBorder="1" applyAlignment="1">
      <alignment horizontal="center" vertical="center"/>
    </xf>
    <xf numFmtId="0" fontId="5" fillId="0" borderId="2" xfId="0" applyFont="1" applyBorder="1" applyAlignment="1">
      <alignment horizontal="center" vertical="center"/>
    </xf>
    <xf numFmtId="0" fontId="5" fillId="0" borderId="0" xfId="0" applyFont="1" applyAlignment="1">
      <alignment horizontal="center" vertical="center"/>
    </xf>
    <xf numFmtId="0" fontId="4" fillId="0" borderId="2" xfId="0" applyFont="1" applyBorder="1" applyAlignment="1">
      <alignment horizontal="center" vertical="center"/>
    </xf>
    <xf numFmtId="14" fontId="2" fillId="0" borderId="2" xfId="0" applyNumberFormat="1" applyFont="1" applyBorder="1" applyAlignment="1">
      <alignment horizontal="center" vertical="center"/>
    </xf>
    <xf numFmtId="0" fontId="3" fillId="0" borderId="0" xfId="0" applyFont="1" applyAlignment="1">
      <alignment horizontal="center" vertical="center"/>
    </xf>
    <xf numFmtId="0" fontId="8" fillId="0" borderId="2" xfId="0" applyFont="1" applyBorder="1" applyAlignment="1">
      <alignment horizontal="center" vertical="center"/>
    </xf>
    <xf numFmtId="0" fontId="2" fillId="0" borderId="2" xfId="0" applyFont="1" applyBorder="1" applyAlignment="1">
      <alignment horizontal="center" vertical="center"/>
    </xf>
    <xf numFmtId="0" fontId="260" fillId="0" borderId="2" xfId="0" applyFont="1" applyBorder="1" applyAlignment="1">
      <alignment horizontal="center" vertical="center" wrapText="1"/>
    </xf>
    <xf numFmtId="0" fontId="0" fillId="0" borderId="33" xfId="0" applyBorder="1" applyAlignment="1">
      <alignment horizontal="center" vertical="center"/>
    </xf>
    <xf numFmtId="14" fontId="0" fillId="0" borderId="33" xfId="0" applyNumberFormat="1" applyBorder="1" applyAlignment="1">
      <alignment horizontal="center" vertical="center"/>
    </xf>
    <xf numFmtId="14" fontId="0" fillId="30" borderId="2" xfId="0" applyNumberFormat="1" applyFill="1" applyBorder="1" applyAlignment="1">
      <alignment horizontal="center" vertical="center"/>
    </xf>
    <xf numFmtId="0" fontId="138" fillId="0" borderId="2" xfId="51" applyFont="1" applyBorder="1" applyAlignment="1">
      <alignment horizontal="center" vertical="center" wrapText="1"/>
    </xf>
    <xf numFmtId="0" fontId="138" fillId="0" borderId="0" xfId="51" applyFont="1" applyAlignment="1">
      <alignment vertical="center" wrapText="1"/>
    </xf>
    <xf numFmtId="0" fontId="270" fillId="0" borderId="0" xfId="51" applyFont="1" applyAlignment="1">
      <alignment horizontal="center" vertical="center"/>
    </xf>
    <xf numFmtId="0" fontId="138" fillId="0" borderId="2" xfId="51" applyFont="1" applyBorder="1" applyAlignment="1">
      <alignment horizontal="center" vertical="center"/>
    </xf>
    <xf numFmtId="170" fontId="270" fillId="0" borderId="0" xfId="51" applyNumberFormat="1" applyFont="1" applyAlignment="1">
      <alignment horizontal="center" vertical="center"/>
    </xf>
    <xf numFmtId="0" fontId="138" fillId="0" borderId="0" xfId="51" applyFont="1" applyAlignment="1">
      <alignment horizontal="center" vertical="center"/>
    </xf>
    <xf numFmtId="170" fontId="138" fillId="0" borderId="2" xfId="51" applyNumberFormat="1" applyFont="1" applyBorder="1" applyAlignment="1">
      <alignment horizontal="center" vertical="center" wrapText="1"/>
    </xf>
    <xf numFmtId="1" fontId="270" fillId="0" borderId="0" xfId="51" applyNumberFormat="1" applyFont="1" applyAlignment="1">
      <alignment vertical="center"/>
    </xf>
    <xf numFmtId="0" fontId="138" fillId="0" borderId="0" xfId="51" applyFont="1" applyAlignment="1">
      <alignment vertical="center"/>
    </xf>
    <xf numFmtId="0" fontId="138" fillId="0" borderId="4" xfId="51" applyFont="1" applyBorder="1" applyAlignment="1">
      <alignment horizontal="center" vertical="center"/>
    </xf>
    <xf numFmtId="0" fontId="138" fillId="0" borderId="0" xfId="51" applyFont="1" applyAlignment="1">
      <alignment horizontal="center"/>
    </xf>
    <xf numFmtId="0" fontId="138" fillId="0" borderId="0" xfId="51" applyFont="1" applyAlignment="1">
      <alignment horizontal="left" vertical="center"/>
    </xf>
    <xf numFmtId="0" fontId="270" fillId="0" borderId="0" xfId="51" applyFont="1"/>
    <xf numFmtId="0" fontId="271" fillId="0" borderId="0" xfId="21" applyFont="1" applyAlignment="1">
      <alignment horizontal="center" vertical="center"/>
    </xf>
    <xf numFmtId="0" fontId="270" fillId="0" borderId="0" xfId="51" applyFont="1" applyAlignment="1">
      <alignment vertical="center"/>
    </xf>
    <xf numFmtId="0" fontId="138" fillId="0" borderId="0" xfId="51" applyFont="1" applyAlignment="1">
      <alignment horizontal="left"/>
    </xf>
    <xf numFmtId="0" fontId="138" fillId="0" borderId="0" xfId="51" applyFont="1" applyAlignment="1">
      <alignment horizontal="right" vertical="center"/>
    </xf>
    <xf numFmtId="170" fontId="270" fillId="0" borderId="0" xfId="51" applyNumberFormat="1" applyFont="1" applyAlignment="1">
      <alignment vertical="center"/>
    </xf>
    <xf numFmtId="0" fontId="138" fillId="0" borderId="0" xfId="51" applyFont="1"/>
    <xf numFmtId="0" fontId="138" fillId="0" borderId="43" xfId="51" applyFont="1" applyBorder="1" applyAlignment="1">
      <alignment horizontal="center" vertical="center"/>
    </xf>
    <xf numFmtId="0" fontId="273" fillId="9" borderId="0" xfId="51" applyFont="1" applyFill="1" applyAlignment="1">
      <alignment horizontal="center" vertical="center"/>
    </xf>
    <xf numFmtId="0" fontId="273" fillId="20" borderId="0" xfId="51" applyFont="1" applyFill="1" applyAlignment="1">
      <alignment horizontal="center" vertical="center"/>
    </xf>
    <xf numFmtId="0" fontId="138" fillId="0" borderId="0" xfId="51" quotePrefix="1" applyFont="1" applyAlignment="1">
      <alignment horizontal="center" vertical="center"/>
    </xf>
    <xf numFmtId="0" fontId="270" fillId="0" borderId="47" xfId="51" applyFont="1" applyBorder="1" applyAlignment="1">
      <alignment horizontal="center" vertical="center"/>
    </xf>
    <xf numFmtId="0" fontId="270" fillId="0" borderId="43" xfId="51" applyFont="1" applyBorder="1" applyAlignment="1">
      <alignment horizontal="center" vertical="center"/>
    </xf>
    <xf numFmtId="0" fontId="274" fillId="0" borderId="0" xfId="21" applyFont="1" applyAlignment="1">
      <alignment horizontal="center" vertical="center"/>
    </xf>
    <xf numFmtId="0" fontId="138" fillId="0" borderId="47" xfId="51" applyFont="1" applyBorder="1" applyAlignment="1">
      <alignment horizontal="center" vertical="center"/>
    </xf>
    <xf numFmtId="0" fontId="271" fillId="3" borderId="2" xfId="21" applyFont="1" applyFill="1" applyBorder="1" applyAlignment="1">
      <alignment horizontal="center" vertical="center"/>
    </xf>
    <xf numFmtId="0" fontId="271" fillId="3" borderId="0" xfId="21" applyFont="1" applyFill="1" applyAlignment="1">
      <alignment horizontal="center" vertical="center"/>
    </xf>
    <xf numFmtId="0" fontId="272" fillId="3" borderId="2" xfId="21" applyFont="1" applyFill="1" applyBorder="1" applyAlignment="1">
      <alignment horizontal="center" vertical="center"/>
    </xf>
    <xf numFmtId="0" fontId="273" fillId="9" borderId="0" xfId="0" applyFont="1" applyFill="1" applyAlignment="1">
      <alignment horizontal="center" vertical="center"/>
    </xf>
    <xf numFmtId="0" fontId="273" fillId="3" borderId="0" xfId="0" applyFont="1" applyFill="1" applyAlignment="1">
      <alignment horizontal="center" vertical="center"/>
    </xf>
    <xf numFmtId="0" fontId="138" fillId="3" borderId="0" xfId="0" applyFont="1" applyFill="1" applyAlignment="1">
      <alignment horizontal="center" vertical="center"/>
    </xf>
    <xf numFmtId="0" fontId="275" fillId="0" borderId="0" xfId="0" applyFont="1" applyAlignment="1">
      <alignment horizontal="center" vertical="center"/>
    </xf>
    <xf numFmtId="0" fontId="270" fillId="0" borderId="44" xfId="51" applyFont="1" applyBorder="1" applyAlignment="1">
      <alignment horizontal="center" vertical="center"/>
    </xf>
    <xf numFmtId="0" fontId="270" fillId="0" borderId="45" xfId="51" applyFont="1" applyBorder="1" applyAlignment="1">
      <alignment horizontal="center" vertical="center"/>
    </xf>
    <xf numFmtId="0" fontId="270" fillId="0" borderId="48" xfId="51" applyFont="1" applyBorder="1" applyAlignment="1">
      <alignment horizontal="center" vertical="center"/>
    </xf>
    <xf numFmtId="0" fontId="270" fillId="0" borderId="49" xfId="51" applyFont="1" applyBorder="1" applyAlignment="1">
      <alignment horizontal="center" vertical="center"/>
    </xf>
    <xf numFmtId="0" fontId="270" fillId="0" borderId="22" xfId="51" applyFont="1" applyBorder="1" applyAlignment="1">
      <alignment horizontal="center" vertical="center"/>
    </xf>
    <xf numFmtId="0" fontId="270" fillId="0" borderId="50" xfId="51" applyFont="1" applyBorder="1" applyAlignment="1">
      <alignment horizontal="center" vertical="center"/>
    </xf>
    <xf numFmtId="0" fontId="274" fillId="0" borderId="43" xfId="21" applyFont="1" applyBorder="1" applyAlignment="1">
      <alignment horizontal="center" vertical="center"/>
    </xf>
    <xf numFmtId="0" fontId="271" fillId="0" borderId="43" xfId="21" applyFont="1" applyBorder="1" applyAlignment="1">
      <alignment horizontal="center" vertical="center"/>
    </xf>
    <xf numFmtId="0" fontId="270" fillId="0" borderId="2" xfId="51" applyFont="1" applyBorder="1" applyAlignment="1">
      <alignment horizontal="center" vertical="center"/>
    </xf>
    <xf numFmtId="0" fontId="275" fillId="0" borderId="20" xfId="0" applyFont="1" applyBorder="1" applyAlignment="1">
      <alignment horizontal="center" vertical="center"/>
    </xf>
    <xf numFmtId="0" fontId="271" fillId="3" borderId="8" xfId="21" applyFont="1" applyFill="1" applyBorder="1" applyAlignment="1">
      <alignment horizontal="center" vertical="center"/>
    </xf>
    <xf numFmtId="0" fontId="271" fillId="3" borderId="42" xfId="21" applyFont="1" applyFill="1" applyBorder="1" applyAlignment="1">
      <alignment horizontal="center" vertical="center"/>
    </xf>
    <xf numFmtId="0" fontId="138" fillId="0" borderId="0" xfId="0" applyFont="1" applyAlignment="1">
      <alignment horizontal="center" vertical="center"/>
    </xf>
    <xf numFmtId="0" fontId="273" fillId="23" borderId="0" xfId="0" applyFont="1" applyFill="1" applyAlignment="1">
      <alignment horizontal="center" vertical="center"/>
    </xf>
    <xf numFmtId="0" fontId="274" fillId="3" borderId="8" xfId="21" applyFont="1" applyFill="1" applyBorder="1" applyAlignment="1">
      <alignment horizontal="center" vertical="center"/>
    </xf>
    <xf numFmtId="0" fontId="274" fillId="3" borderId="2" xfId="21" applyFont="1" applyFill="1" applyBorder="1" applyAlignment="1">
      <alignment horizontal="center" vertical="center"/>
    </xf>
    <xf numFmtId="0" fontId="274" fillId="3" borderId="0" xfId="21" applyFont="1" applyFill="1" applyAlignment="1">
      <alignment horizontal="center" vertical="center"/>
    </xf>
    <xf numFmtId="0" fontId="276" fillId="3" borderId="2" xfId="21" applyFont="1" applyFill="1" applyBorder="1" applyAlignment="1">
      <alignment horizontal="center" vertical="center"/>
    </xf>
    <xf numFmtId="0" fontId="273" fillId="0" borderId="0" xfId="0" applyFont="1" applyAlignment="1">
      <alignment horizontal="center" vertical="center"/>
    </xf>
    <xf numFmtId="0" fontId="277" fillId="3" borderId="0" xfId="51" applyFont="1" applyFill="1" applyAlignment="1">
      <alignment horizontal="center" vertical="center"/>
    </xf>
    <xf numFmtId="0" fontId="277" fillId="0" borderId="0" xfId="51" applyFont="1" applyAlignment="1">
      <alignment horizontal="center" vertical="center"/>
    </xf>
    <xf numFmtId="0" fontId="270" fillId="3" borderId="0" xfId="51" applyFont="1" applyFill="1" applyAlignment="1">
      <alignment horizontal="center" vertical="center"/>
    </xf>
    <xf numFmtId="16" fontId="138" fillId="0" borderId="0" xfId="51" applyNumberFormat="1" applyFont="1" applyAlignment="1">
      <alignment horizontal="center" vertical="center"/>
    </xf>
    <xf numFmtId="0" fontId="273" fillId="3" borderId="0" xfId="51" applyFont="1" applyFill="1" applyAlignment="1">
      <alignment horizontal="center" vertical="center"/>
    </xf>
    <xf numFmtId="0" fontId="273" fillId="0" borderId="0" xfId="51" applyFont="1" applyAlignment="1">
      <alignment horizontal="center" vertical="center"/>
    </xf>
    <xf numFmtId="0" fontId="273" fillId="34" borderId="43" xfId="51" applyFont="1" applyFill="1" applyBorder="1" applyAlignment="1">
      <alignment horizontal="center" vertical="center" wrapText="1"/>
    </xf>
    <xf numFmtId="0" fontId="271" fillId="34" borderId="2" xfId="21" applyFont="1" applyFill="1" applyBorder="1" applyAlignment="1">
      <alignment horizontal="center" vertical="center"/>
    </xf>
    <xf numFmtId="0" fontId="274" fillId="0" borderId="0" xfId="0" applyFont="1" applyAlignment="1">
      <alignment horizontal="center" vertical="center"/>
    </xf>
    <xf numFmtId="0" fontId="273" fillId="20" borderId="0" xfId="0" applyFont="1" applyFill="1" applyAlignment="1">
      <alignment horizontal="center" vertical="center"/>
    </xf>
    <xf numFmtId="0" fontId="273" fillId="3" borderId="45" xfId="51" applyFont="1" applyFill="1" applyBorder="1" applyAlignment="1">
      <alignment horizontal="center" vertical="center"/>
    </xf>
    <xf numFmtId="0" fontId="273" fillId="20" borderId="45" xfId="51" applyFont="1" applyFill="1" applyBorder="1" applyAlignment="1">
      <alignment horizontal="center" vertical="center"/>
    </xf>
    <xf numFmtId="0" fontId="273" fillId="9" borderId="33" xfId="51" applyFont="1" applyFill="1" applyBorder="1" applyAlignment="1">
      <alignment horizontal="left" vertical="center"/>
    </xf>
    <xf numFmtId="0" fontId="273" fillId="3" borderId="70" xfId="51" applyFont="1" applyFill="1" applyBorder="1" applyAlignment="1">
      <alignment horizontal="left" vertical="center"/>
    </xf>
    <xf numFmtId="0" fontId="278" fillId="0" borderId="0" xfId="0" applyFont="1" applyAlignment="1">
      <alignment horizontal="center" vertical="center"/>
    </xf>
    <xf numFmtId="0" fontId="270" fillId="0" borderId="0" xfId="0" applyFont="1" applyAlignment="1">
      <alignment horizontal="center" vertical="center"/>
    </xf>
    <xf numFmtId="0" fontId="279" fillId="34" borderId="2" xfId="21" applyFont="1" applyFill="1" applyBorder="1" applyAlignment="1">
      <alignment horizontal="center" vertical="center"/>
    </xf>
    <xf numFmtId="0" fontId="272" fillId="20" borderId="2" xfId="21" applyFont="1" applyFill="1" applyBorder="1" applyAlignment="1">
      <alignment horizontal="center" vertical="center"/>
    </xf>
    <xf numFmtId="14" fontId="274" fillId="20" borderId="2" xfId="21" applyNumberFormat="1" applyFont="1" applyFill="1" applyBorder="1" applyAlignment="1">
      <alignment horizontal="center" vertical="center"/>
    </xf>
    <xf numFmtId="14" fontId="280" fillId="20" borderId="2" xfId="21" applyNumberFormat="1" applyFont="1" applyFill="1" applyBorder="1" applyAlignment="1">
      <alignment horizontal="center" vertical="center"/>
    </xf>
    <xf numFmtId="0" fontId="138" fillId="3" borderId="69" xfId="51" applyFont="1" applyFill="1" applyBorder="1" applyAlignment="1">
      <alignment horizontal="center" vertical="center"/>
    </xf>
    <xf numFmtId="0" fontId="138" fillId="3" borderId="20" xfId="51" applyFont="1" applyFill="1" applyBorder="1" applyAlignment="1">
      <alignment horizontal="center" vertical="center"/>
    </xf>
    <xf numFmtId="0" fontId="273" fillId="3" borderId="0" xfId="51" applyFont="1" applyFill="1" applyAlignment="1">
      <alignment vertical="center"/>
    </xf>
    <xf numFmtId="0" fontId="273" fillId="9" borderId="0" xfId="51" applyFont="1" applyFill="1" applyAlignment="1">
      <alignment vertical="center"/>
    </xf>
    <xf numFmtId="0" fontId="270" fillId="3" borderId="47" xfId="51" applyFont="1" applyFill="1" applyBorder="1" applyAlignment="1">
      <alignment horizontal="center" vertical="center"/>
    </xf>
    <xf numFmtId="0" fontId="273" fillId="3" borderId="0" xfId="0" applyFont="1" applyFill="1" applyAlignment="1">
      <alignment horizontal="center" vertical="center" wrapText="1"/>
    </xf>
    <xf numFmtId="0" fontId="138" fillId="0" borderId="49" xfId="51" applyFont="1" applyBorder="1" applyAlignment="1">
      <alignment horizontal="center" vertical="center"/>
    </xf>
    <xf numFmtId="0" fontId="138" fillId="0" borderId="22" xfId="51" applyFont="1" applyBorder="1" applyAlignment="1">
      <alignment horizontal="center" vertical="center"/>
    </xf>
    <xf numFmtId="0" fontId="138" fillId="0" borderId="50" xfId="51" applyFont="1" applyBorder="1" applyAlignment="1">
      <alignment horizontal="center" vertical="center"/>
    </xf>
    <xf numFmtId="14" fontId="274" fillId="0" borderId="2" xfId="21" applyNumberFormat="1" applyFont="1" applyBorder="1" applyAlignment="1">
      <alignment horizontal="center" vertical="center"/>
    </xf>
    <xf numFmtId="165" fontId="278" fillId="0" borderId="0" xfId="1" applyFont="1" applyFill="1" applyBorder="1" applyAlignment="1">
      <alignment horizontal="center" vertical="center"/>
    </xf>
    <xf numFmtId="0" fontId="277" fillId="0" borderId="0" xfId="0" applyFont="1" applyAlignment="1">
      <alignment horizontal="center" vertical="center"/>
    </xf>
    <xf numFmtId="14" fontId="274" fillId="20" borderId="8" xfId="21" applyNumberFormat="1" applyFont="1" applyFill="1" applyBorder="1" applyAlignment="1">
      <alignment horizontal="center" vertical="center"/>
    </xf>
    <xf numFmtId="0" fontId="274" fillId="35" borderId="2" xfId="21" applyFont="1" applyFill="1" applyBorder="1" applyAlignment="1">
      <alignment horizontal="center" vertical="center"/>
    </xf>
    <xf numFmtId="0" fontId="273" fillId="0" borderId="47" xfId="51" applyFont="1" applyBorder="1" applyAlignment="1">
      <alignment horizontal="center" vertical="center"/>
    </xf>
    <xf numFmtId="0" fontId="274" fillId="20" borderId="2" xfId="21" applyFont="1" applyFill="1" applyBorder="1" applyAlignment="1">
      <alignment horizontal="center" vertical="center"/>
    </xf>
    <xf numFmtId="0" fontId="274" fillId="34" borderId="2" xfId="21" applyFont="1" applyFill="1" applyBorder="1" applyAlignment="1">
      <alignment horizontal="center" vertical="center"/>
    </xf>
    <xf numFmtId="0" fontId="273" fillId="0" borderId="43" xfId="51" applyFont="1" applyBorder="1" applyAlignment="1">
      <alignment horizontal="center" vertical="center"/>
    </xf>
    <xf numFmtId="0" fontId="138" fillId="0" borderId="44" xfId="51" applyFont="1" applyBorder="1" applyAlignment="1">
      <alignment horizontal="center" vertical="center"/>
    </xf>
    <xf numFmtId="0" fontId="138" fillId="0" borderId="45" xfId="51" applyFont="1" applyBorder="1" applyAlignment="1">
      <alignment horizontal="center" vertical="center"/>
    </xf>
    <xf numFmtId="0" fontId="138" fillId="0" borderId="48" xfId="51" applyFont="1" applyBorder="1" applyAlignment="1">
      <alignment horizontal="center" vertical="center"/>
    </xf>
    <xf numFmtId="0" fontId="274" fillId="3" borderId="9" xfId="21" applyFont="1" applyFill="1" applyBorder="1" applyAlignment="1">
      <alignment horizontal="center" vertical="center"/>
    </xf>
    <xf numFmtId="14" fontId="274" fillId="20" borderId="3" xfId="21" applyNumberFormat="1" applyFont="1" applyFill="1" applyBorder="1" applyAlignment="1">
      <alignment horizontal="center" vertical="center"/>
    </xf>
    <xf numFmtId="0" fontId="138" fillId="3" borderId="0" xfId="51" applyFont="1" applyFill="1" applyAlignment="1">
      <alignment horizontal="center" vertical="center"/>
    </xf>
    <xf numFmtId="1" fontId="278" fillId="15" borderId="2" xfId="1" applyNumberFormat="1" applyFont="1" applyFill="1" applyBorder="1" applyAlignment="1">
      <alignment horizontal="center" vertical="center"/>
    </xf>
    <xf numFmtId="0" fontId="138" fillId="20" borderId="2" xfId="51" applyFont="1" applyFill="1" applyBorder="1" applyAlignment="1">
      <alignment horizontal="center" vertical="center"/>
    </xf>
    <xf numFmtId="0" fontId="138" fillId="20" borderId="25" xfId="51" applyFont="1" applyFill="1" applyBorder="1" applyAlignment="1">
      <alignment horizontal="center" vertical="center"/>
    </xf>
    <xf numFmtId="0" fontId="138" fillId="34" borderId="2" xfId="51" applyFont="1" applyFill="1" applyBorder="1" applyAlignment="1">
      <alignment horizontal="center" vertical="center"/>
    </xf>
    <xf numFmtId="0" fontId="138" fillId="0" borderId="20" xfId="51" applyFont="1" applyBorder="1" applyAlignment="1">
      <alignment horizontal="center" vertical="center"/>
    </xf>
    <xf numFmtId="0" fontId="274" fillId="3" borderId="4" xfId="21" applyFont="1" applyFill="1" applyBorder="1" applyAlignment="1">
      <alignment horizontal="center" vertical="center"/>
    </xf>
    <xf numFmtId="0" fontId="138" fillId="15" borderId="2" xfId="51" applyFont="1" applyFill="1" applyBorder="1" applyAlignment="1">
      <alignment horizontal="center" vertical="center"/>
    </xf>
    <xf numFmtId="1" fontId="278" fillId="20" borderId="2" xfId="1" applyNumberFormat="1" applyFont="1" applyFill="1" applyBorder="1" applyAlignment="1">
      <alignment horizontal="center" vertical="center"/>
    </xf>
    <xf numFmtId="0" fontId="138" fillId="34" borderId="0" xfId="51" applyFont="1" applyFill="1" applyAlignment="1">
      <alignment horizontal="center" vertical="center"/>
    </xf>
    <xf numFmtId="1" fontId="275" fillId="3" borderId="2" xfId="1" applyNumberFormat="1" applyFont="1" applyFill="1" applyBorder="1" applyAlignment="1">
      <alignment horizontal="center" vertical="center"/>
    </xf>
    <xf numFmtId="0" fontId="280" fillId="3" borderId="2" xfId="21" applyFont="1" applyFill="1" applyBorder="1" applyAlignment="1">
      <alignment horizontal="center" vertical="center"/>
    </xf>
    <xf numFmtId="0" fontId="138" fillId="3" borderId="43" xfId="51" applyFont="1" applyFill="1" applyBorder="1" applyAlignment="1">
      <alignment horizontal="center" vertical="center"/>
    </xf>
    <xf numFmtId="0" fontId="273" fillId="9" borderId="43" xfId="51" applyFont="1" applyFill="1" applyBorder="1" applyAlignment="1">
      <alignment horizontal="left" vertical="center"/>
    </xf>
    <xf numFmtId="0" fontId="273" fillId="3" borderId="0" xfId="51" applyFont="1" applyFill="1" applyAlignment="1">
      <alignment horizontal="left" vertical="center"/>
    </xf>
    <xf numFmtId="0" fontId="273" fillId="9" borderId="45" xfId="51" applyFont="1" applyFill="1" applyBorder="1" applyAlignment="1">
      <alignment horizontal="center" vertical="center"/>
    </xf>
    <xf numFmtId="0" fontId="276" fillId="20" borderId="2" xfId="21" applyFont="1" applyFill="1" applyBorder="1" applyAlignment="1">
      <alignment horizontal="center" vertical="center"/>
    </xf>
    <xf numFmtId="0" fontId="274" fillId="21" borderId="2" xfId="21" applyFont="1" applyFill="1" applyBorder="1" applyAlignment="1">
      <alignment horizontal="center" vertical="center"/>
    </xf>
    <xf numFmtId="0" fontId="278" fillId="3" borderId="0" xfId="0" applyFont="1" applyFill="1" applyAlignment="1">
      <alignment horizontal="center" vertical="center"/>
    </xf>
    <xf numFmtId="0" fontId="138" fillId="3" borderId="76" xfId="51" applyFont="1" applyFill="1" applyBorder="1" applyAlignment="1">
      <alignment horizontal="center" vertical="center"/>
    </xf>
    <xf numFmtId="0" fontId="138" fillId="3" borderId="32" xfId="51" applyFont="1" applyFill="1" applyBorder="1" applyAlignment="1">
      <alignment horizontal="center" vertical="center"/>
    </xf>
    <xf numFmtId="0" fontId="273" fillId="9" borderId="32" xfId="51" applyFont="1" applyFill="1" applyBorder="1" applyAlignment="1">
      <alignment horizontal="center" vertical="center"/>
    </xf>
    <xf numFmtId="0" fontId="138" fillId="3" borderId="32" xfId="51" applyFont="1" applyFill="1" applyBorder="1" applyAlignment="1">
      <alignment horizontal="right" vertical="center"/>
    </xf>
    <xf numFmtId="0" fontId="273" fillId="9" borderId="32" xfId="51" applyFont="1" applyFill="1" applyBorder="1" applyAlignment="1">
      <alignment horizontal="right" vertical="center"/>
    </xf>
    <xf numFmtId="0" fontId="138" fillId="15" borderId="0" xfId="51" applyFont="1" applyFill="1" applyAlignment="1">
      <alignment horizontal="center" vertical="center"/>
    </xf>
    <xf numFmtId="0" fontId="276" fillId="3" borderId="0" xfId="21" applyFont="1" applyFill="1" applyAlignment="1">
      <alignment horizontal="center" vertical="center"/>
    </xf>
    <xf numFmtId="0" fontId="273" fillId="9" borderId="0" xfId="0" applyFont="1" applyFill="1" applyAlignment="1">
      <alignment horizontal="center" vertical="center" wrapText="1"/>
    </xf>
    <xf numFmtId="0" fontId="273" fillId="9" borderId="0" xfId="51" applyFont="1" applyFill="1" applyAlignment="1">
      <alignment horizontal="center" vertical="center" wrapText="1"/>
    </xf>
    <xf numFmtId="0" fontId="275" fillId="3" borderId="0" xfId="51" applyFont="1" applyFill="1" applyAlignment="1">
      <alignment horizontal="center" vertical="center" wrapText="1"/>
    </xf>
    <xf numFmtId="0" fontId="173" fillId="0" borderId="2" xfId="0" applyFont="1" applyBorder="1" applyAlignment="1">
      <alignment wrapText="1"/>
    </xf>
    <xf numFmtId="0" fontId="269" fillId="0" borderId="0" xfId="0" applyFont="1" applyAlignment="1">
      <alignment horizontal="left" vertical="top" wrapText="1"/>
    </xf>
    <xf numFmtId="0" fontId="274" fillId="20" borderId="8" xfId="21" applyFont="1" applyFill="1" applyBorder="1" applyAlignment="1">
      <alignment horizontal="center" vertical="center"/>
    </xf>
    <xf numFmtId="0" fontId="0" fillId="9" borderId="2" xfId="0" applyFill="1" applyBorder="1" applyAlignment="1">
      <alignment horizontal="center"/>
    </xf>
    <xf numFmtId="14" fontId="0" fillId="9" borderId="2" xfId="0" applyNumberFormat="1" applyFill="1" applyBorder="1"/>
    <xf numFmtId="0" fontId="0" fillId="9" borderId="2" xfId="0" applyFill="1" applyBorder="1" applyAlignment="1">
      <alignment horizontal="right"/>
    </xf>
    <xf numFmtId="14" fontId="0" fillId="9" borderId="2" xfId="0" applyNumberFormat="1" applyFill="1" applyBorder="1" applyAlignment="1">
      <alignment horizontal="right"/>
    </xf>
    <xf numFmtId="0" fontId="78" fillId="9" borderId="0" xfId="0" applyFont="1" applyFill="1"/>
    <xf numFmtId="14" fontId="90" fillId="9" borderId="2" xfId="0" applyNumberFormat="1" applyFont="1" applyFill="1" applyBorder="1"/>
    <xf numFmtId="0" fontId="173" fillId="0" borderId="2" xfId="0" applyFont="1" applyBorder="1" applyAlignment="1">
      <alignment horizontal="left" vertical="center" wrapText="1" indent="4"/>
    </xf>
    <xf numFmtId="0" fontId="1" fillId="0" borderId="2" xfId="0" applyFont="1" applyBorder="1" applyAlignment="1">
      <alignment horizontal="center" vertical="center"/>
    </xf>
    <xf numFmtId="0" fontId="184" fillId="0" borderId="0" xfId="0" applyFont="1" applyAlignment="1">
      <alignment horizontal="center" vertical="center"/>
    </xf>
    <xf numFmtId="0" fontId="149" fillId="0" borderId="25" xfId="0" applyFont="1" applyBorder="1" applyAlignment="1">
      <alignment horizontal="center" vertical="center" wrapText="1"/>
    </xf>
    <xf numFmtId="0" fontId="149" fillId="0" borderId="33" xfId="0" applyFont="1" applyBorder="1" applyAlignment="1">
      <alignment horizontal="center" vertical="center" wrapText="1"/>
    </xf>
    <xf numFmtId="0" fontId="149" fillId="0" borderId="28" xfId="0" applyFont="1" applyBorder="1" applyAlignment="1">
      <alignment horizontal="center" vertical="center" wrapText="1"/>
    </xf>
    <xf numFmtId="0" fontId="149" fillId="0" borderId="23" xfId="0" applyFont="1" applyBorder="1" applyAlignment="1">
      <alignment horizontal="center" vertical="center" wrapText="1"/>
    </xf>
    <xf numFmtId="0" fontId="149" fillId="0" borderId="5" xfId="0" applyFont="1" applyBorder="1" applyAlignment="1">
      <alignment horizontal="center" vertical="center" wrapText="1"/>
    </xf>
    <xf numFmtId="0" fontId="149" fillId="0" borderId="24" xfId="0" applyFont="1" applyBorder="1" applyAlignment="1">
      <alignment horizontal="center" vertical="center" wrapText="1"/>
    </xf>
    <xf numFmtId="0" fontId="173" fillId="0" borderId="0" xfId="0" applyFont="1" applyAlignment="1">
      <alignment horizontal="center" vertical="center"/>
    </xf>
    <xf numFmtId="0" fontId="242" fillId="0" borderId="25" xfId="0" applyFont="1" applyBorder="1" applyAlignment="1">
      <alignment horizontal="center" vertical="center" wrapText="1" readingOrder="1"/>
    </xf>
    <xf numFmtId="0" fontId="242" fillId="0" borderId="33" xfId="0" applyFont="1" applyBorder="1" applyAlignment="1">
      <alignment horizontal="center" vertical="center" wrapText="1" readingOrder="1"/>
    </xf>
    <xf numFmtId="0" fontId="242" fillId="0" borderId="28" xfId="0" applyFont="1" applyBorder="1" applyAlignment="1">
      <alignment horizontal="center" vertical="center" wrapText="1" readingOrder="1"/>
    </xf>
    <xf numFmtId="0" fontId="251" fillId="10" borderId="25" xfId="0" applyFont="1" applyFill="1" applyBorder="1" applyAlignment="1" applyProtection="1">
      <alignment horizontal="center" vertical="center" wrapText="1"/>
      <protection hidden="1"/>
    </xf>
    <xf numFmtId="0" fontId="251" fillId="10" borderId="33" xfId="0" applyFont="1" applyFill="1" applyBorder="1" applyAlignment="1" applyProtection="1">
      <alignment horizontal="center" vertical="center" wrapText="1"/>
      <protection hidden="1"/>
    </xf>
    <xf numFmtId="0" fontId="251" fillId="10" borderId="28" xfId="0" applyFont="1" applyFill="1" applyBorder="1" applyAlignment="1" applyProtection="1">
      <alignment horizontal="center" vertical="center" wrapText="1"/>
      <protection hidden="1"/>
    </xf>
    <xf numFmtId="0" fontId="253" fillId="10" borderId="33" xfId="0" applyFont="1" applyFill="1" applyBorder="1" applyAlignment="1" applyProtection="1">
      <alignment horizontal="left" vertical="center" wrapText="1"/>
      <protection hidden="1"/>
    </xf>
    <xf numFmtId="0" fontId="253" fillId="10" borderId="25" xfId="0" applyFont="1" applyFill="1" applyBorder="1" applyAlignment="1" applyProtection="1">
      <alignment horizontal="center" vertical="center"/>
      <protection hidden="1"/>
    </xf>
    <xf numFmtId="0" fontId="253" fillId="10" borderId="33" xfId="0" applyFont="1" applyFill="1" applyBorder="1" applyAlignment="1" applyProtection="1">
      <alignment horizontal="center" vertical="center"/>
      <protection hidden="1"/>
    </xf>
    <xf numFmtId="0" fontId="253" fillId="10" borderId="28" xfId="0" applyFont="1" applyFill="1" applyBorder="1" applyAlignment="1" applyProtection="1">
      <alignment horizontal="center" vertical="center"/>
      <protection hidden="1"/>
    </xf>
    <xf numFmtId="0" fontId="242" fillId="0" borderId="25" xfId="0" applyFont="1" applyBorder="1" applyAlignment="1">
      <alignment horizontal="center" vertical="center" readingOrder="1"/>
    </xf>
    <xf numFmtId="0" fontId="242" fillId="0" borderId="33" xfId="0" applyFont="1" applyBorder="1" applyAlignment="1">
      <alignment horizontal="center" vertical="center" readingOrder="1"/>
    </xf>
    <xf numFmtId="0" fontId="242" fillId="0" borderId="28" xfId="0" applyFont="1" applyBorder="1" applyAlignment="1">
      <alignment horizontal="center" vertical="center" readingOrder="1"/>
    </xf>
    <xf numFmtId="0" fontId="242" fillId="0" borderId="23" xfId="0" applyFont="1" applyBorder="1" applyAlignment="1">
      <alignment horizontal="center" vertical="center" wrapText="1" readingOrder="1"/>
    </xf>
    <xf numFmtId="0" fontId="242" fillId="0" borderId="5" xfId="0" applyFont="1" applyBorder="1" applyAlignment="1">
      <alignment horizontal="center" vertical="center" wrapText="1" readingOrder="1"/>
    </xf>
    <xf numFmtId="0" fontId="242" fillId="0" borderId="24" xfId="0" applyFont="1" applyBorder="1" applyAlignment="1">
      <alignment horizontal="center" vertical="center" wrapText="1" readingOrder="1"/>
    </xf>
    <xf numFmtId="0" fontId="242" fillId="0" borderId="20" xfId="0" applyFont="1" applyBorder="1" applyAlignment="1">
      <alignment horizontal="center" vertical="center" wrapText="1" readingOrder="1"/>
    </xf>
    <xf numFmtId="0" fontId="242" fillId="0" borderId="0" xfId="0" applyFont="1" applyAlignment="1">
      <alignment horizontal="center" vertical="center" wrapText="1" readingOrder="1"/>
    </xf>
    <xf numFmtId="0" fontId="242" fillId="0" borderId="35" xfId="0" applyFont="1" applyBorder="1" applyAlignment="1">
      <alignment horizontal="center" vertical="center" wrapText="1" readingOrder="1"/>
    </xf>
    <xf numFmtId="0" fontId="242" fillId="0" borderId="26" xfId="0" applyFont="1" applyBorder="1" applyAlignment="1">
      <alignment horizontal="center" vertical="center" wrapText="1" readingOrder="1"/>
    </xf>
    <xf numFmtId="0" fontId="242" fillId="0" borderId="32" xfId="0" applyFont="1" applyBorder="1" applyAlignment="1">
      <alignment horizontal="center" vertical="center" wrapText="1" readingOrder="1"/>
    </xf>
    <xf numFmtId="0" fontId="242" fillId="0" borderId="27" xfId="0" applyFont="1" applyBorder="1" applyAlignment="1">
      <alignment horizontal="center" vertical="center" wrapText="1" readingOrder="1"/>
    </xf>
    <xf numFmtId="0" fontId="181" fillId="2" borderId="0" xfId="0" applyFont="1" applyFill="1" applyAlignment="1" applyProtection="1">
      <alignment horizontal="center"/>
      <protection hidden="1"/>
    </xf>
    <xf numFmtId="0" fontId="181" fillId="2" borderId="35" xfId="0" applyFont="1" applyFill="1" applyBorder="1" applyAlignment="1" applyProtection="1">
      <alignment horizontal="center"/>
      <protection hidden="1"/>
    </xf>
    <xf numFmtId="0" fontId="181" fillId="2" borderId="32" xfId="0" applyFont="1" applyFill="1" applyBorder="1" applyAlignment="1" applyProtection="1">
      <alignment horizontal="center"/>
      <protection hidden="1"/>
    </xf>
    <xf numFmtId="0" fontId="181" fillId="2" borderId="27" xfId="0" applyFont="1" applyFill="1" applyBorder="1" applyAlignment="1" applyProtection="1">
      <alignment horizontal="center"/>
      <protection hidden="1"/>
    </xf>
    <xf numFmtId="168" fontId="127" fillId="2" borderId="2" xfId="4" applyNumberFormat="1" applyFont="1" applyFill="1" applyBorder="1" applyAlignment="1" applyProtection="1">
      <alignment horizontal="center" vertical="center"/>
      <protection hidden="1"/>
    </xf>
    <xf numFmtId="0" fontId="178" fillId="2" borderId="33" xfId="0" applyFont="1" applyFill="1" applyBorder="1" applyAlignment="1" applyProtection="1">
      <alignment horizontal="center" vertical="center"/>
      <protection hidden="1"/>
    </xf>
    <xf numFmtId="0" fontId="178" fillId="2" borderId="28" xfId="0" applyFont="1" applyFill="1" applyBorder="1" applyAlignment="1" applyProtection="1">
      <alignment horizontal="center" vertical="center"/>
      <protection hidden="1"/>
    </xf>
    <xf numFmtId="168" fontId="179" fillId="2" borderId="23" xfId="17" applyNumberFormat="1" applyFont="1" applyFill="1" applyBorder="1" applyAlignment="1" applyProtection="1">
      <alignment horizontal="left" vertical="center" indent="3"/>
      <protection hidden="1"/>
    </xf>
    <xf numFmtId="168" fontId="179" fillId="2" borderId="5" xfId="17" applyNumberFormat="1" applyFont="1" applyFill="1" applyBorder="1" applyAlignment="1" applyProtection="1">
      <alignment horizontal="left" vertical="center" indent="3"/>
      <protection hidden="1"/>
    </xf>
    <xf numFmtId="168" fontId="179" fillId="2" borderId="24" xfId="17" applyNumberFormat="1" applyFont="1" applyFill="1" applyBorder="1" applyAlignment="1" applyProtection="1">
      <alignment horizontal="left" vertical="center" indent="3"/>
      <protection hidden="1"/>
    </xf>
    <xf numFmtId="168" fontId="179" fillId="2" borderId="20" xfId="17" applyNumberFormat="1" applyFont="1" applyFill="1" applyBorder="1" applyAlignment="1" applyProtection="1">
      <alignment horizontal="left" vertical="center" indent="3"/>
      <protection hidden="1"/>
    </xf>
    <xf numFmtId="168" fontId="179" fillId="2" borderId="0" xfId="17" applyNumberFormat="1" applyFont="1" applyFill="1" applyAlignment="1" applyProtection="1">
      <alignment horizontal="left" vertical="center" indent="3"/>
      <protection hidden="1"/>
    </xf>
    <xf numFmtId="168" fontId="179" fillId="2" borderId="35" xfId="17" applyNumberFormat="1" applyFont="1" applyFill="1" applyBorder="1" applyAlignment="1" applyProtection="1">
      <alignment horizontal="left" vertical="center" indent="3"/>
      <protection hidden="1"/>
    </xf>
    <xf numFmtId="0" fontId="182" fillId="5" borderId="2" xfId="0" applyFont="1" applyFill="1" applyBorder="1" applyAlignment="1" applyProtection="1">
      <alignment horizontal="center" vertical="center" wrapText="1"/>
      <protection hidden="1"/>
    </xf>
    <xf numFmtId="0" fontId="0" fillId="3" borderId="74" xfId="0" applyFill="1" applyBorder="1" applyAlignment="1">
      <alignment horizontal="center"/>
    </xf>
    <xf numFmtId="0" fontId="0" fillId="3" borderId="52" xfId="0" applyFill="1" applyBorder="1" applyAlignment="1">
      <alignment horizontal="center"/>
    </xf>
    <xf numFmtId="0" fontId="0" fillId="3" borderId="53" xfId="0" applyFill="1" applyBorder="1" applyAlignment="1">
      <alignment horizontal="center"/>
    </xf>
    <xf numFmtId="0" fontId="71" fillId="3" borderId="0" xfId="0" applyFont="1" applyFill="1" applyAlignment="1">
      <alignment horizontal="center" vertical="top"/>
    </xf>
    <xf numFmtId="0" fontId="136" fillId="0" borderId="2" xfId="0" applyFont="1" applyBorder="1" applyAlignment="1">
      <alignment horizontal="center" vertical="center"/>
    </xf>
    <xf numFmtId="0" fontId="136" fillId="3" borderId="2" xfId="0" applyFont="1" applyFill="1" applyBorder="1" applyAlignment="1">
      <alignment horizontal="center" vertical="center" wrapText="1"/>
    </xf>
    <xf numFmtId="0" fontId="137" fillId="0" borderId="2" xfId="0" applyFont="1" applyBorder="1" applyAlignment="1">
      <alignment horizontal="center" wrapText="1"/>
    </xf>
    <xf numFmtId="14" fontId="0" fillId="0" borderId="2" xfId="0" applyNumberFormat="1" applyBorder="1" applyAlignment="1">
      <alignment horizontal="left" vertical="center"/>
    </xf>
    <xf numFmtId="0" fontId="0" fillId="0" borderId="2" xfId="0" applyBorder="1" applyAlignment="1">
      <alignment horizontal="left" vertical="center"/>
    </xf>
    <xf numFmtId="0" fontId="137" fillId="0" borderId="2" xfId="0" applyFont="1" applyBorder="1" applyAlignment="1">
      <alignment horizontal="left" vertical="center"/>
    </xf>
    <xf numFmtId="0" fontId="143" fillId="0" borderId="2" xfId="0" applyFont="1" applyBorder="1" applyAlignment="1">
      <alignment horizontal="center" vertical="center" wrapText="1"/>
    </xf>
    <xf numFmtId="0" fontId="173" fillId="0" borderId="3" xfId="0" applyFont="1" applyBorder="1" applyAlignment="1">
      <alignment horizontal="left" vertical="center" wrapText="1"/>
    </xf>
    <xf numFmtId="0" fontId="173" fillId="0" borderId="46" xfId="0" applyFont="1" applyBorder="1" applyAlignment="1">
      <alignment horizontal="left" vertical="center" wrapText="1"/>
    </xf>
    <xf numFmtId="0" fontId="173" fillId="0" borderId="4" xfId="0" applyFont="1" applyBorder="1" applyAlignment="1">
      <alignment horizontal="left" vertical="center" wrapText="1"/>
    </xf>
    <xf numFmtId="0" fontId="71" fillId="0" borderId="25" xfId="0" applyFont="1" applyBorder="1" applyAlignment="1">
      <alignment horizontal="center" vertical="top"/>
    </xf>
    <xf numFmtId="0" fontId="71" fillId="0" borderId="28" xfId="0" applyFont="1" applyBorder="1" applyAlignment="1">
      <alignment horizontal="center" vertical="top"/>
    </xf>
    <xf numFmtId="0" fontId="71" fillId="0" borderId="25" xfId="0" applyFont="1" applyBorder="1" applyAlignment="1">
      <alignment horizontal="center"/>
    </xf>
    <xf numFmtId="0" fontId="71" fillId="0" borderId="33" xfId="0" applyFont="1" applyBorder="1" applyAlignment="1">
      <alignment horizontal="center"/>
    </xf>
    <xf numFmtId="0" fontId="71" fillId="0" borderId="28" xfId="0" applyFont="1" applyBorder="1" applyAlignment="1">
      <alignment horizontal="center"/>
    </xf>
    <xf numFmtId="0" fontId="71" fillId="0" borderId="5" xfId="0" applyFont="1" applyBorder="1" applyAlignment="1">
      <alignment horizontal="center" vertical="top"/>
    </xf>
    <xf numFmtId="0" fontId="137" fillId="0" borderId="2" xfId="0" applyFont="1" applyBorder="1" applyAlignment="1">
      <alignment horizontal="left" vertical="center" wrapText="1"/>
    </xf>
    <xf numFmtId="0" fontId="149" fillId="3" borderId="25" xfId="0" applyFont="1" applyFill="1" applyBorder="1" applyAlignment="1">
      <alignment horizontal="center" vertical="center"/>
    </xf>
    <xf numFmtId="0" fontId="149" fillId="3" borderId="33" xfId="0" applyFont="1" applyFill="1" applyBorder="1" applyAlignment="1">
      <alignment horizontal="center" vertical="center"/>
    </xf>
    <xf numFmtId="0" fontId="149" fillId="3" borderId="28" xfId="0" applyFont="1" applyFill="1" applyBorder="1" applyAlignment="1">
      <alignment horizontal="center" vertical="center"/>
    </xf>
    <xf numFmtId="0" fontId="210" fillId="9" borderId="44" xfId="0" applyFont="1" applyFill="1" applyBorder="1" applyAlignment="1">
      <alignment horizontal="center" vertical="center" wrapText="1"/>
    </xf>
    <xf numFmtId="0" fontId="210" fillId="9" borderId="45" xfId="0" applyFont="1" applyFill="1" applyBorder="1" applyAlignment="1">
      <alignment horizontal="center" vertical="center" wrapText="1"/>
    </xf>
    <xf numFmtId="0" fontId="211" fillId="25" borderId="68" xfId="0" applyFont="1" applyFill="1" applyBorder="1" applyAlignment="1">
      <alignment horizontal="center" vertical="center" wrapText="1"/>
    </xf>
    <xf numFmtId="0" fontId="211" fillId="25" borderId="66" xfId="0" applyFont="1" applyFill="1" applyBorder="1" applyAlignment="1">
      <alignment horizontal="center" vertical="center" wrapText="1"/>
    </xf>
    <xf numFmtId="0" fontId="213" fillId="25" borderId="68" xfId="0" applyFont="1" applyFill="1" applyBorder="1" applyAlignment="1">
      <alignment horizontal="center" vertical="center" wrapText="1"/>
    </xf>
    <xf numFmtId="0" fontId="213" fillId="25" borderId="65" xfId="0" applyFont="1" applyFill="1" applyBorder="1" applyAlignment="1">
      <alignment horizontal="center" vertical="center" wrapText="1"/>
    </xf>
    <xf numFmtId="0" fontId="0" fillId="3" borderId="5" xfId="0" applyFill="1" applyBorder="1" applyAlignment="1">
      <alignment horizontal="center" vertical="top"/>
    </xf>
    <xf numFmtId="0" fontId="137" fillId="3" borderId="2" xfId="0" applyFont="1" applyFill="1" applyBorder="1" applyAlignment="1">
      <alignment horizontal="left" vertical="center"/>
    </xf>
    <xf numFmtId="0" fontId="137" fillId="3" borderId="2" xfId="0" applyFont="1" applyFill="1" applyBorder="1" applyAlignment="1">
      <alignment horizontal="left" vertical="center" wrapText="1"/>
    </xf>
    <xf numFmtId="0" fontId="0" fillId="3" borderId="25" xfId="0" applyFill="1" applyBorder="1" applyAlignment="1">
      <alignment horizontal="center" vertical="top"/>
    </xf>
    <xf numFmtId="0" fontId="0" fillId="3" borderId="28" xfId="0" applyFill="1" applyBorder="1" applyAlignment="1">
      <alignment horizontal="center" vertical="top"/>
    </xf>
    <xf numFmtId="0" fontId="0" fillId="3" borderId="25" xfId="0" applyFill="1" applyBorder="1" applyAlignment="1">
      <alignment horizontal="center"/>
    </xf>
    <xf numFmtId="0" fontId="0" fillId="3" borderId="33" xfId="0" applyFill="1" applyBorder="1" applyAlignment="1">
      <alignment horizontal="center"/>
    </xf>
    <xf numFmtId="0" fontId="0" fillId="3" borderId="28" xfId="0" applyFill="1" applyBorder="1" applyAlignment="1">
      <alignment horizontal="center"/>
    </xf>
    <xf numFmtId="0" fontId="136" fillId="0" borderId="6" xfId="0" applyFont="1" applyBorder="1" applyAlignment="1">
      <alignment horizontal="left" vertical="center"/>
    </xf>
    <xf numFmtId="0" fontId="136" fillId="0" borderId="7" xfId="0" applyFont="1" applyBorder="1" applyAlignment="1">
      <alignment horizontal="left" vertical="center"/>
    </xf>
    <xf numFmtId="0" fontId="136" fillId="0" borderId="13" xfId="0" applyFont="1" applyBorder="1" applyAlignment="1">
      <alignment horizontal="left" vertical="center"/>
    </xf>
    <xf numFmtId="0" fontId="136" fillId="3" borderId="8" xfId="0" applyFont="1" applyFill="1" applyBorder="1" applyAlignment="1">
      <alignment horizontal="left" vertical="center" wrapText="1"/>
    </xf>
    <xf numFmtId="0" fontId="136" fillId="3" borderId="2" xfId="0" applyFont="1" applyFill="1" applyBorder="1" applyAlignment="1">
      <alignment horizontal="left" vertical="center" wrapText="1"/>
    </xf>
    <xf numFmtId="0" fontId="136" fillId="3" borderId="14" xfId="0" applyFont="1" applyFill="1" applyBorder="1" applyAlignment="1">
      <alignment horizontal="left" vertical="center" wrapText="1"/>
    </xf>
    <xf numFmtId="0" fontId="137" fillId="0" borderId="8" xfId="0" applyFont="1" applyBorder="1" applyAlignment="1">
      <alignment horizontal="left" wrapText="1"/>
    </xf>
    <xf numFmtId="0" fontId="137" fillId="0" borderId="2" xfId="0" applyFont="1" applyBorder="1" applyAlignment="1">
      <alignment horizontal="left" wrapText="1"/>
    </xf>
    <xf numFmtId="0" fontId="137" fillId="0" borderId="14" xfId="0" applyFont="1" applyBorder="1" applyAlignment="1">
      <alignment horizontal="left" wrapText="1"/>
    </xf>
    <xf numFmtId="14" fontId="0" fillId="0" borderId="3" xfId="0" applyNumberFormat="1" applyBorder="1" applyAlignment="1">
      <alignment horizontal="left" vertical="center"/>
    </xf>
    <xf numFmtId="0" fontId="0" fillId="0" borderId="4" xfId="0" applyBorder="1" applyAlignment="1">
      <alignment horizontal="left" vertical="center"/>
    </xf>
    <xf numFmtId="14" fontId="0" fillId="0" borderId="46" xfId="0" applyNumberFormat="1" applyBorder="1" applyAlignment="1">
      <alignment horizontal="left" vertical="center"/>
    </xf>
    <xf numFmtId="14" fontId="0" fillId="0" borderId="4" xfId="0" applyNumberFormat="1" applyBorder="1" applyAlignment="1">
      <alignment horizontal="left" vertical="center"/>
    </xf>
    <xf numFmtId="0" fontId="143" fillId="0" borderId="25" xfId="0" applyFont="1" applyBorder="1" applyAlignment="1">
      <alignment horizontal="center" vertical="center" wrapText="1"/>
    </xf>
    <xf numFmtId="0" fontId="143" fillId="0" borderId="33" xfId="0" applyFont="1" applyBorder="1" applyAlignment="1">
      <alignment horizontal="center" vertical="center" wrapText="1"/>
    </xf>
    <xf numFmtId="0" fontId="143" fillId="0" borderId="28" xfId="0" applyFont="1" applyBorder="1" applyAlignment="1">
      <alignment horizontal="center" vertical="center" wrapText="1"/>
    </xf>
    <xf numFmtId="0" fontId="149" fillId="3" borderId="2" xfId="0" applyFont="1" applyFill="1" applyBorder="1" applyAlignment="1">
      <alignment horizontal="center" vertical="center"/>
    </xf>
    <xf numFmtId="0" fontId="173" fillId="3" borderId="3" xfId="0" applyFont="1" applyFill="1" applyBorder="1" applyAlignment="1">
      <alignment horizontal="left" vertical="center" wrapText="1"/>
    </xf>
    <xf numFmtId="0" fontId="173" fillId="3" borderId="46" xfId="0" applyFont="1" applyFill="1" applyBorder="1" applyAlignment="1">
      <alignment horizontal="left" vertical="center" wrapText="1"/>
    </xf>
    <xf numFmtId="0" fontId="173" fillId="3" borderId="4" xfId="0" applyFont="1" applyFill="1" applyBorder="1" applyAlignment="1">
      <alignment horizontal="left" vertical="center" wrapText="1"/>
    </xf>
    <xf numFmtId="0" fontId="136" fillId="0" borderId="17" xfId="0" applyFont="1" applyBorder="1" applyAlignment="1">
      <alignment horizontal="left" vertical="center"/>
    </xf>
    <xf numFmtId="0" fontId="136" fillId="0" borderId="18" xfId="0" applyFont="1" applyBorder="1" applyAlignment="1">
      <alignment horizontal="left" vertical="center"/>
    </xf>
    <xf numFmtId="0" fontId="136" fillId="0" borderId="19" xfId="0" applyFont="1" applyBorder="1" applyAlignment="1">
      <alignment horizontal="left" vertical="center"/>
    </xf>
    <xf numFmtId="0" fontId="191" fillId="3" borderId="69" xfId="0" applyFont="1" applyFill="1" applyBorder="1" applyAlignment="1">
      <alignment horizontal="left" vertical="center" wrapText="1"/>
    </xf>
    <xf numFmtId="0" fontId="191" fillId="3" borderId="33" xfId="0" applyFont="1" applyFill="1" applyBorder="1" applyAlignment="1">
      <alignment horizontal="left" vertical="center" wrapText="1"/>
    </xf>
    <xf numFmtId="0" fontId="191" fillId="3" borderId="70" xfId="0" applyFont="1" applyFill="1" applyBorder="1" applyAlignment="1">
      <alignment horizontal="left" vertical="center" wrapText="1"/>
    </xf>
    <xf numFmtId="0" fontId="136" fillId="3" borderId="69" xfId="0" applyFont="1" applyFill="1" applyBorder="1" applyAlignment="1">
      <alignment horizontal="left" vertical="center" wrapText="1"/>
    </xf>
    <xf numFmtId="0" fontId="136" fillId="3" borderId="33" xfId="0" applyFont="1" applyFill="1" applyBorder="1" applyAlignment="1">
      <alignment horizontal="left" vertical="center" wrapText="1"/>
    </xf>
    <xf numFmtId="0" fontId="136" fillId="3" borderId="70" xfId="0" applyFont="1" applyFill="1" applyBorder="1" applyAlignment="1">
      <alignment horizontal="left" vertical="center" wrapText="1"/>
    </xf>
    <xf numFmtId="0" fontId="137" fillId="0" borderId="69" xfId="0" applyFont="1" applyBorder="1" applyAlignment="1">
      <alignment horizontal="left" wrapText="1"/>
    </xf>
    <xf numFmtId="0" fontId="137" fillId="0" borderId="33" xfId="0" applyFont="1" applyBorder="1" applyAlignment="1">
      <alignment horizontal="left" wrapText="1"/>
    </xf>
    <xf numFmtId="0" fontId="137" fillId="0" borderId="70" xfId="0" applyFont="1" applyBorder="1" applyAlignment="1">
      <alignment horizontal="left" wrapText="1"/>
    </xf>
    <xf numFmtId="0" fontId="143" fillId="0" borderId="0" xfId="0" applyFont="1" applyAlignment="1">
      <alignment horizontal="center" vertical="top"/>
    </xf>
    <xf numFmtId="0" fontId="143" fillId="9" borderId="25" xfId="0" applyFont="1" applyFill="1" applyBorder="1" applyAlignment="1">
      <alignment horizontal="center"/>
    </xf>
    <xf numFmtId="0" fontId="143" fillId="9" borderId="33" xfId="0" applyFont="1" applyFill="1" applyBorder="1" applyAlignment="1">
      <alignment horizontal="center"/>
    </xf>
    <xf numFmtId="0" fontId="143" fillId="9" borderId="28" xfId="0" applyFont="1" applyFill="1" applyBorder="1" applyAlignment="1">
      <alignment horizontal="center"/>
    </xf>
    <xf numFmtId="0" fontId="143" fillId="0" borderId="2" xfId="0" applyFont="1" applyBorder="1" applyAlignment="1">
      <alignment horizontal="center" wrapText="1"/>
    </xf>
    <xf numFmtId="0" fontId="169" fillId="0" borderId="2" xfId="0" applyFont="1" applyBorder="1" applyAlignment="1">
      <alignment horizontal="center" vertical="center" wrapText="1"/>
    </xf>
    <xf numFmtId="0" fontId="169" fillId="0" borderId="3" xfId="0" applyFont="1" applyBorder="1" applyAlignment="1">
      <alignment horizontal="center" vertical="center" wrapText="1"/>
    </xf>
    <xf numFmtId="0" fontId="169" fillId="0" borderId="33" xfId="0" applyFont="1" applyBorder="1" applyAlignment="1">
      <alignment horizontal="center" vertical="center" wrapText="1"/>
    </xf>
    <xf numFmtId="0" fontId="169" fillId="0" borderId="4" xfId="0" applyFont="1" applyBorder="1" applyAlignment="1">
      <alignment horizontal="center" vertical="center" wrapText="1"/>
    </xf>
    <xf numFmtId="0" fontId="152" fillId="0" borderId="25" xfId="0" applyFont="1" applyBorder="1" applyAlignment="1">
      <alignment horizontal="center" vertical="center"/>
    </xf>
    <xf numFmtId="0" fontId="152" fillId="0" borderId="28" xfId="0" applyFont="1" applyBorder="1" applyAlignment="1">
      <alignment horizontal="center" vertical="center"/>
    </xf>
    <xf numFmtId="0" fontId="152" fillId="11" borderId="2" xfId="0" applyFont="1" applyFill="1" applyBorder="1" applyAlignment="1">
      <alignment horizontal="center" vertical="center" wrapText="1"/>
    </xf>
    <xf numFmtId="0" fontId="152" fillId="11" borderId="2" xfId="0" applyFont="1" applyFill="1" applyBorder="1" applyAlignment="1">
      <alignment horizontal="center" vertical="center"/>
    </xf>
    <xf numFmtId="0" fontId="154" fillId="0" borderId="3" xfId="0" applyFont="1" applyBorder="1" applyAlignment="1">
      <alignment horizontal="center" vertical="center"/>
    </xf>
    <xf numFmtId="0" fontId="154" fillId="0" borderId="46" xfId="0" applyFont="1" applyBorder="1" applyAlignment="1">
      <alignment horizontal="center" vertical="center"/>
    </xf>
    <xf numFmtId="0" fontId="154" fillId="0" borderId="4" xfId="0" applyFont="1" applyBorder="1" applyAlignment="1">
      <alignment horizontal="center" vertical="center"/>
    </xf>
    <xf numFmtId="171" fontId="153" fillId="11" borderId="43" xfId="0" applyNumberFormat="1" applyFont="1" applyFill="1" applyBorder="1" applyAlignment="1">
      <alignment horizontal="center" vertical="center"/>
    </xf>
    <xf numFmtId="171" fontId="153" fillId="11" borderId="0" xfId="0" applyNumberFormat="1" applyFont="1" applyFill="1" applyAlignment="1">
      <alignment horizontal="center" vertical="center"/>
    </xf>
    <xf numFmtId="0" fontId="152" fillId="11" borderId="23" xfId="0" applyFont="1" applyFill="1" applyBorder="1" applyAlignment="1">
      <alignment horizontal="center" vertical="center"/>
    </xf>
    <xf numFmtId="0" fontId="152" fillId="11" borderId="24" xfId="0" applyFont="1" applyFill="1" applyBorder="1" applyAlignment="1">
      <alignment horizontal="center" vertical="center"/>
    </xf>
    <xf numFmtId="0" fontId="152" fillId="11" borderId="26" xfId="0" applyFont="1" applyFill="1" applyBorder="1" applyAlignment="1">
      <alignment horizontal="center" vertical="center"/>
    </xf>
    <xf numFmtId="0" fontId="152" fillId="11" borderId="27" xfId="0" applyFont="1" applyFill="1" applyBorder="1" applyAlignment="1">
      <alignment horizontal="center" vertical="center"/>
    </xf>
    <xf numFmtId="0" fontId="150" fillId="0" borderId="49" xfId="18" applyFont="1" applyBorder="1" applyAlignment="1">
      <alignment horizontal="center" vertical="center"/>
    </xf>
    <xf numFmtId="0" fontId="150" fillId="0" borderId="22" xfId="18" applyFont="1" applyBorder="1" applyAlignment="1">
      <alignment horizontal="center" vertical="center"/>
    </xf>
    <xf numFmtId="0" fontId="150" fillId="0" borderId="50" xfId="18" applyFont="1" applyBorder="1" applyAlignment="1">
      <alignment horizontal="center" vertical="center"/>
    </xf>
    <xf numFmtId="0" fontId="151" fillId="0" borderId="43" xfId="0" applyFont="1" applyBorder="1" applyAlignment="1">
      <alignment horizontal="center" vertical="center"/>
    </xf>
    <xf numFmtId="0" fontId="151" fillId="0" borderId="0" xfId="0" applyFont="1" applyAlignment="1">
      <alignment horizontal="center" vertical="center"/>
    </xf>
    <xf numFmtId="0" fontId="151" fillId="0" borderId="47" xfId="0" applyFont="1" applyBorder="1" applyAlignment="1">
      <alignment horizontal="center" vertical="center"/>
    </xf>
    <xf numFmtId="0" fontId="152" fillId="11" borderId="25" xfId="0" applyFont="1" applyFill="1" applyBorder="1" applyAlignment="1">
      <alignment horizontal="center" vertical="center"/>
    </xf>
    <xf numFmtId="0" fontId="152" fillId="11" borderId="33" xfId="0" applyFont="1" applyFill="1" applyBorder="1" applyAlignment="1">
      <alignment horizontal="center" vertical="center"/>
    </xf>
    <xf numFmtId="0" fontId="152" fillId="11" borderId="28" xfId="0" applyFont="1" applyFill="1" applyBorder="1" applyAlignment="1">
      <alignment horizontal="center" vertical="center"/>
    </xf>
    <xf numFmtId="0" fontId="152" fillId="3" borderId="0" xfId="0" applyFont="1" applyFill="1" applyAlignment="1">
      <alignment horizontal="center" vertical="center"/>
    </xf>
    <xf numFmtId="0" fontId="154" fillId="0" borderId="17" xfId="0" applyFont="1" applyBorder="1" applyAlignment="1">
      <alignment horizontal="center" vertical="center"/>
    </xf>
    <xf numFmtId="0" fontId="154" fillId="0" borderId="18" xfId="0" applyFont="1" applyBorder="1" applyAlignment="1">
      <alignment horizontal="center" vertical="center"/>
    </xf>
    <xf numFmtId="0" fontId="154" fillId="0" borderId="19" xfId="0" applyFont="1" applyBorder="1" applyAlignment="1">
      <alignment horizontal="center" vertical="center"/>
    </xf>
    <xf numFmtId="0" fontId="154" fillId="0" borderId="51" xfId="0" applyFont="1" applyBorder="1" applyAlignment="1">
      <alignment horizontal="center" vertical="center"/>
    </xf>
    <xf numFmtId="0" fontId="154" fillId="0" borderId="52" xfId="0" applyFont="1" applyBorder="1" applyAlignment="1">
      <alignment horizontal="center" vertical="center"/>
    </xf>
    <xf numFmtId="164" fontId="154" fillId="0" borderId="51" xfId="2" applyFont="1" applyFill="1" applyBorder="1" applyAlignment="1">
      <alignment horizontal="center" vertical="center"/>
    </xf>
    <xf numFmtId="164" fontId="154" fillId="0" borderId="52" xfId="2" applyFont="1" applyFill="1" applyBorder="1" applyAlignment="1">
      <alignment horizontal="center" vertical="center"/>
    </xf>
    <xf numFmtId="164" fontId="154" fillId="0" borderId="53" xfId="2" applyFont="1" applyFill="1" applyBorder="1" applyAlignment="1">
      <alignment horizontal="center" vertical="center"/>
    </xf>
    <xf numFmtId="0" fontId="163" fillId="13" borderId="43" xfId="0" applyFont="1" applyFill="1" applyBorder="1" applyAlignment="1">
      <alignment horizontal="center"/>
    </xf>
    <xf numFmtId="0" fontId="163" fillId="13" borderId="0" xfId="0" applyFont="1" applyFill="1" applyAlignment="1">
      <alignment horizontal="center"/>
    </xf>
    <xf numFmtId="0" fontId="163" fillId="13" borderId="47" xfId="0" applyFont="1" applyFill="1" applyBorder="1" applyAlignment="1">
      <alignment horizontal="center"/>
    </xf>
    <xf numFmtId="0" fontId="168" fillId="0" borderId="2" xfId="0" applyFont="1" applyBorder="1" applyAlignment="1">
      <alignment horizontal="left" vertical="center" wrapText="1"/>
    </xf>
    <xf numFmtId="0" fontId="168" fillId="0" borderId="2" xfId="0" applyFont="1" applyBorder="1" applyAlignment="1">
      <alignment horizontal="left" vertical="center"/>
    </xf>
    <xf numFmtId="0" fontId="154" fillId="0" borderId="53" xfId="0" applyFont="1" applyBorder="1" applyAlignment="1">
      <alignment horizontal="center" vertical="center"/>
    </xf>
    <xf numFmtId="0" fontId="151" fillId="0" borderId="44" xfId="0" applyFont="1" applyBorder="1" applyAlignment="1">
      <alignment horizontal="center" vertical="center"/>
    </xf>
    <xf numFmtId="0" fontId="151" fillId="0" borderId="45" xfId="0" applyFont="1" applyBorder="1" applyAlignment="1">
      <alignment horizontal="center" vertical="center"/>
    </xf>
    <xf numFmtId="0" fontId="151" fillId="0" borderId="48" xfId="0" applyFont="1" applyBorder="1" applyAlignment="1">
      <alignment horizontal="center" vertical="center"/>
    </xf>
    <xf numFmtId="0" fontId="136" fillId="0" borderId="6" xfId="0" applyFont="1" applyBorder="1" applyAlignment="1">
      <alignment horizontal="center" vertical="center"/>
    </xf>
    <xf numFmtId="0" fontId="136" fillId="0" borderId="7" xfId="0" applyFont="1" applyBorder="1" applyAlignment="1">
      <alignment horizontal="center" vertical="center"/>
    </xf>
    <xf numFmtId="0" fontId="136" fillId="0" borderId="13" xfId="0" applyFont="1" applyBorder="1" applyAlignment="1">
      <alignment horizontal="center" vertical="center"/>
    </xf>
    <xf numFmtId="0" fontId="136" fillId="3" borderId="8" xfId="0" applyFont="1" applyFill="1" applyBorder="1" applyAlignment="1">
      <alignment horizontal="center" vertical="center" wrapText="1"/>
    </xf>
    <xf numFmtId="0" fontId="136" fillId="3" borderId="14" xfId="0" applyFont="1" applyFill="1" applyBorder="1" applyAlignment="1">
      <alignment horizontal="center" vertical="center" wrapText="1"/>
    </xf>
    <xf numFmtId="0" fontId="175" fillId="22" borderId="25" xfId="0" applyFont="1" applyFill="1" applyBorder="1" applyAlignment="1">
      <alignment horizontal="center" vertical="center"/>
    </xf>
    <xf numFmtId="0" fontId="175" fillId="22" borderId="33" xfId="0" applyFont="1" applyFill="1" applyBorder="1" applyAlignment="1">
      <alignment horizontal="center" vertical="center"/>
    </xf>
    <xf numFmtId="0" fontId="143" fillId="0" borderId="2" xfId="0" applyFont="1" applyBorder="1" applyAlignment="1">
      <alignment horizontal="center"/>
    </xf>
    <xf numFmtId="0" fontId="256" fillId="0" borderId="51" xfId="0" applyFont="1" applyBorder="1" applyAlignment="1">
      <alignment horizontal="center" vertical="center"/>
    </xf>
    <xf numFmtId="0" fontId="256" fillId="0" borderId="52" xfId="0" applyFont="1" applyBorder="1" applyAlignment="1">
      <alignment horizontal="center" vertical="center"/>
    </xf>
    <xf numFmtId="0" fontId="256" fillId="0" borderId="22" xfId="0" applyFont="1" applyBorder="1" applyAlignment="1">
      <alignment horizontal="center" vertical="center"/>
    </xf>
    <xf numFmtId="0" fontId="234" fillId="3" borderId="51" xfId="24" applyFont="1" applyFill="1" applyBorder="1" applyAlignment="1">
      <alignment horizontal="center" vertical="center"/>
    </xf>
    <xf numFmtId="0" fontId="234" fillId="3" borderId="52" xfId="24" applyFont="1" applyFill="1" applyBorder="1" applyAlignment="1">
      <alignment horizontal="center" vertical="center"/>
    </xf>
    <xf numFmtId="173" fontId="234" fillId="3" borderId="2" xfId="24" applyNumberFormat="1" applyFont="1" applyFill="1" applyBorder="1" applyAlignment="1">
      <alignment horizontal="center" vertical="center"/>
    </xf>
    <xf numFmtId="0" fontId="234" fillId="3" borderId="62" xfId="24" applyFont="1" applyFill="1" applyBorder="1" applyAlignment="1">
      <alignment horizontal="left" vertical="center" wrapText="1"/>
    </xf>
    <xf numFmtId="0" fontId="234" fillId="3" borderId="4" xfId="24" applyFont="1" applyFill="1" applyBorder="1" applyAlignment="1">
      <alignment horizontal="left" vertical="center" wrapText="1"/>
    </xf>
    <xf numFmtId="0" fontId="234" fillId="3" borderId="63" xfId="24" applyFont="1" applyFill="1" applyBorder="1" applyAlignment="1">
      <alignment horizontal="left" vertical="center" wrapText="1"/>
    </xf>
    <xf numFmtId="0" fontId="234" fillId="3" borderId="8" xfId="24" applyFont="1" applyFill="1" applyBorder="1" applyAlignment="1">
      <alignment horizontal="left" vertical="center" wrapText="1"/>
    </xf>
    <xf numFmtId="0" fontId="234" fillId="3" borderId="2" xfId="24" applyFont="1" applyFill="1" applyBorder="1" applyAlignment="1">
      <alignment horizontal="left" vertical="center" wrapText="1"/>
    </xf>
    <xf numFmtId="0" fontId="234" fillId="3" borderId="14" xfId="24" applyFont="1" applyFill="1" applyBorder="1" applyAlignment="1">
      <alignment horizontal="left" vertical="center" wrapText="1"/>
    </xf>
    <xf numFmtId="0" fontId="216" fillId="3" borderId="22" xfId="24" applyFont="1" applyFill="1" applyBorder="1" applyAlignment="1">
      <alignment horizontal="center" vertical="center" wrapText="1"/>
    </xf>
    <xf numFmtId="0" fontId="216" fillId="3" borderId="22" xfId="0" applyFont="1" applyFill="1" applyBorder="1" applyAlignment="1">
      <alignment horizontal="center"/>
    </xf>
    <xf numFmtId="0" fontId="216" fillId="3" borderId="0" xfId="0" applyFont="1" applyFill="1" applyAlignment="1">
      <alignment horizontal="center"/>
    </xf>
    <xf numFmtId="0" fontId="217" fillId="3" borderId="0" xfId="24" applyFont="1" applyFill="1" applyAlignment="1">
      <alignment horizontal="center" vertical="center" wrapText="1"/>
    </xf>
    <xf numFmtId="0" fontId="217" fillId="3" borderId="0" xfId="0" applyFont="1" applyFill="1" applyAlignment="1">
      <alignment horizontal="center"/>
    </xf>
    <xf numFmtId="0" fontId="219" fillId="3" borderId="0" xfId="0" applyFont="1" applyFill="1" applyAlignment="1">
      <alignment horizontal="center"/>
    </xf>
    <xf numFmtId="0" fontId="234" fillId="3" borderId="8" xfId="24" applyFont="1" applyFill="1" applyBorder="1" applyAlignment="1">
      <alignment horizontal="center" vertical="center" wrapText="1"/>
    </xf>
    <xf numFmtId="0" fontId="234" fillId="3" borderId="2" xfId="24" applyFont="1" applyFill="1" applyBorder="1" applyAlignment="1">
      <alignment horizontal="center" vertical="center" wrapText="1"/>
    </xf>
    <xf numFmtId="170" fontId="234" fillId="3" borderId="2" xfId="24" applyNumberFormat="1" applyFont="1" applyFill="1" applyBorder="1" applyAlignment="1">
      <alignment horizontal="center" vertical="center" wrapText="1"/>
    </xf>
    <xf numFmtId="170" fontId="234" fillId="3" borderId="25" xfId="24" applyNumberFormat="1" applyFont="1" applyFill="1" applyBorder="1" applyAlignment="1">
      <alignment horizontal="center" vertical="center" wrapText="1"/>
    </xf>
    <xf numFmtId="170" fontId="234" fillId="3" borderId="33" xfId="24" applyNumberFormat="1" applyFont="1" applyFill="1" applyBorder="1" applyAlignment="1">
      <alignment horizontal="center" vertical="center" wrapText="1"/>
    </xf>
    <xf numFmtId="170" fontId="234" fillId="3" borderId="28" xfId="24" applyNumberFormat="1" applyFont="1" applyFill="1" applyBorder="1" applyAlignment="1">
      <alignment horizontal="center" vertical="center" wrapText="1"/>
    </xf>
    <xf numFmtId="170" fontId="234" fillId="3" borderId="14" xfId="24" applyNumberFormat="1" applyFont="1" applyFill="1" applyBorder="1" applyAlignment="1">
      <alignment horizontal="center" vertical="center" wrapText="1"/>
    </xf>
    <xf numFmtId="0" fontId="234" fillId="3" borderId="14" xfId="24" applyFont="1" applyFill="1" applyBorder="1" applyAlignment="1">
      <alignment horizontal="center" vertical="center" wrapText="1"/>
    </xf>
    <xf numFmtId="0" fontId="234" fillId="3" borderId="25" xfId="24" applyFont="1" applyFill="1" applyBorder="1" applyAlignment="1">
      <alignment horizontal="center" vertical="center" wrapText="1"/>
    </xf>
    <xf numFmtId="0" fontId="234" fillId="3" borderId="28" xfId="24" applyFont="1" applyFill="1" applyBorder="1" applyAlignment="1">
      <alignment horizontal="center" vertical="center" wrapText="1"/>
    </xf>
    <xf numFmtId="0" fontId="256" fillId="0" borderId="25" xfId="0" applyFont="1" applyBorder="1" applyAlignment="1">
      <alignment horizontal="center" vertical="center"/>
    </xf>
    <xf numFmtId="0" fontId="256" fillId="0" borderId="33" xfId="0" applyFont="1" applyBorder="1" applyAlignment="1">
      <alignment horizontal="center" vertical="center"/>
    </xf>
    <xf numFmtId="0" fontId="256" fillId="0" borderId="28" xfId="0" applyFont="1" applyBorder="1" applyAlignment="1">
      <alignment horizontal="center" vertical="center"/>
    </xf>
    <xf numFmtId="0" fontId="256" fillId="0" borderId="2" xfId="0" applyFont="1" applyBorder="1" applyAlignment="1">
      <alignment horizontal="center" vertical="center"/>
    </xf>
    <xf numFmtId="1" fontId="234" fillId="3" borderId="2" xfId="24" applyNumberFormat="1" applyFont="1" applyFill="1" applyBorder="1" applyAlignment="1">
      <alignment horizontal="center" vertical="center" wrapText="1"/>
    </xf>
    <xf numFmtId="1" fontId="234" fillId="3" borderId="14" xfId="24" applyNumberFormat="1" applyFont="1" applyFill="1" applyBorder="1" applyAlignment="1">
      <alignment horizontal="center" vertical="center" wrapText="1"/>
    </xf>
    <xf numFmtId="0" fontId="222" fillId="3" borderId="0" xfId="0" applyFont="1" applyFill="1" applyAlignment="1">
      <alignment horizontal="center" vertical="center"/>
    </xf>
    <xf numFmtId="0" fontId="216" fillId="22" borderId="0" xfId="24" applyFont="1" applyFill="1" applyAlignment="1">
      <alignment horizontal="center"/>
    </xf>
    <xf numFmtId="0" fontId="219" fillId="3" borderId="0" xfId="24" applyFont="1" applyFill="1" applyAlignment="1">
      <alignment horizontal="center" vertical="center" wrapText="1"/>
    </xf>
    <xf numFmtId="0" fontId="234" fillId="3" borderId="2" xfId="24" applyFont="1" applyFill="1" applyBorder="1" applyAlignment="1">
      <alignment horizontal="left" vertical="center"/>
    </xf>
    <xf numFmtId="0" fontId="231" fillId="30" borderId="25" xfId="0" applyFont="1" applyFill="1" applyBorder="1" applyAlignment="1">
      <alignment horizontal="center" vertical="center"/>
    </xf>
    <xf numFmtId="0" fontId="231" fillId="30" borderId="33" xfId="0" applyFont="1" applyFill="1" applyBorder="1" applyAlignment="1">
      <alignment horizontal="center" vertical="center"/>
    </xf>
    <xf numFmtId="49" fontId="225" fillId="0" borderId="5" xfId="0" applyNumberFormat="1" applyFont="1" applyBorder="1" applyAlignment="1">
      <alignment horizontal="left" vertical="center" wrapText="1"/>
    </xf>
    <xf numFmtId="0" fontId="219" fillId="3" borderId="32" xfId="0" applyFont="1" applyFill="1" applyBorder="1" applyAlignment="1">
      <alignment horizontal="center" vertical="center"/>
    </xf>
    <xf numFmtId="49" fontId="225" fillId="0" borderId="43" xfId="0" quotePrefix="1" applyNumberFormat="1" applyFont="1" applyBorder="1" applyAlignment="1">
      <alignment horizontal="center" vertical="center" wrapText="1"/>
    </xf>
    <xf numFmtId="49" fontId="225" fillId="0" borderId="0" xfId="0" quotePrefix="1" applyNumberFormat="1" applyFont="1" applyAlignment="1">
      <alignment horizontal="center" vertical="center" wrapText="1"/>
    </xf>
    <xf numFmtId="49" fontId="225" fillId="0" borderId="5" xfId="0" applyNumberFormat="1" applyFont="1" applyBorder="1" applyAlignment="1">
      <alignment horizontal="center" vertical="center" wrapText="1"/>
    </xf>
    <xf numFmtId="0" fontId="231" fillId="18" borderId="43" xfId="0" applyFont="1" applyFill="1" applyBorder="1" applyAlignment="1">
      <alignment horizontal="center" vertical="center"/>
    </xf>
    <xf numFmtId="0" fontId="231" fillId="18" borderId="0" xfId="0" applyFont="1" applyFill="1" applyAlignment="1">
      <alignment horizontal="center" vertical="center"/>
    </xf>
    <xf numFmtId="0" fontId="231" fillId="30" borderId="43" xfId="0" applyFont="1" applyFill="1" applyBorder="1" applyAlignment="1">
      <alignment horizontal="center" vertical="center"/>
    </xf>
    <xf numFmtId="0" fontId="231" fillId="30" borderId="0" xfId="0" applyFont="1" applyFill="1" applyAlignment="1">
      <alignment horizontal="center" vertical="center"/>
    </xf>
    <xf numFmtId="0" fontId="227" fillId="23" borderId="0" xfId="0" applyFont="1" applyFill="1" applyAlignment="1">
      <alignment horizontal="right" vertical="center" wrapText="1"/>
    </xf>
    <xf numFmtId="0" fontId="227" fillId="23" borderId="0" xfId="0" applyFont="1" applyFill="1" applyAlignment="1">
      <alignment horizontal="left" vertical="center" wrapText="1"/>
    </xf>
    <xf numFmtId="49" fontId="225" fillId="0" borderId="0" xfId="0" applyNumberFormat="1" applyFont="1" applyAlignment="1">
      <alignment horizontal="left" vertical="center" wrapText="1"/>
    </xf>
    <xf numFmtId="0" fontId="227" fillId="0" borderId="0" xfId="0" applyFont="1" applyAlignment="1">
      <alignment horizontal="center" wrapText="1"/>
    </xf>
    <xf numFmtId="0" fontId="231" fillId="30" borderId="2" xfId="0" applyFont="1" applyFill="1" applyBorder="1" applyAlignment="1">
      <alignment horizontal="center" vertical="center"/>
    </xf>
    <xf numFmtId="0" fontId="237" fillId="30" borderId="0" xfId="0" applyFont="1" applyFill="1" applyAlignment="1">
      <alignment horizontal="center" vertical="center"/>
    </xf>
    <xf numFmtId="49" fontId="225" fillId="0" borderId="0" xfId="0" applyNumberFormat="1" applyFont="1" applyAlignment="1">
      <alignment horizontal="right" vertical="center" wrapText="1"/>
    </xf>
    <xf numFmtId="0" fontId="231" fillId="18" borderId="25" xfId="0" applyFont="1" applyFill="1" applyBorder="1" applyAlignment="1">
      <alignment horizontal="center" vertical="center"/>
    </xf>
    <xf numFmtId="0" fontId="231" fillId="18" borderId="33" xfId="0" applyFont="1" applyFill="1" applyBorder="1" applyAlignment="1">
      <alignment horizontal="center" vertical="center"/>
    </xf>
    <xf numFmtId="0" fontId="231" fillId="18" borderId="28" xfId="0" applyFont="1" applyFill="1" applyBorder="1" applyAlignment="1">
      <alignment horizontal="center" vertical="center"/>
    </xf>
    <xf numFmtId="0" fontId="231" fillId="30" borderId="28" xfId="0" applyFont="1" applyFill="1" applyBorder="1" applyAlignment="1">
      <alignment horizontal="center" vertical="center"/>
    </xf>
    <xf numFmtId="0" fontId="235" fillId="0" borderId="0" xfId="0" applyFont="1" applyAlignment="1">
      <alignment horizontal="left" vertical="center" wrapText="1"/>
    </xf>
    <xf numFmtId="0" fontId="227" fillId="0" borderId="0" xfId="0" applyFont="1" applyAlignment="1">
      <alignment horizontal="center" vertical="center" wrapText="1"/>
    </xf>
    <xf numFmtId="0" fontId="227" fillId="30" borderId="43" xfId="0" applyFont="1" applyFill="1" applyBorder="1" applyAlignment="1">
      <alignment horizontal="center" wrapText="1"/>
    </xf>
    <xf numFmtId="0" fontId="227" fillId="30" borderId="0" xfId="0" applyFont="1" applyFill="1" applyAlignment="1">
      <alignment horizontal="center" wrapText="1"/>
    </xf>
    <xf numFmtId="0" fontId="231" fillId="0" borderId="0" xfId="0" applyFont="1" applyAlignment="1">
      <alignment horizontal="center" vertical="center"/>
    </xf>
    <xf numFmtId="49" fontId="225" fillId="0" borderId="0" xfId="0" applyNumberFormat="1" applyFont="1" applyAlignment="1">
      <alignment horizontal="center" vertical="center" wrapText="1"/>
    </xf>
    <xf numFmtId="0" fontId="233" fillId="30" borderId="0" xfId="0" applyFont="1" applyFill="1" applyAlignment="1">
      <alignment horizontal="left" vertical="center"/>
    </xf>
    <xf numFmtId="49" fontId="225" fillId="0" borderId="43" xfId="0" applyNumberFormat="1" applyFont="1" applyBorder="1" applyAlignment="1">
      <alignment horizontal="right" vertical="center" wrapText="1"/>
    </xf>
    <xf numFmtId="49" fontId="225" fillId="0" borderId="0" xfId="0" applyNumberFormat="1" applyFont="1" applyAlignment="1">
      <alignment vertical="center" wrapText="1"/>
    </xf>
    <xf numFmtId="0" fontId="237" fillId="3" borderId="0" xfId="0" applyFont="1" applyFill="1" applyAlignment="1">
      <alignment horizontal="center" vertical="center"/>
    </xf>
    <xf numFmtId="0" fontId="237" fillId="3" borderId="35" xfId="0" applyFont="1" applyFill="1" applyBorder="1" applyAlignment="1">
      <alignment horizontal="center" vertical="center"/>
    </xf>
    <xf numFmtId="0" fontId="231" fillId="3" borderId="0" xfId="0" applyFont="1" applyFill="1" applyAlignment="1">
      <alignment horizontal="center" vertical="center"/>
    </xf>
    <xf numFmtId="0" fontId="231" fillId="30" borderId="0" xfId="0" applyFont="1" applyFill="1" applyAlignment="1">
      <alignment horizontal="center"/>
    </xf>
    <xf numFmtId="0" fontId="231" fillId="30" borderId="25" xfId="0" applyFont="1" applyFill="1" applyBorder="1" applyAlignment="1">
      <alignment horizontal="center" vertical="center" wrapText="1"/>
    </xf>
    <xf numFmtId="0" fontId="231" fillId="30" borderId="33" xfId="0" applyFont="1" applyFill="1" applyBorder="1" applyAlignment="1">
      <alignment horizontal="center" vertical="center" wrapText="1"/>
    </xf>
    <xf numFmtId="0" fontId="231" fillId="30" borderId="28" xfId="0" applyFont="1" applyFill="1" applyBorder="1" applyAlignment="1">
      <alignment horizontal="center" vertical="center" wrapText="1"/>
    </xf>
    <xf numFmtId="0" fontId="231" fillId="3" borderId="20" xfId="0" applyFont="1" applyFill="1" applyBorder="1" applyAlignment="1">
      <alignment horizontal="center" vertical="center"/>
    </xf>
    <xf numFmtId="0" fontId="230" fillId="0" borderId="2" xfId="0" applyFont="1" applyBorder="1" applyAlignment="1">
      <alignment horizontal="left" vertical="center"/>
    </xf>
    <xf numFmtId="0" fontId="225" fillId="0" borderId="2" xfId="0" applyFont="1" applyBorder="1" applyAlignment="1">
      <alignment horizontal="center" vertical="center"/>
    </xf>
    <xf numFmtId="169" fontId="215" fillId="0" borderId="2" xfId="0" applyNumberFormat="1" applyFont="1" applyBorder="1" applyAlignment="1">
      <alignment horizontal="center" vertical="center"/>
    </xf>
    <xf numFmtId="0" fontId="230" fillId="0" borderId="2" xfId="0" applyFont="1" applyBorder="1" applyAlignment="1">
      <alignment horizontal="center" vertical="center"/>
    </xf>
    <xf numFmtId="0" fontId="245" fillId="0" borderId="2" xfId="0" applyFont="1" applyBorder="1" applyAlignment="1">
      <alignment horizontal="left" vertical="center"/>
    </xf>
    <xf numFmtId="0" fontId="245" fillId="0" borderId="2" xfId="0" applyFont="1" applyBorder="1" applyAlignment="1">
      <alignment horizontal="center" vertical="center"/>
    </xf>
    <xf numFmtId="0" fontId="230" fillId="0" borderId="0" xfId="0" applyFont="1" applyAlignment="1">
      <alignment horizontal="center"/>
    </xf>
    <xf numFmtId="0" fontId="230" fillId="0" borderId="4" xfId="0" applyFont="1" applyBorder="1" applyAlignment="1">
      <alignment horizontal="left" vertical="center"/>
    </xf>
    <xf numFmtId="0" fontId="232" fillId="0" borderId="25" xfId="0" applyFont="1" applyBorder="1" applyAlignment="1">
      <alignment horizontal="center"/>
    </xf>
    <xf numFmtId="0" fontId="232" fillId="0" borderId="33" xfId="0" applyFont="1" applyBorder="1" applyAlignment="1">
      <alignment horizontal="center"/>
    </xf>
    <xf numFmtId="169" fontId="215" fillId="20" borderId="2" xfId="0" applyNumberFormat="1" applyFont="1" applyFill="1" applyBorder="1" applyAlignment="1">
      <alignment horizontal="center" vertical="center"/>
    </xf>
    <xf numFmtId="165" fontId="225" fillId="0" borderId="25" xfId="1" applyFont="1" applyFill="1" applyBorder="1" applyAlignment="1">
      <alignment horizontal="left" vertical="center"/>
    </xf>
    <xf numFmtId="165" fontId="225" fillId="0" borderId="33" xfId="1" applyFont="1" applyFill="1" applyBorder="1" applyAlignment="1">
      <alignment horizontal="left" vertical="center"/>
    </xf>
    <xf numFmtId="165" fontId="225" fillId="0" borderId="28" xfId="1" applyFont="1" applyFill="1" applyBorder="1" applyAlignment="1">
      <alignment horizontal="left" vertical="center"/>
    </xf>
    <xf numFmtId="0" fontId="225" fillId="0" borderId="25" xfId="0" applyFont="1" applyBorder="1" applyAlignment="1">
      <alignment horizontal="center" vertical="center"/>
    </xf>
    <xf numFmtId="0" fontId="225" fillId="0" borderId="28" xfId="0" applyFont="1" applyBorder="1" applyAlignment="1">
      <alignment horizontal="center" vertical="center"/>
    </xf>
    <xf numFmtId="0" fontId="198" fillId="3" borderId="32" xfId="0" applyFont="1" applyFill="1" applyBorder="1" applyAlignment="1">
      <alignment horizontal="right" vertical="center"/>
    </xf>
    <xf numFmtId="0" fontId="198" fillId="3" borderId="32" xfId="0" applyFont="1" applyFill="1" applyBorder="1" applyAlignment="1">
      <alignment horizontal="center" vertical="center"/>
    </xf>
    <xf numFmtId="0" fontId="198" fillId="3" borderId="27" xfId="0" applyFont="1" applyFill="1" applyBorder="1" applyAlignment="1">
      <alignment horizontal="center" vertical="center"/>
    </xf>
    <xf numFmtId="0" fontId="197" fillId="3" borderId="8" xfId="24" applyFont="1" applyFill="1" applyBorder="1" applyAlignment="1">
      <alignment horizontal="center" vertical="center" wrapText="1"/>
    </xf>
    <xf numFmtId="0" fontId="197" fillId="3" borderId="2" xfId="24" applyFont="1" applyFill="1" applyBorder="1" applyAlignment="1">
      <alignment horizontal="center" vertical="center" wrapText="1"/>
    </xf>
    <xf numFmtId="0" fontId="197" fillId="3" borderId="2" xfId="24" applyFont="1" applyFill="1" applyBorder="1" applyAlignment="1">
      <alignment horizontal="left" vertical="center"/>
    </xf>
    <xf numFmtId="0" fontId="198" fillId="3" borderId="2" xfId="24" applyFont="1" applyFill="1" applyBorder="1" applyAlignment="1">
      <alignment horizontal="center" vertical="center" wrapText="1"/>
    </xf>
    <xf numFmtId="170" fontId="198" fillId="3" borderId="2" xfId="24" applyNumberFormat="1" applyFont="1" applyFill="1" applyBorder="1" applyAlignment="1">
      <alignment horizontal="center" vertical="center" wrapText="1"/>
    </xf>
    <xf numFmtId="0" fontId="198" fillId="3" borderId="14" xfId="24" applyFont="1" applyFill="1" applyBorder="1" applyAlignment="1">
      <alignment horizontal="center" vertical="center" wrapText="1"/>
    </xf>
    <xf numFmtId="0" fontId="197" fillId="3" borderId="2" xfId="24" applyFont="1" applyFill="1" applyBorder="1" applyAlignment="1">
      <alignment horizontal="left" vertical="center" wrapText="1"/>
    </xf>
    <xf numFmtId="0" fontId="198" fillId="3" borderId="25" xfId="24" applyFont="1" applyFill="1" applyBorder="1" applyAlignment="1">
      <alignment horizontal="center" vertical="center" wrapText="1"/>
    </xf>
    <xf numFmtId="0" fontId="198" fillId="3" borderId="28" xfId="24" applyFont="1" applyFill="1" applyBorder="1" applyAlignment="1">
      <alignment horizontal="center" vertical="center" wrapText="1"/>
    </xf>
    <xf numFmtId="0" fontId="199" fillId="0" borderId="25" xfId="0" applyFont="1" applyBorder="1" applyAlignment="1">
      <alignment horizontal="center" vertical="center"/>
    </xf>
    <xf numFmtId="0" fontId="199" fillId="0" borderId="33" xfId="0" applyFont="1" applyBorder="1" applyAlignment="1">
      <alignment horizontal="center" vertical="center"/>
    </xf>
    <xf numFmtId="0" fontId="199" fillId="0" borderId="28" xfId="0" applyFont="1" applyBorder="1" applyAlignment="1">
      <alignment horizontal="center" vertical="center"/>
    </xf>
    <xf numFmtId="0" fontId="199" fillId="0" borderId="2" xfId="0" applyFont="1" applyBorder="1" applyAlignment="1">
      <alignment horizontal="center" vertical="center"/>
    </xf>
    <xf numFmtId="0" fontId="198" fillId="3" borderId="0" xfId="0" applyFont="1" applyFill="1" applyAlignment="1">
      <alignment horizontal="center"/>
    </xf>
    <xf numFmtId="0" fontId="197" fillId="3" borderId="0" xfId="24" applyFont="1" applyFill="1" applyAlignment="1">
      <alignment horizontal="center" vertical="center"/>
    </xf>
    <xf numFmtId="0" fontId="197" fillId="22" borderId="0" xfId="24" applyFont="1" applyFill="1" applyAlignment="1">
      <alignment horizontal="center"/>
    </xf>
    <xf numFmtId="0" fontId="199" fillId="0" borderId="51" xfId="0" applyFont="1" applyBorder="1" applyAlignment="1">
      <alignment horizontal="center"/>
    </xf>
    <xf numFmtId="0" fontId="199" fillId="0" borderId="52" xfId="0" applyFont="1" applyBorder="1" applyAlignment="1">
      <alignment horizontal="center"/>
    </xf>
    <xf numFmtId="0" fontId="199" fillId="0" borderId="57" xfId="0" applyFont="1" applyBorder="1" applyAlignment="1">
      <alignment horizontal="center"/>
    </xf>
    <xf numFmtId="173" fontId="197" fillId="3" borderId="17" xfId="24" applyNumberFormat="1" applyFont="1" applyFill="1" applyBorder="1" applyAlignment="1">
      <alignment horizontal="right" vertical="center"/>
    </xf>
    <xf numFmtId="173" fontId="197" fillId="3" borderId="18" xfId="24" applyNumberFormat="1" applyFont="1" applyFill="1" applyBorder="1" applyAlignment="1">
      <alignment horizontal="right" vertical="center"/>
    </xf>
    <xf numFmtId="0" fontId="197" fillId="3" borderId="59" xfId="24" applyFont="1" applyFill="1" applyBorder="1" applyAlignment="1">
      <alignment horizontal="left" vertical="center"/>
    </xf>
    <xf numFmtId="0" fontId="198" fillId="3" borderId="60" xfId="0" applyFont="1" applyFill="1" applyBorder="1" applyAlignment="1">
      <alignment vertical="center"/>
    </xf>
    <xf numFmtId="0" fontId="198" fillId="3" borderId="61" xfId="0" applyFont="1" applyFill="1" applyBorder="1" applyAlignment="1">
      <alignment vertical="center"/>
    </xf>
    <xf numFmtId="0" fontId="197" fillId="3" borderId="62" xfId="24" applyFont="1" applyFill="1" applyBorder="1" applyAlignment="1">
      <alignment horizontal="left" vertical="center" wrapText="1"/>
    </xf>
    <xf numFmtId="0" fontId="197" fillId="3" borderId="4" xfId="24" applyFont="1" applyFill="1" applyBorder="1" applyAlignment="1">
      <alignment horizontal="left" vertical="center" wrapText="1"/>
    </xf>
    <xf numFmtId="0" fontId="197" fillId="3" borderId="63" xfId="24" applyFont="1" applyFill="1" applyBorder="1" applyAlignment="1">
      <alignment horizontal="left" vertical="center" wrapText="1"/>
    </xf>
    <xf numFmtId="0" fontId="197" fillId="3" borderId="8" xfId="24" applyFont="1" applyFill="1" applyBorder="1" applyAlignment="1">
      <alignment horizontal="left" vertical="center" wrapText="1"/>
    </xf>
    <xf numFmtId="0" fontId="197" fillId="3" borderId="14" xfId="24" applyFont="1" applyFill="1" applyBorder="1" applyAlignment="1">
      <alignment horizontal="left" vertical="center" wrapText="1"/>
    </xf>
    <xf numFmtId="0" fontId="198" fillId="3" borderId="22" xfId="24" applyFont="1" applyFill="1" applyBorder="1" applyAlignment="1">
      <alignment horizontal="center" vertical="center" wrapText="1"/>
    </xf>
    <xf numFmtId="0" fontId="198" fillId="3" borderId="22" xfId="0" applyFont="1" applyFill="1" applyBorder="1" applyAlignment="1">
      <alignment horizontal="center"/>
    </xf>
    <xf numFmtId="0" fontId="198" fillId="3" borderId="0" xfId="24" applyFont="1" applyFill="1" applyAlignment="1">
      <alignment horizontal="center" vertical="center" wrapText="1"/>
    </xf>
    <xf numFmtId="0" fontId="152" fillId="11" borderId="3" xfId="0" applyFont="1" applyFill="1" applyBorder="1" applyAlignment="1">
      <alignment horizontal="center" vertical="center" wrapText="1"/>
    </xf>
    <xf numFmtId="0" fontId="152" fillId="11" borderId="4" xfId="0" applyFont="1" applyFill="1" applyBorder="1" applyAlignment="1">
      <alignment horizontal="center" vertical="center" wrapText="1"/>
    </xf>
    <xf numFmtId="0" fontId="152" fillId="11" borderId="3" xfId="0" applyFont="1" applyFill="1" applyBorder="1" applyAlignment="1">
      <alignment horizontal="center" vertical="center"/>
    </xf>
    <xf numFmtId="0" fontId="152" fillId="11" borderId="4" xfId="0" applyFont="1" applyFill="1" applyBorder="1" applyAlignment="1">
      <alignment horizontal="center" vertical="center"/>
    </xf>
    <xf numFmtId="171" fontId="153" fillId="11" borderId="20" xfId="0" applyNumberFormat="1" applyFont="1" applyFill="1" applyBorder="1" applyAlignment="1">
      <alignment horizontal="center" vertical="center"/>
    </xf>
    <xf numFmtId="0" fontId="152" fillId="11" borderId="23" xfId="0" applyFont="1" applyFill="1" applyBorder="1" applyAlignment="1">
      <alignment horizontal="center" vertical="center" wrapText="1"/>
    </xf>
    <xf numFmtId="0" fontId="152" fillId="11" borderId="24" xfId="0" applyFont="1" applyFill="1" applyBorder="1" applyAlignment="1">
      <alignment horizontal="center" vertical="center" wrapText="1"/>
    </xf>
    <xf numFmtId="0" fontId="152" fillId="11" borderId="26" xfId="0" applyFont="1" applyFill="1" applyBorder="1" applyAlignment="1">
      <alignment horizontal="center" vertical="center" wrapText="1"/>
    </xf>
    <xf numFmtId="0" fontId="152" fillId="11" borderId="27" xfId="0" applyFont="1" applyFill="1" applyBorder="1" applyAlignment="1">
      <alignment horizontal="center" vertical="center" wrapText="1"/>
    </xf>
    <xf numFmtId="0" fontId="150" fillId="0" borderId="0" xfId="18" applyFont="1" applyAlignment="1">
      <alignment horizontal="center" vertical="center"/>
    </xf>
    <xf numFmtId="0" fontId="150" fillId="0" borderId="35" xfId="18" applyFont="1" applyBorder="1" applyAlignment="1">
      <alignment horizontal="center" vertical="center"/>
    </xf>
    <xf numFmtId="0" fontId="151" fillId="0" borderId="20" xfId="0" applyFont="1" applyBorder="1" applyAlignment="1">
      <alignment horizontal="center" vertical="center"/>
    </xf>
    <xf numFmtId="0" fontId="151" fillId="0" borderId="35" xfId="0" applyFont="1" applyBorder="1" applyAlignment="1">
      <alignment horizontal="center" vertical="center"/>
    </xf>
    <xf numFmtId="0" fontId="152" fillId="3" borderId="20" xfId="0" applyFont="1" applyFill="1" applyBorder="1" applyAlignment="1">
      <alignment horizontal="center" vertical="center"/>
    </xf>
    <xf numFmtId="0" fontId="143" fillId="0" borderId="2" xfId="0" applyFont="1" applyBorder="1" applyAlignment="1">
      <alignment horizontal="center" vertical="center"/>
    </xf>
    <xf numFmtId="0" fontId="0" fillId="0" borderId="0" xfId="0" applyAlignment="1">
      <alignment horizontal="center"/>
    </xf>
    <xf numFmtId="0" fontId="194" fillId="0" borderId="25" xfId="0" applyFont="1" applyBorder="1" applyAlignment="1">
      <alignment horizontal="center" vertical="center"/>
    </xf>
    <xf numFmtId="0" fontId="149" fillId="0" borderId="2" xfId="0" applyFont="1" applyBorder="1" applyAlignment="1">
      <alignment horizontal="center" wrapText="1"/>
    </xf>
    <xf numFmtId="0" fontId="149" fillId="0" borderId="2" xfId="0" applyFont="1" applyBorder="1" applyAlignment="1">
      <alignment horizontal="center"/>
    </xf>
    <xf numFmtId="0" fontId="0" fillId="0" borderId="2" xfId="0" applyBorder="1" applyAlignment="1">
      <alignment horizontal="center" vertical="center"/>
    </xf>
    <xf numFmtId="0" fontId="148" fillId="0" borderId="0" xfId="0" applyFont="1" applyAlignment="1">
      <alignment horizontal="center" vertical="top"/>
    </xf>
    <xf numFmtId="0" fontId="138" fillId="0" borderId="17" xfId="0" applyFont="1" applyBorder="1" applyAlignment="1">
      <alignment horizontal="center" vertical="center" wrapText="1"/>
    </xf>
    <xf numFmtId="0" fontId="138" fillId="0" borderId="18" xfId="0" applyFont="1" applyBorder="1" applyAlignment="1">
      <alignment horizontal="center" vertical="center" wrapText="1"/>
    </xf>
    <xf numFmtId="0" fontId="138" fillId="0" borderId="18" xfId="0" applyFont="1" applyBorder="1" applyAlignment="1">
      <alignment horizontal="center" vertical="center"/>
    </xf>
    <xf numFmtId="0" fontId="138" fillId="0" borderId="19" xfId="0" applyFont="1" applyBorder="1" applyAlignment="1">
      <alignment horizontal="center" vertical="center"/>
    </xf>
    <xf numFmtId="1" fontId="139" fillId="7" borderId="8" xfId="0" applyNumberFormat="1" applyFont="1" applyFill="1" applyBorder="1" applyAlignment="1">
      <alignment horizontal="center" vertical="center" wrapText="1"/>
    </xf>
    <xf numFmtId="1" fontId="139" fillId="7" borderId="10" xfId="0" applyNumberFormat="1" applyFont="1" applyFill="1" applyBorder="1" applyAlignment="1">
      <alignment horizontal="center" vertical="center" wrapText="1"/>
    </xf>
    <xf numFmtId="49" fontId="139" fillId="7" borderId="2" xfId="0" applyNumberFormat="1" applyFont="1" applyFill="1" applyBorder="1" applyAlignment="1">
      <alignment horizontal="center" vertical="center" wrapText="1"/>
    </xf>
    <xf numFmtId="49" fontId="139" fillId="7" borderId="11" xfId="0" applyNumberFormat="1" applyFont="1" applyFill="1" applyBorder="1" applyAlignment="1">
      <alignment horizontal="center" vertical="center" wrapText="1"/>
    </xf>
    <xf numFmtId="1" fontId="139" fillId="7" borderId="2" xfId="0" applyNumberFormat="1" applyFont="1" applyFill="1" applyBorder="1" applyAlignment="1">
      <alignment horizontal="center" vertical="center" wrapText="1"/>
    </xf>
    <xf numFmtId="1" fontId="139" fillId="7" borderId="11" xfId="0" applyNumberFormat="1" applyFont="1" applyFill="1" applyBorder="1" applyAlignment="1">
      <alignment horizontal="center" vertical="center" wrapText="1"/>
    </xf>
    <xf numFmtId="168" fontId="139" fillId="7" borderId="2" xfId="0" applyNumberFormat="1" applyFont="1" applyFill="1" applyBorder="1" applyAlignment="1">
      <alignment horizontal="center" vertical="center" wrapText="1"/>
    </xf>
    <xf numFmtId="168" fontId="139" fillId="7" borderId="11" xfId="0" applyNumberFormat="1" applyFont="1" applyFill="1" applyBorder="1" applyAlignment="1">
      <alignment horizontal="center" vertical="center" wrapText="1"/>
    </xf>
    <xf numFmtId="2" fontId="139" fillId="7" borderId="2" xfId="0" applyNumberFormat="1" applyFont="1" applyFill="1" applyBorder="1" applyAlignment="1">
      <alignment horizontal="center" vertical="center" wrapText="1"/>
    </xf>
    <xf numFmtId="2" fontId="139" fillId="7" borderId="11" xfId="0" applyNumberFormat="1" applyFont="1" applyFill="1" applyBorder="1" applyAlignment="1">
      <alignment horizontal="center" vertical="center" wrapText="1"/>
    </xf>
    <xf numFmtId="0" fontId="138" fillId="7" borderId="6" xfId="0" applyFont="1" applyFill="1" applyBorder="1" applyAlignment="1">
      <alignment horizontal="center" vertical="center" wrapText="1"/>
    </xf>
    <xf numFmtId="0" fontId="138" fillId="7" borderId="7" xfId="0" applyFont="1" applyFill="1" applyBorder="1" applyAlignment="1">
      <alignment horizontal="center" vertical="center" wrapText="1"/>
    </xf>
    <xf numFmtId="0" fontId="138" fillId="8" borderId="7" xfId="0" applyFont="1" applyFill="1" applyBorder="1" applyAlignment="1">
      <alignment horizontal="center" vertical="center"/>
    </xf>
    <xf numFmtId="0" fontId="138" fillId="8" borderId="12" xfId="0" applyFont="1" applyFill="1" applyBorder="1" applyAlignment="1">
      <alignment horizontal="center" vertical="center"/>
    </xf>
    <xf numFmtId="1" fontId="139" fillId="8" borderId="2" xfId="0" applyNumberFormat="1" applyFont="1" applyFill="1" applyBorder="1" applyAlignment="1">
      <alignment horizontal="center" vertical="center" wrapText="1"/>
    </xf>
    <xf numFmtId="1" fontId="139" fillId="8" borderId="2" xfId="0" applyNumberFormat="1" applyFont="1" applyFill="1" applyBorder="1" applyAlignment="1">
      <alignment horizontal="center" vertical="center"/>
    </xf>
    <xf numFmtId="170" fontId="139" fillId="8" borderId="2" xfId="0" applyNumberFormat="1" applyFont="1" applyFill="1" applyBorder="1" applyAlignment="1">
      <alignment horizontal="center" vertical="center"/>
    </xf>
    <xf numFmtId="170" fontId="139" fillId="8" borderId="14" xfId="0" applyNumberFormat="1" applyFont="1" applyFill="1" applyBorder="1" applyAlignment="1">
      <alignment horizontal="center" vertical="center"/>
    </xf>
    <xf numFmtId="1" fontId="139" fillId="8" borderId="11" xfId="0" applyNumberFormat="1" applyFont="1" applyFill="1" applyBorder="1" applyAlignment="1">
      <alignment horizontal="center" vertical="center" wrapText="1"/>
    </xf>
    <xf numFmtId="49" fontId="139" fillId="8" borderId="2" xfId="0" applyNumberFormat="1" applyFont="1" applyFill="1" applyBorder="1" applyAlignment="1">
      <alignment horizontal="center" vertical="center" wrapText="1"/>
    </xf>
    <xf numFmtId="49" fontId="139" fillId="8" borderId="11" xfId="0" applyNumberFormat="1" applyFont="1" applyFill="1" applyBorder="1" applyAlignment="1">
      <alignment horizontal="center" vertical="center" wrapText="1"/>
    </xf>
    <xf numFmtId="168" fontId="139" fillId="8" borderId="2" xfId="0" applyNumberFormat="1" applyFont="1" applyFill="1" applyBorder="1" applyAlignment="1">
      <alignment horizontal="center" vertical="center" wrapText="1"/>
    </xf>
    <xf numFmtId="168" fontId="139" fillId="8" borderId="11" xfId="0" applyNumberFormat="1" applyFont="1" applyFill="1" applyBorder="1" applyAlignment="1">
      <alignment horizontal="center" vertical="center" wrapText="1"/>
    </xf>
    <xf numFmtId="0" fontId="143" fillId="8" borderId="2" xfId="0" applyFont="1" applyFill="1" applyBorder="1" applyAlignment="1">
      <alignment horizontal="center" vertical="center" wrapText="1"/>
    </xf>
    <xf numFmtId="0" fontId="143" fillId="8" borderId="11" xfId="0" applyFont="1" applyFill="1" applyBorder="1" applyAlignment="1">
      <alignment horizontal="center" vertical="center" wrapText="1"/>
    </xf>
    <xf numFmtId="2" fontId="139" fillId="8" borderId="2" xfId="0" applyNumberFormat="1" applyFont="1" applyFill="1" applyBorder="1" applyAlignment="1">
      <alignment horizontal="center" vertical="center" wrapText="1"/>
    </xf>
    <xf numFmtId="2" fontId="139" fillId="8" borderId="11" xfId="0" applyNumberFormat="1" applyFont="1" applyFill="1" applyBorder="1" applyAlignment="1">
      <alignment horizontal="center" vertical="center" wrapText="1"/>
    </xf>
    <xf numFmtId="0" fontId="137" fillId="0" borderId="8" xfId="0" applyFont="1" applyBorder="1" applyAlignment="1">
      <alignment horizontal="center" wrapText="1"/>
    </xf>
    <xf numFmtId="0" fontId="137" fillId="0" borderId="14" xfId="0" applyFont="1" applyBorder="1" applyAlignment="1">
      <alignment horizontal="center" wrapText="1"/>
    </xf>
    <xf numFmtId="0" fontId="136" fillId="3" borderId="9" xfId="0" applyFont="1" applyFill="1" applyBorder="1" applyAlignment="1">
      <alignment horizontal="center" vertical="center" wrapText="1"/>
    </xf>
    <xf numFmtId="0" fontId="136" fillId="3" borderId="3" xfId="0" applyFont="1" applyFill="1" applyBorder="1" applyAlignment="1">
      <alignment horizontal="center" vertical="center" wrapText="1"/>
    </xf>
    <xf numFmtId="0" fontId="136" fillId="3" borderId="15" xfId="0" applyFont="1" applyFill="1" applyBorder="1" applyAlignment="1">
      <alignment horizontal="center" vertical="center" wrapText="1"/>
    </xf>
    <xf numFmtId="176" fontId="138" fillId="0" borderId="23" xfId="51" applyNumberFormat="1" applyFont="1" applyBorder="1" applyAlignment="1">
      <alignment horizontal="center" vertical="center"/>
    </xf>
    <xf numFmtId="176" fontId="138" fillId="0" borderId="5" xfId="51" applyNumberFormat="1" applyFont="1" applyBorder="1" applyAlignment="1">
      <alignment horizontal="center" vertical="center"/>
    </xf>
    <xf numFmtId="176" fontId="138" fillId="0" borderId="24" xfId="51" applyNumberFormat="1" applyFont="1" applyBorder="1" applyAlignment="1">
      <alignment horizontal="center" vertical="center"/>
    </xf>
    <xf numFmtId="176" fontId="138" fillId="0" borderId="26" xfId="51" applyNumberFormat="1" applyFont="1" applyBorder="1" applyAlignment="1">
      <alignment horizontal="center" vertical="center"/>
    </xf>
    <xf numFmtId="176" fontId="138" fillId="0" borderId="32" xfId="51" applyNumberFormat="1" applyFont="1" applyBorder="1" applyAlignment="1">
      <alignment horizontal="center" vertical="center"/>
    </xf>
    <xf numFmtId="176" fontId="138" fillId="0" borderId="27" xfId="51" applyNumberFormat="1" applyFont="1" applyBorder="1" applyAlignment="1">
      <alignment horizontal="center" vertical="center"/>
    </xf>
    <xf numFmtId="0" fontId="138" fillId="0" borderId="2" xfId="51" applyFont="1" applyBorder="1" applyAlignment="1">
      <alignment horizontal="left" vertical="center" wrapText="1"/>
    </xf>
    <xf numFmtId="0" fontId="138" fillId="0" borderId="2" xfId="51" applyFont="1" applyBorder="1" applyAlignment="1">
      <alignment horizontal="center" vertical="center"/>
    </xf>
    <xf numFmtId="1" fontId="138" fillId="0" borderId="3" xfId="51" applyNumberFormat="1" applyFont="1" applyBorder="1" applyAlignment="1">
      <alignment horizontal="center" vertical="center"/>
    </xf>
    <xf numFmtId="1" fontId="138" fillId="0" borderId="4" xfId="51" applyNumberFormat="1" applyFont="1" applyBorder="1" applyAlignment="1">
      <alignment horizontal="center" vertical="center"/>
    </xf>
    <xf numFmtId="0" fontId="138" fillId="0" borderId="4" xfId="51" applyFont="1" applyBorder="1" applyAlignment="1">
      <alignment horizontal="center" vertical="center"/>
    </xf>
    <xf numFmtId="0" fontId="138" fillId="0" borderId="2" xfId="51" applyFont="1" applyBorder="1" applyAlignment="1">
      <alignment horizontal="center" vertical="center" wrapText="1"/>
    </xf>
    <xf numFmtId="0" fontId="138" fillId="0" borderId="0" xfId="51" applyFont="1" applyAlignment="1">
      <alignment horizontal="left" vertical="center"/>
    </xf>
    <xf numFmtId="0" fontId="138" fillId="0" borderId="0" xfId="51" applyFont="1" applyAlignment="1">
      <alignment horizontal="center" vertical="center"/>
    </xf>
    <xf numFmtId="0" fontId="138" fillId="0" borderId="3" xfId="51" applyFont="1" applyBorder="1" applyAlignment="1">
      <alignment horizontal="center" vertical="center"/>
    </xf>
    <xf numFmtId="0" fontId="272" fillId="21" borderId="3" xfId="21" applyFont="1" applyFill="1" applyBorder="1" applyAlignment="1">
      <alignment horizontal="center" vertical="center"/>
    </xf>
    <xf numFmtId="0" fontId="272" fillId="21" borderId="46" xfId="21" applyFont="1" applyFill="1" applyBorder="1" applyAlignment="1">
      <alignment horizontal="center" vertical="center"/>
    </xf>
    <xf numFmtId="0" fontId="272" fillId="21" borderId="4" xfId="21" applyFont="1" applyFill="1" applyBorder="1" applyAlignment="1">
      <alignment horizontal="center" vertical="center"/>
    </xf>
    <xf numFmtId="0" fontId="272" fillId="12" borderId="3" xfId="21" applyFont="1" applyFill="1" applyBorder="1" applyAlignment="1">
      <alignment horizontal="center" vertical="center"/>
    </xf>
    <xf numFmtId="0" fontId="272" fillId="12" borderId="46" xfId="21" applyFont="1" applyFill="1" applyBorder="1" applyAlignment="1">
      <alignment horizontal="center" vertical="center"/>
    </xf>
    <xf numFmtId="0" fontId="272" fillId="12" borderId="4" xfId="21" applyFont="1" applyFill="1" applyBorder="1" applyAlignment="1">
      <alignment horizontal="center" vertical="center"/>
    </xf>
    <xf numFmtId="170" fontId="138" fillId="0" borderId="2" xfId="51" applyNumberFormat="1" applyFont="1" applyBorder="1" applyAlignment="1">
      <alignment horizontal="center" vertical="center"/>
    </xf>
    <xf numFmtId="170" fontId="138" fillId="0" borderId="3" xfId="51" applyNumberFormat="1" applyFont="1" applyBorder="1" applyAlignment="1">
      <alignment horizontal="center" vertical="center"/>
    </xf>
    <xf numFmtId="170" fontId="138" fillId="0" borderId="4" xfId="51" applyNumberFormat="1" applyFont="1" applyBorder="1" applyAlignment="1">
      <alignment horizontal="center" vertical="center"/>
    </xf>
    <xf numFmtId="0" fontId="273" fillId="23" borderId="0" xfId="0" applyFont="1" applyFill="1" applyAlignment="1">
      <alignment horizontal="left" vertical="center" wrapText="1"/>
    </xf>
    <xf numFmtId="0" fontId="138" fillId="0" borderId="44" xfId="51" applyFont="1" applyBorder="1" applyAlignment="1">
      <alignment horizontal="left" vertical="center"/>
    </xf>
    <xf numFmtId="0" fontId="138" fillId="0" borderId="45" xfId="51" applyFont="1" applyBorder="1" applyAlignment="1">
      <alignment horizontal="left" vertical="center"/>
    </xf>
    <xf numFmtId="0" fontId="273" fillId="0" borderId="0" xfId="0" applyFont="1" applyAlignment="1">
      <alignment horizontal="center" vertical="center"/>
    </xf>
    <xf numFmtId="0" fontId="270" fillId="0" borderId="43" xfId="51" applyFont="1" applyBorder="1" applyAlignment="1">
      <alignment horizontal="left" vertical="center"/>
    </xf>
    <xf numFmtId="0" fontId="270" fillId="0" borderId="0" xfId="51" applyFont="1" applyAlignment="1">
      <alignment horizontal="left" vertical="center"/>
    </xf>
    <xf numFmtId="0" fontId="138" fillId="0" borderId="45" xfId="0" applyFont="1" applyBorder="1" applyAlignment="1">
      <alignment horizontal="left" vertical="center"/>
    </xf>
    <xf numFmtId="0" fontId="273" fillId="3" borderId="45" xfId="0" applyFont="1" applyFill="1" applyBorder="1" applyAlignment="1">
      <alignment horizontal="center" vertical="center" wrapText="1"/>
    </xf>
    <xf numFmtId="0" fontId="273" fillId="3" borderId="45" xfId="0" applyFont="1" applyFill="1" applyBorder="1" applyAlignment="1">
      <alignment horizontal="left" vertical="center" wrapText="1"/>
    </xf>
    <xf numFmtId="0" fontId="273" fillId="0" borderId="45" xfId="0" applyFont="1" applyBorder="1" applyAlignment="1">
      <alignment horizontal="center" vertical="center"/>
    </xf>
    <xf numFmtId="0" fontId="128" fillId="4" borderId="3" xfId="0" applyFont="1" applyFill="1" applyBorder="1" applyAlignment="1">
      <alignment horizontal="center" vertical="center" wrapText="1"/>
    </xf>
    <xf numFmtId="0" fontId="130" fillId="4" borderId="4" xfId="0" applyFont="1" applyFill="1" applyBorder="1"/>
    <xf numFmtId="0" fontId="130" fillId="4" borderId="4" xfId="0" applyFont="1" applyFill="1" applyBorder="1" applyAlignment="1">
      <alignment horizontal="center"/>
    </xf>
    <xf numFmtId="0" fontId="128" fillId="4" borderId="3" xfId="0" applyFont="1" applyFill="1" applyBorder="1" applyAlignment="1">
      <alignment horizontal="center" vertical="center" textRotation="90" wrapText="1"/>
    </xf>
    <xf numFmtId="1" fontId="128" fillId="3" borderId="0" xfId="0" applyNumberFormat="1" applyFont="1" applyFill="1" applyAlignment="1">
      <alignment horizontal="left" vertical="center" wrapText="1"/>
    </xf>
    <xf numFmtId="0" fontId="128" fillId="3" borderId="0" xfId="0" applyFont="1" applyFill="1" applyAlignment="1">
      <alignment horizontal="left" vertical="center" wrapText="1"/>
    </xf>
    <xf numFmtId="0" fontId="131" fillId="3" borderId="5" xfId="0" applyFont="1" applyFill="1" applyBorder="1" applyAlignment="1">
      <alignment horizontal="center" vertical="center"/>
    </xf>
    <xf numFmtId="0" fontId="131" fillId="3" borderId="0" xfId="0" applyFont="1" applyFill="1" applyAlignment="1">
      <alignment horizontal="center" vertical="center"/>
    </xf>
    <xf numFmtId="0" fontId="128" fillId="4" borderId="4" xfId="0" applyFont="1" applyFill="1" applyBorder="1" applyAlignment="1">
      <alignment horizontal="center" vertical="center" wrapText="1"/>
    </xf>
  </cellXfs>
  <cellStyles count="52">
    <cellStyle name="=C:\WINNT\SYSTEM32\COMMAND.COM" xfId="45" xr:uid="{34BF4AEE-2937-498E-8EF3-8128A2F939B7}"/>
    <cellStyle name="20% - Accent1" xfId="6" builtinId="30"/>
    <cellStyle name="Check Cell" xfId="4" builtinId="23"/>
    <cellStyle name="Check Cell 2" xfId="46" xr:uid="{D8BBCCFE-AEA2-4CE9-B25B-1B8577DA125D}"/>
    <cellStyle name="Comma" xfId="1" builtinId="3"/>
    <cellStyle name="Comma 2" xfId="47" xr:uid="{245091D1-09B8-4BA8-8752-F38D24B9D39E}"/>
    <cellStyle name="Comma 2 2 2" xfId="7" xr:uid="{00000000-0005-0000-0000-000031000000}"/>
    <cellStyle name="Comma 2 3 2" xfId="8" xr:uid="{00000000-0005-0000-0000-000032000000}"/>
    <cellStyle name="Comma 29" xfId="9" xr:uid="{00000000-0005-0000-0000-000033000000}"/>
    <cellStyle name="Currency" xfId="2" builtinId="4"/>
    <cellStyle name="Good" xfId="5" builtinId="26"/>
    <cellStyle name="Hyperlink" xfId="50" builtinId="8"/>
    <cellStyle name="Normal" xfId="0" builtinId="0"/>
    <cellStyle name="Normal 10" xfId="31" xr:uid="{D2567756-9119-4FE3-BA40-9AD771D5493D}"/>
    <cellStyle name="Normal 10 2" xfId="10" xr:uid="{00000000-0005-0000-0000-000034000000}"/>
    <cellStyle name="Normal 11" xfId="49" xr:uid="{2DD2E029-B88E-43BC-A7B8-614FE94AE8EB}"/>
    <cellStyle name="Normal 11 2" xfId="11" xr:uid="{00000000-0005-0000-0000-000035000000}"/>
    <cellStyle name="Normal 12" xfId="30" xr:uid="{7BCE2A68-F273-4274-A066-6B84FE569121}"/>
    <cellStyle name="Normal 13 2" xfId="12" xr:uid="{00000000-0005-0000-0000-000036000000}"/>
    <cellStyle name="Normal 14" xfId="13" xr:uid="{00000000-0005-0000-0000-000037000000}"/>
    <cellStyle name="Normal 17" xfId="32" xr:uid="{3A61A67E-AE39-428F-B759-757971D202D8}"/>
    <cellStyle name="Normal 18" xfId="33" xr:uid="{FAA132D2-8184-4FF2-9622-E2DADA8473DA}"/>
    <cellStyle name="Normal 19" xfId="34" xr:uid="{0C2472A0-BD30-4547-9BF8-8343B710AC75}"/>
    <cellStyle name="Normal 2" xfId="14" xr:uid="{00000000-0005-0000-0000-000038000000}"/>
    <cellStyle name="Normal 2 2" xfId="15" xr:uid="{00000000-0005-0000-0000-000039000000}"/>
    <cellStyle name="Normal 2 2 2 3" xfId="16" xr:uid="{00000000-0005-0000-0000-00003A000000}"/>
    <cellStyle name="Normal 2 3" xfId="17" xr:uid="{00000000-0005-0000-0000-00003B000000}"/>
    <cellStyle name="Normal 2 3 9" xfId="18" xr:uid="{00000000-0005-0000-0000-00003C000000}"/>
    <cellStyle name="Normal 2 4" xfId="19" xr:uid="{00000000-0005-0000-0000-00003D000000}"/>
    <cellStyle name="Normal 23 3" xfId="20" xr:uid="{00000000-0005-0000-0000-00003E000000}"/>
    <cellStyle name="Normal 3" xfId="35" xr:uid="{356D9BB4-068B-476C-AA8F-5FDCDF681893}"/>
    <cellStyle name="Normal 3 2" xfId="21" xr:uid="{00000000-0005-0000-0000-00003F000000}"/>
    <cellStyle name="Normal 3 2 2" xfId="36" xr:uid="{6605F81C-BA7B-4E4E-B095-9517995909ED}"/>
    <cellStyle name="Normal 4" xfId="22" xr:uid="{00000000-0005-0000-0000-000040000000}"/>
    <cellStyle name="Normal 4 2" xfId="48" xr:uid="{6A44957A-5A08-4DC6-BD43-C8118342C1DF}"/>
    <cellStyle name="Normal 4 2 2" xfId="23" xr:uid="{00000000-0005-0000-0000-000041000000}"/>
    <cellStyle name="Normal 4 3" xfId="37" xr:uid="{F4FEF335-3491-4536-A71A-8FAE89158BD1}"/>
    <cellStyle name="Normal 5" xfId="38" xr:uid="{A821EC11-2E82-4A00-8396-A0847C92244F}"/>
    <cellStyle name="Normal 5 2" xfId="44" xr:uid="{89725383-F161-4EE0-BC24-A5DB482B5AD0}"/>
    <cellStyle name="Normal 5 3" xfId="24" xr:uid="{00000000-0005-0000-0000-000042000000}"/>
    <cellStyle name="Normal 6" xfId="25" xr:uid="{00000000-0005-0000-0000-000043000000}"/>
    <cellStyle name="Normal 6 2" xfId="26" xr:uid="{00000000-0005-0000-0000-000044000000}"/>
    <cellStyle name="Normal 6 3" xfId="39" xr:uid="{6FA01C22-C58C-42C9-9B9C-559D448B81C7}"/>
    <cellStyle name="Normal 7" xfId="40" xr:uid="{830D6DEA-C205-4B2C-80A9-DCCA2BF98C6A}"/>
    <cellStyle name="Normal 7 3" xfId="51" xr:uid="{BEA6E505-4B0A-43C6-A758-6DA27B9288BD}"/>
    <cellStyle name="Normal 8" xfId="41" xr:uid="{1D0548D7-B338-44DC-A06B-FF5452568E1D}"/>
    <cellStyle name="Normal 8 2" xfId="27" xr:uid="{00000000-0005-0000-0000-000045000000}"/>
    <cellStyle name="Normal 9" xfId="42" xr:uid="{A03CB35C-55EF-4B9E-B505-94E080F332AA}"/>
    <cellStyle name="Normal 9 2" xfId="28" xr:uid="{00000000-0005-0000-0000-000046000000}"/>
    <cellStyle name="Normal 9 2 2" xfId="43" xr:uid="{0A0D74B9-F231-4D29-BCB7-743D98B5186D}"/>
    <cellStyle name="Percent" xfId="3" builtinId="5"/>
    <cellStyle name="Percent 2" xfId="29" xr:uid="{00000000-0005-0000-0000-000047000000}"/>
  </cellStyles>
  <dxfs count="3442">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lor theme="0"/>
      </font>
    </dxf>
    <dxf>
      <font>
        <color theme="0"/>
      </font>
    </dxf>
    <dxf>
      <font>
        <color theme="0"/>
      </font>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lor theme="0"/>
      </font>
    </dxf>
    <dxf>
      <font>
        <color theme="0"/>
      </font>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lor theme="0"/>
      </font>
    </dxf>
    <dxf>
      <font>
        <color theme="0"/>
      </font>
    </dxf>
    <dxf>
      <font>
        <color theme="0"/>
      </font>
    </dxf>
    <dxf>
      <font>
        <color theme="0"/>
      </font>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lor theme="0"/>
      </font>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lor theme="0"/>
      </font>
    </dxf>
    <dxf>
      <font>
        <color theme="0"/>
      </font>
    </dxf>
    <dxf>
      <font>
        <color theme="0"/>
      </font>
    </dxf>
    <dxf>
      <font>
        <color theme="0"/>
      </font>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lor theme="0"/>
      </font>
    </dxf>
    <dxf>
      <fill>
        <patternFill>
          <bgColor theme="5" tint="0.79998168889431442"/>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lor theme="0"/>
      </font>
    </dxf>
    <dxf>
      <fill>
        <patternFill patternType="solid">
          <bgColor rgb="FF00B050"/>
        </patternFill>
      </fill>
    </dxf>
    <dxf>
      <fill>
        <patternFill patternType="solid">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lor theme="0"/>
      </font>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lor theme="0"/>
      </font>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lor theme="0"/>
      </font>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lor theme="0"/>
      </font>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lor theme="0"/>
      </font>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lor theme="0"/>
      </font>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lor theme="0"/>
      </font>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lor theme="0"/>
      </font>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ont>
        <color theme="0"/>
      </font>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lor theme="0"/>
      </font>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lor theme="0"/>
      </font>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lor theme="0"/>
      </font>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lor theme="0"/>
      </font>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lor theme="0"/>
      </font>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ont>
        <color theme="0"/>
      </font>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lor theme="0"/>
      </font>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ont>
        <color theme="0"/>
      </font>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lor theme="0"/>
      </font>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ont>
        <color theme="0"/>
      </font>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lor theme="0"/>
      </font>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lor theme="0"/>
      </font>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ont>
        <color theme="0"/>
      </font>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lor theme="0"/>
      </font>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lor theme="0"/>
      </font>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lor theme="0"/>
      </font>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lor theme="0"/>
      </font>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lor theme="0"/>
      </font>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lor theme="0"/>
      </font>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lor theme="0"/>
      </font>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lor theme="0"/>
      </font>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lor theme="0"/>
      </font>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lor theme="0"/>
      </font>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lor theme="0"/>
      </font>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ont>
        <color theme="0"/>
      </font>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lor theme="0"/>
      </font>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lor theme="0"/>
      </font>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lor theme="0"/>
      </font>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lor theme="0"/>
      </font>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lor theme="0"/>
      </font>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lor theme="0"/>
      </font>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lor theme="0"/>
      </font>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lor theme="0"/>
      </font>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lor theme="0"/>
      </font>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lor theme="0"/>
      </font>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lor theme="0"/>
      </font>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lor theme="0"/>
      </font>
    </dxf>
    <dxf>
      <font>
        <color theme="0"/>
      </font>
    </dxf>
    <dxf>
      <font>
        <color theme="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TableStyle="TableStyleMedium2" defaultPivotStyle="PivotStyleLight16"/>
  <colors>
    <mruColors>
      <color rgb="FF66FFFF"/>
      <color rgb="FF00003E"/>
      <color rgb="FF003366"/>
      <color rgb="FFFF33CC"/>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styles" Target="styles.xml"/><Relationship Id="rId21" Type="http://schemas.openxmlformats.org/officeDocument/2006/relationships/worksheet" Target="worksheets/sheet21.xml"/><Relationship Id="rId34" Type="http://schemas.openxmlformats.org/officeDocument/2006/relationships/externalLink" Target="externalLinks/externalLink2.xml"/><Relationship Id="rId42" Type="http://schemas.openxmlformats.org/officeDocument/2006/relationships/customXml" Target="../customXml/item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5.xml"/><Relationship Id="rId40"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4.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3.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theme" Target="theme/theme1.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drawings/_rels/drawing2.xml.rels><?xml version="1.0" encoding="UTF-8" standalone="yes"?>
<Relationships xmlns="http://schemas.openxmlformats.org/package/2006/relationships"><Relationship Id="rId1" Type="http://schemas.openxmlformats.org/officeDocument/2006/relationships/image" Target="../media/image13.jpeg"/></Relationships>
</file>

<file path=xl/drawings/_rels/drawing3.xml.rels><?xml version="1.0" encoding="UTF-8" standalone="yes"?>
<Relationships xmlns="http://schemas.openxmlformats.org/package/2006/relationships"><Relationship Id="rId3" Type="http://schemas.openxmlformats.org/officeDocument/2006/relationships/image" Target="../media/image16.jpeg"/><Relationship Id="rId2" Type="http://schemas.openxmlformats.org/officeDocument/2006/relationships/image" Target="../media/image15.jpeg"/><Relationship Id="rId1" Type="http://schemas.openxmlformats.org/officeDocument/2006/relationships/image" Target="../media/image14.png"/></Relationships>
</file>

<file path=xl/drawings/_rels/drawing4.xml.rels><?xml version="1.0" encoding="UTF-8" standalone="yes"?>
<Relationships xmlns="http://schemas.openxmlformats.org/package/2006/relationships"><Relationship Id="rId3" Type="http://schemas.openxmlformats.org/officeDocument/2006/relationships/image" Target="../media/image16.jpeg"/><Relationship Id="rId2" Type="http://schemas.openxmlformats.org/officeDocument/2006/relationships/image" Target="../media/image15.jpeg"/><Relationship Id="rId1" Type="http://schemas.openxmlformats.org/officeDocument/2006/relationships/image" Target="../media/image14.png"/></Relationships>
</file>

<file path=xl/drawings/_rels/drawing5.xml.rels><?xml version="1.0" encoding="UTF-8" standalone="yes"?>
<Relationships xmlns="http://schemas.openxmlformats.org/package/2006/relationships"><Relationship Id="rId3" Type="http://schemas.openxmlformats.org/officeDocument/2006/relationships/image" Target="../media/image19.png"/><Relationship Id="rId2" Type="http://schemas.openxmlformats.org/officeDocument/2006/relationships/image" Target="../media/image18.png"/><Relationship Id="rId1" Type="http://schemas.openxmlformats.org/officeDocument/2006/relationships/image" Target="../media/image17.jpeg"/></Relationships>
</file>

<file path=xl/drawings/_rels/drawing6.xml.rels><?xml version="1.0" encoding="UTF-8" standalone="yes"?>
<Relationships xmlns="http://schemas.openxmlformats.org/package/2006/relationships"><Relationship Id="rId3" Type="http://schemas.openxmlformats.org/officeDocument/2006/relationships/image" Target="../media/image19.png"/><Relationship Id="rId2" Type="http://schemas.openxmlformats.org/officeDocument/2006/relationships/image" Target="../media/image18.png"/><Relationship Id="rId1" Type="http://schemas.openxmlformats.org/officeDocument/2006/relationships/image" Target="../media/image17.jpeg"/></Relationships>
</file>

<file path=xl/drawings/_rels/drawing7.xml.rels><?xml version="1.0" encoding="UTF-8" standalone="yes"?>
<Relationships xmlns="http://schemas.openxmlformats.org/package/2006/relationships"><Relationship Id="rId3" Type="http://schemas.openxmlformats.org/officeDocument/2006/relationships/image" Target="../media/image16.jpeg"/><Relationship Id="rId2" Type="http://schemas.openxmlformats.org/officeDocument/2006/relationships/image" Target="../media/image15.jpeg"/><Relationship Id="rId1" Type="http://schemas.openxmlformats.org/officeDocument/2006/relationships/image" Target="../media/image14.png"/></Relationships>
</file>

<file path=xl/drawings/_rels/drawing8.xml.rels><?xml version="1.0" encoding="UTF-8" standalone="yes"?>
<Relationships xmlns="http://schemas.openxmlformats.org/package/2006/relationships"><Relationship Id="rId1" Type="http://schemas.openxmlformats.org/officeDocument/2006/relationships/image" Target="../media/image15.jpeg"/></Relationships>
</file>

<file path=xl/drawings/_rels/drawing9.xml.rels><?xml version="1.0" encoding="UTF-8" standalone="yes"?>
<Relationships xmlns="http://schemas.openxmlformats.org/package/2006/relationships"><Relationship Id="rId3" Type="http://schemas.openxmlformats.org/officeDocument/2006/relationships/image" Target="../media/image22.png"/><Relationship Id="rId7" Type="http://schemas.openxmlformats.org/officeDocument/2006/relationships/image" Target="../media/image25.emf"/><Relationship Id="rId2" Type="http://schemas.openxmlformats.org/officeDocument/2006/relationships/image" Target="../media/image21.png"/><Relationship Id="rId1" Type="http://schemas.openxmlformats.org/officeDocument/2006/relationships/image" Target="../media/image20.png"/><Relationship Id="rId6" Type="http://schemas.openxmlformats.org/officeDocument/2006/relationships/image" Target="../media/image19.png"/><Relationship Id="rId5" Type="http://schemas.openxmlformats.org/officeDocument/2006/relationships/image" Target="../media/image24.png"/><Relationship Id="rId4" Type="http://schemas.openxmlformats.org/officeDocument/2006/relationships/image" Target="../media/image23.png"/></Relationships>
</file>

<file path=xl/drawings/drawing1.xml><?xml version="1.0" encoding="utf-8"?>
<xdr:wsDr xmlns:xdr="http://schemas.openxmlformats.org/drawingml/2006/spreadsheetDrawing" xmlns:a="http://schemas.openxmlformats.org/drawingml/2006/main">
  <xdr:twoCellAnchor editAs="oneCell">
    <xdr:from>
      <xdr:col>1</xdr:col>
      <xdr:colOff>14655</xdr:colOff>
      <xdr:row>0</xdr:row>
      <xdr:rowOff>26958</xdr:rowOff>
    </xdr:from>
    <xdr:to>
      <xdr:col>1</xdr:col>
      <xdr:colOff>839491</xdr:colOff>
      <xdr:row>1</xdr:row>
      <xdr:rowOff>0</xdr:rowOff>
    </xdr:to>
    <xdr:pic>
      <xdr:nvPicPr>
        <xdr:cNvPr id="2" name="Picture 1">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159" r="6526"/>
        <a:stretch>
          <a:fillRect/>
        </a:stretch>
      </xdr:blipFill>
      <xdr:spPr>
        <a:xfrm>
          <a:off x="1748155" y="26670"/>
          <a:ext cx="824865" cy="15627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7327</xdr:colOff>
      <xdr:row>1</xdr:row>
      <xdr:rowOff>26643</xdr:rowOff>
    </xdr:from>
    <xdr:to>
      <xdr:col>2</xdr:col>
      <xdr:colOff>2893</xdr:colOff>
      <xdr:row>2</xdr:row>
      <xdr:rowOff>0</xdr:rowOff>
    </xdr:to>
    <xdr:pic>
      <xdr:nvPicPr>
        <xdr:cNvPr id="3" name="Picture 2">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l="9056" t="1937" r="10142" b="2478"/>
        <a:stretch>
          <a:fillRect/>
        </a:stretch>
      </xdr:blipFill>
      <xdr:spPr>
        <a:xfrm>
          <a:off x="1740535" y="1615440"/>
          <a:ext cx="890905" cy="15633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14653</xdr:colOff>
      <xdr:row>2</xdr:row>
      <xdr:rowOff>23577</xdr:rowOff>
    </xdr:from>
    <xdr:to>
      <xdr:col>1</xdr:col>
      <xdr:colOff>839491</xdr:colOff>
      <xdr:row>2</xdr:row>
      <xdr:rowOff>1560781</xdr:rowOff>
    </xdr:to>
    <xdr:pic>
      <xdr:nvPicPr>
        <xdr:cNvPr id="4" name="Picture 3">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l="4998" t="1384" r="966" b="752"/>
        <a:stretch>
          <a:fillRect/>
        </a:stretch>
      </xdr:blipFill>
      <xdr:spPr>
        <a:xfrm>
          <a:off x="1748155" y="3202305"/>
          <a:ext cx="824865" cy="153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12260</xdr:colOff>
      <xdr:row>3</xdr:row>
      <xdr:rowOff>22897</xdr:rowOff>
    </xdr:from>
    <xdr:to>
      <xdr:col>1</xdr:col>
      <xdr:colOff>834911</xdr:colOff>
      <xdr:row>4</xdr:row>
      <xdr:rowOff>0</xdr:rowOff>
    </xdr:to>
    <xdr:pic>
      <xdr:nvPicPr>
        <xdr:cNvPr id="5" name="Picture 4">
          <a:extLst>
            <a:ext uri="{FF2B5EF4-FFF2-40B4-BE49-F238E27FC236}">
              <a16:creationId xmlns:a16="http://schemas.microsoft.com/office/drawing/2014/main" id="{00000000-0008-0000-0000-0000050000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l="4876" t="1896" r="11539" b="1"/>
        <a:stretch>
          <a:fillRect/>
        </a:stretch>
      </xdr:blipFill>
      <xdr:spPr>
        <a:xfrm>
          <a:off x="1745615" y="4791075"/>
          <a:ext cx="822325" cy="15665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14655</xdr:colOff>
      <xdr:row>7</xdr:row>
      <xdr:rowOff>8072</xdr:rowOff>
    </xdr:from>
    <xdr:to>
      <xdr:col>1</xdr:col>
      <xdr:colOff>839491</xdr:colOff>
      <xdr:row>7</xdr:row>
      <xdr:rowOff>1565975</xdr:rowOff>
    </xdr:to>
    <xdr:pic>
      <xdr:nvPicPr>
        <xdr:cNvPr id="6" name="Picture 5">
          <a:extLst>
            <a:ext uri="{FF2B5EF4-FFF2-40B4-BE49-F238E27FC236}">
              <a16:creationId xmlns:a16="http://schemas.microsoft.com/office/drawing/2014/main" id="{00000000-0008-0000-0000-000006000000}"/>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l="3590" t="918" r="10797" b="1260"/>
        <a:stretch>
          <a:fillRect/>
        </a:stretch>
      </xdr:blipFill>
      <xdr:spPr>
        <a:xfrm>
          <a:off x="1748155" y="11133455"/>
          <a:ext cx="824865" cy="15582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14654</xdr:colOff>
      <xdr:row>6</xdr:row>
      <xdr:rowOff>14580</xdr:rowOff>
    </xdr:from>
    <xdr:to>
      <xdr:col>2</xdr:col>
      <xdr:colOff>1</xdr:colOff>
      <xdr:row>7</xdr:row>
      <xdr:rowOff>1</xdr:rowOff>
    </xdr:to>
    <xdr:pic>
      <xdr:nvPicPr>
        <xdr:cNvPr id="7" name="Picture 6">
          <a:extLst>
            <a:ext uri="{FF2B5EF4-FFF2-40B4-BE49-F238E27FC236}">
              <a16:creationId xmlns:a16="http://schemas.microsoft.com/office/drawing/2014/main" id="{00000000-0008-0000-0000-000007000000}"/>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l="3791" t="-1" r="3020" b="570"/>
        <a:stretch>
          <a:fillRect/>
        </a:stretch>
      </xdr:blipFill>
      <xdr:spPr>
        <a:xfrm>
          <a:off x="1748155" y="9550400"/>
          <a:ext cx="880745" cy="15754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9234</xdr:colOff>
      <xdr:row>5</xdr:row>
      <xdr:rowOff>19957</xdr:rowOff>
    </xdr:from>
    <xdr:to>
      <xdr:col>2</xdr:col>
      <xdr:colOff>16145</xdr:colOff>
      <xdr:row>5</xdr:row>
      <xdr:rowOff>1574541</xdr:rowOff>
    </xdr:to>
    <xdr:pic>
      <xdr:nvPicPr>
        <xdr:cNvPr id="8" name="Picture 7">
          <a:extLst>
            <a:ext uri="{FF2B5EF4-FFF2-40B4-BE49-F238E27FC236}">
              <a16:creationId xmlns:a16="http://schemas.microsoft.com/office/drawing/2014/main" id="{00000000-0008-0000-0000-000008000000}"/>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l="5516" r="11375"/>
        <a:stretch>
          <a:fillRect/>
        </a:stretch>
      </xdr:blipFill>
      <xdr:spPr>
        <a:xfrm>
          <a:off x="1742440" y="7966710"/>
          <a:ext cx="902335" cy="1554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6778</xdr:colOff>
      <xdr:row>4</xdr:row>
      <xdr:rowOff>8461</xdr:rowOff>
    </xdr:from>
    <xdr:to>
      <xdr:col>1</xdr:col>
      <xdr:colOff>839491</xdr:colOff>
      <xdr:row>4</xdr:row>
      <xdr:rowOff>1578511</xdr:rowOff>
    </xdr:to>
    <xdr:pic>
      <xdr:nvPicPr>
        <xdr:cNvPr id="9" name="Picture 8">
          <a:extLst>
            <a:ext uri="{FF2B5EF4-FFF2-40B4-BE49-F238E27FC236}">
              <a16:creationId xmlns:a16="http://schemas.microsoft.com/office/drawing/2014/main" id="{00000000-0008-0000-0000-000009000000}"/>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r="4345"/>
        <a:stretch>
          <a:fillRect/>
        </a:stretch>
      </xdr:blipFill>
      <xdr:spPr>
        <a:xfrm>
          <a:off x="1739900" y="6365875"/>
          <a:ext cx="833120" cy="15697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1636337</xdr:colOff>
      <xdr:row>9</xdr:row>
      <xdr:rowOff>8072</xdr:rowOff>
    </xdr:from>
    <xdr:to>
      <xdr:col>2</xdr:col>
      <xdr:colOff>16145</xdr:colOff>
      <xdr:row>9</xdr:row>
      <xdr:rowOff>1574540</xdr:rowOff>
    </xdr:to>
    <xdr:pic>
      <xdr:nvPicPr>
        <xdr:cNvPr id="10" name="Picture 9">
          <a:extLst>
            <a:ext uri="{FF2B5EF4-FFF2-40B4-BE49-F238E27FC236}">
              <a16:creationId xmlns:a16="http://schemas.microsoft.com/office/drawing/2014/main" id="{00000000-0008-0000-0000-00000A000000}"/>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l="8823" t="503" r="10452"/>
        <a:stretch>
          <a:fillRect/>
        </a:stretch>
      </xdr:blipFill>
      <xdr:spPr>
        <a:xfrm>
          <a:off x="1635760" y="14312265"/>
          <a:ext cx="1009015" cy="15665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5785</xdr:colOff>
      <xdr:row>11</xdr:row>
      <xdr:rowOff>8072</xdr:rowOff>
    </xdr:from>
    <xdr:to>
      <xdr:col>2</xdr:col>
      <xdr:colOff>11285</xdr:colOff>
      <xdr:row>12</xdr:row>
      <xdr:rowOff>0</xdr:rowOff>
    </xdr:to>
    <xdr:pic>
      <xdr:nvPicPr>
        <xdr:cNvPr id="11" name="Picture 10">
          <a:extLst>
            <a:ext uri="{FF2B5EF4-FFF2-40B4-BE49-F238E27FC236}">
              <a16:creationId xmlns:a16="http://schemas.microsoft.com/office/drawing/2014/main" id="{00000000-0008-0000-0000-00000B000000}"/>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l="8823" r="10805"/>
        <a:stretch>
          <a:fillRect/>
        </a:stretch>
      </xdr:blipFill>
      <xdr:spPr>
        <a:xfrm>
          <a:off x="1739265" y="17491075"/>
          <a:ext cx="900430" cy="158178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8072</xdr:colOff>
      <xdr:row>8</xdr:row>
      <xdr:rowOff>8072</xdr:rowOff>
    </xdr:from>
    <xdr:to>
      <xdr:col>2</xdr:col>
      <xdr:colOff>2893</xdr:colOff>
      <xdr:row>8</xdr:row>
      <xdr:rowOff>1590215</xdr:rowOff>
    </xdr:to>
    <xdr:pic>
      <xdr:nvPicPr>
        <xdr:cNvPr id="12" name="Picture 11">
          <a:extLst>
            <a:ext uri="{FF2B5EF4-FFF2-40B4-BE49-F238E27FC236}">
              <a16:creationId xmlns:a16="http://schemas.microsoft.com/office/drawing/2014/main" id="{00000000-0008-0000-0000-00000C000000}"/>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l="10539" t="1648" r="13630"/>
        <a:stretch>
          <a:fillRect/>
        </a:stretch>
      </xdr:blipFill>
      <xdr:spPr>
        <a:xfrm>
          <a:off x="1741170" y="12722860"/>
          <a:ext cx="890270" cy="15824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1645044</xdr:colOff>
      <xdr:row>10</xdr:row>
      <xdr:rowOff>9899</xdr:rowOff>
    </xdr:from>
    <xdr:to>
      <xdr:col>1</xdr:col>
      <xdr:colOff>843940</xdr:colOff>
      <xdr:row>10</xdr:row>
      <xdr:rowOff>1574047</xdr:rowOff>
    </xdr:to>
    <xdr:pic>
      <xdr:nvPicPr>
        <xdr:cNvPr id="13" name="Picture 12">
          <a:extLst>
            <a:ext uri="{FF2B5EF4-FFF2-40B4-BE49-F238E27FC236}">
              <a16:creationId xmlns:a16="http://schemas.microsoft.com/office/drawing/2014/main" id="{00000000-0008-0000-0000-00000D000000}"/>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l="10176" t="1648" r="12264"/>
        <a:stretch>
          <a:fillRect/>
        </a:stretch>
      </xdr:blipFill>
      <xdr:spPr>
        <a:xfrm>
          <a:off x="1644650" y="15903575"/>
          <a:ext cx="932815" cy="156400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837664</xdr:colOff>
      <xdr:row>10</xdr:row>
      <xdr:rowOff>834046</xdr:rowOff>
    </xdr:from>
    <xdr:to>
      <xdr:col>3</xdr:col>
      <xdr:colOff>25697</xdr:colOff>
      <xdr:row>10</xdr:row>
      <xdr:rowOff>1090547</xdr:rowOff>
    </xdr:to>
    <xdr:sp macro="" textlink="">
      <xdr:nvSpPr>
        <xdr:cNvPr id="14" name="Freeform: Shape 13">
          <a:extLst>
            <a:ext uri="{FF2B5EF4-FFF2-40B4-BE49-F238E27FC236}">
              <a16:creationId xmlns:a16="http://schemas.microsoft.com/office/drawing/2014/main" id="{00000000-0008-0000-0000-00000E000000}"/>
            </a:ext>
          </a:extLst>
        </xdr:cNvPr>
        <xdr:cNvSpPr/>
      </xdr:nvSpPr>
      <xdr:spPr>
        <a:xfrm rot="21437170">
          <a:off x="2571115" y="16727805"/>
          <a:ext cx="559435" cy="256540"/>
        </a:xfrm>
        <a:custGeom>
          <a:avLst/>
          <a:gdLst>
            <a:gd name="connsiteX0" fmla="*/ 0 w 889599"/>
            <a:gd name="connsiteY0" fmla="*/ 0 h 691936"/>
            <a:gd name="connsiteX1" fmla="*/ 440307 w 889599"/>
            <a:gd name="connsiteY1" fmla="*/ 691910 h 691936"/>
            <a:gd name="connsiteX2" fmla="*/ 889599 w 889599"/>
            <a:gd name="connsiteY2" fmla="*/ 26958 h 691936"/>
          </a:gdLst>
          <a:ahLst/>
          <a:cxnLst>
            <a:cxn ang="0">
              <a:pos x="connsiteX0" y="connsiteY0"/>
            </a:cxn>
            <a:cxn ang="0">
              <a:pos x="connsiteX1" y="connsiteY1"/>
            </a:cxn>
            <a:cxn ang="0">
              <a:pos x="connsiteX2" y="connsiteY2"/>
            </a:cxn>
          </a:cxnLst>
          <a:rect l="l" t="t" r="r" b="b"/>
          <a:pathLst>
            <a:path w="889599" h="691936">
              <a:moveTo>
                <a:pt x="0" y="0"/>
              </a:moveTo>
              <a:cubicBezTo>
                <a:pt x="146020" y="343708"/>
                <a:pt x="292041" y="687417"/>
                <a:pt x="440307" y="691910"/>
              </a:cubicBezTo>
              <a:cubicBezTo>
                <a:pt x="588573" y="696403"/>
                <a:pt x="835684" y="131793"/>
                <a:pt x="889599" y="26958"/>
              </a:cubicBezTo>
            </a:path>
          </a:pathLst>
        </a:custGeom>
        <a:ln>
          <a:solidFill>
            <a:srgbClr val="7030A0"/>
          </a:solidFill>
        </a:ln>
      </xdr:spPr>
      <xdr:style>
        <a:lnRef idx="3">
          <a:schemeClr val="dk1"/>
        </a:lnRef>
        <a:fillRef idx="0">
          <a:schemeClr val="dk1"/>
        </a:fillRef>
        <a:effectRef idx="2">
          <a:schemeClr val="dk1"/>
        </a:effectRef>
        <a:fontRef idx="minor">
          <a:schemeClr val="tx1"/>
        </a:fontRef>
      </xdr:style>
      <xdr:txBody>
        <a:bodyPr vertOverflow="clip" horzOverflow="clip" rtlCol="0" anchor="t"/>
        <a:lstStyle/>
        <a:p>
          <a:pPr algn="l"/>
          <a:endParaRPr lang="en-US" sz="1100"/>
        </a:p>
      </xdr:txBody>
    </xdr:sp>
    <xdr:clientData/>
  </xdr:twoCellAnchor>
  <xdr:twoCellAnchor>
    <xdr:from>
      <xdr:col>1</xdr:col>
      <xdr:colOff>837417</xdr:colOff>
      <xdr:row>10</xdr:row>
      <xdr:rowOff>220848</xdr:rowOff>
    </xdr:from>
    <xdr:to>
      <xdr:col>3</xdr:col>
      <xdr:colOff>25450</xdr:colOff>
      <xdr:row>10</xdr:row>
      <xdr:rowOff>477349</xdr:rowOff>
    </xdr:to>
    <xdr:sp macro="" textlink="">
      <xdr:nvSpPr>
        <xdr:cNvPr id="15" name="Freeform: Shape 14">
          <a:extLst>
            <a:ext uri="{FF2B5EF4-FFF2-40B4-BE49-F238E27FC236}">
              <a16:creationId xmlns:a16="http://schemas.microsoft.com/office/drawing/2014/main" id="{00000000-0008-0000-0000-00000F000000}"/>
            </a:ext>
          </a:extLst>
        </xdr:cNvPr>
        <xdr:cNvSpPr/>
      </xdr:nvSpPr>
      <xdr:spPr>
        <a:xfrm rot="21437170">
          <a:off x="2570480" y="16114395"/>
          <a:ext cx="560070" cy="256540"/>
        </a:xfrm>
        <a:custGeom>
          <a:avLst/>
          <a:gdLst>
            <a:gd name="connsiteX0" fmla="*/ 0 w 889599"/>
            <a:gd name="connsiteY0" fmla="*/ 0 h 691936"/>
            <a:gd name="connsiteX1" fmla="*/ 440307 w 889599"/>
            <a:gd name="connsiteY1" fmla="*/ 691910 h 691936"/>
            <a:gd name="connsiteX2" fmla="*/ 889599 w 889599"/>
            <a:gd name="connsiteY2" fmla="*/ 26958 h 691936"/>
          </a:gdLst>
          <a:ahLst/>
          <a:cxnLst>
            <a:cxn ang="0">
              <a:pos x="connsiteX0" y="connsiteY0"/>
            </a:cxn>
            <a:cxn ang="0">
              <a:pos x="connsiteX1" y="connsiteY1"/>
            </a:cxn>
            <a:cxn ang="0">
              <a:pos x="connsiteX2" y="connsiteY2"/>
            </a:cxn>
          </a:cxnLst>
          <a:rect l="l" t="t" r="r" b="b"/>
          <a:pathLst>
            <a:path w="889599" h="691936">
              <a:moveTo>
                <a:pt x="0" y="0"/>
              </a:moveTo>
              <a:cubicBezTo>
                <a:pt x="146020" y="343708"/>
                <a:pt x="292041" y="687417"/>
                <a:pt x="440307" y="691910"/>
              </a:cubicBezTo>
              <a:cubicBezTo>
                <a:pt x="588573" y="696403"/>
                <a:pt x="835684" y="131793"/>
                <a:pt x="889599" y="26958"/>
              </a:cubicBezTo>
            </a:path>
          </a:pathLst>
        </a:custGeom>
        <a:ln>
          <a:solidFill>
            <a:srgbClr val="7030A0"/>
          </a:solidFill>
        </a:ln>
      </xdr:spPr>
      <xdr:style>
        <a:lnRef idx="3">
          <a:schemeClr val="dk1"/>
        </a:lnRef>
        <a:fillRef idx="0">
          <a:schemeClr val="dk1"/>
        </a:fillRef>
        <a:effectRef idx="2">
          <a:schemeClr val="dk1"/>
        </a:effectRef>
        <a:fontRef idx="minor">
          <a:schemeClr val="tx1"/>
        </a:fontRef>
      </xdr:style>
      <xdr:txBody>
        <a:bodyPr vertOverflow="clip" horzOverflow="clip" rtlCol="0" anchor="t"/>
        <a:lstStyle/>
        <a:p>
          <a:pPr algn="l"/>
          <a:endParaRPr lang="en-US" sz="1100"/>
        </a:p>
      </xdr:txBody>
    </xdr:sp>
    <xdr:clientData/>
  </xdr:twoCellAnchor>
  <xdr:twoCellAnchor>
    <xdr:from>
      <xdr:col>1</xdr:col>
      <xdr:colOff>835951</xdr:colOff>
      <xdr:row>10</xdr:row>
      <xdr:rowOff>534439</xdr:rowOff>
    </xdr:from>
    <xdr:to>
      <xdr:col>3</xdr:col>
      <xdr:colOff>23984</xdr:colOff>
      <xdr:row>10</xdr:row>
      <xdr:rowOff>790940</xdr:rowOff>
    </xdr:to>
    <xdr:sp macro="" textlink="">
      <xdr:nvSpPr>
        <xdr:cNvPr id="16" name="Freeform: Shape 15">
          <a:extLst>
            <a:ext uri="{FF2B5EF4-FFF2-40B4-BE49-F238E27FC236}">
              <a16:creationId xmlns:a16="http://schemas.microsoft.com/office/drawing/2014/main" id="{00000000-0008-0000-0000-000010000000}"/>
            </a:ext>
          </a:extLst>
        </xdr:cNvPr>
        <xdr:cNvSpPr/>
      </xdr:nvSpPr>
      <xdr:spPr>
        <a:xfrm rot="21437170">
          <a:off x="2569210" y="16428085"/>
          <a:ext cx="559435" cy="256540"/>
        </a:xfrm>
        <a:custGeom>
          <a:avLst/>
          <a:gdLst>
            <a:gd name="connsiteX0" fmla="*/ 0 w 889599"/>
            <a:gd name="connsiteY0" fmla="*/ 0 h 691936"/>
            <a:gd name="connsiteX1" fmla="*/ 440307 w 889599"/>
            <a:gd name="connsiteY1" fmla="*/ 691910 h 691936"/>
            <a:gd name="connsiteX2" fmla="*/ 889599 w 889599"/>
            <a:gd name="connsiteY2" fmla="*/ 26958 h 691936"/>
          </a:gdLst>
          <a:ahLst/>
          <a:cxnLst>
            <a:cxn ang="0">
              <a:pos x="connsiteX0" y="connsiteY0"/>
            </a:cxn>
            <a:cxn ang="0">
              <a:pos x="connsiteX1" y="connsiteY1"/>
            </a:cxn>
            <a:cxn ang="0">
              <a:pos x="connsiteX2" y="connsiteY2"/>
            </a:cxn>
          </a:cxnLst>
          <a:rect l="l" t="t" r="r" b="b"/>
          <a:pathLst>
            <a:path w="889599" h="691936">
              <a:moveTo>
                <a:pt x="0" y="0"/>
              </a:moveTo>
              <a:cubicBezTo>
                <a:pt x="146020" y="343708"/>
                <a:pt x="292041" y="687417"/>
                <a:pt x="440307" y="691910"/>
              </a:cubicBezTo>
              <a:cubicBezTo>
                <a:pt x="588573" y="696403"/>
                <a:pt x="835684" y="131793"/>
                <a:pt x="889599" y="26958"/>
              </a:cubicBezTo>
            </a:path>
          </a:pathLst>
        </a:custGeom>
        <a:ln>
          <a:solidFill>
            <a:srgbClr val="7030A0"/>
          </a:solidFill>
        </a:ln>
      </xdr:spPr>
      <xdr:style>
        <a:lnRef idx="3">
          <a:schemeClr val="dk1"/>
        </a:lnRef>
        <a:fillRef idx="0">
          <a:schemeClr val="dk1"/>
        </a:fillRef>
        <a:effectRef idx="2">
          <a:schemeClr val="dk1"/>
        </a:effectRef>
        <a:fontRef idx="minor">
          <a:schemeClr val="tx1"/>
        </a:fontRef>
      </xdr:style>
      <xdr:txBody>
        <a:bodyPr vertOverflow="clip" horzOverflow="clip" rtlCol="0" anchor="t"/>
        <a:lstStyle/>
        <a:p>
          <a:pPr algn="l"/>
          <a:endParaRPr lang="en-US" sz="1100"/>
        </a:p>
      </xdr:txBody>
    </xdr:sp>
    <xdr:clientData/>
  </xdr:twoCellAnchor>
  <xdr:twoCellAnchor>
    <xdr:from>
      <xdr:col>2</xdr:col>
      <xdr:colOff>3663</xdr:colOff>
      <xdr:row>11</xdr:row>
      <xdr:rowOff>827255</xdr:rowOff>
    </xdr:from>
    <xdr:to>
      <xdr:col>3</xdr:col>
      <xdr:colOff>2036</xdr:colOff>
      <xdr:row>11</xdr:row>
      <xdr:rowOff>1104584</xdr:rowOff>
    </xdr:to>
    <xdr:sp macro="" textlink="">
      <xdr:nvSpPr>
        <xdr:cNvPr id="17" name="Freeform: Shape 16">
          <a:extLst>
            <a:ext uri="{FF2B5EF4-FFF2-40B4-BE49-F238E27FC236}">
              <a16:creationId xmlns:a16="http://schemas.microsoft.com/office/drawing/2014/main" id="{00000000-0008-0000-0000-000011000000}"/>
            </a:ext>
          </a:extLst>
        </xdr:cNvPr>
        <xdr:cNvSpPr/>
      </xdr:nvSpPr>
      <xdr:spPr>
        <a:xfrm rot="21437170">
          <a:off x="2632075" y="18310225"/>
          <a:ext cx="474980" cy="277495"/>
        </a:xfrm>
        <a:custGeom>
          <a:avLst/>
          <a:gdLst>
            <a:gd name="connsiteX0" fmla="*/ 0 w 889599"/>
            <a:gd name="connsiteY0" fmla="*/ 0 h 691936"/>
            <a:gd name="connsiteX1" fmla="*/ 440307 w 889599"/>
            <a:gd name="connsiteY1" fmla="*/ 691910 h 691936"/>
            <a:gd name="connsiteX2" fmla="*/ 889599 w 889599"/>
            <a:gd name="connsiteY2" fmla="*/ 26958 h 691936"/>
          </a:gdLst>
          <a:ahLst/>
          <a:cxnLst>
            <a:cxn ang="0">
              <a:pos x="connsiteX0" y="connsiteY0"/>
            </a:cxn>
            <a:cxn ang="0">
              <a:pos x="connsiteX1" y="connsiteY1"/>
            </a:cxn>
            <a:cxn ang="0">
              <a:pos x="connsiteX2" y="connsiteY2"/>
            </a:cxn>
          </a:cxnLst>
          <a:rect l="l" t="t" r="r" b="b"/>
          <a:pathLst>
            <a:path w="889599" h="691936">
              <a:moveTo>
                <a:pt x="0" y="0"/>
              </a:moveTo>
              <a:cubicBezTo>
                <a:pt x="146020" y="343708"/>
                <a:pt x="292041" y="687417"/>
                <a:pt x="440307" y="691910"/>
              </a:cubicBezTo>
              <a:cubicBezTo>
                <a:pt x="588573" y="696403"/>
                <a:pt x="835684" y="131793"/>
                <a:pt x="889599" y="26958"/>
              </a:cubicBezTo>
            </a:path>
          </a:pathLst>
        </a:custGeom>
        <a:ln>
          <a:solidFill>
            <a:srgbClr val="7030A0"/>
          </a:solidFill>
        </a:ln>
      </xdr:spPr>
      <xdr:style>
        <a:lnRef idx="3">
          <a:schemeClr val="dk1"/>
        </a:lnRef>
        <a:fillRef idx="0">
          <a:schemeClr val="dk1"/>
        </a:fillRef>
        <a:effectRef idx="2">
          <a:schemeClr val="dk1"/>
        </a:effectRef>
        <a:fontRef idx="minor">
          <a:schemeClr val="tx1"/>
        </a:fontRef>
      </xdr:style>
      <xdr:txBody>
        <a:bodyPr vertOverflow="clip" horzOverflow="clip" rtlCol="0" anchor="t"/>
        <a:lstStyle/>
        <a:p>
          <a:pPr algn="l"/>
          <a:endParaRPr lang="en-US" sz="1100"/>
        </a:p>
      </xdr:txBody>
    </xdr:sp>
    <xdr:clientData/>
  </xdr:twoCellAnchor>
  <xdr:twoCellAnchor>
    <xdr:from>
      <xdr:col>2</xdr:col>
      <xdr:colOff>3416</xdr:colOff>
      <xdr:row>11</xdr:row>
      <xdr:rowOff>255907</xdr:rowOff>
    </xdr:from>
    <xdr:to>
      <xdr:col>3</xdr:col>
      <xdr:colOff>4769</xdr:colOff>
      <xdr:row>11</xdr:row>
      <xdr:rowOff>533236</xdr:rowOff>
    </xdr:to>
    <xdr:sp macro="" textlink="">
      <xdr:nvSpPr>
        <xdr:cNvPr id="18" name="Freeform: Shape 17">
          <a:extLst>
            <a:ext uri="{FF2B5EF4-FFF2-40B4-BE49-F238E27FC236}">
              <a16:creationId xmlns:a16="http://schemas.microsoft.com/office/drawing/2014/main" id="{00000000-0008-0000-0000-000012000000}"/>
            </a:ext>
          </a:extLst>
        </xdr:cNvPr>
        <xdr:cNvSpPr/>
      </xdr:nvSpPr>
      <xdr:spPr>
        <a:xfrm rot="21437170">
          <a:off x="2632075" y="17739360"/>
          <a:ext cx="477520" cy="276860"/>
        </a:xfrm>
        <a:custGeom>
          <a:avLst/>
          <a:gdLst>
            <a:gd name="connsiteX0" fmla="*/ 0 w 889599"/>
            <a:gd name="connsiteY0" fmla="*/ 0 h 691936"/>
            <a:gd name="connsiteX1" fmla="*/ 440307 w 889599"/>
            <a:gd name="connsiteY1" fmla="*/ 691910 h 691936"/>
            <a:gd name="connsiteX2" fmla="*/ 889599 w 889599"/>
            <a:gd name="connsiteY2" fmla="*/ 26958 h 691936"/>
          </a:gdLst>
          <a:ahLst/>
          <a:cxnLst>
            <a:cxn ang="0">
              <a:pos x="connsiteX0" y="connsiteY0"/>
            </a:cxn>
            <a:cxn ang="0">
              <a:pos x="connsiteX1" y="connsiteY1"/>
            </a:cxn>
            <a:cxn ang="0">
              <a:pos x="connsiteX2" y="connsiteY2"/>
            </a:cxn>
          </a:cxnLst>
          <a:rect l="l" t="t" r="r" b="b"/>
          <a:pathLst>
            <a:path w="889599" h="691936">
              <a:moveTo>
                <a:pt x="0" y="0"/>
              </a:moveTo>
              <a:cubicBezTo>
                <a:pt x="146020" y="343708"/>
                <a:pt x="292041" y="687417"/>
                <a:pt x="440307" y="691910"/>
              </a:cubicBezTo>
              <a:cubicBezTo>
                <a:pt x="588573" y="696403"/>
                <a:pt x="835684" y="131793"/>
                <a:pt x="889599" y="26958"/>
              </a:cubicBezTo>
            </a:path>
          </a:pathLst>
        </a:custGeom>
        <a:ln>
          <a:solidFill>
            <a:srgbClr val="7030A0"/>
          </a:solidFill>
        </a:ln>
      </xdr:spPr>
      <xdr:style>
        <a:lnRef idx="3">
          <a:schemeClr val="dk1"/>
        </a:lnRef>
        <a:fillRef idx="0">
          <a:schemeClr val="dk1"/>
        </a:fillRef>
        <a:effectRef idx="2">
          <a:schemeClr val="dk1"/>
        </a:effectRef>
        <a:fontRef idx="minor">
          <a:schemeClr val="tx1"/>
        </a:fontRef>
      </xdr:style>
      <xdr:txBody>
        <a:bodyPr vertOverflow="clip" horzOverflow="clip" rtlCol="0" anchor="t"/>
        <a:lstStyle/>
        <a:p>
          <a:pPr algn="l"/>
          <a:endParaRPr lang="en-US" sz="1100"/>
        </a:p>
      </xdr:txBody>
    </xdr:sp>
    <xdr:clientData/>
  </xdr:twoCellAnchor>
  <xdr:twoCellAnchor>
    <xdr:from>
      <xdr:col>2</xdr:col>
      <xdr:colOff>4310</xdr:colOff>
      <xdr:row>11</xdr:row>
      <xdr:rowOff>554844</xdr:rowOff>
    </xdr:from>
    <xdr:to>
      <xdr:col>3</xdr:col>
      <xdr:colOff>3303</xdr:colOff>
      <xdr:row>11</xdr:row>
      <xdr:rowOff>832173</xdr:rowOff>
    </xdr:to>
    <xdr:sp macro="" textlink="">
      <xdr:nvSpPr>
        <xdr:cNvPr id="19" name="Freeform: Shape 18">
          <a:extLst>
            <a:ext uri="{FF2B5EF4-FFF2-40B4-BE49-F238E27FC236}">
              <a16:creationId xmlns:a16="http://schemas.microsoft.com/office/drawing/2014/main" id="{00000000-0008-0000-0000-000013000000}"/>
            </a:ext>
          </a:extLst>
        </xdr:cNvPr>
        <xdr:cNvSpPr/>
      </xdr:nvSpPr>
      <xdr:spPr>
        <a:xfrm rot="21437170">
          <a:off x="2632710" y="18037810"/>
          <a:ext cx="475615" cy="277495"/>
        </a:xfrm>
        <a:custGeom>
          <a:avLst/>
          <a:gdLst>
            <a:gd name="connsiteX0" fmla="*/ 0 w 889599"/>
            <a:gd name="connsiteY0" fmla="*/ 0 h 691936"/>
            <a:gd name="connsiteX1" fmla="*/ 440307 w 889599"/>
            <a:gd name="connsiteY1" fmla="*/ 691910 h 691936"/>
            <a:gd name="connsiteX2" fmla="*/ 889599 w 889599"/>
            <a:gd name="connsiteY2" fmla="*/ 26958 h 691936"/>
          </a:gdLst>
          <a:ahLst/>
          <a:cxnLst>
            <a:cxn ang="0">
              <a:pos x="connsiteX0" y="connsiteY0"/>
            </a:cxn>
            <a:cxn ang="0">
              <a:pos x="connsiteX1" y="connsiteY1"/>
            </a:cxn>
            <a:cxn ang="0">
              <a:pos x="connsiteX2" y="connsiteY2"/>
            </a:cxn>
          </a:cxnLst>
          <a:rect l="l" t="t" r="r" b="b"/>
          <a:pathLst>
            <a:path w="889599" h="691936">
              <a:moveTo>
                <a:pt x="0" y="0"/>
              </a:moveTo>
              <a:cubicBezTo>
                <a:pt x="146020" y="343708"/>
                <a:pt x="292041" y="687417"/>
                <a:pt x="440307" y="691910"/>
              </a:cubicBezTo>
              <a:cubicBezTo>
                <a:pt x="588573" y="696403"/>
                <a:pt x="835684" y="131793"/>
                <a:pt x="889599" y="26958"/>
              </a:cubicBezTo>
            </a:path>
          </a:pathLst>
        </a:custGeom>
        <a:ln>
          <a:solidFill>
            <a:srgbClr val="7030A0"/>
          </a:solidFill>
        </a:ln>
      </xdr:spPr>
      <xdr:style>
        <a:lnRef idx="3">
          <a:schemeClr val="dk1"/>
        </a:lnRef>
        <a:fillRef idx="0">
          <a:schemeClr val="dk1"/>
        </a:fillRef>
        <a:effectRef idx="2">
          <a:schemeClr val="dk1"/>
        </a:effectRef>
        <a:fontRef idx="minor">
          <a:schemeClr val="tx1"/>
        </a:fontRef>
      </xdr:style>
      <xdr:txBody>
        <a:bodyPr vertOverflow="clip" horzOverflow="clip" rtlCol="0" anchor="t"/>
        <a:lstStyle/>
        <a:p>
          <a:pPr algn="l"/>
          <a:endParaRPr lang="en-US" sz="1100"/>
        </a:p>
      </xdr:txBody>
    </xdr:sp>
    <xdr:clientData/>
  </xdr:twoCellAnchor>
  <xdr:twoCellAnchor editAs="oneCell">
    <xdr:from>
      <xdr:col>1</xdr:col>
      <xdr:colOff>17973</xdr:colOff>
      <xdr:row>13</xdr:row>
      <xdr:rowOff>53917</xdr:rowOff>
    </xdr:from>
    <xdr:to>
      <xdr:col>2</xdr:col>
      <xdr:colOff>17972</xdr:colOff>
      <xdr:row>13</xdr:row>
      <xdr:rowOff>1572525</xdr:rowOff>
    </xdr:to>
    <xdr:pic>
      <xdr:nvPicPr>
        <xdr:cNvPr id="21" name="Picture 20">
          <a:extLst>
            <a:ext uri="{FF2B5EF4-FFF2-40B4-BE49-F238E27FC236}">
              <a16:creationId xmlns:a16="http://schemas.microsoft.com/office/drawing/2014/main" id="{00000000-0008-0000-0000-000015000000}"/>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b="2312"/>
        <a:stretch>
          <a:fillRect/>
        </a:stretch>
      </xdr:blipFill>
      <xdr:spPr>
        <a:xfrm>
          <a:off x="1751330" y="20715605"/>
          <a:ext cx="895350" cy="15189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8987</xdr:colOff>
      <xdr:row>12</xdr:row>
      <xdr:rowOff>8985</xdr:rowOff>
    </xdr:from>
    <xdr:to>
      <xdr:col>1</xdr:col>
      <xdr:colOff>817713</xdr:colOff>
      <xdr:row>13</xdr:row>
      <xdr:rowOff>0</xdr:rowOff>
    </xdr:to>
    <xdr:pic>
      <xdr:nvPicPr>
        <xdr:cNvPr id="20" name="Picture 19">
          <a:extLst>
            <a:ext uri="{FF2B5EF4-FFF2-40B4-BE49-F238E27FC236}">
              <a16:creationId xmlns:a16="http://schemas.microsoft.com/office/drawing/2014/main" id="{00000000-0008-0000-0000-000014000000}"/>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l="7936" t="1654" r="9187" b="1820"/>
        <a:stretch>
          <a:fillRect/>
        </a:stretch>
      </xdr:blipFill>
      <xdr:spPr>
        <a:xfrm>
          <a:off x="1742440" y="19081750"/>
          <a:ext cx="808355" cy="15805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116416</xdr:colOff>
      <xdr:row>0</xdr:row>
      <xdr:rowOff>57504</xdr:rowOff>
    </xdr:from>
    <xdr:to>
      <xdr:col>1</xdr:col>
      <xdr:colOff>174512</xdr:colOff>
      <xdr:row>2</xdr:row>
      <xdr:rowOff>240596</xdr:rowOff>
    </xdr:to>
    <xdr:pic>
      <xdr:nvPicPr>
        <xdr:cNvPr id="4" name="Picture 6" descr="RPG LOGO">
          <a:extLst>
            <a:ext uri="{FF2B5EF4-FFF2-40B4-BE49-F238E27FC236}">
              <a16:creationId xmlns:a16="http://schemas.microsoft.com/office/drawing/2014/main" id="{9CCDBAF8-C23C-4D07-B3E3-78AF965D1C6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16416" y="57504"/>
          <a:ext cx="667696" cy="5513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7</xdr:col>
      <xdr:colOff>157032</xdr:colOff>
      <xdr:row>202</xdr:row>
      <xdr:rowOff>127660</xdr:rowOff>
    </xdr:from>
    <xdr:to>
      <xdr:col>7</xdr:col>
      <xdr:colOff>423732</xdr:colOff>
      <xdr:row>204</xdr:row>
      <xdr:rowOff>127660</xdr:rowOff>
    </xdr:to>
    <xdr:sp macro="" textlink="">
      <xdr:nvSpPr>
        <xdr:cNvPr id="2" name="Line 327">
          <a:extLst>
            <a:ext uri="{FF2B5EF4-FFF2-40B4-BE49-F238E27FC236}">
              <a16:creationId xmlns:a16="http://schemas.microsoft.com/office/drawing/2014/main" id="{00000000-0008-0000-0900-000002000000}"/>
            </a:ext>
          </a:extLst>
        </xdr:cNvPr>
        <xdr:cNvSpPr>
          <a:spLocks noChangeShapeType="1"/>
        </xdr:cNvSpPr>
      </xdr:nvSpPr>
      <xdr:spPr>
        <a:xfrm flipH="1">
          <a:off x="4766945" y="38630860"/>
          <a:ext cx="266700" cy="38735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133828</xdr:colOff>
      <xdr:row>200</xdr:row>
      <xdr:rowOff>40012</xdr:rowOff>
    </xdr:from>
    <xdr:to>
      <xdr:col>11</xdr:col>
      <xdr:colOff>400528</xdr:colOff>
      <xdr:row>202</xdr:row>
      <xdr:rowOff>59062</xdr:rowOff>
    </xdr:to>
    <xdr:sp macro="" textlink="">
      <xdr:nvSpPr>
        <xdr:cNvPr id="3" name="Line 328">
          <a:extLst>
            <a:ext uri="{FF2B5EF4-FFF2-40B4-BE49-F238E27FC236}">
              <a16:creationId xmlns:a16="http://schemas.microsoft.com/office/drawing/2014/main" id="{00000000-0008-0000-0900-000003000000}"/>
            </a:ext>
          </a:extLst>
        </xdr:cNvPr>
        <xdr:cNvSpPr>
          <a:spLocks noChangeShapeType="1"/>
        </xdr:cNvSpPr>
      </xdr:nvSpPr>
      <xdr:spPr>
        <a:xfrm flipH="1">
          <a:off x="7258050" y="38146355"/>
          <a:ext cx="266700" cy="4159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40797</xdr:colOff>
      <xdr:row>200</xdr:row>
      <xdr:rowOff>6828</xdr:rowOff>
    </xdr:from>
    <xdr:to>
      <xdr:col>11</xdr:col>
      <xdr:colOff>307497</xdr:colOff>
      <xdr:row>202</xdr:row>
      <xdr:rowOff>4404</xdr:rowOff>
    </xdr:to>
    <xdr:sp macro="" textlink="">
      <xdr:nvSpPr>
        <xdr:cNvPr id="4" name="Line 328">
          <a:extLst>
            <a:ext uri="{FF2B5EF4-FFF2-40B4-BE49-F238E27FC236}">
              <a16:creationId xmlns:a16="http://schemas.microsoft.com/office/drawing/2014/main" id="{00000000-0008-0000-0900-000004000000}"/>
            </a:ext>
          </a:extLst>
        </xdr:cNvPr>
        <xdr:cNvSpPr>
          <a:spLocks noChangeShapeType="1"/>
        </xdr:cNvSpPr>
      </xdr:nvSpPr>
      <xdr:spPr>
        <a:xfrm flipH="1">
          <a:off x="7165340" y="38112700"/>
          <a:ext cx="266700" cy="3943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4</xdr:col>
      <xdr:colOff>75267</xdr:colOff>
      <xdr:row>206</xdr:row>
      <xdr:rowOff>128725</xdr:rowOff>
    </xdr:from>
    <xdr:to>
      <xdr:col>4</xdr:col>
      <xdr:colOff>242984</xdr:colOff>
      <xdr:row>208</xdr:row>
      <xdr:rowOff>97132</xdr:rowOff>
    </xdr:to>
    <xdr:sp macro="" textlink="">
      <xdr:nvSpPr>
        <xdr:cNvPr id="5" name="AutoShape 301">
          <a:extLst>
            <a:ext uri="{FF2B5EF4-FFF2-40B4-BE49-F238E27FC236}">
              <a16:creationId xmlns:a16="http://schemas.microsoft.com/office/drawing/2014/main" id="{00000000-0008-0000-0900-000005000000}"/>
            </a:ext>
          </a:extLst>
        </xdr:cNvPr>
        <xdr:cNvSpPr>
          <a:spLocks noChangeArrowheads="1"/>
        </xdr:cNvSpPr>
      </xdr:nvSpPr>
      <xdr:spPr>
        <a:xfrm rot="7084349">
          <a:off x="2714625" y="39471600"/>
          <a:ext cx="3365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7</xdr:col>
      <xdr:colOff>236194</xdr:colOff>
      <xdr:row>208</xdr:row>
      <xdr:rowOff>103211</xdr:rowOff>
    </xdr:from>
    <xdr:to>
      <xdr:col>7</xdr:col>
      <xdr:colOff>412246</xdr:colOff>
      <xdr:row>210</xdr:row>
      <xdr:rowOff>147305</xdr:rowOff>
    </xdr:to>
    <xdr:sp macro="" textlink="">
      <xdr:nvSpPr>
        <xdr:cNvPr id="6" name="AutoShape 410">
          <a:extLst>
            <a:ext uri="{FF2B5EF4-FFF2-40B4-BE49-F238E27FC236}">
              <a16:creationId xmlns:a16="http://schemas.microsoft.com/office/drawing/2014/main" id="{00000000-0008-0000-0900-000006000000}"/>
            </a:ext>
          </a:extLst>
        </xdr:cNvPr>
        <xdr:cNvSpPr>
          <a:spLocks noChangeArrowheads="1"/>
        </xdr:cNvSpPr>
      </xdr:nvSpPr>
      <xdr:spPr>
        <a:xfrm rot="7297720">
          <a:off x="4727575" y="39848155"/>
          <a:ext cx="4127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16</xdr:col>
      <xdr:colOff>142551</xdr:colOff>
      <xdr:row>202</xdr:row>
      <xdr:rowOff>135416</xdr:rowOff>
    </xdr:from>
    <xdr:to>
      <xdr:col>16</xdr:col>
      <xdr:colOff>450912</xdr:colOff>
      <xdr:row>204</xdr:row>
      <xdr:rowOff>71245</xdr:rowOff>
    </xdr:to>
    <xdr:pic>
      <xdr:nvPicPr>
        <xdr:cNvPr id="7" name="Picture 6">
          <a:extLst>
            <a:ext uri="{FF2B5EF4-FFF2-40B4-BE49-F238E27FC236}">
              <a16:creationId xmlns:a16="http://schemas.microsoft.com/office/drawing/2014/main" id="{00000000-0008-0000-0900-000007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0410190" y="38638480"/>
          <a:ext cx="308610" cy="3232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264392</xdr:colOff>
      <xdr:row>208</xdr:row>
      <xdr:rowOff>119688</xdr:rowOff>
    </xdr:from>
    <xdr:to>
      <xdr:col>11</xdr:col>
      <xdr:colOff>457586</xdr:colOff>
      <xdr:row>210</xdr:row>
      <xdr:rowOff>127463</xdr:rowOff>
    </xdr:to>
    <xdr:sp macro="" textlink="">
      <xdr:nvSpPr>
        <xdr:cNvPr id="8" name="Parallelogram 7">
          <a:extLst>
            <a:ext uri="{FF2B5EF4-FFF2-40B4-BE49-F238E27FC236}">
              <a16:creationId xmlns:a16="http://schemas.microsoft.com/office/drawing/2014/main" id="{00000000-0008-0000-0900-000008000000}"/>
            </a:ext>
          </a:extLst>
        </xdr:cNvPr>
        <xdr:cNvSpPr/>
      </xdr:nvSpPr>
      <xdr:spPr>
        <a:xfrm rot="1440000">
          <a:off x="7388860" y="39746555"/>
          <a:ext cx="193040" cy="3759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265280</xdr:colOff>
      <xdr:row>208</xdr:row>
      <xdr:rowOff>136020</xdr:rowOff>
    </xdr:from>
    <xdr:to>
      <xdr:col>11</xdr:col>
      <xdr:colOff>461973</xdr:colOff>
      <xdr:row>210</xdr:row>
      <xdr:rowOff>103775</xdr:rowOff>
    </xdr:to>
    <xdr:cxnSp macro="">
      <xdr:nvCxnSpPr>
        <xdr:cNvPr id="9" name="Straight Connector 8">
          <a:extLst>
            <a:ext uri="{FF2B5EF4-FFF2-40B4-BE49-F238E27FC236}">
              <a16:creationId xmlns:a16="http://schemas.microsoft.com/office/drawing/2014/main" id="{00000000-0008-0000-0900-000009000000}"/>
            </a:ext>
          </a:extLst>
        </xdr:cNvPr>
        <xdr:cNvCxnSpPr/>
      </xdr:nvCxnSpPr>
      <xdr:spPr>
        <a:xfrm flipH="1">
          <a:off x="7389495" y="39763065"/>
          <a:ext cx="196850" cy="3359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5</xdr:col>
      <xdr:colOff>4572</xdr:colOff>
      <xdr:row>194</xdr:row>
      <xdr:rowOff>78147</xdr:rowOff>
    </xdr:from>
    <xdr:to>
      <xdr:col>6</xdr:col>
      <xdr:colOff>0</xdr:colOff>
      <xdr:row>196</xdr:row>
      <xdr:rowOff>0</xdr:rowOff>
    </xdr:to>
    <xdr:sp macro="" textlink="">
      <xdr:nvSpPr>
        <xdr:cNvPr id="10" name="Isosceles Triangle 9">
          <a:extLst>
            <a:ext uri="{FF2B5EF4-FFF2-40B4-BE49-F238E27FC236}">
              <a16:creationId xmlns:a16="http://schemas.microsoft.com/office/drawing/2014/main" id="{00000000-0008-0000-0900-00000A000000}"/>
            </a:ext>
          </a:extLst>
        </xdr:cNvPr>
        <xdr:cNvSpPr/>
      </xdr:nvSpPr>
      <xdr:spPr>
        <a:xfrm>
          <a:off x="3357245" y="37022405"/>
          <a:ext cx="624205" cy="29972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7</xdr:col>
      <xdr:colOff>4572</xdr:colOff>
      <xdr:row>194</xdr:row>
      <xdr:rowOff>78147</xdr:rowOff>
    </xdr:from>
    <xdr:to>
      <xdr:col>8</xdr:col>
      <xdr:colOff>0</xdr:colOff>
      <xdr:row>195</xdr:row>
      <xdr:rowOff>192447</xdr:rowOff>
    </xdr:to>
    <xdr:sp macro="" textlink="">
      <xdr:nvSpPr>
        <xdr:cNvPr id="11" name="Isosceles Triangle 10">
          <a:extLst>
            <a:ext uri="{FF2B5EF4-FFF2-40B4-BE49-F238E27FC236}">
              <a16:creationId xmlns:a16="http://schemas.microsoft.com/office/drawing/2014/main" id="{00000000-0008-0000-0900-00000B000000}"/>
            </a:ext>
          </a:extLst>
        </xdr:cNvPr>
        <xdr:cNvSpPr/>
      </xdr:nvSpPr>
      <xdr:spPr>
        <a:xfrm>
          <a:off x="4614545" y="37022405"/>
          <a:ext cx="624205" cy="29845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194</xdr:row>
      <xdr:rowOff>78147</xdr:rowOff>
    </xdr:from>
    <xdr:to>
      <xdr:col>10</xdr:col>
      <xdr:colOff>0</xdr:colOff>
      <xdr:row>195</xdr:row>
      <xdr:rowOff>192447</xdr:rowOff>
    </xdr:to>
    <xdr:sp macro="" textlink="">
      <xdr:nvSpPr>
        <xdr:cNvPr id="12" name="Isosceles Triangle 11">
          <a:extLst>
            <a:ext uri="{FF2B5EF4-FFF2-40B4-BE49-F238E27FC236}">
              <a16:creationId xmlns:a16="http://schemas.microsoft.com/office/drawing/2014/main" id="{00000000-0008-0000-0900-00000C000000}"/>
            </a:ext>
          </a:extLst>
        </xdr:cNvPr>
        <xdr:cNvSpPr/>
      </xdr:nvSpPr>
      <xdr:spPr>
        <a:xfrm>
          <a:off x="5871845" y="37022405"/>
          <a:ext cx="624205" cy="29845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284789</xdr:colOff>
      <xdr:row>194</xdr:row>
      <xdr:rowOff>45487</xdr:rowOff>
    </xdr:from>
    <xdr:to>
      <xdr:col>7</xdr:col>
      <xdr:colOff>338667</xdr:colOff>
      <xdr:row>194</xdr:row>
      <xdr:rowOff>138545</xdr:rowOff>
    </xdr:to>
    <xdr:sp macro="" textlink="">
      <xdr:nvSpPr>
        <xdr:cNvPr id="13" name="Freeform 1071">
          <a:extLst>
            <a:ext uri="{FF2B5EF4-FFF2-40B4-BE49-F238E27FC236}">
              <a16:creationId xmlns:a16="http://schemas.microsoft.com/office/drawing/2014/main" id="{00000000-0008-0000-0900-00000D000000}"/>
            </a:ext>
          </a:extLst>
        </xdr:cNvPr>
        <xdr:cNvSpPr/>
      </xdr:nvSpPr>
      <xdr:spPr>
        <a:xfrm>
          <a:off x="3637280" y="36989385"/>
          <a:ext cx="1311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7</xdr:col>
      <xdr:colOff>284788</xdr:colOff>
      <xdr:row>194</xdr:row>
      <xdr:rowOff>23091</xdr:rowOff>
    </xdr:from>
    <xdr:to>
      <xdr:col>9</xdr:col>
      <xdr:colOff>374843</xdr:colOff>
      <xdr:row>195</xdr:row>
      <xdr:rowOff>9496</xdr:rowOff>
    </xdr:to>
    <xdr:sp macro="" textlink="">
      <xdr:nvSpPr>
        <xdr:cNvPr id="14" name="Freeform 1072">
          <a:extLst>
            <a:ext uri="{FF2B5EF4-FFF2-40B4-BE49-F238E27FC236}">
              <a16:creationId xmlns:a16="http://schemas.microsoft.com/office/drawing/2014/main" id="{00000000-0008-0000-0900-00000E000000}"/>
            </a:ext>
          </a:extLst>
        </xdr:cNvPr>
        <xdr:cNvSpPr/>
      </xdr:nvSpPr>
      <xdr:spPr>
        <a:xfrm>
          <a:off x="4894580" y="36967160"/>
          <a:ext cx="1347470" cy="17018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6</xdr:col>
      <xdr:colOff>212656</xdr:colOff>
      <xdr:row>195</xdr:row>
      <xdr:rowOff>140918</xdr:rowOff>
    </xdr:from>
    <xdr:ext cx="224509" cy="507924"/>
    <xdr:pic>
      <xdr:nvPicPr>
        <xdr:cNvPr id="15" name="Picture 14">
          <a:extLst>
            <a:ext uri="{FF2B5EF4-FFF2-40B4-BE49-F238E27FC236}">
              <a16:creationId xmlns:a16="http://schemas.microsoft.com/office/drawing/2014/main" id="{00000000-0008-0000-0900-00000F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193540" y="372687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10</xdr:col>
      <xdr:colOff>123265</xdr:colOff>
      <xdr:row>196</xdr:row>
      <xdr:rowOff>11206</xdr:rowOff>
    </xdr:from>
    <xdr:to>
      <xdr:col>10</xdr:col>
      <xdr:colOff>212913</xdr:colOff>
      <xdr:row>196</xdr:row>
      <xdr:rowOff>156883</xdr:rowOff>
    </xdr:to>
    <xdr:sp macro="" textlink="">
      <xdr:nvSpPr>
        <xdr:cNvPr id="16" name="Curved Down Ribbon 1963">
          <a:extLst>
            <a:ext uri="{FF2B5EF4-FFF2-40B4-BE49-F238E27FC236}">
              <a16:creationId xmlns:a16="http://schemas.microsoft.com/office/drawing/2014/main" id="{00000000-0008-0000-0900-000010000000}"/>
            </a:ext>
          </a:extLst>
        </xdr:cNvPr>
        <xdr:cNvSpPr/>
      </xdr:nvSpPr>
      <xdr:spPr>
        <a:xfrm>
          <a:off x="6619240" y="373329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0</xdr:colOff>
      <xdr:row>194</xdr:row>
      <xdr:rowOff>0</xdr:rowOff>
    </xdr:from>
    <xdr:to>
      <xdr:col>16</xdr:col>
      <xdr:colOff>609261</xdr:colOff>
      <xdr:row>195</xdr:row>
      <xdr:rowOff>95250</xdr:rowOff>
    </xdr:to>
    <xdr:sp macro="" textlink="">
      <xdr:nvSpPr>
        <xdr:cNvPr id="17" name="Isosceles Triangle 16">
          <a:extLst>
            <a:ext uri="{FF2B5EF4-FFF2-40B4-BE49-F238E27FC236}">
              <a16:creationId xmlns:a16="http://schemas.microsoft.com/office/drawing/2014/main" id="{00000000-0008-0000-0900-000011000000}"/>
            </a:ext>
          </a:extLst>
        </xdr:cNvPr>
        <xdr:cNvSpPr/>
      </xdr:nvSpPr>
      <xdr:spPr>
        <a:xfrm>
          <a:off x="10267950" y="36944300"/>
          <a:ext cx="608965" cy="27940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0</xdr:colOff>
      <xdr:row>197</xdr:row>
      <xdr:rowOff>0</xdr:rowOff>
    </xdr:from>
    <xdr:to>
      <xdr:col>16</xdr:col>
      <xdr:colOff>609261</xdr:colOff>
      <xdr:row>198</xdr:row>
      <xdr:rowOff>81642</xdr:rowOff>
    </xdr:to>
    <xdr:sp macro="" textlink="">
      <xdr:nvSpPr>
        <xdr:cNvPr id="18" name="Isosceles Triangle 17">
          <a:extLst>
            <a:ext uri="{FF2B5EF4-FFF2-40B4-BE49-F238E27FC236}">
              <a16:creationId xmlns:a16="http://schemas.microsoft.com/office/drawing/2014/main" id="{00000000-0008-0000-0900-000012000000}"/>
            </a:ext>
          </a:extLst>
        </xdr:cNvPr>
        <xdr:cNvSpPr/>
      </xdr:nvSpPr>
      <xdr:spPr>
        <a:xfrm>
          <a:off x="10267950" y="37525325"/>
          <a:ext cx="608965" cy="28448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204108</xdr:colOff>
      <xdr:row>197</xdr:row>
      <xdr:rowOff>95250</xdr:rowOff>
    </xdr:from>
    <xdr:to>
      <xdr:col>16</xdr:col>
      <xdr:colOff>353787</xdr:colOff>
      <xdr:row>198</xdr:row>
      <xdr:rowOff>68035</xdr:rowOff>
    </xdr:to>
    <xdr:sp macro="" textlink="">
      <xdr:nvSpPr>
        <xdr:cNvPr id="19" name="Curved Right Arrow 2121">
          <a:extLst>
            <a:ext uri="{FF2B5EF4-FFF2-40B4-BE49-F238E27FC236}">
              <a16:creationId xmlns:a16="http://schemas.microsoft.com/office/drawing/2014/main" id="{00000000-0008-0000-0900-000013000000}"/>
            </a:ext>
          </a:extLst>
        </xdr:cNvPr>
        <xdr:cNvSpPr/>
      </xdr:nvSpPr>
      <xdr:spPr>
        <a:xfrm>
          <a:off x="10471785" y="37620575"/>
          <a:ext cx="149860" cy="17589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9</xdr:col>
      <xdr:colOff>244928</xdr:colOff>
      <xdr:row>195</xdr:row>
      <xdr:rowOff>13608</xdr:rowOff>
    </xdr:from>
    <xdr:to>
      <xdr:col>9</xdr:col>
      <xdr:colOff>381000</xdr:colOff>
      <xdr:row>195</xdr:row>
      <xdr:rowOff>149679</xdr:rowOff>
    </xdr:to>
    <xdr:sp macro="" textlink="">
      <xdr:nvSpPr>
        <xdr:cNvPr id="20" name="Flowchart: Connector 19">
          <a:extLst>
            <a:ext uri="{FF2B5EF4-FFF2-40B4-BE49-F238E27FC236}">
              <a16:creationId xmlns:a16="http://schemas.microsoft.com/office/drawing/2014/main" id="{00000000-0008-0000-0900-000014000000}"/>
            </a:ext>
          </a:extLst>
        </xdr:cNvPr>
        <xdr:cNvSpPr/>
      </xdr:nvSpPr>
      <xdr:spPr>
        <a:xfrm>
          <a:off x="6111875" y="371417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460385</xdr:colOff>
      <xdr:row>194</xdr:row>
      <xdr:rowOff>95250</xdr:rowOff>
    </xdr:from>
    <xdr:to>
      <xdr:col>10</xdr:col>
      <xdr:colOff>217714</xdr:colOff>
      <xdr:row>195</xdr:row>
      <xdr:rowOff>44130</xdr:rowOff>
    </xdr:to>
    <xdr:cxnSp macro="">
      <xdr:nvCxnSpPr>
        <xdr:cNvPr id="21" name="Straight Arrow Connector 20">
          <a:extLst>
            <a:ext uri="{FF2B5EF4-FFF2-40B4-BE49-F238E27FC236}">
              <a16:creationId xmlns:a16="http://schemas.microsoft.com/office/drawing/2014/main" id="{00000000-0008-0000-0900-000015000000}"/>
            </a:ext>
          </a:extLst>
        </xdr:cNvPr>
        <xdr:cNvCxnSpPr>
          <a:endCxn id="12" idx="5"/>
        </xdr:cNvCxnSpPr>
      </xdr:nvCxnSpPr>
      <xdr:spPr>
        <a:xfrm flipH="1">
          <a:off x="6327775" y="37039550"/>
          <a:ext cx="385445" cy="1327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199</xdr:colOff>
      <xdr:row>204</xdr:row>
      <xdr:rowOff>50269</xdr:rowOff>
    </xdr:from>
    <xdr:to>
      <xdr:col>3</xdr:col>
      <xdr:colOff>109057</xdr:colOff>
      <xdr:row>204</xdr:row>
      <xdr:rowOff>131915</xdr:rowOff>
    </xdr:to>
    <xdr:sp macro="" textlink="">
      <xdr:nvSpPr>
        <xdr:cNvPr id="22" name="Oval 21">
          <a:extLst>
            <a:ext uri="{FF2B5EF4-FFF2-40B4-BE49-F238E27FC236}">
              <a16:creationId xmlns:a16="http://schemas.microsoft.com/office/drawing/2014/main" id="{00000000-0008-0000-0900-000016000000}"/>
            </a:ext>
          </a:extLst>
        </xdr:cNvPr>
        <xdr:cNvSpPr/>
      </xdr:nvSpPr>
      <xdr:spPr>
        <a:xfrm flipH="1">
          <a:off x="1885950" y="3894074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152599</xdr:colOff>
      <xdr:row>205</xdr:row>
      <xdr:rowOff>45787</xdr:rowOff>
    </xdr:from>
    <xdr:to>
      <xdr:col>3</xdr:col>
      <xdr:colOff>261457</xdr:colOff>
      <xdr:row>205</xdr:row>
      <xdr:rowOff>127433</xdr:rowOff>
    </xdr:to>
    <xdr:sp macro="" textlink="">
      <xdr:nvSpPr>
        <xdr:cNvPr id="23" name="Oval 22">
          <a:extLst>
            <a:ext uri="{FF2B5EF4-FFF2-40B4-BE49-F238E27FC236}">
              <a16:creationId xmlns:a16="http://schemas.microsoft.com/office/drawing/2014/main" id="{00000000-0008-0000-0900-000017000000}"/>
            </a:ext>
          </a:extLst>
        </xdr:cNvPr>
        <xdr:cNvSpPr/>
      </xdr:nvSpPr>
      <xdr:spPr>
        <a:xfrm flipH="1">
          <a:off x="2038350" y="3912044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4572</xdr:colOff>
      <xdr:row>8</xdr:row>
      <xdr:rowOff>86085</xdr:rowOff>
    </xdr:from>
    <xdr:to>
      <xdr:col>5</xdr:col>
      <xdr:colOff>0</xdr:colOff>
      <xdr:row>10</xdr:row>
      <xdr:rowOff>8297</xdr:rowOff>
    </xdr:to>
    <xdr:sp macro="" textlink="">
      <xdr:nvSpPr>
        <xdr:cNvPr id="25" name="Isosceles Triangle 24">
          <a:extLst>
            <a:ext uri="{FF2B5EF4-FFF2-40B4-BE49-F238E27FC236}">
              <a16:creationId xmlns:a16="http://schemas.microsoft.com/office/drawing/2014/main" id="{00000000-0008-0000-0900-000019000000}"/>
            </a:ext>
          </a:extLst>
        </xdr:cNvPr>
        <xdr:cNvSpPr/>
      </xdr:nvSpPr>
      <xdr:spPr>
        <a:xfrm>
          <a:off x="2728595" y="1568450"/>
          <a:ext cx="624205" cy="3003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26" name="Isosceles Triangle 25">
          <a:extLst>
            <a:ext uri="{FF2B5EF4-FFF2-40B4-BE49-F238E27FC236}">
              <a16:creationId xmlns:a16="http://schemas.microsoft.com/office/drawing/2014/main" id="{00000000-0008-0000-0900-00001A000000}"/>
            </a:ext>
          </a:extLst>
        </xdr:cNvPr>
        <xdr:cNvSpPr/>
      </xdr:nvSpPr>
      <xdr:spPr>
        <a:xfrm>
          <a:off x="39858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27" name="Isosceles Triangle 26">
          <a:extLst>
            <a:ext uri="{FF2B5EF4-FFF2-40B4-BE49-F238E27FC236}">
              <a16:creationId xmlns:a16="http://schemas.microsoft.com/office/drawing/2014/main" id="{00000000-0008-0000-0900-00001B000000}"/>
            </a:ext>
          </a:extLst>
        </xdr:cNvPr>
        <xdr:cNvSpPr/>
      </xdr:nvSpPr>
      <xdr:spPr>
        <a:xfrm>
          <a:off x="52431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28" name="Isosceles Triangle 27">
          <a:extLst>
            <a:ext uri="{FF2B5EF4-FFF2-40B4-BE49-F238E27FC236}">
              <a16:creationId xmlns:a16="http://schemas.microsoft.com/office/drawing/2014/main" id="{00000000-0008-0000-0900-00001C000000}"/>
            </a:ext>
          </a:extLst>
        </xdr:cNvPr>
        <xdr:cNvSpPr/>
      </xdr:nvSpPr>
      <xdr:spPr>
        <a:xfrm>
          <a:off x="6475730" y="157099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29" name="Isosceles Triangle 28">
          <a:extLst>
            <a:ext uri="{FF2B5EF4-FFF2-40B4-BE49-F238E27FC236}">
              <a16:creationId xmlns:a16="http://schemas.microsoft.com/office/drawing/2014/main" id="{00000000-0008-0000-0900-00001D000000}"/>
            </a:ext>
          </a:extLst>
        </xdr:cNvPr>
        <xdr:cNvSpPr/>
      </xdr:nvSpPr>
      <xdr:spPr>
        <a:xfrm>
          <a:off x="7764145" y="157226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30" name="Isosceles Triangle 29">
          <a:extLst>
            <a:ext uri="{FF2B5EF4-FFF2-40B4-BE49-F238E27FC236}">
              <a16:creationId xmlns:a16="http://schemas.microsoft.com/office/drawing/2014/main" id="{00000000-0008-0000-0900-00001E000000}"/>
            </a:ext>
          </a:extLst>
        </xdr:cNvPr>
        <xdr:cNvSpPr/>
      </xdr:nvSpPr>
      <xdr:spPr>
        <a:xfrm>
          <a:off x="90150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1" name="Isosceles Triangle 30">
          <a:extLst>
            <a:ext uri="{FF2B5EF4-FFF2-40B4-BE49-F238E27FC236}">
              <a16:creationId xmlns:a16="http://schemas.microsoft.com/office/drawing/2014/main" id="{00000000-0008-0000-0900-00001F00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32" name="Isosceles Triangle 31">
          <a:extLst>
            <a:ext uri="{FF2B5EF4-FFF2-40B4-BE49-F238E27FC236}">
              <a16:creationId xmlns:a16="http://schemas.microsoft.com/office/drawing/2014/main" id="{00000000-0008-0000-0900-000020000000}"/>
            </a:ext>
          </a:extLst>
        </xdr:cNvPr>
        <xdr:cNvSpPr/>
      </xdr:nvSpPr>
      <xdr:spPr>
        <a:xfrm>
          <a:off x="11548745" y="1560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33" name="Isosceles Triangle 32">
          <a:extLst>
            <a:ext uri="{FF2B5EF4-FFF2-40B4-BE49-F238E27FC236}">
              <a16:creationId xmlns:a16="http://schemas.microsoft.com/office/drawing/2014/main" id="{00000000-0008-0000-0900-000021000000}"/>
            </a:ext>
          </a:extLst>
        </xdr:cNvPr>
        <xdr:cNvSpPr/>
      </xdr:nvSpPr>
      <xdr:spPr>
        <a:xfrm>
          <a:off x="126174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4" name="Isosceles Triangle 33">
          <a:extLst>
            <a:ext uri="{FF2B5EF4-FFF2-40B4-BE49-F238E27FC236}">
              <a16:creationId xmlns:a16="http://schemas.microsoft.com/office/drawing/2014/main" id="{00000000-0008-0000-0900-00002200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35" name="Isosceles Triangle 34">
          <a:extLst>
            <a:ext uri="{FF2B5EF4-FFF2-40B4-BE49-F238E27FC236}">
              <a16:creationId xmlns:a16="http://schemas.microsoft.com/office/drawing/2014/main" id="{00000000-0008-0000-0900-000023000000}"/>
            </a:ext>
          </a:extLst>
        </xdr:cNvPr>
        <xdr:cNvSpPr/>
      </xdr:nvSpPr>
      <xdr:spPr>
        <a:xfrm>
          <a:off x="633095" y="32848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36" name="Isosceles Triangle 35">
          <a:extLst>
            <a:ext uri="{FF2B5EF4-FFF2-40B4-BE49-F238E27FC236}">
              <a16:creationId xmlns:a16="http://schemas.microsoft.com/office/drawing/2014/main" id="{00000000-0008-0000-0900-000024000000}"/>
            </a:ext>
          </a:extLst>
        </xdr:cNvPr>
        <xdr:cNvSpPr/>
      </xdr:nvSpPr>
      <xdr:spPr>
        <a:xfrm>
          <a:off x="33572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37" name="Isosceles Triangle 36">
          <a:extLst>
            <a:ext uri="{FF2B5EF4-FFF2-40B4-BE49-F238E27FC236}">
              <a16:creationId xmlns:a16="http://schemas.microsoft.com/office/drawing/2014/main" id="{00000000-0008-0000-0900-000025000000}"/>
            </a:ext>
          </a:extLst>
        </xdr:cNvPr>
        <xdr:cNvSpPr/>
      </xdr:nvSpPr>
      <xdr:spPr>
        <a:xfrm>
          <a:off x="46145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38" name="Isosceles Triangle 37">
          <a:extLst>
            <a:ext uri="{FF2B5EF4-FFF2-40B4-BE49-F238E27FC236}">
              <a16:creationId xmlns:a16="http://schemas.microsoft.com/office/drawing/2014/main" id="{00000000-0008-0000-0900-000026000000}"/>
            </a:ext>
          </a:extLst>
        </xdr:cNvPr>
        <xdr:cNvSpPr/>
      </xdr:nvSpPr>
      <xdr:spPr>
        <a:xfrm>
          <a:off x="58718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39" name="Isosceles Triangle 38">
          <a:extLst>
            <a:ext uri="{FF2B5EF4-FFF2-40B4-BE49-F238E27FC236}">
              <a16:creationId xmlns:a16="http://schemas.microsoft.com/office/drawing/2014/main" id="{00000000-0008-0000-0900-000027000000}"/>
            </a:ext>
          </a:extLst>
        </xdr:cNvPr>
        <xdr:cNvSpPr/>
      </xdr:nvSpPr>
      <xdr:spPr>
        <a:xfrm>
          <a:off x="71291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40" name="Isosceles Triangle 39">
          <a:extLst>
            <a:ext uri="{FF2B5EF4-FFF2-40B4-BE49-F238E27FC236}">
              <a16:creationId xmlns:a16="http://schemas.microsoft.com/office/drawing/2014/main" id="{00000000-0008-0000-0900-000028000000}"/>
            </a:ext>
          </a:extLst>
        </xdr:cNvPr>
        <xdr:cNvSpPr/>
      </xdr:nvSpPr>
      <xdr:spPr>
        <a:xfrm>
          <a:off x="83864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41" name="Isosceles Triangle 40">
          <a:extLst>
            <a:ext uri="{FF2B5EF4-FFF2-40B4-BE49-F238E27FC236}">
              <a16:creationId xmlns:a16="http://schemas.microsoft.com/office/drawing/2014/main" id="{00000000-0008-0000-0900-000029000000}"/>
            </a:ext>
          </a:extLst>
        </xdr:cNvPr>
        <xdr:cNvSpPr/>
      </xdr:nvSpPr>
      <xdr:spPr>
        <a:xfrm>
          <a:off x="96437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42" name="Isosceles Triangle 41">
          <a:extLst>
            <a:ext uri="{FF2B5EF4-FFF2-40B4-BE49-F238E27FC236}">
              <a16:creationId xmlns:a16="http://schemas.microsoft.com/office/drawing/2014/main" id="{00000000-0008-0000-0900-00002A000000}"/>
            </a:ext>
          </a:extLst>
        </xdr:cNvPr>
        <xdr:cNvSpPr/>
      </xdr:nvSpPr>
      <xdr:spPr>
        <a:xfrm>
          <a:off x="109010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43" name="Isosceles Triangle 42">
          <a:extLst>
            <a:ext uri="{FF2B5EF4-FFF2-40B4-BE49-F238E27FC236}">
              <a16:creationId xmlns:a16="http://schemas.microsoft.com/office/drawing/2014/main" id="{00000000-0008-0000-0900-00002B000000}"/>
            </a:ext>
          </a:extLst>
        </xdr:cNvPr>
        <xdr:cNvSpPr/>
      </xdr:nvSpPr>
      <xdr:spPr>
        <a:xfrm>
          <a:off x="121583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44" name="Isosceles Triangle 43">
          <a:extLst>
            <a:ext uri="{FF2B5EF4-FFF2-40B4-BE49-F238E27FC236}">
              <a16:creationId xmlns:a16="http://schemas.microsoft.com/office/drawing/2014/main" id="{00000000-0008-0000-0900-00002C000000}"/>
            </a:ext>
          </a:extLst>
        </xdr:cNvPr>
        <xdr:cNvSpPr/>
      </xdr:nvSpPr>
      <xdr:spPr>
        <a:xfrm>
          <a:off x="1890395" y="32848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45" name="Isosceles Triangle 44">
          <a:extLst>
            <a:ext uri="{FF2B5EF4-FFF2-40B4-BE49-F238E27FC236}">
              <a16:creationId xmlns:a16="http://schemas.microsoft.com/office/drawing/2014/main" id="{00000000-0008-0000-0900-00002D000000}"/>
            </a:ext>
          </a:extLst>
        </xdr:cNvPr>
        <xdr:cNvSpPr/>
      </xdr:nvSpPr>
      <xdr:spPr>
        <a:xfrm>
          <a:off x="109010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47" name="Isosceles Triangle 46">
          <a:extLst>
            <a:ext uri="{FF2B5EF4-FFF2-40B4-BE49-F238E27FC236}">
              <a16:creationId xmlns:a16="http://schemas.microsoft.com/office/drawing/2014/main" id="{00000000-0008-0000-0900-00002F000000}"/>
            </a:ext>
          </a:extLst>
        </xdr:cNvPr>
        <xdr:cNvSpPr/>
      </xdr:nvSpPr>
      <xdr:spPr>
        <a:xfrm>
          <a:off x="33572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48" name="Isosceles Triangle 47">
          <a:extLst>
            <a:ext uri="{FF2B5EF4-FFF2-40B4-BE49-F238E27FC236}">
              <a16:creationId xmlns:a16="http://schemas.microsoft.com/office/drawing/2014/main" id="{00000000-0008-0000-0900-000030000000}"/>
            </a:ext>
          </a:extLst>
        </xdr:cNvPr>
        <xdr:cNvSpPr/>
      </xdr:nvSpPr>
      <xdr:spPr>
        <a:xfrm>
          <a:off x="46145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49" name="Isosceles Triangle 48">
          <a:extLst>
            <a:ext uri="{FF2B5EF4-FFF2-40B4-BE49-F238E27FC236}">
              <a16:creationId xmlns:a16="http://schemas.microsoft.com/office/drawing/2014/main" id="{00000000-0008-0000-0900-000031000000}"/>
            </a:ext>
          </a:extLst>
        </xdr:cNvPr>
        <xdr:cNvSpPr/>
      </xdr:nvSpPr>
      <xdr:spPr>
        <a:xfrm>
          <a:off x="5871845" y="500824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50" name="Isosceles Triangle 49">
          <a:extLst>
            <a:ext uri="{FF2B5EF4-FFF2-40B4-BE49-F238E27FC236}">
              <a16:creationId xmlns:a16="http://schemas.microsoft.com/office/drawing/2014/main" id="{00000000-0008-0000-0900-000032000000}"/>
            </a:ext>
          </a:extLst>
        </xdr:cNvPr>
        <xdr:cNvSpPr/>
      </xdr:nvSpPr>
      <xdr:spPr>
        <a:xfrm>
          <a:off x="71291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51" name="Isosceles Triangle 50">
          <a:extLst>
            <a:ext uri="{FF2B5EF4-FFF2-40B4-BE49-F238E27FC236}">
              <a16:creationId xmlns:a16="http://schemas.microsoft.com/office/drawing/2014/main" id="{00000000-0008-0000-0900-000033000000}"/>
            </a:ext>
          </a:extLst>
        </xdr:cNvPr>
        <xdr:cNvSpPr/>
      </xdr:nvSpPr>
      <xdr:spPr>
        <a:xfrm>
          <a:off x="83864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52" name="Isosceles Triangle 51">
          <a:extLst>
            <a:ext uri="{FF2B5EF4-FFF2-40B4-BE49-F238E27FC236}">
              <a16:creationId xmlns:a16="http://schemas.microsoft.com/office/drawing/2014/main" id="{00000000-0008-0000-0900-000034000000}"/>
            </a:ext>
          </a:extLst>
        </xdr:cNvPr>
        <xdr:cNvSpPr/>
      </xdr:nvSpPr>
      <xdr:spPr>
        <a:xfrm>
          <a:off x="96437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54" name="Isosceles Triangle 53">
          <a:extLst>
            <a:ext uri="{FF2B5EF4-FFF2-40B4-BE49-F238E27FC236}">
              <a16:creationId xmlns:a16="http://schemas.microsoft.com/office/drawing/2014/main" id="{00000000-0008-0000-0900-000036000000}"/>
            </a:ext>
          </a:extLst>
        </xdr:cNvPr>
        <xdr:cNvSpPr/>
      </xdr:nvSpPr>
      <xdr:spPr>
        <a:xfrm>
          <a:off x="121583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56" name="Isosceles Triangle 55">
          <a:extLst>
            <a:ext uri="{FF2B5EF4-FFF2-40B4-BE49-F238E27FC236}">
              <a16:creationId xmlns:a16="http://schemas.microsoft.com/office/drawing/2014/main" id="{00000000-0008-0000-0900-000038000000}"/>
            </a:ext>
          </a:extLst>
        </xdr:cNvPr>
        <xdr:cNvSpPr/>
      </xdr:nvSpPr>
      <xdr:spPr>
        <a:xfrm>
          <a:off x="1890395" y="49993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57" name="Isosceles Triangle 56">
          <a:extLst>
            <a:ext uri="{FF2B5EF4-FFF2-40B4-BE49-F238E27FC236}">
              <a16:creationId xmlns:a16="http://schemas.microsoft.com/office/drawing/2014/main" id="{00000000-0008-0000-0900-000039000000}"/>
            </a:ext>
          </a:extLst>
        </xdr:cNvPr>
        <xdr:cNvSpPr/>
      </xdr:nvSpPr>
      <xdr:spPr>
        <a:xfrm>
          <a:off x="63309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58" name="Isosceles Triangle 57">
          <a:extLst>
            <a:ext uri="{FF2B5EF4-FFF2-40B4-BE49-F238E27FC236}">
              <a16:creationId xmlns:a16="http://schemas.microsoft.com/office/drawing/2014/main" id="{00000000-0008-0000-0900-00003A000000}"/>
            </a:ext>
          </a:extLst>
        </xdr:cNvPr>
        <xdr:cNvSpPr/>
      </xdr:nvSpPr>
      <xdr:spPr>
        <a:xfrm>
          <a:off x="109010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60" name="Isosceles Triangle 59">
          <a:extLst>
            <a:ext uri="{FF2B5EF4-FFF2-40B4-BE49-F238E27FC236}">
              <a16:creationId xmlns:a16="http://schemas.microsoft.com/office/drawing/2014/main" id="{00000000-0008-0000-0900-00003C000000}"/>
            </a:ext>
          </a:extLst>
        </xdr:cNvPr>
        <xdr:cNvSpPr/>
      </xdr:nvSpPr>
      <xdr:spPr>
        <a:xfrm>
          <a:off x="3376295" y="67303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61" name="Isosceles Triangle 60">
          <a:extLst>
            <a:ext uri="{FF2B5EF4-FFF2-40B4-BE49-F238E27FC236}">
              <a16:creationId xmlns:a16="http://schemas.microsoft.com/office/drawing/2014/main" id="{00000000-0008-0000-0900-00003D000000}"/>
            </a:ext>
          </a:extLst>
        </xdr:cNvPr>
        <xdr:cNvSpPr/>
      </xdr:nvSpPr>
      <xdr:spPr>
        <a:xfrm>
          <a:off x="46145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58304</xdr:rowOff>
    </xdr:from>
    <xdr:to>
      <xdr:col>9</xdr:col>
      <xdr:colOff>642935</xdr:colOff>
      <xdr:row>36</xdr:row>
      <xdr:rowOff>153554</xdr:rowOff>
    </xdr:to>
    <xdr:sp macro="" textlink="">
      <xdr:nvSpPr>
        <xdr:cNvPr id="62" name="Isosceles Triangle 61">
          <a:extLst>
            <a:ext uri="{FF2B5EF4-FFF2-40B4-BE49-F238E27FC236}">
              <a16:creationId xmlns:a16="http://schemas.microsoft.com/office/drawing/2014/main" id="{00000000-0008-0000-0900-00003E000000}"/>
            </a:ext>
          </a:extLst>
        </xdr:cNvPr>
        <xdr:cNvSpPr/>
      </xdr:nvSpPr>
      <xdr:spPr>
        <a:xfrm>
          <a:off x="5871845" y="6693535"/>
          <a:ext cx="624205"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35</xdr:row>
      <xdr:rowOff>78147</xdr:rowOff>
    </xdr:from>
    <xdr:to>
      <xdr:col>12</xdr:col>
      <xdr:colOff>0</xdr:colOff>
      <xdr:row>37</xdr:row>
      <xdr:rowOff>5057</xdr:rowOff>
    </xdr:to>
    <xdr:sp macro="" textlink="">
      <xdr:nvSpPr>
        <xdr:cNvPr id="63" name="Isosceles Triangle 62">
          <a:extLst>
            <a:ext uri="{FF2B5EF4-FFF2-40B4-BE49-F238E27FC236}">
              <a16:creationId xmlns:a16="http://schemas.microsoft.com/office/drawing/2014/main" id="{00000000-0008-0000-0900-00003F000000}"/>
            </a:ext>
          </a:extLst>
        </xdr:cNvPr>
        <xdr:cNvSpPr/>
      </xdr:nvSpPr>
      <xdr:spPr>
        <a:xfrm>
          <a:off x="71291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64" name="Isosceles Triangle 63">
          <a:extLst>
            <a:ext uri="{FF2B5EF4-FFF2-40B4-BE49-F238E27FC236}">
              <a16:creationId xmlns:a16="http://schemas.microsoft.com/office/drawing/2014/main" id="{00000000-0008-0000-0900-000040000000}"/>
            </a:ext>
          </a:extLst>
        </xdr:cNvPr>
        <xdr:cNvSpPr/>
      </xdr:nvSpPr>
      <xdr:spPr>
        <a:xfrm>
          <a:off x="83864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65" name="Isosceles Triangle 64">
          <a:extLst>
            <a:ext uri="{FF2B5EF4-FFF2-40B4-BE49-F238E27FC236}">
              <a16:creationId xmlns:a16="http://schemas.microsoft.com/office/drawing/2014/main" id="{00000000-0008-0000-0900-000041000000}"/>
            </a:ext>
          </a:extLst>
        </xdr:cNvPr>
        <xdr:cNvSpPr/>
      </xdr:nvSpPr>
      <xdr:spPr>
        <a:xfrm>
          <a:off x="109010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66" name="Isosceles Triangle 65">
          <a:extLst>
            <a:ext uri="{FF2B5EF4-FFF2-40B4-BE49-F238E27FC236}">
              <a16:creationId xmlns:a16="http://schemas.microsoft.com/office/drawing/2014/main" id="{00000000-0008-0000-0900-000042000000}"/>
            </a:ext>
          </a:extLst>
        </xdr:cNvPr>
        <xdr:cNvSpPr/>
      </xdr:nvSpPr>
      <xdr:spPr>
        <a:xfrm>
          <a:off x="63309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67" name="Isosceles Triangle 66">
          <a:extLst>
            <a:ext uri="{FF2B5EF4-FFF2-40B4-BE49-F238E27FC236}">
              <a16:creationId xmlns:a16="http://schemas.microsoft.com/office/drawing/2014/main" id="{00000000-0008-0000-0900-000043000000}"/>
            </a:ext>
          </a:extLst>
        </xdr:cNvPr>
        <xdr:cNvSpPr/>
      </xdr:nvSpPr>
      <xdr:spPr>
        <a:xfrm>
          <a:off x="1890395" y="67138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68" name="Isosceles Triangle 67">
          <a:extLst>
            <a:ext uri="{FF2B5EF4-FFF2-40B4-BE49-F238E27FC236}">
              <a16:creationId xmlns:a16="http://schemas.microsoft.com/office/drawing/2014/main" id="{00000000-0008-0000-0900-000044000000}"/>
            </a:ext>
          </a:extLst>
        </xdr:cNvPr>
        <xdr:cNvSpPr/>
      </xdr:nvSpPr>
      <xdr:spPr>
        <a:xfrm>
          <a:off x="63309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69" name="Isosceles Triangle 68">
          <a:extLst>
            <a:ext uri="{FF2B5EF4-FFF2-40B4-BE49-F238E27FC236}">
              <a16:creationId xmlns:a16="http://schemas.microsoft.com/office/drawing/2014/main" id="{00000000-0008-0000-0900-000045000000}"/>
            </a:ext>
          </a:extLst>
        </xdr:cNvPr>
        <xdr:cNvSpPr/>
      </xdr:nvSpPr>
      <xdr:spPr>
        <a:xfrm>
          <a:off x="964374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71" name="Isosceles Triangle 70">
          <a:extLst>
            <a:ext uri="{FF2B5EF4-FFF2-40B4-BE49-F238E27FC236}">
              <a16:creationId xmlns:a16="http://schemas.microsoft.com/office/drawing/2014/main" id="{00000000-0008-0000-0900-000047000000}"/>
            </a:ext>
          </a:extLst>
        </xdr:cNvPr>
        <xdr:cNvSpPr/>
      </xdr:nvSpPr>
      <xdr:spPr>
        <a:xfrm>
          <a:off x="63309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72" name="Isosceles Triangle 71">
          <a:extLst>
            <a:ext uri="{FF2B5EF4-FFF2-40B4-BE49-F238E27FC236}">
              <a16:creationId xmlns:a16="http://schemas.microsoft.com/office/drawing/2014/main" id="{00000000-0008-0000-0900-000048000000}"/>
            </a:ext>
          </a:extLst>
        </xdr:cNvPr>
        <xdr:cNvSpPr/>
      </xdr:nvSpPr>
      <xdr:spPr>
        <a:xfrm>
          <a:off x="1890395" y="8244205"/>
          <a:ext cx="83375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73" name="Isosceles Triangle 72">
          <a:extLst>
            <a:ext uri="{FF2B5EF4-FFF2-40B4-BE49-F238E27FC236}">
              <a16:creationId xmlns:a16="http://schemas.microsoft.com/office/drawing/2014/main" id="{00000000-0008-0000-0900-000049000000}"/>
            </a:ext>
          </a:extLst>
        </xdr:cNvPr>
        <xdr:cNvSpPr/>
      </xdr:nvSpPr>
      <xdr:spPr>
        <a:xfrm>
          <a:off x="33572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74" name="Isosceles Triangle 73">
          <a:extLst>
            <a:ext uri="{FF2B5EF4-FFF2-40B4-BE49-F238E27FC236}">
              <a16:creationId xmlns:a16="http://schemas.microsoft.com/office/drawing/2014/main" id="{00000000-0008-0000-0900-00004A000000}"/>
            </a:ext>
          </a:extLst>
        </xdr:cNvPr>
        <xdr:cNvSpPr/>
      </xdr:nvSpPr>
      <xdr:spPr>
        <a:xfrm>
          <a:off x="46145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75" name="Isosceles Triangle 74">
          <a:extLst>
            <a:ext uri="{FF2B5EF4-FFF2-40B4-BE49-F238E27FC236}">
              <a16:creationId xmlns:a16="http://schemas.microsoft.com/office/drawing/2014/main" id="{00000000-0008-0000-0900-00004B000000}"/>
            </a:ext>
          </a:extLst>
        </xdr:cNvPr>
        <xdr:cNvSpPr/>
      </xdr:nvSpPr>
      <xdr:spPr>
        <a:xfrm>
          <a:off x="58718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76" name="Isosceles Triangle 75">
          <a:extLst>
            <a:ext uri="{FF2B5EF4-FFF2-40B4-BE49-F238E27FC236}">
              <a16:creationId xmlns:a16="http://schemas.microsoft.com/office/drawing/2014/main" id="{00000000-0008-0000-0900-00004C000000}"/>
            </a:ext>
          </a:extLst>
        </xdr:cNvPr>
        <xdr:cNvSpPr/>
      </xdr:nvSpPr>
      <xdr:spPr>
        <a:xfrm>
          <a:off x="7124700" y="824420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77" name="Isosceles Triangle 76">
          <a:extLst>
            <a:ext uri="{FF2B5EF4-FFF2-40B4-BE49-F238E27FC236}">
              <a16:creationId xmlns:a16="http://schemas.microsoft.com/office/drawing/2014/main" id="{00000000-0008-0000-0900-00004D000000}"/>
            </a:ext>
          </a:extLst>
        </xdr:cNvPr>
        <xdr:cNvSpPr/>
      </xdr:nvSpPr>
      <xdr:spPr>
        <a:xfrm>
          <a:off x="83864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78" name="Isosceles Triangle 77">
          <a:extLst>
            <a:ext uri="{FF2B5EF4-FFF2-40B4-BE49-F238E27FC236}">
              <a16:creationId xmlns:a16="http://schemas.microsoft.com/office/drawing/2014/main" id="{00000000-0008-0000-0900-00004E000000}"/>
            </a:ext>
          </a:extLst>
        </xdr:cNvPr>
        <xdr:cNvSpPr/>
      </xdr:nvSpPr>
      <xdr:spPr>
        <a:xfrm>
          <a:off x="96437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80" name="Isosceles Triangle 79">
          <a:extLst>
            <a:ext uri="{FF2B5EF4-FFF2-40B4-BE49-F238E27FC236}">
              <a16:creationId xmlns:a16="http://schemas.microsoft.com/office/drawing/2014/main" id="{00000000-0008-0000-0900-000050000000}"/>
            </a:ext>
          </a:extLst>
        </xdr:cNvPr>
        <xdr:cNvSpPr/>
      </xdr:nvSpPr>
      <xdr:spPr>
        <a:xfrm>
          <a:off x="1215834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81" name="Isosceles Triangle 80">
          <a:extLst>
            <a:ext uri="{FF2B5EF4-FFF2-40B4-BE49-F238E27FC236}">
              <a16:creationId xmlns:a16="http://schemas.microsoft.com/office/drawing/2014/main" id="{00000000-0008-0000-0900-000051000000}"/>
            </a:ext>
          </a:extLst>
        </xdr:cNvPr>
        <xdr:cNvSpPr/>
      </xdr:nvSpPr>
      <xdr:spPr>
        <a:xfrm>
          <a:off x="83864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82" name="Isosceles Triangle 81">
          <a:extLst>
            <a:ext uri="{FF2B5EF4-FFF2-40B4-BE49-F238E27FC236}">
              <a16:creationId xmlns:a16="http://schemas.microsoft.com/office/drawing/2014/main" id="{00000000-0008-0000-0900-000052000000}"/>
            </a:ext>
          </a:extLst>
        </xdr:cNvPr>
        <xdr:cNvSpPr/>
      </xdr:nvSpPr>
      <xdr:spPr>
        <a:xfrm>
          <a:off x="96437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84" name="Isosceles Triangle 83">
          <a:extLst>
            <a:ext uri="{FF2B5EF4-FFF2-40B4-BE49-F238E27FC236}">
              <a16:creationId xmlns:a16="http://schemas.microsoft.com/office/drawing/2014/main" id="{00000000-0008-0000-0900-000054000000}"/>
            </a:ext>
          </a:extLst>
        </xdr:cNvPr>
        <xdr:cNvSpPr/>
      </xdr:nvSpPr>
      <xdr:spPr>
        <a:xfrm>
          <a:off x="12158345" y="113049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92" name="Isosceles Triangle 91">
          <a:extLst>
            <a:ext uri="{FF2B5EF4-FFF2-40B4-BE49-F238E27FC236}">
              <a16:creationId xmlns:a16="http://schemas.microsoft.com/office/drawing/2014/main" id="{00000000-0008-0000-0900-00005C000000}"/>
            </a:ext>
          </a:extLst>
        </xdr:cNvPr>
        <xdr:cNvSpPr/>
      </xdr:nvSpPr>
      <xdr:spPr>
        <a:xfrm>
          <a:off x="109010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93" name="Isosceles Triangle 92">
          <a:extLst>
            <a:ext uri="{FF2B5EF4-FFF2-40B4-BE49-F238E27FC236}">
              <a16:creationId xmlns:a16="http://schemas.microsoft.com/office/drawing/2014/main" id="{00000000-0008-0000-0900-00005D000000}"/>
            </a:ext>
          </a:extLst>
        </xdr:cNvPr>
        <xdr:cNvSpPr/>
      </xdr:nvSpPr>
      <xdr:spPr>
        <a:xfrm>
          <a:off x="9643745" y="1130490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98" name="Line 327">
          <a:extLst>
            <a:ext uri="{FF2B5EF4-FFF2-40B4-BE49-F238E27FC236}">
              <a16:creationId xmlns:a16="http://schemas.microsoft.com/office/drawing/2014/main" id="{00000000-0008-0000-0900-000062000000}"/>
            </a:ext>
          </a:extLst>
        </xdr:cNvPr>
        <xdr:cNvSpPr>
          <a:spLocks noChangeShapeType="1"/>
        </xdr:cNvSpPr>
      </xdr:nvSpPr>
      <xdr:spPr>
        <a:xfrm flipH="1">
          <a:off x="1376680" y="8591550"/>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99" name="Line 327">
          <a:extLst>
            <a:ext uri="{FF2B5EF4-FFF2-40B4-BE49-F238E27FC236}">
              <a16:creationId xmlns:a16="http://schemas.microsoft.com/office/drawing/2014/main" id="{00000000-0008-0000-0900-000063000000}"/>
            </a:ext>
          </a:extLst>
        </xdr:cNvPr>
        <xdr:cNvSpPr>
          <a:spLocks noChangeShapeType="1"/>
        </xdr:cNvSpPr>
      </xdr:nvSpPr>
      <xdr:spPr>
        <a:xfrm flipH="1">
          <a:off x="6564630" y="855726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100" name="Line 327">
          <a:extLst>
            <a:ext uri="{FF2B5EF4-FFF2-40B4-BE49-F238E27FC236}">
              <a16:creationId xmlns:a16="http://schemas.microsoft.com/office/drawing/2014/main" id="{00000000-0008-0000-0900-000064000000}"/>
            </a:ext>
          </a:extLst>
        </xdr:cNvPr>
        <xdr:cNvSpPr>
          <a:spLocks noChangeShapeType="1"/>
        </xdr:cNvSpPr>
      </xdr:nvSpPr>
      <xdr:spPr>
        <a:xfrm flipH="1">
          <a:off x="9122410" y="858329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102" name="Line 327">
          <a:extLst>
            <a:ext uri="{FF2B5EF4-FFF2-40B4-BE49-F238E27FC236}">
              <a16:creationId xmlns:a16="http://schemas.microsoft.com/office/drawing/2014/main" id="{00000000-0008-0000-0900-000066000000}"/>
            </a:ext>
          </a:extLst>
        </xdr:cNvPr>
        <xdr:cNvSpPr>
          <a:spLocks noChangeShapeType="1"/>
        </xdr:cNvSpPr>
      </xdr:nvSpPr>
      <xdr:spPr>
        <a:xfrm flipH="1">
          <a:off x="11664950" y="11538585"/>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150650</xdr:colOff>
      <xdr:row>62</xdr:row>
      <xdr:rowOff>16409</xdr:rowOff>
    </xdr:to>
    <xdr:pic>
      <xdr:nvPicPr>
        <xdr:cNvPr id="106" name="Picture 13">
          <a:extLst>
            <a:ext uri="{FF2B5EF4-FFF2-40B4-BE49-F238E27FC236}">
              <a16:creationId xmlns:a16="http://schemas.microsoft.com/office/drawing/2014/main" id="{00000000-0008-0000-0900-00006A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19435" y="11496040"/>
          <a:ext cx="83185" cy="5721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5290</xdr:rowOff>
    </xdr:to>
    <xdr:pic>
      <xdr:nvPicPr>
        <xdr:cNvPr id="108" name="Picture 13">
          <a:extLst>
            <a:ext uri="{FF2B5EF4-FFF2-40B4-BE49-F238E27FC236}">
              <a16:creationId xmlns:a16="http://schemas.microsoft.com/office/drawing/2014/main" id="{00000000-0008-0000-0900-00006C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11955" y="8464550"/>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464302</xdr:colOff>
      <xdr:row>197</xdr:row>
      <xdr:rowOff>163871</xdr:rowOff>
    </xdr:from>
    <xdr:to>
      <xdr:col>11</xdr:col>
      <xdr:colOff>409228</xdr:colOff>
      <xdr:row>198</xdr:row>
      <xdr:rowOff>54199</xdr:rowOff>
    </xdr:to>
    <xdr:pic>
      <xdr:nvPicPr>
        <xdr:cNvPr id="109" name="Picture 13">
          <a:extLst>
            <a:ext uri="{FF2B5EF4-FFF2-40B4-BE49-F238E27FC236}">
              <a16:creationId xmlns:a16="http://schemas.microsoft.com/office/drawing/2014/main" id="{00000000-0008-0000-0900-00006D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00265" y="37449125"/>
          <a:ext cx="93345" cy="5734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25918</xdr:colOff>
      <xdr:row>207</xdr:row>
      <xdr:rowOff>19440</xdr:rowOff>
    </xdr:from>
    <xdr:to>
      <xdr:col>16</xdr:col>
      <xdr:colOff>431132</xdr:colOff>
      <xdr:row>207</xdr:row>
      <xdr:rowOff>133733</xdr:rowOff>
    </xdr:to>
    <xdr:pic>
      <xdr:nvPicPr>
        <xdr:cNvPr id="110" name="Picture 13">
          <a:extLst>
            <a:ext uri="{FF2B5EF4-FFF2-40B4-BE49-F238E27FC236}">
              <a16:creationId xmlns:a16="http://schemas.microsoft.com/office/drawing/2014/main" id="{00000000-0008-0000-0900-00006E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10438765" y="39316660"/>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181430</xdr:colOff>
      <xdr:row>201</xdr:row>
      <xdr:rowOff>19438</xdr:rowOff>
    </xdr:from>
    <xdr:to>
      <xdr:col>7</xdr:col>
      <xdr:colOff>311022</xdr:colOff>
      <xdr:row>202</xdr:row>
      <xdr:rowOff>12959</xdr:rowOff>
    </xdr:to>
    <xdr:sp macro="" textlink="">
      <xdr:nvSpPr>
        <xdr:cNvPr id="111" name="Flowchart: Magnetic Disk 110">
          <a:extLst>
            <a:ext uri="{FF2B5EF4-FFF2-40B4-BE49-F238E27FC236}">
              <a16:creationId xmlns:a16="http://schemas.microsoft.com/office/drawing/2014/main" id="{00000000-0008-0000-0900-00006F000000}"/>
            </a:ext>
          </a:extLst>
        </xdr:cNvPr>
        <xdr:cNvSpPr/>
      </xdr:nvSpPr>
      <xdr:spPr>
        <a:xfrm>
          <a:off x="4791075" y="383190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110153</xdr:colOff>
      <xdr:row>45</xdr:row>
      <xdr:rowOff>25918</xdr:rowOff>
    </xdr:from>
    <xdr:to>
      <xdr:col>2</xdr:col>
      <xdr:colOff>239745</xdr:colOff>
      <xdr:row>46</xdr:row>
      <xdr:rowOff>19439</xdr:rowOff>
    </xdr:to>
    <xdr:sp macro="" textlink="">
      <xdr:nvSpPr>
        <xdr:cNvPr id="112" name="Flowchart: Magnetic Disk 111">
          <a:extLst>
            <a:ext uri="{FF2B5EF4-FFF2-40B4-BE49-F238E27FC236}">
              <a16:creationId xmlns:a16="http://schemas.microsoft.com/office/drawing/2014/main" id="{00000000-0008-0000-0900-000070000000}"/>
            </a:ext>
          </a:extLst>
        </xdr:cNvPr>
        <xdr:cNvSpPr/>
      </xdr:nvSpPr>
      <xdr:spPr>
        <a:xfrm>
          <a:off x="1367155" y="85693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113" name="Flowchart: Magnetic Disk 112">
          <a:extLst>
            <a:ext uri="{FF2B5EF4-FFF2-40B4-BE49-F238E27FC236}">
              <a16:creationId xmlns:a16="http://schemas.microsoft.com/office/drawing/2014/main" id="{00000000-0008-0000-0900-000071000000}"/>
            </a:ext>
          </a:extLst>
        </xdr:cNvPr>
        <xdr:cNvSpPr/>
      </xdr:nvSpPr>
      <xdr:spPr>
        <a:xfrm>
          <a:off x="8063865" y="8759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114" name="Flowchart: Magnetic Disk 113">
          <a:extLst>
            <a:ext uri="{FF2B5EF4-FFF2-40B4-BE49-F238E27FC236}">
              <a16:creationId xmlns:a16="http://schemas.microsoft.com/office/drawing/2014/main" id="{00000000-0008-0000-0900-000072000000}"/>
            </a:ext>
          </a:extLst>
        </xdr:cNvPr>
        <xdr:cNvSpPr/>
      </xdr:nvSpPr>
      <xdr:spPr>
        <a:xfrm>
          <a:off x="9334500" y="87534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16</xdr:col>
      <xdr:colOff>155510</xdr:colOff>
      <xdr:row>199</xdr:row>
      <xdr:rowOff>123113</xdr:rowOff>
    </xdr:from>
    <xdr:to>
      <xdr:col>16</xdr:col>
      <xdr:colOff>369336</xdr:colOff>
      <xdr:row>201</xdr:row>
      <xdr:rowOff>84235</xdr:rowOff>
    </xdr:to>
    <xdr:sp macro="" textlink="">
      <xdr:nvSpPr>
        <xdr:cNvPr id="115" name="Flowchart: Predefined Process 114">
          <a:extLst>
            <a:ext uri="{FF2B5EF4-FFF2-40B4-BE49-F238E27FC236}">
              <a16:creationId xmlns:a16="http://schemas.microsoft.com/office/drawing/2014/main" id="{00000000-0008-0000-0900-000073000000}"/>
            </a:ext>
          </a:extLst>
        </xdr:cNvPr>
        <xdr:cNvSpPr/>
      </xdr:nvSpPr>
      <xdr:spPr>
        <a:xfrm>
          <a:off x="10422890" y="38044755"/>
          <a:ext cx="213995" cy="3390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120" name="Flowchart: Predefined Process 119">
          <a:extLst>
            <a:ext uri="{FF2B5EF4-FFF2-40B4-BE49-F238E27FC236}">
              <a16:creationId xmlns:a16="http://schemas.microsoft.com/office/drawing/2014/main" id="{00000000-0008-0000-0900-000078000000}"/>
            </a:ext>
          </a:extLst>
        </xdr:cNvPr>
        <xdr:cNvSpPr/>
      </xdr:nvSpPr>
      <xdr:spPr>
        <a:xfrm>
          <a:off x="151638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121" name="Line 327">
          <a:extLst>
            <a:ext uri="{FF2B5EF4-FFF2-40B4-BE49-F238E27FC236}">
              <a16:creationId xmlns:a16="http://schemas.microsoft.com/office/drawing/2014/main" id="{00000000-0008-0000-0900-000079000000}"/>
            </a:ext>
          </a:extLst>
        </xdr:cNvPr>
        <xdr:cNvSpPr>
          <a:spLocks noChangeShapeType="1"/>
        </xdr:cNvSpPr>
      </xdr:nvSpPr>
      <xdr:spPr>
        <a:xfrm flipH="1">
          <a:off x="6612890" y="863854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122" name="Flowchart: Predefined Process 121">
          <a:extLst>
            <a:ext uri="{FF2B5EF4-FFF2-40B4-BE49-F238E27FC236}">
              <a16:creationId xmlns:a16="http://schemas.microsoft.com/office/drawing/2014/main" id="{00000000-0008-0000-0900-00007A000000}"/>
            </a:ext>
          </a:extLst>
        </xdr:cNvPr>
        <xdr:cNvSpPr/>
      </xdr:nvSpPr>
      <xdr:spPr>
        <a:xfrm>
          <a:off x="7824470" y="862774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123" name="Line 327">
          <a:extLst>
            <a:ext uri="{FF2B5EF4-FFF2-40B4-BE49-F238E27FC236}">
              <a16:creationId xmlns:a16="http://schemas.microsoft.com/office/drawing/2014/main" id="{00000000-0008-0000-0900-00007B000000}"/>
            </a:ext>
          </a:extLst>
        </xdr:cNvPr>
        <xdr:cNvSpPr>
          <a:spLocks noChangeShapeType="1"/>
        </xdr:cNvSpPr>
      </xdr:nvSpPr>
      <xdr:spPr>
        <a:xfrm flipH="1">
          <a:off x="10304780" y="11538585"/>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124" name="Line 327">
          <a:extLst>
            <a:ext uri="{FF2B5EF4-FFF2-40B4-BE49-F238E27FC236}">
              <a16:creationId xmlns:a16="http://schemas.microsoft.com/office/drawing/2014/main" id="{00000000-0008-0000-0900-00007C000000}"/>
            </a:ext>
          </a:extLst>
        </xdr:cNvPr>
        <xdr:cNvSpPr>
          <a:spLocks noChangeShapeType="1"/>
        </xdr:cNvSpPr>
      </xdr:nvSpPr>
      <xdr:spPr>
        <a:xfrm flipH="1">
          <a:off x="10353040" y="11631930"/>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0</xdr:col>
      <xdr:colOff>220306</xdr:colOff>
      <xdr:row>201</xdr:row>
      <xdr:rowOff>0</xdr:rowOff>
    </xdr:from>
    <xdr:to>
      <xdr:col>0</xdr:col>
      <xdr:colOff>388775</xdr:colOff>
      <xdr:row>201</xdr:row>
      <xdr:rowOff>155510</xdr:rowOff>
    </xdr:to>
    <xdr:sp macro="" textlink="">
      <xdr:nvSpPr>
        <xdr:cNvPr id="131" name="Rectangle: Top Corners Snipped 130">
          <a:extLst>
            <a:ext uri="{FF2B5EF4-FFF2-40B4-BE49-F238E27FC236}">
              <a16:creationId xmlns:a16="http://schemas.microsoft.com/office/drawing/2014/main" id="{00000000-0008-0000-0900-000083000000}"/>
            </a:ext>
          </a:extLst>
        </xdr:cNvPr>
        <xdr:cNvSpPr/>
      </xdr:nvSpPr>
      <xdr:spPr>
        <a:xfrm>
          <a:off x="219710" y="3830002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239745</xdr:colOff>
      <xdr:row>202</xdr:row>
      <xdr:rowOff>129592</xdr:rowOff>
    </xdr:from>
    <xdr:to>
      <xdr:col>0</xdr:col>
      <xdr:colOff>356378</xdr:colOff>
      <xdr:row>204</xdr:row>
      <xdr:rowOff>19439</xdr:rowOff>
    </xdr:to>
    <xdr:sp macro="" textlink="">
      <xdr:nvSpPr>
        <xdr:cNvPr id="132" name="Isosceles Triangle 131">
          <a:extLst>
            <a:ext uri="{FF2B5EF4-FFF2-40B4-BE49-F238E27FC236}">
              <a16:creationId xmlns:a16="http://schemas.microsoft.com/office/drawing/2014/main" id="{00000000-0008-0000-0900-000084000000}"/>
            </a:ext>
          </a:extLst>
        </xdr:cNvPr>
        <xdr:cNvSpPr/>
      </xdr:nvSpPr>
      <xdr:spPr>
        <a:xfrm>
          <a:off x="239395" y="38632765"/>
          <a:ext cx="116840" cy="276860"/>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133" name="Flowchart: Decision 132">
          <a:extLst>
            <a:ext uri="{FF2B5EF4-FFF2-40B4-BE49-F238E27FC236}">
              <a16:creationId xmlns:a16="http://schemas.microsoft.com/office/drawing/2014/main" id="{00000000-0008-0000-0900-000085000000}"/>
            </a:ext>
          </a:extLst>
        </xdr:cNvPr>
        <xdr:cNvSpPr/>
      </xdr:nvSpPr>
      <xdr:spPr>
        <a:xfrm>
          <a:off x="132207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220306</xdr:colOff>
      <xdr:row>205</xdr:row>
      <xdr:rowOff>38877</xdr:rowOff>
    </xdr:from>
    <xdr:to>
      <xdr:col>0</xdr:col>
      <xdr:colOff>414692</xdr:colOff>
      <xdr:row>205</xdr:row>
      <xdr:rowOff>142549</xdr:rowOff>
    </xdr:to>
    <xdr:sp macro="" textlink="">
      <xdr:nvSpPr>
        <xdr:cNvPr id="134" name="Flowchart: Decision 133">
          <a:extLst>
            <a:ext uri="{FF2B5EF4-FFF2-40B4-BE49-F238E27FC236}">
              <a16:creationId xmlns:a16="http://schemas.microsoft.com/office/drawing/2014/main" id="{00000000-0008-0000-0900-000086000000}"/>
            </a:ext>
          </a:extLst>
        </xdr:cNvPr>
        <xdr:cNvSpPr/>
      </xdr:nvSpPr>
      <xdr:spPr>
        <a:xfrm>
          <a:off x="219710" y="39113460"/>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259183</xdr:colOff>
      <xdr:row>207</xdr:row>
      <xdr:rowOff>32398</xdr:rowOff>
    </xdr:from>
    <xdr:to>
      <xdr:col>0</xdr:col>
      <xdr:colOff>414694</xdr:colOff>
      <xdr:row>207</xdr:row>
      <xdr:rowOff>155511</xdr:rowOff>
    </xdr:to>
    <xdr:sp macro="" textlink="">
      <xdr:nvSpPr>
        <xdr:cNvPr id="135" name="Oval 134">
          <a:extLst>
            <a:ext uri="{FF2B5EF4-FFF2-40B4-BE49-F238E27FC236}">
              <a16:creationId xmlns:a16="http://schemas.microsoft.com/office/drawing/2014/main" id="{00000000-0008-0000-0900-000087000000}"/>
            </a:ext>
          </a:extLst>
        </xdr:cNvPr>
        <xdr:cNvSpPr/>
      </xdr:nvSpPr>
      <xdr:spPr>
        <a:xfrm>
          <a:off x="259080" y="3947541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252704</xdr:colOff>
      <xdr:row>208</xdr:row>
      <xdr:rowOff>149031</xdr:rowOff>
    </xdr:from>
    <xdr:to>
      <xdr:col>0</xdr:col>
      <xdr:colOff>473010</xdr:colOff>
      <xdr:row>209</xdr:row>
      <xdr:rowOff>142551</xdr:rowOff>
    </xdr:to>
    <xdr:sp macro="" textlink="">
      <xdr:nvSpPr>
        <xdr:cNvPr id="137" name="Arrow: Left-Right-Up 136">
          <a:extLst>
            <a:ext uri="{FF2B5EF4-FFF2-40B4-BE49-F238E27FC236}">
              <a16:creationId xmlns:a16="http://schemas.microsoft.com/office/drawing/2014/main" id="{00000000-0008-0000-0900-000089000000}"/>
            </a:ext>
          </a:extLst>
        </xdr:cNvPr>
        <xdr:cNvSpPr/>
      </xdr:nvSpPr>
      <xdr:spPr>
        <a:xfrm>
          <a:off x="252095" y="39775765"/>
          <a:ext cx="220345" cy="1778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103674</xdr:colOff>
      <xdr:row>204</xdr:row>
      <xdr:rowOff>58316</xdr:rowOff>
    </xdr:from>
    <xdr:to>
      <xdr:col>7</xdr:col>
      <xdr:colOff>370374</xdr:colOff>
      <xdr:row>206</xdr:row>
      <xdr:rowOff>58317</xdr:rowOff>
    </xdr:to>
    <xdr:sp macro="" textlink="">
      <xdr:nvSpPr>
        <xdr:cNvPr id="138" name="Line 327">
          <a:extLst>
            <a:ext uri="{FF2B5EF4-FFF2-40B4-BE49-F238E27FC236}">
              <a16:creationId xmlns:a16="http://schemas.microsoft.com/office/drawing/2014/main" id="{00000000-0008-0000-0900-00008A000000}"/>
            </a:ext>
          </a:extLst>
        </xdr:cNvPr>
        <xdr:cNvSpPr>
          <a:spLocks noChangeShapeType="1"/>
        </xdr:cNvSpPr>
      </xdr:nvSpPr>
      <xdr:spPr>
        <a:xfrm flipH="1">
          <a:off x="4713605" y="38948360"/>
          <a:ext cx="266700" cy="3683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129592</xdr:colOff>
      <xdr:row>205</xdr:row>
      <xdr:rowOff>58317</xdr:rowOff>
    </xdr:from>
    <xdr:to>
      <xdr:col>7</xdr:col>
      <xdr:colOff>395255</xdr:colOff>
      <xdr:row>207</xdr:row>
      <xdr:rowOff>64796</xdr:rowOff>
    </xdr:to>
    <xdr:sp macro="" textlink="">
      <xdr:nvSpPr>
        <xdr:cNvPr id="139" name="Line 327">
          <a:extLst>
            <a:ext uri="{FF2B5EF4-FFF2-40B4-BE49-F238E27FC236}">
              <a16:creationId xmlns:a16="http://schemas.microsoft.com/office/drawing/2014/main" id="{00000000-0008-0000-0900-00008B000000}"/>
            </a:ext>
          </a:extLst>
        </xdr:cNvPr>
        <xdr:cNvSpPr>
          <a:spLocks noChangeShapeType="1"/>
        </xdr:cNvSpPr>
      </xdr:nvSpPr>
      <xdr:spPr>
        <a:xfrm flipH="1">
          <a:off x="4739640" y="39132510"/>
          <a:ext cx="265430" cy="3752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127000</xdr:colOff>
      <xdr:row>204</xdr:row>
      <xdr:rowOff>12700</xdr:rowOff>
    </xdr:from>
    <xdr:to>
      <xdr:col>11</xdr:col>
      <xdr:colOff>393700</xdr:colOff>
      <xdr:row>206</xdr:row>
      <xdr:rowOff>31750</xdr:rowOff>
    </xdr:to>
    <xdr:sp macro="" textlink="">
      <xdr:nvSpPr>
        <xdr:cNvPr id="140" name="Line 328">
          <a:extLst>
            <a:ext uri="{FF2B5EF4-FFF2-40B4-BE49-F238E27FC236}">
              <a16:creationId xmlns:a16="http://schemas.microsoft.com/office/drawing/2014/main" id="{00000000-0008-0000-0900-00008C000000}"/>
            </a:ext>
          </a:extLst>
        </xdr:cNvPr>
        <xdr:cNvSpPr>
          <a:spLocks noChangeShapeType="1"/>
        </xdr:cNvSpPr>
      </xdr:nvSpPr>
      <xdr:spPr>
        <a:xfrm flipH="1">
          <a:off x="7251700" y="38903275"/>
          <a:ext cx="266700" cy="3873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11</xdr:col>
      <xdr:colOff>47625</xdr:colOff>
      <xdr:row>204</xdr:row>
      <xdr:rowOff>0</xdr:rowOff>
    </xdr:from>
    <xdr:to>
      <xdr:col>11</xdr:col>
      <xdr:colOff>314325</xdr:colOff>
      <xdr:row>205</xdr:row>
      <xdr:rowOff>155575</xdr:rowOff>
    </xdr:to>
    <xdr:sp macro="" textlink="">
      <xdr:nvSpPr>
        <xdr:cNvPr id="141" name="Line 328">
          <a:extLst>
            <a:ext uri="{FF2B5EF4-FFF2-40B4-BE49-F238E27FC236}">
              <a16:creationId xmlns:a16="http://schemas.microsoft.com/office/drawing/2014/main" id="{00000000-0008-0000-0900-00008D000000}"/>
            </a:ext>
          </a:extLst>
        </xdr:cNvPr>
        <xdr:cNvSpPr>
          <a:spLocks noChangeShapeType="1"/>
        </xdr:cNvSpPr>
      </xdr:nvSpPr>
      <xdr:spPr>
        <a:xfrm flipH="1">
          <a:off x="7172325" y="38890575"/>
          <a:ext cx="266700" cy="3397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4572</xdr:colOff>
      <xdr:row>67</xdr:row>
      <xdr:rowOff>78147</xdr:rowOff>
    </xdr:from>
    <xdr:to>
      <xdr:col>6</xdr:col>
      <xdr:colOff>0</xdr:colOff>
      <xdr:row>68</xdr:row>
      <xdr:rowOff>192447</xdr:rowOff>
    </xdr:to>
    <xdr:sp macro="" textlink="">
      <xdr:nvSpPr>
        <xdr:cNvPr id="144" name="Isosceles Triangle 143">
          <a:extLst>
            <a:ext uri="{FF2B5EF4-FFF2-40B4-BE49-F238E27FC236}">
              <a16:creationId xmlns:a16="http://schemas.microsoft.com/office/drawing/2014/main" id="{00000000-0008-0000-0900-000090000000}"/>
            </a:ext>
          </a:extLst>
        </xdr:cNvPr>
        <xdr:cNvSpPr/>
      </xdr:nvSpPr>
      <xdr:spPr>
        <a:xfrm>
          <a:off x="33572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145" name="Isosceles Triangle 144">
          <a:extLst>
            <a:ext uri="{FF2B5EF4-FFF2-40B4-BE49-F238E27FC236}">
              <a16:creationId xmlns:a16="http://schemas.microsoft.com/office/drawing/2014/main" id="{00000000-0008-0000-0900-000091000000}"/>
            </a:ext>
          </a:extLst>
        </xdr:cNvPr>
        <xdr:cNvSpPr/>
      </xdr:nvSpPr>
      <xdr:spPr>
        <a:xfrm>
          <a:off x="46145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146" name="Isosceles Triangle 145">
          <a:extLst>
            <a:ext uri="{FF2B5EF4-FFF2-40B4-BE49-F238E27FC236}">
              <a16:creationId xmlns:a16="http://schemas.microsoft.com/office/drawing/2014/main" id="{00000000-0008-0000-0900-000092000000}"/>
            </a:ext>
          </a:extLst>
        </xdr:cNvPr>
        <xdr:cNvSpPr/>
      </xdr:nvSpPr>
      <xdr:spPr>
        <a:xfrm>
          <a:off x="5871845" y="128352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147" name="Isosceles Triangle 146">
          <a:extLst>
            <a:ext uri="{FF2B5EF4-FFF2-40B4-BE49-F238E27FC236}">
              <a16:creationId xmlns:a16="http://schemas.microsoft.com/office/drawing/2014/main" id="{00000000-0008-0000-0900-000093000000}"/>
            </a:ext>
          </a:extLst>
        </xdr:cNvPr>
        <xdr:cNvSpPr/>
      </xdr:nvSpPr>
      <xdr:spPr>
        <a:xfrm>
          <a:off x="83864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148" name="Isosceles Triangle 147">
          <a:extLst>
            <a:ext uri="{FF2B5EF4-FFF2-40B4-BE49-F238E27FC236}">
              <a16:creationId xmlns:a16="http://schemas.microsoft.com/office/drawing/2014/main" id="{00000000-0008-0000-0900-000094000000}"/>
            </a:ext>
          </a:extLst>
        </xdr:cNvPr>
        <xdr:cNvSpPr/>
      </xdr:nvSpPr>
      <xdr:spPr>
        <a:xfrm>
          <a:off x="96437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149" name="Isosceles Triangle 148">
          <a:extLst>
            <a:ext uri="{FF2B5EF4-FFF2-40B4-BE49-F238E27FC236}">
              <a16:creationId xmlns:a16="http://schemas.microsoft.com/office/drawing/2014/main" id="{00000000-0008-0000-0900-000095000000}"/>
            </a:ext>
          </a:extLst>
        </xdr:cNvPr>
        <xdr:cNvSpPr/>
      </xdr:nvSpPr>
      <xdr:spPr>
        <a:xfrm>
          <a:off x="121583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151" name="Isosceles Triangle 150">
          <a:extLst>
            <a:ext uri="{FF2B5EF4-FFF2-40B4-BE49-F238E27FC236}">
              <a16:creationId xmlns:a16="http://schemas.microsoft.com/office/drawing/2014/main" id="{00000000-0008-0000-0900-000097000000}"/>
            </a:ext>
          </a:extLst>
        </xdr:cNvPr>
        <xdr:cNvSpPr/>
      </xdr:nvSpPr>
      <xdr:spPr>
        <a:xfrm>
          <a:off x="1890395" y="128352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152" name="Isosceles Triangle 151">
          <a:extLst>
            <a:ext uri="{FF2B5EF4-FFF2-40B4-BE49-F238E27FC236}">
              <a16:creationId xmlns:a16="http://schemas.microsoft.com/office/drawing/2014/main" id="{00000000-0008-0000-0900-000098000000}"/>
            </a:ext>
          </a:extLst>
        </xdr:cNvPr>
        <xdr:cNvSpPr/>
      </xdr:nvSpPr>
      <xdr:spPr>
        <a:xfrm>
          <a:off x="63309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153" name="Isosceles Triangle 152">
          <a:extLst>
            <a:ext uri="{FF2B5EF4-FFF2-40B4-BE49-F238E27FC236}">
              <a16:creationId xmlns:a16="http://schemas.microsoft.com/office/drawing/2014/main" id="{00000000-0008-0000-0900-000099000000}"/>
            </a:ext>
          </a:extLst>
        </xdr:cNvPr>
        <xdr:cNvSpPr/>
      </xdr:nvSpPr>
      <xdr:spPr>
        <a:xfrm>
          <a:off x="109010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155" name="Isosceles Triangle 154">
          <a:extLst>
            <a:ext uri="{FF2B5EF4-FFF2-40B4-BE49-F238E27FC236}">
              <a16:creationId xmlns:a16="http://schemas.microsoft.com/office/drawing/2014/main" id="{00000000-0008-0000-0900-00009B000000}"/>
            </a:ext>
          </a:extLst>
        </xdr:cNvPr>
        <xdr:cNvSpPr/>
      </xdr:nvSpPr>
      <xdr:spPr>
        <a:xfrm>
          <a:off x="46145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156" name="Isosceles Triangle 155">
          <a:extLst>
            <a:ext uri="{FF2B5EF4-FFF2-40B4-BE49-F238E27FC236}">
              <a16:creationId xmlns:a16="http://schemas.microsoft.com/office/drawing/2014/main" id="{00000000-0008-0000-0900-00009C000000}"/>
            </a:ext>
          </a:extLst>
        </xdr:cNvPr>
        <xdr:cNvSpPr/>
      </xdr:nvSpPr>
      <xdr:spPr>
        <a:xfrm>
          <a:off x="58718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157" name="Isosceles Triangle 156">
          <a:extLst>
            <a:ext uri="{FF2B5EF4-FFF2-40B4-BE49-F238E27FC236}">
              <a16:creationId xmlns:a16="http://schemas.microsoft.com/office/drawing/2014/main" id="{00000000-0008-0000-0900-00009D000000}"/>
            </a:ext>
          </a:extLst>
        </xdr:cNvPr>
        <xdr:cNvSpPr/>
      </xdr:nvSpPr>
      <xdr:spPr>
        <a:xfrm>
          <a:off x="71291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158" name="Isosceles Triangle 157">
          <a:extLst>
            <a:ext uri="{FF2B5EF4-FFF2-40B4-BE49-F238E27FC236}">
              <a16:creationId xmlns:a16="http://schemas.microsoft.com/office/drawing/2014/main" id="{00000000-0008-0000-0900-00009E000000}"/>
            </a:ext>
          </a:extLst>
        </xdr:cNvPr>
        <xdr:cNvSpPr/>
      </xdr:nvSpPr>
      <xdr:spPr>
        <a:xfrm>
          <a:off x="83864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159" name="Isosceles Triangle 158">
          <a:extLst>
            <a:ext uri="{FF2B5EF4-FFF2-40B4-BE49-F238E27FC236}">
              <a16:creationId xmlns:a16="http://schemas.microsoft.com/office/drawing/2014/main" id="{00000000-0008-0000-0900-00009F000000}"/>
            </a:ext>
          </a:extLst>
        </xdr:cNvPr>
        <xdr:cNvSpPr/>
      </xdr:nvSpPr>
      <xdr:spPr>
        <a:xfrm>
          <a:off x="96437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161" name="Isosceles Triangle 160">
          <a:extLst>
            <a:ext uri="{FF2B5EF4-FFF2-40B4-BE49-F238E27FC236}">
              <a16:creationId xmlns:a16="http://schemas.microsoft.com/office/drawing/2014/main" id="{00000000-0008-0000-0900-0000A1000000}"/>
            </a:ext>
          </a:extLst>
        </xdr:cNvPr>
        <xdr:cNvSpPr/>
      </xdr:nvSpPr>
      <xdr:spPr>
        <a:xfrm>
          <a:off x="121583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162" name="Isosceles Triangle 161">
          <a:extLst>
            <a:ext uri="{FF2B5EF4-FFF2-40B4-BE49-F238E27FC236}">
              <a16:creationId xmlns:a16="http://schemas.microsoft.com/office/drawing/2014/main" id="{00000000-0008-0000-0900-0000A2000000}"/>
            </a:ext>
          </a:extLst>
        </xdr:cNvPr>
        <xdr:cNvSpPr/>
      </xdr:nvSpPr>
      <xdr:spPr>
        <a:xfrm>
          <a:off x="63309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163" name="Isosceles Triangle 162">
          <a:extLst>
            <a:ext uri="{FF2B5EF4-FFF2-40B4-BE49-F238E27FC236}">
              <a16:creationId xmlns:a16="http://schemas.microsoft.com/office/drawing/2014/main" id="{00000000-0008-0000-0900-0000A3000000}"/>
            </a:ext>
          </a:extLst>
        </xdr:cNvPr>
        <xdr:cNvSpPr/>
      </xdr:nvSpPr>
      <xdr:spPr>
        <a:xfrm>
          <a:off x="33572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164" name="Isosceles Triangle 163">
          <a:extLst>
            <a:ext uri="{FF2B5EF4-FFF2-40B4-BE49-F238E27FC236}">
              <a16:creationId xmlns:a16="http://schemas.microsoft.com/office/drawing/2014/main" id="{00000000-0008-0000-0900-0000A4000000}"/>
            </a:ext>
          </a:extLst>
        </xdr:cNvPr>
        <xdr:cNvSpPr/>
      </xdr:nvSpPr>
      <xdr:spPr>
        <a:xfrm>
          <a:off x="1890395" y="143656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165" name="Isosceles Triangle 164">
          <a:extLst>
            <a:ext uri="{FF2B5EF4-FFF2-40B4-BE49-F238E27FC236}">
              <a16:creationId xmlns:a16="http://schemas.microsoft.com/office/drawing/2014/main" id="{00000000-0008-0000-0900-0000A5000000}"/>
            </a:ext>
          </a:extLst>
        </xdr:cNvPr>
        <xdr:cNvSpPr/>
      </xdr:nvSpPr>
      <xdr:spPr>
        <a:xfrm>
          <a:off x="109010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166" name="Isosceles Triangle 165">
          <a:extLst>
            <a:ext uri="{FF2B5EF4-FFF2-40B4-BE49-F238E27FC236}">
              <a16:creationId xmlns:a16="http://schemas.microsoft.com/office/drawing/2014/main" id="{00000000-0008-0000-0900-0000A6000000}"/>
            </a:ext>
          </a:extLst>
        </xdr:cNvPr>
        <xdr:cNvSpPr/>
      </xdr:nvSpPr>
      <xdr:spPr>
        <a:xfrm>
          <a:off x="121583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167" name="Isosceles Triangle 166">
          <a:extLst>
            <a:ext uri="{FF2B5EF4-FFF2-40B4-BE49-F238E27FC236}">
              <a16:creationId xmlns:a16="http://schemas.microsoft.com/office/drawing/2014/main" id="{00000000-0008-0000-0900-0000A7000000}"/>
            </a:ext>
          </a:extLst>
        </xdr:cNvPr>
        <xdr:cNvSpPr/>
      </xdr:nvSpPr>
      <xdr:spPr>
        <a:xfrm>
          <a:off x="7131050" y="128517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170" name="Isosceles Triangle 169">
          <a:extLst>
            <a:ext uri="{FF2B5EF4-FFF2-40B4-BE49-F238E27FC236}">
              <a16:creationId xmlns:a16="http://schemas.microsoft.com/office/drawing/2014/main" id="{00000000-0008-0000-0900-0000AA000000}"/>
            </a:ext>
          </a:extLst>
        </xdr:cNvPr>
        <xdr:cNvSpPr/>
      </xdr:nvSpPr>
      <xdr:spPr>
        <a:xfrm>
          <a:off x="46145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171" name="Isosceles Triangle 170">
          <a:extLst>
            <a:ext uri="{FF2B5EF4-FFF2-40B4-BE49-F238E27FC236}">
              <a16:creationId xmlns:a16="http://schemas.microsoft.com/office/drawing/2014/main" id="{00000000-0008-0000-0900-0000AB000000}"/>
            </a:ext>
          </a:extLst>
        </xdr:cNvPr>
        <xdr:cNvSpPr/>
      </xdr:nvSpPr>
      <xdr:spPr>
        <a:xfrm>
          <a:off x="58718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172" name="Isosceles Triangle 171">
          <a:extLst>
            <a:ext uri="{FF2B5EF4-FFF2-40B4-BE49-F238E27FC236}">
              <a16:creationId xmlns:a16="http://schemas.microsoft.com/office/drawing/2014/main" id="{00000000-0008-0000-0900-0000AC000000}"/>
            </a:ext>
          </a:extLst>
        </xdr:cNvPr>
        <xdr:cNvSpPr/>
      </xdr:nvSpPr>
      <xdr:spPr>
        <a:xfrm>
          <a:off x="7129145" y="15870555"/>
          <a:ext cx="624205" cy="30099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173" name="Isosceles Triangle 172">
          <a:extLst>
            <a:ext uri="{FF2B5EF4-FFF2-40B4-BE49-F238E27FC236}">
              <a16:creationId xmlns:a16="http://schemas.microsoft.com/office/drawing/2014/main" id="{00000000-0008-0000-0900-0000AD000000}"/>
            </a:ext>
          </a:extLst>
        </xdr:cNvPr>
        <xdr:cNvSpPr/>
      </xdr:nvSpPr>
      <xdr:spPr>
        <a:xfrm>
          <a:off x="96437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174" name="Isosceles Triangle 173">
          <a:extLst>
            <a:ext uri="{FF2B5EF4-FFF2-40B4-BE49-F238E27FC236}">
              <a16:creationId xmlns:a16="http://schemas.microsoft.com/office/drawing/2014/main" id="{00000000-0008-0000-0900-0000AE000000}"/>
            </a:ext>
          </a:extLst>
        </xdr:cNvPr>
        <xdr:cNvSpPr/>
      </xdr:nvSpPr>
      <xdr:spPr>
        <a:xfrm>
          <a:off x="109010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78147</xdr:rowOff>
    </xdr:from>
    <xdr:to>
      <xdr:col>2</xdr:col>
      <xdr:colOff>0</xdr:colOff>
      <xdr:row>92</xdr:row>
      <xdr:rowOff>192447</xdr:rowOff>
    </xdr:to>
    <xdr:sp macro="" textlink="">
      <xdr:nvSpPr>
        <xdr:cNvPr id="175" name="Isosceles Triangle 174">
          <a:extLst>
            <a:ext uri="{FF2B5EF4-FFF2-40B4-BE49-F238E27FC236}">
              <a16:creationId xmlns:a16="http://schemas.microsoft.com/office/drawing/2014/main" id="{00000000-0008-0000-0900-0000AF000000}"/>
            </a:ext>
          </a:extLst>
        </xdr:cNvPr>
        <xdr:cNvSpPr/>
      </xdr:nvSpPr>
      <xdr:spPr>
        <a:xfrm>
          <a:off x="63309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177" name="Isosceles Triangle 176">
          <a:extLst>
            <a:ext uri="{FF2B5EF4-FFF2-40B4-BE49-F238E27FC236}">
              <a16:creationId xmlns:a16="http://schemas.microsoft.com/office/drawing/2014/main" id="{00000000-0008-0000-0900-0000B1000000}"/>
            </a:ext>
          </a:extLst>
        </xdr:cNvPr>
        <xdr:cNvSpPr/>
      </xdr:nvSpPr>
      <xdr:spPr>
        <a:xfrm>
          <a:off x="33572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178" name="Isosceles Triangle 177">
          <a:extLst>
            <a:ext uri="{FF2B5EF4-FFF2-40B4-BE49-F238E27FC236}">
              <a16:creationId xmlns:a16="http://schemas.microsoft.com/office/drawing/2014/main" id="{00000000-0008-0000-0900-0000B2000000}"/>
            </a:ext>
          </a:extLst>
        </xdr:cNvPr>
        <xdr:cNvSpPr/>
      </xdr:nvSpPr>
      <xdr:spPr>
        <a:xfrm>
          <a:off x="1890395" y="158959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179" name="Isosceles Triangle 178">
          <a:extLst>
            <a:ext uri="{FF2B5EF4-FFF2-40B4-BE49-F238E27FC236}">
              <a16:creationId xmlns:a16="http://schemas.microsoft.com/office/drawing/2014/main" id="{00000000-0008-0000-0900-0000B3000000}"/>
            </a:ext>
          </a:extLst>
        </xdr:cNvPr>
        <xdr:cNvSpPr/>
      </xdr:nvSpPr>
      <xdr:spPr>
        <a:xfrm>
          <a:off x="121583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181" name="Isosceles Triangle 180">
          <a:extLst>
            <a:ext uri="{FF2B5EF4-FFF2-40B4-BE49-F238E27FC236}">
              <a16:creationId xmlns:a16="http://schemas.microsoft.com/office/drawing/2014/main" id="{00000000-0008-0000-0900-0000B5000000}"/>
            </a:ext>
          </a:extLst>
        </xdr:cNvPr>
        <xdr:cNvSpPr/>
      </xdr:nvSpPr>
      <xdr:spPr>
        <a:xfrm>
          <a:off x="46145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182" name="Isosceles Triangle 181">
          <a:extLst>
            <a:ext uri="{FF2B5EF4-FFF2-40B4-BE49-F238E27FC236}">
              <a16:creationId xmlns:a16="http://schemas.microsoft.com/office/drawing/2014/main" id="{00000000-0008-0000-0900-0000B6000000}"/>
            </a:ext>
          </a:extLst>
        </xdr:cNvPr>
        <xdr:cNvSpPr/>
      </xdr:nvSpPr>
      <xdr:spPr>
        <a:xfrm>
          <a:off x="58718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183" name="Isosceles Triangle 182">
          <a:extLst>
            <a:ext uri="{FF2B5EF4-FFF2-40B4-BE49-F238E27FC236}">
              <a16:creationId xmlns:a16="http://schemas.microsoft.com/office/drawing/2014/main" id="{00000000-0008-0000-0900-0000B7000000}"/>
            </a:ext>
          </a:extLst>
        </xdr:cNvPr>
        <xdr:cNvSpPr/>
      </xdr:nvSpPr>
      <xdr:spPr>
        <a:xfrm>
          <a:off x="71291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184" name="Isosceles Triangle 183">
          <a:extLst>
            <a:ext uri="{FF2B5EF4-FFF2-40B4-BE49-F238E27FC236}">
              <a16:creationId xmlns:a16="http://schemas.microsoft.com/office/drawing/2014/main" id="{00000000-0008-0000-0900-0000B8000000}"/>
            </a:ext>
          </a:extLst>
        </xdr:cNvPr>
        <xdr:cNvSpPr/>
      </xdr:nvSpPr>
      <xdr:spPr>
        <a:xfrm>
          <a:off x="83864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185" name="Isosceles Triangle 184">
          <a:extLst>
            <a:ext uri="{FF2B5EF4-FFF2-40B4-BE49-F238E27FC236}">
              <a16:creationId xmlns:a16="http://schemas.microsoft.com/office/drawing/2014/main" id="{00000000-0008-0000-0900-0000B9000000}"/>
            </a:ext>
          </a:extLst>
        </xdr:cNvPr>
        <xdr:cNvSpPr/>
      </xdr:nvSpPr>
      <xdr:spPr>
        <a:xfrm>
          <a:off x="96437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187" name="Isosceles Triangle 186">
          <a:extLst>
            <a:ext uri="{FF2B5EF4-FFF2-40B4-BE49-F238E27FC236}">
              <a16:creationId xmlns:a16="http://schemas.microsoft.com/office/drawing/2014/main" id="{00000000-0008-0000-0900-0000BB000000}"/>
            </a:ext>
          </a:extLst>
        </xdr:cNvPr>
        <xdr:cNvSpPr/>
      </xdr:nvSpPr>
      <xdr:spPr>
        <a:xfrm>
          <a:off x="121583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188" name="Isosceles Triangle 187">
          <a:extLst>
            <a:ext uri="{FF2B5EF4-FFF2-40B4-BE49-F238E27FC236}">
              <a16:creationId xmlns:a16="http://schemas.microsoft.com/office/drawing/2014/main" id="{00000000-0008-0000-0900-0000BC000000}"/>
            </a:ext>
          </a:extLst>
        </xdr:cNvPr>
        <xdr:cNvSpPr/>
      </xdr:nvSpPr>
      <xdr:spPr>
        <a:xfrm>
          <a:off x="63309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189" name="Isosceles Triangle 188">
          <a:extLst>
            <a:ext uri="{FF2B5EF4-FFF2-40B4-BE49-F238E27FC236}">
              <a16:creationId xmlns:a16="http://schemas.microsoft.com/office/drawing/2014/main" id="{00000000-0008-0000-0900-0000BD000000}"/>
            </a:ext>
          </a:extLst>
        </xdr:cNvPr>
        <xdr:cNvSpPr/>
      </xdr:nvSpPr>
      <xdr:spPr>
        <a:xfrm>
          <a:off x="33572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190" name="Isosceles Triangle 189">
          <a:extLst>
            <a:ext uri="{FF2B5EF4-FFF2-40B4-BE49-F238E27FC236}">
              <a16:creationId xmlns:a16="http://schemas.microsoft.com/office/drawing/2014/main" id="{00000000-0008-0000-0900-0000BE000000}"/>
            </a:ext>
          </a:extLst>
        </xdr:cNvPr>
        <xdr:cNvSpPr/>
      </xdr:nvSpPr>
      <xdr:spPr>
        <a:xfrm>
          <a:off x="1890395" y="174263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191" name="Isosceles Triangle 190">
          <a:extLst>
            <a:ext uri="{FF2B5EF4-FFF2-40B4-BE49-F238E27FC236}">
              <a16:creationId xmlns:a16="http://schemas.microsoft.com/office/drawing/2014/main" id="{00000000-0008-0000-0900-0000BF000000}"/>
            </a:ext>
          </a:extLst>
        </xdr:cNvPr>
        <xdr:cNvSpPr/>
      </xdr:nvSpPr>
      <xdr:spPr>
        <a:xfrm>
          <a:off x="109010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193" name="Isosceles Triangle 192">
          <a:extLst>
            <a:ext uri="{FF2B5EF4-FFF2-40B4-BE49-F238E27FC236}">
              <a16:creationId xmlns:a16="http://schemas.microsoft.com/office/drawing/2014/main" id="{00000000-0008-0000-0900-0000C1000000}"/>
            </a:ext>
          </a:extLst>
        </xdr:cNvPr>
        <xdr:cNvSpPr/>
      </xdr:nvSpPr>
      <xdr:spPr>
        <a:xfrm>
          <a:off x="8388350" y="1590484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94" name="Isosceles Triangle 193">
          <a:extLst>
            <a:ext uri="{FF2B5EF4-FFF2-40B4-BE49-F238E27FC236}">
              <a16:creationId xmlns:a16="http://schemas.microsoft.com/office/drawing/2014/main" id="{00000000-0008-0000-0900-0000C2000000}"/>
            </a:ext>
          </a:extLst>
        </xdr:cNvPr>
        <xdr:cNvSpPr/>
      </xdr:nvSpPr>
      <xdr:spPr>
        <a:xfrm>
          <a:off x="33572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95" name="Isosceles Triangle 194">
          <a:extLst>
            <a:ext uri="{FF2B5EF4-FFF2-40B4-BE49-F238E27FC236}">
              <a16:creationId xmlns:a16="http://schemas.microsoft.com/office/drawing/2014/main" id="{00000000-0008-0000-0900-0000C3000000}"/>
            </a:ext>
          </a:extLst>
        </xdr:cNvPr>
        <xdr:cNvSpPr/>
      </xdr:nvSpPr>
      <xdr:spPr>
        <a:xfrm>
          <a:off x="46145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196" name="Isosceles Triangle 195">
          <a:extLst>
            <a:ext uri="{FF2B5EF4-FFF2-40B4-BE49-F238E27FC236}">
              <a16:creationId xmlns:a16="http://schemas.microsoft.com/office/drawing/2014/main" id="{00000000-0008-0000-0900-0000C4000000}"/>
            </a:ext>
          </a:extLst>
        </xdr:cNvPr>
        <xdr:cNvSpPr/>
      </xdr:nvSpPr>
      <xdr:spPr>
        <a:xfrm>
          <a:off x="58718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197" name="Isosceles Triangle 196">
          <a:extLst>
            <a:ext uri="{FF2B5EF4-FFF2-40B4-BE49-F238E27FC236}">
              <a16:creationId xmlns:a16="http://schemas.microsoft.com/office/drawing/2014/main" id="{00000000-0008-0000-0900-0000C5000000}"/>
            </a:ext>
          </a:extLst>
        </xdr:cNvPr>
        <xdr:cNvSpPr/>
      </xdr:nvSpPr>
      <xdr:spPr>
        <a:xfrm>
          <a:off x="71291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198" name="Isosceles Triangle 197">
          <a:extLst>
            <a:ext uri="{FF2B5EF4-FFF2-40B4-BE49-F238E27FC236}">
              <a16:creationId xmlns:a16="http://schemas.microsoft.com/office/drawing/2014/main" id="{00000000-0008-0000-0900-0000C6000000}"/>
            </a:ext>
          </a:extLst>
        </xdr:cNvPr>
        <xdr:cNvSpPr/>
      </xdr:nvSpPr>
      <xdr:spPr>
        <a:xfrm>
          <a:off x="8386445" y="189566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199" name="Isosceles Triangle 198">
          <a:extLst>
            <a:ext uri="{FF2B5EF4-FFF2-40B4-BE49-F238E27FC236}">
              <a16:creationId xmlns:a16="http://schemas.microsoft.com/office/drawing/2014/main" id="{00000000-0008-0000-0900-0000C7000000}"/>
            </a:ext>
          </a:extLst>
        </xdr:cNvPr>
        <xdr:cNvSpPr/>
      </xdr:nvSpPr>
      <xdr:spPr>
        <a:xfrm>
          <a:off x="109010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200" name="Isosceles Triangle 199">
          <a:extLst>
            <a:ext uri="{FF2B5EF4-FFF2-40B4-BE49-F238E27FC236}">
              <a16:creationId xmlns:a16="http://schemas.microsoft.com/office/drawing/2014/main" id="{00000000-0008-0000-0900-0000C8000000}"/>
            </a:ext>
          </a:extLst>
        </xdr:cNvPr>
        <xdr:cNvSpPr/>
      </xdr:nvSpPr>
      <xdr:spPr>
        <a:xfrm>
          <a:off x="121583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201" name="Isosceles Triangle 200">
          <a:extLst>
            <a:ext uri="{FF2B5EF4-FFF2-40B4-BE49-F238E27FC236}">
              <a16:creationId xmlns:a16="http://schemas.microsoft.com/office/drawing/2014/main" id="{00000000-0008-0000-0900-0000C9000000}"/>
            </a:ext>
          </a:extLst>
        </xdr:cNvPr>
        <xdr:cNvSpPr/>
      </xdr:nvSpPr>
      <xdr:spPr>
        <a:xfrm>
          <a:off x="1890395" y="206711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202" name="Isosceles Triangle 201">
          <a:extLst>
            <a:ext uri="{FF2B5EF4-FFF2-40B4-BE49-F238E27FC236}">
              <a16:creationId xmlns:a16="http://schemas.microsoft.com/office/drawing/2014/main" id="{00000000-0008-0000-0900-0000CA000000}"/>
            </a:ext>
          </a:extLst>
        </xdr:cNvPr>
        <xdr:cNvSpPr/>
      </xdr:nvSpPr>
      <xdr:spPr>
        <a:xfrm>
          <a:off x="33572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203" name="Isosceles Triangle 202">
          <a:extLst>
            <a:ext uri="{FF2B5EF4-FFF2-40B4-BE49-F238E27FC236}">
              <a16:creationId xmlns:a16="http://schemas.microsoft.com/office/drawing/2014/main" id="{00000000-0008-0000-0900-0000CB000000}"/>
            </a:ext>
          </a:extLst>
        </xdr:cNvPr>
        <xdr:cNvSpPr/>
      </xdr:nvSpPr>
      <xdr:spPr>
        <a:xfrm>
          <a:off x="46145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204" name="Isosceles Triangle 203">
          <a:extLst>
            <a:ext uri="{FF2B5EF4-FFF2-40B4-BE49-F238E27FC236}">
              <a16:creationId xmlns:a16="http://schemas.microsoft.com/office/drawing/2014/main" id="{00000000-0008-0000-0900-0000CC000000}"/>
            </a:ext>
          </a:extLst>
        </xdr:cNvPr>
        <xdr:cNvSpPr/>
      </xdr:nvSpPr>
      <xdr:spPr>
        <a:xfrm>
          <a:off x="33572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205" name="Isosceles Triangle 204">
          <a:extLst>
            <a:ext uri="{FF2B5EF4-FFF2-40B4-BE49-F238E27FC236}">
              <a16:creationId xmlns:a16="http://schemas.microsoft.com/office/drawing/2014/main" id="{00000000-0008-0000-0900-0000CD000000}"/>
            </a:ext>
          </a:extLst>
        </xdr:cNvPr>
        <xdr:cNvSpPr/>
      </xdr:nvSpPr>
      <xdr:spPr>
        <a:xfrm>
          <a:off x="63309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206" name="Isosceles Triangle 205">
          <a:extLst>
            <a:ext uri="{FF2B5EF4-FFF2-40B4-BE49-F238E27FC236}">
              <a16:creationId xmlns:a16="http://schemas.microsoft.com/office/drawing/2014/main" id="{00000000-0008-0000-0900-0000CE000000}"/>
            </a:ext>
          </a:extLst>
        </xdr:cNvPr>
        <xdr:cNvSpPr/>
      </xdr:nvSpPr>
      <xdr:spPr>
        <a:xfrm>
          <a:off x="3357245" y="206711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207" name="Isosceles Triangle 206">
          <a:extLst>
            <a:ext uri="{FF2B5EF4-FFF2-40B4-BE49-F238E27FC236}">
              <a16:creationId xmlns:a16="http://schemas.microsoft.com/office/drawing/2014/main" id="{00000000-0008-0000-0900-0000CF000000}"/>
            </a:ext>
          </a:extLst>
        </xdr:cNvPr>
        <xdr:cNvSpPr/>
      </xdr:nvSpPr>
      <xdr:spPr>
        <a:xfrm>
          <a:off x="58718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208" name="Isosceles Triangle 207">
          <a:extLst>
            <a:ext uri="{FF2B5EF4-FFF2-40B4-BE49-F238E27FC236}">
              <a16:creationId xmlns:a16="http://schemas.microsoft.com/office/drawing/2014/main" id="{00000000-0008-0000-0900-0000D0000000}"/>
            </a:ext>
          </a:extLst>
        </xdr:cNvPr>
        <xdr:cNvSpPr/>
      </xdr:nvSpPr>
      <xdr:spPr>
        <a:xfrm>
          <a:off x="71291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209" name="Isosceles Triangle 208">
          <a:extLst>
            <a:ext uri="{FF2B5EF4-FFF2-40B4-BE49-F238E27FC236}">
              <a16:creationId xmlns:a16="http://schemas.microsoft.com/office/drawing/2014/main" id="{00000000-0008-0000-0900-0000D1000000}"/>
            </a:ext>
          </a:extLst>
        </xdr:cNvPr>
        <xdr:cNvSpPr/>
      </xdr:nvSpPr>
      <xdr:spPr>
        <a:xfrm>
          <a:off x="83864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210" name="Isosceles Triangle 209">
          <a:extLst>
            <a:ext uri="{FF2B5EF4-FFF2-40B4-BE49-F238E27FC236}">
              <a16:creationId xmlns:a16="http://schemas.microsoft.com/office/drawing/2014/main" id="{00000000-0008-0000-0900-0000D2000000}"/>
            </a:ext>
          </a:extLst>
        </xdr:cNvPr>
        <xdr:cNvSpPr/>
      </xdr:nvSpPr>
      <xdr:spPr>
        <a:xfrm>
          <a:off x="96437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211" name="Isosceles Triangle 210">
          <a:extLst>
            <a:ext uri="{FF2B5EF4-FFF2-40B4-BE49-F238E27FC236}">
              <a16:creationId xmlns:a16="http://schemas.microsoft.com/office/drawing/2014/main" id="{00000000-0008-0000-0900-0000D3000000}"/>
            </a:ext>
          </a:extLst>
        </xdr:cNvPr>
        <xdr:cNvSpPr/>
      </xdr:nvSpPr>
      <xdr:spPr>
        <a:xfrm>
          <a:off x="109010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212" name="Isosceles Triangle 211">
          <a:extLst>
            <a:ext uri="{FF2B5EF4-FFF2-40B4-BE49-F238E27FC236}">
              <a16:creationId xmlns:a16="http://schemas.microsoft.com/office/drawing/2014/main" id="{00000000-0008-0000-0900-0000D4000000}"/>
            </a:ext>
          </a:extLst>
        </xdr:cNvPr>
        <xdr:cNvSpPr/>
      </xdr:nvSpPr>
      <xdr:spPr>
        <a:xfrm>
          <a:off x="12158345" y="206711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213" name="Isosceles Triangle 212">
          <a:extLst>
            <a:ext uri="{FF2B5EF4-FFF2-40B4-BE49-F238E27FC236}">
              <a16:creationId xmlns:a16="http://schemas.microsoft.com/office/drawing/2014/main" id="{00000000-0008-0000-0900-0000D5000000}"/>
            </a:ext>
          </a:extLst>
        </xdr:cNvPr>
        <xdr:cNvSpPr/>
      </xdr:nvSpPr>
      <xdr:spPr>
        <a:xfrm>
          <a:off x="63309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214" name="Isosceles Triangle 213">
          <a:extLst>
            <a:ext uri="{FF2B5EF4-FFF2-40B4-BE49-F238E27FC236}">
              <a16:creationId xmlns:a16="http://schemas.microsoft.com/office/drawing/2014/main" id="{00000000-0008-0000-0900-0000D6000000}"/>
            </a:ext>
          </a:extLst>
        </xdr:cNvPr>
        <xdr:cNvSpPr/>
      </xdr:nvSpPr>
      <xdr:spPr>
        <a:xfrm>
          <a:off x="1890395" y="220173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215" name="Isosceles Triangle 214">
          <a:extLst>
            <a:ext uri="{FF2B5EF4-FFF2-40B4-BE49-F238E27FC236}">
              <a16:creationId xmlns:a16="http://schemas.microsoft.com/office/drawing/2014/main" id="{00000000-0008-0000-0900-0000D7000000}"/>
            </a:ext>
          </a:extLst>
        </xdr:cNvPr>
        <xdr:cNvSpPr/>
      </xdr:nvSpPr>
      <xdr:spPr>
        <a:xfrm>
          <a:off x="46145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216" name="Isosceles Triangle 215">
          <a:extLst>
            <a:ext uri="{FF2B5EF4-FFF2-40B4-BE49-F238E27FC236}">
              <a16:creationId xmlns:a16="http://schemas.microsoft.com/office/drawing/2014/main" id="{00000000-0008-0000-0900-0000D8000000}"/>
            </a:ext>
          </a:extLst>
        </xdr:cNvPr>
        <xdr:cNvSpPr/>
      </xdr:nvSpPr>
      <xdr:spPr>
        <a:xfrm>
          <a:off x="33572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217" name="Isosceles Triangle 216">
          <a:extLst>
            <a:ext uri="{FF2B5EF4-FFF2-40B4-BE49-F238E27FC236}">
              <a16:creationId xmlns:a16="http://schemas.microsoft.com/office/drawing/2014/main" id="{00000000-0008-0000-0900-0000D9000000}"/>
            </a:ext>
          </a:extLst>
        </xdr:cNvPr>
        <xdr:cNvSpPr/>
      </xdr:nvSpPr>
      <xdr:spPr>
        <a:xfrm>
          <a:off x="121583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218" name="Isosceles Triangle 217">
          <a:extLst>
            <a:ext uri="{FF2B5EF4-FFF2-40B4-BE49-F238E27FC236}">
              <a16:creationId xmlns:a16="http://schemas.microsoft.com/office/drawing/2014/main" id="{00000000-0008-0000-0900-0000DA000000}"/>
            </a:ext>
          </a:extLst>
        </xdr:cNvPr>
        <xdr:cNvSpPr/>
      </xdr:nvSpPr>
      <xdr:spPr>
        <a:xfrm>
          <a:off x="63309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219" name="Isosceles Triangle 218">
          <a:extLst>
            <a:ext uri="{FF2B5EF4-FFF2-40B4-BE49-F238E27FC236}">
              <a16:creationId xmlns:a16="http://schemas.microsoft.com/office/drawing/2014/main" id="{00000000-0008-0000-0900-0000DB000000}"/>
            </a:ext>
          </a:extLst>
        </xdr:cNvPr>
        <xdr:cNvSpPr/>
      </xdr:nvSpPr>
      <xdr:spPr>
        <a:xfrm>
          <a:off x="9645650" y="189731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20" name="Isosceles Triangle 219">
          <a:extLst>
            <a:ext uri="{FF2B5EF4-FFF2-40B4-BE49-F238E27FC236}">
              <a16:creationId xmlns:a16="http://schemas.microsoft.com/office/drawing/2014/main" id="{00000000-0008-0000-0900-0000DC000000}"/>
            </a:ext>
          </a:extLst>
        </xdr:cNvPr>
        <xdr:cNvSpPr/>
      </xdr:nvSpPr>
      <xdr:spPr>
        <a:xfrm>
          <a:off x="33572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221" name="Isosceles Triangle 220">
          <a:extLst>
            <a:ext uri="{FF2B5EF4-FFF2-40B4-BE49-F238E27FC236}">
              <a16:creationId xmlns:a16="http://schemas.microsoft.com/office/drawing/2014/main" id="{00000000-0008-0000-0900-0000DD000000}"/>
            </a:ext>
          </a:extLst>
        </xdr:cNvPr>
        <xdr:cNvSpPr/>
      </xdr:nvSpPr>
      <xdr:spPr>
        <a:xfrm>
          <a:off x="46145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222" name="Isosceles Triangle 221">
          <a:extLst>
            <a:ext uri="{FF2B5EF4-FFF2-40B4-BE49-F238E27FC236}">
              <a16:creationId xmlns:a16="http://schemas.microsoft.com/office/drawing/2014/main" id="{00000000-0008-0000-0900-0000DE000000}"/>
            </a:ext>
          </a:extLst>
        </xdr:cNvPr>
        <xdr:cNvSpPr/>
      </xdr:nvSpPr>
      <xdr:spPr>
        <a:xfrm>
          <a:off x="58718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223" name="Isosceles Triangle 222">
          <a:extLst>
            <a:ext uri="{FF2B5EF4-FFF2-40B4-BE49-F238E27FC236}">
              <a16:creationId xmlns:a16="http://schemas.microsoft.com/office/drawing/2014/main" id="{00000000-0008-0000-0900-0000DF000000}"/>
            </a:ext>
          </a:extLst>
        </xdr:cNvPr>
        <xdr:cNvSpPr/>
      </xdr:nvSpPr>
      <xdr:spPr>
        <a:xfrm>
          <a:off x="83864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224" name="Isosceles Triangle 223">
          <a:extLst>
            <a:ext uri="{FF2B5EF4-FFF2-40B4-BE49-F238E27FC236}">
              <a16:creationId xmlns:a16="http://schemas.microsoft.com/office/drawing/2014/main" id="{00000000-0008-0000-0900-0000E0000000}"/>
            </a:ext>
          </a:extLst>
        </xdr:cNvPr>
        <xdr:cNvSpPr/>
      </xdr:nvSpPr>
      <xdr:spPr>
        <a:xfrm>
          <a:off x="9643745" y="22017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225" name="Isosceles Triangle 224">
          <a:extLst>
            <a:ext uri="{FF2B5EF4-FFF2-40B4-BE49-F238E27FC236}">
              <a16:creationId xmlns:a16="http://schemas.microsoft.com/office/drawing/2014/main" id="{00000000-0008-0000-0900-0000E1000000}"/>
            </a:ext>
          </a:extLst>
        </xdr:cNvPr>
        <xdr:cNvSpPr/>
      </xdr:nvSpPr>
      <xdr:spPr>
        <a:xfrm>
          <a:off x="121583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226" name="Isosceles Triangle 225">
          <a:extLst>
            <a:ext uri="{FF2B5EF4-FFF2-40B4-BE49-F238E27FC236}">
              <a16:creationId xmlns:a16="http://schemas.microsoft.com/office/drawing/2014/main" id="{00000000-0008-0000-0900-0000E2000000}"/>
            </a:ext>
          </a:extLst>
        </xdr:cNvPr>
        <xdr:cNvSpPr/>
      </xdr:nvSpPr>
      <xdr:spPr>
        <a:xfrm>
          <a:off x="134156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227" name="Isosceles Triangle 226">
          <a:extLst>
            <a:ext uri="{FF2B5EF4-FFF2-40B4-BE49-F238E27FC236}">
              <a16:creationId xmlns:a16="http://schemas.microsoft.com/office/drawing/2014/main" id="{00000000-0008-0000-0900-0000E3000000}"/>
            </a:ext>
          </a:extLst>
        </xdr:cNvPr>
        <xdr:cNvSpPr/>
      </xdr:nvSpPr>
      <xdr:spPr>
        <a:xfrm>
          <a:off x="1890395" y="23547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28" name="Isosceles Triangle 227">
          <a:extLst>
            <a:ext uri="{FF2B5EF4-FFF2-40B4-BE49-F238E27FC236}">
              <a16:creationId xmlns:a16="http://schemas.microsoft.com/office/drawing/2014/main" id="{00000000-0008-0000-0900-0000E4000000}"/>
            </a:ext>
          </a:extLst>
        </xdr:cNvPr>
        <xdr:cNvSpPr/>
      </xdr:nvSpPr>
      <xdr:spPr>
        <a:xfrm>
          <a:off x="33572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229" name="Isosceles Triangle 228">
          <a:extLst>
            <a:ext uri="{FF2B5EF4-FFF2-40B4-BE49-F238E27FC236}">
              <a16:creationId xmlns:a16="http://schemas.microsoft.com/office/drawing/2014/main" id="{00000000-0008-0000-0900-0000E5000000}"/>
            </a:ext>
          </a:extLst>
        </xdr:cNvPr>
        <xdr:cNvSpPr/>
      </xdr:nvSpPr>
      <xdr:spPr>
        <a:xfrm>
          <a:off x="46145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30" name="Isosceles Triangle 229">
          <a:extLst>
            <a:ext uri="{FF2B5EF4-FFF2-40B4-BE49-F238E27FC236}">
              <a16:creationId xmlns:a16="http://schemas.microsoft.com/office/drawing/2014/main" id="{00000000-0008-0000-0900-0000E6000000}"/>
            </a:ext>
          </a:extLst>
        </xdr:cNvPr>
        <xdr:cNvSpPr/>
      </xdr:nvSpPr>
      <xdr:spPr>
        <a:xfrm>
          <a:off x="33572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231" name="Isosceles Triangle 230">
          <a:extLst>
            <a:ext uri="{FF2B5EF4-FFF2-40B4-BE49-F238E27FC236}">
              <a16:creationId xmlns:a16="http://schemas.microsoft.com/office/drawing/2014/main" id="{00000000-0008-0000-0900-0000E7000000}"/>
            </a:ext>
          </a:extLst>
        </xdr:cNvPr>
        <xdr:cNvSpPr/>
      </xdr:nvSpPr>
      <xdr:spPr>
        <a:xfrm>
          <a:off x="63309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232" name="Isosceles Triangle 231">
          <a:extLst>
            <a:ext uri="{FF2B5EF4-FFF2-40B4-BE49-F238E27FC236}">
              <a16:creationId xmlns:a16="http://schemas.microsoft.com/office/drawing/2014/main" id="{00000000-0008-0000-0900-0000E8000000}"/>
            </a:ext>
          </a:extLst>
        </xdr:cNvPr>
        <xdr:cNvSpPr/>
      </xdr:nvSpPr>
      <xdr:spPr>
        <a:xfrm>
          <a:off x="10902950" y="22004020"/>
          <a:ext cx="624205" cy="3130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236" name="Flowchart: Magnetic Disk 235">
          <a:extLst>
            <a:ext uri="{FF2B5EF4-FFF2-40B4-BE49-F238E27FC236}">
              <a16:creationId xmlns:a16="http://schemas.microsoft.com/office/drawing/2014/main" id="{00000000-0008-0000-0900-0000EC000000}"/>
            </a:ext>
          </a:extLst>
        </xdr:cNvPr>
        <xdr:cNvSpPr/>
      </xdr:nvSpPr>
      <xdr:spPr>
        <a:xfrm>
          <a:off x="9321165" y="8759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237" name="Flowchart: Predefined Process 236">
          <a:extLst>
            <a:ext uri="{FF2B5EF4-FFF2-40B4-BE49-F238E27FC236}">
              <a16:creationId xmlns:a16="http://schemas.microsoft.com/office/drawing/2014/main" id="{00000000-0008-0000-0900-0000ED000000}"/>
            </a:ext>
          </a:extLst>
        </xdr:cNvPr>
        <xdr:cNvSpPr/>
      </xdr:nvSpPr>
      <xdr:spPr>
        <a:xfrm>
          <a:off x="298323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238" name="Flowchart: Decision 237">
          <a:extLst>
            <a:ext uri="{FF2B5EF4-FFF2-40B4-BE49-F238E27FC236}">
              <a16:creationId xmlns:a16="http://schemas.microsoft.com/office/drawing/2014/main" id="{00000000-0008-0000-0900-0000EE000000}"/>
            </a:ext>
          </a:extLst>
        </xdr:cNvPr>
        <xdr:cNvSpPr/>
      </xdr:nvSpPr>
      <xdr:spPr>
        <a:xfrm>
          <a:off x="278892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47628</xdr:rowOff>
    </xdr:from>
    <xdr:to>
      <xdr:col>3</xdr:col>
      <xdr:colOff>831371</xdr:colOff>
      <xdr:row>101</xdr:row>
      <xdr:rowOff>7471</xdr:rowOff>
    </xdr:to>
    <xdr:sp macro="" textlink="">
      <xdr:nvSpPr>
        <xdr:cNvPr id="240" name="Isosceles Triangle 239">
          <a:extLst>
            <a:ext uri="{FF2B5EF4-FFF2-40B4-BE49-F238E27FC236}">
              <a16:creationId xmlns:a16="http://schemas.microsoft.com/office/drawing/2014/main" id="{00000000-0008-0000-0900-0000F0000000}"/>
            </a:ext>
          </a:extLst>
        </xdr:cNvPr>
        <xdr:cNvSpPr/>
      </xdr:nvSpPr>
      <xdr:spPr>
        <a:xfrm>
          <a:off x="1846580" y="18926175"/>
          <a:ext cx="870585" cy="33718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242" name="Isosceles Triangle 241">
          <a:extLst>
            <a:ext uri="{FF2B5EF4-FFF2-40B4-BE49-F238E27FC236}">
              <a16:creationId xmlns:a16="http://schemas.microsoft.com/office/drawing/2014/main" id="{00000000-0008-0000-0900-0000F2000000}"/>
            </a:ext>
          </a:extLst>
        </xdr:cNvPr>
        <xdr:cNvSpPr/>
      </xdr:nvSpPr>
      <xdr:spPr>
        <a:xfrm>
          <a:off x="109010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243" name="Isosceles Triangle 242">
          <a:extLst>
            <a:ext uri="{FF2B5EF4-FFF2-40B4-BE49-F238E27FC236}">
              <a16:creationId xmlns:a16="http://schemas.microsoft.com/office/drawing/2014/main" id="{00000000-0008-0000-0900-0000F3000000}"/>
            </a:ext>
          </a:extLst>
        </xdr:cNvPr>
        <xdr:cNvSpPr/>
      </xdr:nvSpPr>
      <xdr:spPr>
        <a:xfrm>
          <a:off x="121583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244" name="Isosceles Triangle 243">
          <a:extLst>
            <a:ext uri="{FF2B5EF4-FFF2-40B4-BE49-F238E27FC236}">
              <a16:creationId xmlns:a16="http://schemas.microsoft.com/office/drawing/2014/main" id="{00000000-0008-0000-0900-0000F4000000}"/>
            </a:ext>
          </a:extLst>
        </xdr:cNvPr>
        <xdr:cNvSpPr/>
      </xdr:nvSpPr>
      <xdr:spPr>
        <a:xfrm>
          <a:off x="63309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245" name="Isosceles Triangle 244">
          <a:extLst>
            <a:ext uri="{FF2B5EF4-FFF2-40B4-BE49-F238E27FC236}">
              <a16:creationId xmlns:a16="http://schemas.microsoft.com/office/drawing/2014/main" id="{00000000-0008-0000-0900-0000F5000000}"/>
            </a:ext>
          </a:extLst>
        </xdr:cNvPr>
        <xdr:cNvSpPr/>
      </xdr:nvSpPr>
      <xdr:spPr>
        <a:xfrm>
          <a:off x="1890395" y="113049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246" name="Isosceles Triangle 245">
          <a:extLst>
            <a:ext uri="{FF2B5EF4-FFF2-40B4-BE49-F238E27FC236}">
              <a16:creationId xmlns:a16="http://schemas.microsoft.com/office/drawing/2014/main" id="{00000000-0008-0000-0900-0000F6000000}"/>
            </a:ext>
          </a:extLst>
        </xdr:cNvPr>
        <xdr:cNvSpPr/>
      </xdr:nvSpPr>
      <xdr:spPr>
        <a:xfrm>
          <a:off x="3357245" y="113049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247" name="Isosceles Triangle 246">
          <a:extLst>
            <a:ext uri="{FF2B5EF4-FFF2-40B4-BE49-F238E27FC236}">
              <a16:creationId xmlns:a16="http://schemas.microsoft.com/office/drawing/2014/main" id="{00000000-0008-0000-0900-0000F7000000}"/>
            </a:ext>
          </a:extLst>
        </xdr:cNvPr>
        <xdr:cNvSpPr/>
      </xdr:nvSpPr>
      <xdr:spPr>
        <a:xfrm>
          <a:off x="4610100" y="1130490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248" name="Isosceles Triangle 247">
          <a:extLst>
            <a:ext uri="{FF2B5EF4-FFF2-40B4-BE49-F238E27FC236}">
              <a16:creationId xmlns:a16="http://schemas.microsoft.com/office/drawing/2014/main" id="{00000000-0008-0000-0900-0000F8000000}"/>
            </a:ext>
          </a:extLst>
        </xdr:cNvPr>
        <xdr:cNvSpPr/>
      </xdr:nvSpPr>
      <xdr:spPr>
        <a:xfrm>
          <a:off x="58718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249" name="Isosceles Triangle 248">
          <a:extLst>
            <a:ext uri="{FF2B5EF4-FFF2-40B4-BE49-F238E27FC236}">
              <a16:creationId xmlns:a16="http://schemas.microsoft.com/office/drawing/2014/main" id="{00000000-0008-0000-0900-0000F9000000}"/>
            </a:ext>
          </a:extLst>
        </xdr:cNvPr>
        <xdr:cNvSpPr/>
      </xdr:nvSpPr>
      <xdr:spPr>
        <a:xfrm>
          <a:off x="71291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250" name="Isosceles Triangle 249">
          <a:extLst>
            <a:ext uri="{FF2B5EF4-FFF2-40B4-BE49-F238E27FC236}">
              <a16:creationId xmlns:a16="http://schemas.microsoft.com/office/drawing/2014/main" id="{00000000-0008-0000-0900-0000FA000000}"/>
            </a:ext>
          </a:extLst>
        </xdr:cNvPr>
        <xdr:cNvSpPr/>
      </xdr:nvSpPr>
      <xdr:spPr>
        <a:xfrm>
          <a:off x="8386445" y="11304905"/>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252" name="Isosceles Triangle 251">
          <a:extLst>
            <a:ext uri="{FF2B5EF4-FFF2-40B4-BE49-F238E27FC236}">
              <a16:creationId xmlns:a16="http://schemas.microsoft.com/office/drawing/2014/main" id="{00000000-0008-0000-0900-0000FC000000}"/>
            </a:ext>
          </a:extLst>
        </xdr:cNvPr>
        <xdr:cNvSpPr/>
      </xdr:nvSpPr>
      <xdr:spPr>
        <a:xfrm>
          <a:off x="58718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253" name="Isosceles Triangle 252">
          <a:extLst>
            <a:ext uri="{FF2B5EF4-FFF2-40B4-BE49-F238E27FC236}">
              <a16:creationId xmlns:a16="http://schemas.microsoft.com/office/drawing/2014/main" id="{00000000-0008-0000-0900-0000FD000000}"/>
            </a:ext>
          </a:extLst>
        </xdr:cNvPr>
        <xdr:cNvSpPr/>
      </xdr:nvSpPr>
      <xdr:spPr>
        <a:xfrm>
          <a:off x="71291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254" name="Line 327">
          <a:extLst>
            <a:ext uri="{FF2B5EF4-FFF2-40B4-BE49-F238E27FC236}">
              <a16:creationId xmlns:a16="http://schemas.microsoft.com/office/drawing/2014/main" id="{00000000-0008-0000-0900-0000FE000000}"/>
            </a:ext>
          </a:extLst>
        </xdr:cNvPr>
        <xdr:cNvSpPr>
          <a:spLocks noChangeShapeType="1"/>
        </xdr:cNvSpPr>
      </xdr:nvSpPr>
      <xdr:spPr>
        <a:xfrm flipH="1">
          <a:off x="11644630" y="8591550"/>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255" name="Line 327">
          <a:extLst>
            <a:ext uri="{FF2B5EF4-FFF2-40B4-BE49-F238E27FC236}">
              <a16:creationId xmlns:a16="http://schemas.microsoft.com/office/drawing/2014/main" id="{00000000-0008-0000-0900-0000FF000000}"/>
            </a:ext>
          </a:extLst>
        </xdr:cNvPr>
        <xdr:cNvSpPr>
          <a:spLocks noChangeShapeType="1"/>
        </xdr:cNvSpPr>
      </xdr:nvSpPr>
      <xdr:spPr>
        <a:xfrm flipH="1">
          <a:off x="4050030" y="1161796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256" name="Line 327">
          <a:extLst>
            <a:ext uri="{FF2B5EF4-FFF2-40B4-BE49-F238E27FC236}">
              <a16:creationId xmlns:a16="http://schemas.microsoft.com/office/drawing/2014/main" id="{00000000-0008-0000-0900-000000010000}"/>
            </a:ext>
          </a:extLst>
        </xdr:cNvPr>
        <xdr:cNvSpPr>
          <a:spLocks noChangeShapeType="1"/>
        </xdr:cNvSpPr>
      </xdr:nvSpPr>
      <xdr:spPr>
        <a:xfrm flipH="1">
          <a:off x="6607810" y="1164399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257" name="Line 327">
          <a:extLst>
            <a:ext uri="{FF2B5EF4-FFF2-40B4-BE49-F238E27FC236}">
              <a16:creationId xmlns:a16="http://schemas.microsoft.com/office/drawing/2014/main" id="{00000000-0008-0000-0900-000001010000}"/>
            </a:ext>
          </a:extLst>
        </xdr:cNvPr>
        <xdr:cNvSpPr>
          <a:spLocks noChangeShapeType="1"/>
        </xdr:cNvSpPr>
      </xdr:nvSpPr>
      <xdr:spPr>
        <a:xfrm flipH="1">
          <a:off x="9148445" y="1163510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258" name="Picture 13">
          <a:extLst>
            <a:ext uri="{FF2B5EF4-FFF2-40B4-BE49-F238E27FC236}">
              <a16:creationId xmlns:a16="http://schemas.microsoft.com/office/drawing/2014/main" id="{00000000-0008-0000-0900-00000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11517630"/>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259" name="Flowchart: Magnetic Disk 258">
          <a:extLst>
            <a:ext uri="{FF2B5EF4-FFF2-40B4-BE49-F238E27FC236}">
              <a16:creationId xmlns:a16="http://schemas.microsoft.com/office/drawing/2014/main" id="{00000000-0008-0000-0900-000003010000}"/>
            </a:ext>
          </a:extLst>
        </xdr:cNvPr>
        <xdr:cNvSpPr/>
      </xdr:nvSpPr>
      <xdr:spPr>
        <a:xfrm>
          <a:off x="11635105" y="85693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260" name="Flowchart: Magnetic Disk 259">
          <a:extLst>
            <a:ext uri="{FF2B5EF4-FFF2-40B4-BE49-F238E27FC236}">
              <a16:creationId xmlns:a16="http://schemas.microsoft.com/office/drawing/2014/main" id="{00000000-0008-0000-0900-000004010000}"/>
            </a:ext>
          </a:extLst>
        </xdr:cNvPr>
        <xdr:cNvSpPr/>
      </xdr:nvSpPr>
      <xdr:spPr>
        <a:xfrm>
          <a:off x="5549265" y="118205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261" name="Flowchart: Magnetic Disk 260">
          <a:extLst>
            <a:ext uri="{FF2B5EF4-FFF2-40B4-BE49-F238E27FC236}">
              <a16:creationId xmlns:a16="http://schemas.microsoft.com/office/drawing/2014/main" id="{00000000-0008-0000-0900-000005010000}"/>
            </a:ext>
          </a:extLst>
        </xdr:cNvPr>
        <xdr:cNvSpPr/>
      </xdr:nvSpPr>
      <xdr:spPr>
        <a:xfrm>
          <a:off x="6819900" y="11814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262" name="Flowchart: Predefined Process 261">
          <a:extLst>
            <a:ext uri="{FF2B5EF4-FFF2-40B4-BE49-F238E27FC236}">
              <a16:creationId xmlns:a16="http://schemas.microsoft.com/office/drawing/2014/main" id="{00000000-0008-0000-0900-000006010000}"/>
            </a:ext>
          </a:extLst>
        </xdr:cNvPr>
        <xdr:cNvSpPr/>
      </xdr:nvSpPr>
      <xdr:spPr>
        <a:xfrm>
          <a:off x="1178433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263" name="Line 327">
          <a:extLst>
            <a:ext uri="{FF2B5EF4-FFF2-40B4-BE49-F238E27FC236}">
              <a16:creationId xmlns:a16="http://schemas.microsoft.com/office/drawing/2014/main" id="{00000000-0008-0000-0900-000007010000}"/>
            </a:ext>
          </a:extLst>
        </xdr:cNvPr>
        <xdr:cNvSpPr>
          <a:spLocks noChangeShapeType="1"/>
        </xdr:cNvSpPr>
      </xdr:nvSpPr>
      <xdr:spPr>
        <a:xfrm flipH="1">
          <a:off x="4098290" y="1169924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264" name="Flowchart: Predefined Process 263">
          <a:extLst>
            <a:ext uri="{FF2B5EF4-FFF2-40B4-BE49-F238E27FC236}">
              <a16:creationId xmlns:a16="http://schemas.microsoft.com/office/drawing/2014/main" id="{00000000-0008-0000-0900-000008010000}"/>
            </a:ext>
          </a:extLst>
        </xdr:cNvPr>
        <xdr:cNvSpPr/>
      </xdr:nvSpPr>
      <xdr:spPr>
        <a:xfrm>
          <a:off x="5309870" y="1168844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265" name="Flowchart: Decision 264">
          <a:extLst>
            <a:ext uri="{FF2B5EF4-FFF2-40B4-BE49-F238E27FC236}">
              <a16:creationId xmlns:a16="http://schemas.microsoft.com/office/drawing/2014/main" id="{00000000-0008-0000-0900-000009010000}"/>
            </a:ext>
          </a:extLst>
        </xdr:cNvPr>
        <xdr:cNvSpPr/>
      </xdr:nvSpPr>
      <xdr:spPr>
        <a:xfrm>
          <a:off x="1159002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266" name="Flowchart: Magnetic Disk 265">
          <a:extLst>
            <a:ext uri="{FF2B5EF4-FFF2-40B4-BE49-F238E27FC236}">
              <a16:creationId xmlns:a16="http://schemas.microsoft.com/office/drawing/2014/main" id="{00000000-0008-0000-0900-00000A010000}"/>
            </a:ext>
          </a:extLst>
        </xdr:cNvPr>
        <xdr:cNvSpPr/>
      </xdr:nvSpPr>
      <xdr:spPr>
        <a:xfrm>
          <a:off x="6806565" y="118205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269" name="Flowchart: Predefined Process 268">
          <a:extLst>
            <a:ext uri="{FF2B5EF4-FFF2-40B4-BE49-F238E27FC236}">
              <a16:creationId xmlns:a16="http://schemas.microsoft.com/office/drawing/2014/main" id="{00000000-0008-0000-0900-00000D010000}"/>
            </a:ext>
          </a:extLst>
        </xdr:cNvPr>
        <xdr:cNvSpPr/>
      </xdr:nvSpPr>
      <xdr:spPr>
        <a:xfrm>
          <a:off x="1516380" y="118656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270" name="Flowchart: Decision 269">
          <a:extLst>
            <a:ext uri="{FF2B5EF4-FFF2-40B4-BE49-F238E27FC236}">
              <a16:creationId xmlns:a16="http://schemas.microsoft.com/office/drawing/2014/main" id="{00000000-0008-0000-0900-00000E010000}"/>
            </a:ext>
          </a:extLst>
        </xdr:cNvPr>
        <xdr:cNvSpPr/>
      </xdr:nvSpPr>
      <xdr:spPr>
        <a:xfrm>
          <a:off x="1322070" y="120561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271" name="Rectangle: Top Corners Snipped 270">
          <a:extLst>
            <a:ext uri="{FF2B5EF4-FFF2-40B4-BE49-F238E27FC236}">
              <a16:creationId xmlns:a16="http://schemas.microsoft.com/office/drawing/2014/main" id="{00000000-0008-0000-0900-00000F010000}"/>
            </a:ext>
          </a:extLst>
        </xdr:cNvPr>
        <xdr:cNvSpPr/>
      </xdr:nvSpPr>
      <xdr:spPr>
        <a:xfrm>
          <a:off x="8044815" y="1185926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273" name="Isosceles Triangle 272">
          <a:extLst>
            <a:ext uri="{FF2B5EF4-FFF2-40B4-BE49-F238E27FC236}">
              <a16:creationId xmlns:a16="http://schemas.microsoft.com/office/drawing/2014/main" id="{00000000-0008-0000-0900-000011010000}"/>
            </a:ext>
          </a:extLst>
        </xdr:cNvPr>
        <xdr:cNvSpPr/>
      </xdr:nvSpPr>
      <xdr:spPr>
        <a:xfrm>
          <a:off x="96437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277" name="Isosceles Triangle 276">
          <a:extLst>
            <a:ext uri="{FF2B5EF4-FFF2-40B4-BE49-F238E27FC236}">
              <a16:creationId xmlns:a16="http://schemas.microsoft.com/office/drawing/2014/main" id="{00000000-0008-0000-0900-000015010000}"/>
            </a:ext>
          </a:extLst>
        </xdr:cNvPr>
        <xdr:cNvSpPr/>
      </xdr:nvSpPr>
      <xdr:spPr>
        <a:xfrm>
          <a:off x="63309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79" name="Isosceles Triangle 78">
          <a:extLst>
            <a:ext uri="{FF2B5EF4-FFF2-40B4-BE49-F238E27FC236}">
              <a16:creationId xmlns:a16="http://schemas.microsoft.com/office/drawing/2014/main" id="{00000000-0008-0000-0900-00004F000000}"/>
            </a:ext>
          </a:extLst>
        </xdr:cNvPr>
        <xdr:cNvSpPr/>
      </xdr:nvSpPr>
      <xdr:spPr>
        <a:xfrm>
          <a:off x="12158345" y="97745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96" name="Isosceles Triangle 95">
          <a:extLst>
            <a:ext uri="{FF2B5EF4-FFF2-40B4-BE49-F238E27FC236}">
              <a16:creationId xmlns:a16="http://schemas.microsoft.com/office/drawing/2014/main" id="{00000000-0008-0000-0900-000060000000}"/>
            </a:ext>
          </a:extLst>
        </xdr:cNvPr>
        <xdr:cNvSpPr/>
      </xdr:nvSpPr>
      <xdr:spPr>
        <a:xfrm>
          <a:off x="109010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97" name="Isosceles Triangle 96">
          <a:extLst>
            <a:ext uri="{FF2B5EF4-FFF2-40B4-BE49-F238E27FC236}">
              <a16:creationId xmlns:a16="http://schemas.microsoft.com/office/drawing/2014/main" id="{00000000-0008-0000-0900-000061000000}"/>
            </a:ext>
          </a:extLst>
        </xdr:cNvPr>
        <xdr:cNvSpPr/>
      </xdr:nvSpPr>
      <xdr:spPr>
        <a:xfrm>
          <a:off x="9643745" y="977455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101" name="Line 327">
          <a:extLst>
            <a:ext uri="{FF2B5EF4-FFF2-40B4-BE49-F238E27FC236}">
              <a16:creationId xmlns:a16="http://schemas.microsoft.com/office/drawing/2014/main" id="{00000000-0008-0000-0900-000065000000}"/>
            </a:ext>
          </a:extLst>
        </xdr:cNvPr>
        <xdr:cNvSpPr>
          <a:spLocks noChangeShapeType="1"/>
        </xdr:cNvSpPr>
      </xdr:nvSpPr>
      <xdr:spPr>
        <a:xfrm flipH="1">
          <a:off x="11664950" y="10008235"/>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105" name="Picture 13">
          <a:extLst>
            <a:ext uri="{FF2B5EF4-FFF2-40B4-BE49-F238E27FC236}">
              <a16:creationId xmlns:a16="http://schemas.microsoft.com/office/drawing/2014/main" id="{00000000-0008-0000-0900-000069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07370" y="9977755"/>
          <a:ext cx="86360" cy="551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116" name="Line 327">
          <a:extLst>
            <a:ext uri="{FF2B5EF4-FFF2-40B4-BE49-F238E27FC236}">
              <a16:creationId xmlns:a16="http://schemas.microsoft.com/office/drawing/2014/main" id="{00000000-0008-0000-0900-000074000000}"/>
            </a:ext>
          </a:extLst>
        </xdr:cNvPr>
        <xdr:cNvSpPr>
          <a:spLocks noChangeShapeType="1"/>
        </xdr:cNvSpPr>
      </xdr:nvSpPr>
      <xdr:spPr>
        <a:xfrm flipH="1">
          <a:off x="10304780" y="10008235"/>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117" name="Line 327">
          <a:extLst>
            <a:ext uri="{FF2B5EF4-FFF2-40B4-BE49-F238E27FC236}">
              <a16:creationId xmlns:a16="http://schemas.microsoft.com/office/drawing/2014/main" id="{00000000-0008-0000-0900-000075000000}"/>
            </a:ext>
          </a:extLst>
        </xdr:cNvPr>
        <xdr:cNvSpPr>
          <a:spLocks noChangeShapeType="1"/>
        </xdr:cNvSpPr>
      </xdr:nvSpPr>
      <xdr:spPr>
        <a:xfrm flipH="1">
          <a:off x="10353040" y="10101580"/>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118" name="Isosceles Triangle 117">
          <a:extLst>
            <a:ext uri="{FF2B5EF4-FFF2-40B4-BE49-F238E27FC236}">
              <a16:creationId xmlns:a16="http://schemas.microsoft.com/office/drawing/2014/main" id="{00000000-0008-0000-0900-000076000000}"/>
            </a:ext>
          </a:extLst>
        </xdr:cNvPr>
        <xdr:cNvSpPr/>
      </xdr:nvSpPr>
      <xdr:spPr>
        <a:xfrm>
          <a:off x="63309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119" name="Isosceles Triangle 118">
          <a:extLst>
            <a:ext uri="{FF2B5EF4-FFF2-40B4-BE49-F238E27FC236}">
              <a16:creationId xmlns:a16="http://schemas.microsoft.com/office/drawing/2014/main" id="{00000000-0008-0000-0900-000077000000}"/>
            </a:ext>
          </a:extLst>
        </xdr:cNvPr>
        <xdr:cNvSpPr/>
      </xdr:nvSpPr>
      <xdr:spPr>
        <a:xfrm>
          <a:off x="1890395" y="97745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233" name="Isosceles Triangle 232">
          <a:extLst>
            <a:ext uri="{FF2B5EF4-FFF2-40B4-BE49-F238E27FC236}">
              <a16:creationId xmlns:a16="http://schemas.microsoft.com/office/drawing/2014/main" id="{00000000-0008-0000-0900-0000E9000000}"/>
            </a:ext>
          </a:extLst>
        </xdr:cNvPr>
        <xdr:cNvSpPr/>
      </xdr:nvSpPr>
      <xdr:spPr>
        <a:xfrm>
          <a:off x="3357245" y="97745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234" name="Isosceles Triangle 233">
          <a:extLst>
            <a:ext uri="{FF2B5EF4-FFF2-40B4-BE49-F238E27FC236}">
              <a16:creationId xmlns:a16="http://schemas.microsoft.com/office/drawing/2014/main" id="{00000000-0008-0000-0900-0000EA000000}"/>
            </a:ext>
          </a:extLst>
        </xdr:cNvPr>
        <xdr:cNvSpPr/>
      </xdr:nvSpPr>
      <xdr:spPr>
        <a:xfrm>
          <a:off x="4610100" y="977455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235" name="Isosceles Triangle 234">
          <a:extLst>
            <a:ext uri="{FF2B5EF4-FFF2-40B4-BE49-F238E27FC236}">
              <a16:creationId xmlns:a16="http://schemas.microsoft.com/office/drawing/2014/main" id="{00000000-0008-0000-0900-0000EB000000}"/>
            </a:ext>
          </a:extLst>
        </xdr:cNvPr>
        <xdr:cNvSpPr/>
      </xdr:nvSpPr>
      <xdr:spPr>
        <a:xfrm>
          <a:off x="58718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41" name="Isosceles Triangle 240">
          <a:extLst>
            <a:ext uri="{FF2B5EF4-FFF2-40B4-BE49-F238E27FC236}">
              <a16:creationId xmlns:a16="http://schemas.microsoft.com/office/drawing/2014/main" id="{00000000-0008-0000-0900-0000F1000000}"/>
            </a:ext>
          </a:extLst>
        </xdr:cNvPr>
        <xdr:cNvSpPr/>
      </xdr:nvSpPr>
      <xdr:spPr>
        <a:xfrm>
          <a:off x="71291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251" name="Isosceles Triangle 250">
          <a:extLst>
            <a:ext uri="{FF2B5EF4-FFF2-40B4-BE49-F238E27FC236}">
              <a16:creationId xmlns:a16="http://schemas.microsoft.com/office/drawing/2014/main" id="{00000000-0008-0000-0900-0000FB000000}"/>
            </a:ext>
          </a:extLst>
        </xdr:cNvPr>
        <xdr:cNvSpPr/>
      </xdr:nvSpPr>
      <xdr:spPr>
        <a:xfrm>
          <a:off x="8386445" y="9774555"/>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267" name="Isosceles Triangle 266">
          <a:extLst>
            <a:ext uri="{FF2B5EF4-FFF2-40B4-BE49-F238E27FC236}">
              <a16:creationId xmlns:a16="http://schemas.microsoft.com/office/drawing/2014/main" id="{00000000-0008-0000-0900-00000B010000}"/>
            </a:ext>
          </a:extLst>
        </xdr:cNvPr>
        <xdr:cNvSpPr/>
      </xdr:nvSpPr>
      <xdr:spPr>
        <a:xfrm>
          <a:off x="58718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68" name="Isosceles Triangle 267">
          <a:extLst>
            <a:ext uri="{FF2B5EF4-FFF2-40B4-BE49-F238E27FC236}">
              <a16:creationId xmlns:a16="http://schemas.microsoft.com/office/drawing/2014/main" id="{00000000-0008-0000-0900-00000C010000}"/>
            </a:ext>
          </a:extLst>
        </xdr:cNvPr>
        <xdr:cNvSpPr/>
      </xdr:nvSpPr>
      <xdr:spPr>
        <a:xfrm>
          <a:off x="71291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278" name="Line 327">
          <a:extLst>
            <a:ext uri="{FF2B5EF4-FFF2-40B4-BE49-F238E27FC236}">
              <a16:creationId xmlns:a16="http://schemas.microsoft.com/office/drawing/2014/main" id="{00000000-0008-0000-0900-000016010000}"/>
            </a:ext>
          </a:extLst>
        </xdr:cNvPr>
        <xdr:cNvSpPr>
          <a:spLocks noChangeShapeType="1"/>
        </xdr:cNvSpPr>
      </xdr:nvSpPr>
      <xdr:spPr>
        <a:xfrm flipH="1">
          <a:off x="4050030" y="1008761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279" name="Line 327">
          <a:extLst>
            <a:ext uri="{FF2B5EF4-FFF2-40B4-BE49-F238E27FC236}">
              <a16:creationId xmlns:a16="http://schemas.microsoft.com/office/drawing/2014/main" id="{00000000-0008-0000-0900-000017010000}"/>
            </a:ext>
          </a:extLst>
        </xdr:cNvPr>
        <xdr:cNvSpPr>
          <a:spLocks noChangeShapeType="1"/>
        </xdr:cNvSpPr>
      </xdr:nvSpPr>
      <xdr:spPr>
        <a:xfrm flipH="1">
          <a:off x="6607810" y="1011364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280" name="Line 327">
          <a:extLst>
            <a:ext uri="{FF2B5EF4-FFF2-40B4-BE49-F238E27FC236}">
              <a16:creationId xmlns:a16="http://schemas.microsoft.com/office/drawing/2014/main" id="{00000000-0008-0000-0900-000018010000}"/>
            </a:ext>
          </a:extLst>
        </xdr:cNvPr>
        <xdr:cNvSpPr>
          <a:spLocks noChangeShapeType="1"/>
        </xdr:cNvSpPr>
      </xdr:nvSpPr>
      <xdr:spPr>
        <a:xfrm flipH="1">
          <a:off x="9148445" y="1010475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281" name="Picture 13">
          <a:extLst>
            <a:ext uri="{FF2B5EF4-FFF2-40B4-BE49-F238E27FC236}">
              <a16:creationId xmlns:a16="http://schemas.microsoft.com/office/drawing/2014/main" id="{00000000-0008-0000-0900-000019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9987280"/>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282" name="Flowchart: Magnetic Disk 281">
          <a:extLst>
            <a:ext uri="{FF2B5EF4-FFF2-40B4-BE49-F238E27FC236}">
              <a16:creationId xmlns:a16="http://schemas.microsoft.com/office/drawing/2014/main" id="{00000000-0008-0000-0900-00001A010000}"/>
            </a:ext>
          </a:extLst>
        </xdr:cNvPr>
        <xdr:cNvSpPr/>
      </xdr:nvSpPr>
      <xdr:spPr>
        <a:xfrm>
          <a:off x="55492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283" name="Flowchart: Magnetic Disk 282">
          <a:extLst>
            <a:ext uri="{FF2B5EF4-FFF2-40B4-BE49-F238E27FC236}">
              <a16:creationId xmlns:a16="http://schemas.microsoft.com/office/drawing/2014/main" id="{00000000-0008-0000-0900-00001B010000}"/>
            </a:ext>
          </a:extLst>
        </xdr:cNvPr>
        <xdr:cNvSpPr/>
      </xdr:nvSpPr>
      <xdr:spPr>
        <a:xfrm>
          <a:off x="6819900" y="10283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284" name="Line 327">
          <a:extLst>
            <a:ext uri="{FF2B5EF4-FFF2-40B4-BE49-F238E27FC236}">
              <a16:creationId xmlns:a16="http://schemas.microsoft.com/office/drawing/2014/main" id="{00000000-0008-0000-0900-00001C010000}"/>
            </a:ext>
          </a:extLst>
        </xdr:cNvPr>
        <xdr:cNvSpPr>
          <a:spLocks noChangeShapeType="1"/>
        </xdr:cNvSpPr>
      </xdr:nvSpPr>
      <xdr:spPr>
        <a:xfrm flipH="1">
          <a:off x="4098290" y="1016889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285" name="Flowchart: Predefined Process 284">
          <a:extLst>
            <a:ext uri="{FF2B5EF4-FFF2-40B4-BE49-F238E27FC236}">
              <a16:creationId xmlns:a16="http://schemas.microsoft.com/office/drawing/2014/main" id="{00000000-0008-0000-0900-00001D010000}"/>
            </a:ext>
          </a:extLst>
        </xdr:cNvPr>
        <xdr:cNvSpPr/>
      </xdr:nvSpPr>
      <xdr:spPr>
        <a:xfrm>
          <a:off x="5309870" y="1015809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286" name="Flowchart: Magnetic Disk 285">
          <a:extLst>
            <a:ext uri="{FF2B5EF4-FFF2-40B4-BE49-F238E27FC236}">
              <a16:creationId xmlns:a16="http://schemas.microsoft.com/office/drawing/2014/main" id="{00000000-0008-0000-0900-00001E010000}"/>
            </a:ext>
          </a:extLst>
        </xdr:cNvPr>
        <xdr:cNvSpPr/>
      </xdr:nvSpPr>
      <xdr:spPr>
        <a:xfrm>
          <a:off x="68065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87" name="Flowchart: Predefined Process 286">
          <a:extLst>
            <a:ext uri="{FF2B5EF4-FFF2-40B4-BE49-F238E27FC236}">
              <a16:creationId xmlns:a16="http://schemas.microsoft.com/office/drawing/2014/main" id="{00000000-0008-0000-0900-00001F010000}"/>
            </a:ext>
          </a:extLst>
        </xdr:cNvPr>
        <xdr:cNvSpPr/>
      </xdr:nvSpPr>
      <xdr:spPr>
        <a:xfrm>
          <a:off x="151638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88" name="Flowchart: Decision 287">
          <a:extLst>
            <a:ext uri="{FF2B5EF4-FFF2-40B4-BE49-F238E27FC236}">
              <a16:creationId xmlns:a16="http://schemas.microsoft.com/office/drawing/2014/main" id="{00000000-0008-0000-0900-000020010000}"/>
            </a:ext>
          </a:extLst>
        </xdr:cNvPr>
        <xdr:cNvSpPr/>
      </xdr:nvSpPr>
      <xdr:spPr>
        <a:xfrm>
          <a:off x="132207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289" name="Rectangle: Top Corners Snipped 288">
          <a:extLst>
            <a:ext uri="{FF2B5EF4-FFF2-40B4-BE49-F238E27FC236}">
              <a16:creationId xmlns:a16="http://schemas.microsoft.com/office/drawing/2014/main" id="{00000000-0008-0000-0900-000021010000}"/>
            </a:ext>
          </a:extLst>
        </xdr:cNvPr>
        <xdr:cNvSpPr/>
      </xdr:nvSpPr>
      <xdr:spPr>
        <a:xfrm>
          <a:off x="8044815" y="1032891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290" name="Isosceles Triangle 289">
          <a:extLst>
            <a:ext uri="{FF2B5EF4-FFF2-40B4-BE49-F238E27FC236}">
              <a16:creationId xmlns:a16="http://schemas.microsoft.com/office/drawing/2014/main" id="{00000000-0008-0000-0900-000022010000}"/>
            </a:ext>
          </a:extLst>
        </xdr:cNvPr>
        <xdr:cNvSpPr/>
      </xdr:nvSpPr>
      <xdr:spPr>
        <a:xfrm>
          <a:off x="96437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91" name="Flowchart: Predefined Process 290">
          <a:extLst>
            <a:ext uri="{FF2B5EF4-FFF2-40B4-BE49-F238E27FC236}">
              <a16:creationId xmlns:a16="http://schemas.microsoft.com/office/drawing/2014/main" id="{00000000-0008-0000-0900-000023010000}"/>
            </a:ext>
          </a:extLst>
        </xdr:cNvPr>
        <xdr:cNvSpPr/>
      </xdr:nvSpPr>
      <xdr:spPr>
        <a:xfrm>
          <a:off x="151638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92" name="Flowchart: Decision 291">
          <a:extLst>
            <a:ext uri="{FF2B5EF4-FFF2-40B4-BE49-F238E27FC236}">
              <a16:creationId xmlns:a16="http://schemas.microsoft.com/office/drawing/2014/main" id="{00000000-0008-0000-0900-000024010000}"/>
            </a:ext>
          </a:extLst>
        </xdr:cNvPr>
        <xdr:cNvSpPr/>
      </xdr:nvSpPr>
      <xdr:spPr>
        <a:xfrm>
          <a:off x="132207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293" name="Flowchart: Magnetic Disk 292">
          <a:extLst>
            <a:ext uri="{FF2B5EF4-FFF2-40B4-BE49-F238E27FC236}">
              <a16:creationId xmlns:a16="http://schemas.microsoft.com/office/drawing/2014/main" id="{00000000-0008-0000-0900-000025010000}"/>
            </a:ext>
          </a:extLst>
        </xdr:cNvPr>
        <xdr:cNvSpPr/>
      </xdr:nvSpPr>
      <xdr:spPr>
        <a:xfrm>
          <a:off x="80638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294" name="Flowchart: Magnetic Disk 293">
          <a:extLst>
            <a:ext uri="{FF2B5EF4-FFF2-40B4-BE49-F238E27FC236}">
              <a16:creationId xmlns:a16="http://schemas.microsoft.com/office/drawing/2014/main" id="{00000000-0008-0000-0900-000026010000}"/>
            </a:ext>
          </a:extLst>
        </xdr:cNvPr>
        <xdr:cNvSpPr/>
      </xdr:nvSpPr>
      <xdr:spPr>
        <a:xfrm>
          <a:off x="93211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295" name="Flowchart: Predefined Process 294">
          <a:extLst>
            <a:ext uri="{FF2B5EF4-FFF2-40B4-BE49-F238E27FC236}">
              <a16:creationId xmlns:a16="http://schemas.microsoft.com/office/drawing/2014/main" id="{00000000-0008-0000-0900-000027010000}"/>
            </a:ext>
          </a:extLst>
        </xdr:cNvPr>
        <xdr:cNvSpPr/>
      </xdr:nvSpPr>
      <xdr:spPr>
        <a:xfrm>
          <a:off x="424053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296" name="Flowchart: Decision 295">
          <a:extLst>
            <a:ext uri="{FF2B5EF4-FFF2-40B4-BE49-F238E27FC236}">
              <a16:creationId xmlns:a16="http://schemas.microsoft.com/office/drawing/2014/main" id="{00000000-0008-0000-0900-000028010000}"/>
            </a:ext>
          </a:extLst>
        </xdr:cNvPr>
        <xdr:cNvSpPr/>
      </xdr:nvSpPr>
      <xdr:spPr>
        <a:xfrm>
          <a:off x="404622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297" name="Rectangle: Top Corners Snipped 296">
          <a:extLst>
            <a:ext uri="{FF2B5EF4-FFF2-40B4-BE49-F238E27FC236}">
              <a16:creationId xmlns:a16="http://schemas.microsoft.com/office/drawing/2014/main" id="{00000000-0008-0000-0900-000029010000}"/>
            </a:ext>
          </a:extLst>
        </xdr:cNvPr>
        <xdr:cNvSpPr/>
      </xdr:nvSpPr>
      <xdr:spPr>
        <a:xfrm>
          <a:off x="10559415" y="1032891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298" name="Flowchart: Predefined Process 297">
          <a:extLst>
            <a:ext uri="{FF2B5EF4-FFF2-40B4-BE49-F238E27FC236}">
              <a16:creationId xmlns:a16="http://schemas.microsoft.com/office/drawing/2014/main" id="{00000000-0008-0000-0900-00002A010000}"/>
            </a:ext>
          </a:extLst>
        </xdr:cNvPr>
        <xdr:cNvSpPr/>
      </xdr:nvSpPr>
      <xdr:spPr>
        <a:xfrm>
          <a:off x="9204960" y="11852910"/>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299" name="Rectangle: Top Corners Snipped 298">
          <a:extLst>
            <a:ext uri="{FF2B5EF4-FFF2-40B4-BE49-F238E27FC236}">
              <a16:creationId xmlns:a16="http://schemas.microsoft.com/office/drawing/2014/main" id="{00000000-0008-0000-0900-00002B010000}"/>
            </a:ext>
          </a:extLst>
        </xdr:cNvPr>
        <xdr:cNvSpPr/>
      </xdr:nvSpPr>
      <xdr:spPr>
        <a:xfrm>
          <a:off x="11835765" y="11917680"/>
          <a:ext cx="168910"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300" name="Flowchart: Predefined Process 299">
          <a:extLst>
            <a:ext uri="{FF2B5EF4-FFF2-40B4-BE49-F238E27FC236}">
              <a16:creationId xmlns:a16="http://schemas.microsoft.com/office/drawing/2014/main" id="{00000000-0008-0000-0900-00002C010000}"/>
            </a:ext>
          </a:extLst>
        </xdr:cNvPr>
        <xdr:cNvSpPr/>
      </xdr:nvSpPr>
      <xdr:spPr>
        <a:xfrm>
          <a:off x="10462260" y="11852910"/>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24" name="Isosceles Triangle 23">
          <a:extLst>
            <a:ext uri="{FF2B5EF4-FFF2-40B4-BE49-F238E27FC236}">
              <a16:creationId xmlns:a16="http://schemas.microsoft.com/office/drawing/2014/main" id="{00000000-0008-0000-0900-000018000000}"/>
            </a:ext>
          </a:extLst>
        </xdr:cNvPr>
        <xdr:cNvSpPr/>
      </xdr:nvSpPr>
      <xdr:spPr>
        <a:xfrm>
          <a:off x="71291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46" name="Isosceles Triangle 45">
          <a:extLst>
            <a:ext uri="{FF2B5EF4-FFF2-40B4-BE49-F238E27FC236}">
              <a16:creationId xmlns:a16="http://schemas.microsoft.com/office/drawing/2014/main" id="{00000000-0008-0000-0900-00002E000000}"/>
            </a:ext>
          </a:extLst>
        </xdr:cNvPr>
        <xdr:cNvSpPr/>
      </xdr:nvSpPr>
      <xdr:spPr>
        <a:xfrm>
          <a:off x="33572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53" name="Isosceles Triangle 52">
          <a:extLst>
            <a:ext uri="{FF2B5EF4-FFF2-40B4-BE49-F238E27FC236}">
              <a16:creationId xmlns:a16="http://schemas.microsoft.com/office/drawing/2014/main" id="{00000000-0008-0000-0900-000035000000}"/>
            </a:ext>
          </a:extLst>
        </xdr:cNvPr>
        <xdr:cNvSpPr/>
      </xdr:nvSpPr>
      <xdr:spPr>
        <a:xfrm>
          <a:off x="46145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55" name="Isosceles Triangle 54">
          <a:extLst>
            <a:ext uri="{FF2B5EF4-FFF2-40B4-BE49-F238E27FC236}">
              <a16:creationId xmlns:a16="http://schemas.microsoft.com/office/drawing/2014/main" id="{00000000-0008-0000-0900-000037000000}"/>
            </a:ext>
          </a:extLst>
        </xdr:cNvPr>
        <xdr:cNvSpPr/>
      </xdr:nvSpPr>
      <xdr:spPr>
        <a:xfrm>
          <a:off x="58718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59" name="Isosceles Triangle 58">
          <a:extLst>
            <a:ext uri="{FF2B5EF4-FFF2-40B4-BE49-F238E27FC236}">
              <a16:creationId xmlns:a16="http://schemas.microsoft.com/office/drawing/2014/main" id="{00000000-0008-0000-0900-00003B000000}"/>
            </a:ext>
          </a:extLst>
        </xdr:cNvPr>
        <xdr:cNvSpPr/>
      </xdr:nvSpPr>
      <xdr:spPr>
        <a:xfrm>
          <a:off x="71291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70" name="Isosceles Triangle 69">
          <a:extLst>
            <a:ext uri="{FF2B5EF4-FFF2-40B4-BE49-F238E27FC236}">
              <a16:creationId xmlns:a16="http://schemas.microsoft.com/office/drawing/2014/main" id="{00000000-0008-0000-0900-000046000000}"/>
            </a:ext>
          </a:extLst>
        </xdr:cNvPr>
        <xdr:cNvSpPr/>
      </xdr:nvSpPr>
      <xdr:spPr>
        <a:xfrm>
          <a:off x="83864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83" name="Isosceles Triangle 82">
          <a:extLst>
            <a:ext uri="{FF2B5EF4-FFF2-40B4-BE49-F238E27FC236}">
              <a16:creationId xmlns:a16="http://schemas.microsoft.com/office/drawing/2014/main" id="{00000000-0008-0000-0900-000053000000}"/>
            </a:ext>
          </a:extLst>
        </xdr:cNvPr>
        <xdr:cNvSpPr/>
      </xdr:nvSpPr>
      <xdr:spPr>
        <a:xfrm>
          <a:off x="96437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85" name="Isosceles Triangle 84">
          <a:extLst>
            <a:ext uri="{FF2B5EF4-FFF2-40B4-BE49-F238E27FC236}">
              <a16:creationId xmlns:a16="http://schemas.microsoft.com/office/drawing/2014/main" id="{00000000-0008-0000-0900-000055000000}"/>
            </a:ext>
          </a:extLst>
        </xdr:cNvPr>
        <xdr:cNvSpPr/>
      </xdr:nvSpPr>
      <xdr:spPr>
        <a:xfrm>
          <a:off x="109010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86" name="Isosceles Triangle 85">
          <a:extLst>
            <a:ext uri="{FF2B5EF4-FFF2-40B4-BE49-F238E27FC236}">
              <a16:creationId xmlns:a16="http://schemas.microsoft.com/office/drawing/2014/main" id="{00000000-0008-0000-0900-000056000000}"/>
            </a:ext>
          </a:extLst>
        </xdr:cNvPr>
        <xdr:cNvSpPr/>
      </xdr:nvSpPr>
      <xdr:spPr>
        <a:xfrm>
          <a:off x="121583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88" name="Isosceles Triangle 87">
          <a:extLst>
            <a:ext uri="{FF2B5EF4-FFF2-40B4-BE49-F238E27FC236}">
              <a16:creationId xmlns:a16="http://schemas.microsoft.com/office/drawing/2014/main" id="{00000000-0008-0000-0900-000058000000}"/>
            </a:ext>
          </a:extLst>
        </xdr:cNvPr>
        <xdr:cNvSpPr/>
      </xdr:nvSpPr>
      <xdr:spPr>
        <a:xfrm>
          <a:off x="134156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89" name="Isosceles Triangle 88">
          <a:extLst>
            <a:ext uri="{FF2B5EF4-FFF2-40B4-BE49-F238E27FC236}">
              <a16:creationId xmlns:a16="http://schemas.microsoft.com/office/drawing/2014/main" id="{00000000-0008-0000-0900-000059000000}"/>
            </a:ext>
          </a:extLst>
        </xdr:cNvPr>
        <xdr:cNvSpPr/>
      </xdr:nvSpPr>
      <xdr:spPr>
        <a:xfrm>
          <a:off x="1890395" y="252622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90" name="Isosceles Triangle 89">
          <a:extLst>
            <a:ext uri="{FF2B5EF4-FFF2-40B4-BE49-F238E27FC236}">
              <a16:creationId xmlns:a16="http://schemas.microsoft.com/office/drawing/2014/main" id="{00000000-0008-0000-0900-00005A000000}"/>
            </a:ext>
          </a:extLst>
        </xdr:cNvPr>
        <xdr:cNvSpPr/>
      </xdr:nvSpPr>
      <xdr:spPr>
        <a:xfrm>
          <a:off x="63309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91" name="Isosceles Triangle 90">
          <a:extLst>
            <a:ext uri="{FF2B5EF4-FFF2-40B4-BE49-F238E27FC236}">
              <a16:creationId xmlns:a16="http://schemas.microsoft.com/office/drawing/2014/main" id="{00000000-0008-0000-0900-00005B000000}"/>
            </a:ext>
          </a:extLst>
        </xdr:cNvPr>
        <xdr:cNvSpPr/>
      </xdr:nvSpPr>
      <xdr:spPr>
        <a:xfrm>
          <a:off x="33572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94" name="Isosceles Triangle 93">
          <a:extLst>
            <a:ext uri="{FF2B5EF4-FFF2-40B4-BE49-F238E27FC236}">
              <a16:creationId xmlns:a16="http://schemas.microsoft.com/office/drawing/2014/main" id="{00000000-0008-0000-0900-00005E000000}"/>
            </a:ext>
          </a:extLst>
        </xdr:cNvPr>
        <xdr:cNvSpPr/>
      </xdr:nvSpPr>
      <xdr:spPr>
        <a:xfrm>
          <a:off x="46145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95" name="Isosceles Triangle 94">
          <a:extLst>
            <a:ext uri="{FF2B5EF4-FFF2-40B4-BE49-F238E27FC236}">
              <a16:creationId xmlns:a16="http://schemas.microsoft.com/office/drawing/2014/main" id="{00000000-0008-0000-0900-00005F000000}"/>
            </a:ext>
          </a:extLst>
        </xdr:cNvPr>
        <xdr:cNvSpPr/>
      </xdr:nvSpPr>
      <xdr:spPr>
        <a:xfrm>
          <a:off x="58718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103" name="Isosceles Triangle 102">
          <a:extLst>
            <a:ext uri="{FF2B5EF4-FFF2-40B4-BE49-F238E27FC236}">
              <a16:creationId xmlns:a16="http://schemas.microsoft.com/office/drawing/2014/main" id="{00000000-0008-0000-0900-000067000000}"/>
            </a:ext>
          </a:extLst>
        </xdr:cNvPr>
        <xdr:cNvSpPr/>
      </xdr:nvSpPr>
      <xdr:spPr>
        <a:xfrm>
          <a:off x="71291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104" name="Isosceles Triangle 103">
          <a:extLst>
            <a:ext uri="{FF2B5EF4-FFF2-40B4-BE49-F238E27FC236}">
              <a16:creationId xmlns:a16="http://schemas.microsoft.com/office/drawing/2014/main" id="{00000000-0008-0000-0900-000068000000}"/>
            </a:ext>
          </a:extLst>
        </xdr:cNvPr>
        <xdr:cNvSpPr/>
      </xdr:nvSpPr>
      <xdr:spPr>
        <a:xfrm>
          <a:off x="83864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107" name="Isosceles Triangle 106">
          <a:extLst>
            <a:ext uri="{FF2B5EF4-FFF2-40B4-BE49-F238E27FC236}">
              <a16:creationId xmlns:a16="http://schemas.microsoft.com/office/drawing/2014/main" id="{00000000-0008-0000-0900-00006B000000}"/>
            </a:ext>
          </a:extLst>
        </xdr:cNvPr>
        <xdr:cNvSpPr/>
      </xdr:nvSpPr>
      <xdr:spPr>
        <a:xfrm>
          <a:off x="96437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125" name="Isosceles Triangle 124">
          <a:extLst>
            <a:ext uri="{FF2B5EF4-FFF2-40B4-BE49-F238E27FC236}">
              <a16:creationId xmlns:a16="http://schemas.microsoft.com/office/drawing/2014/main" id="{00000000-0008-0000-0900-00007D000000}"/>
            </a:ext>
          </a:extLst>
        </xdr:cNvPr>
        <xdr:cNvSpPr/>
      </xdr:nvSpPr>
      <xdr:spPr>
        <a:xfrm>
          <a:off x="109010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126" name="Isosceles Triangle 125">
          <a:extLst>
            <a:ext uri="{FF2B5EF4-FFF2-40B4-BE49-F238E27FC236}">
              <a16:creationId xmlns:a16="http://schemas.microsoft.com/office/drawing/2014/main" id="{00000000-0008-0000-0900-00007E000000}"/>
            </a:ext>
          </a:extLst>
        </xdr:cNvPr>
        <xdr:cNvSpPr/>
      </xdr:nvSpPr>
      <xdr:spPr>
        <a:xfrm>
          <a:off x="121583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127" name="Isosceles Triangle 126">
          <a:extLst>
            <a:ext uri="{FF2B5EF4-FFF2-40B4-BE49-F238E27FC236}">
              <a16:creationId xmlns:a16="http://schemas.microsoft.com/office/drawing/2014/main" id="{00000000-0008-0000-0900-00007F000000}"/>
            </a:ext>
          </a:extLst>
        </xdr:cNvPr>
        <xdr:cNvSpPr/>
      </xdr:nvSpPr>
      <xdr:spPr>
        <a:xfrm>
          <a:off x="134156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128" name="Isosceles Triangle 127">
          <a:extLst>
            <a:ext uri="{FF2B5EF4-FFF2-40B4-BE49-F238E27FC236}">
              <a16:creationId xmlns:a16="http://schemas.microsoft.com/office/drawing/2014/main" id="{00000000-0008-0000-0900-000080000000}"/>
            </a:ext>
          </a:extLst>
        </xdr:cNvPr>
        <xdr:cNvSpPr/>
      </xdr:nvSpPr>
      <xdr:spPr>
        <a:xfrm>
          <a:off x="1890395" y="26976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129" name="Isosceles Triangle 128">
          <a:extLst>
            <a:ext uri="{FF2B5EF4-FFF2-40B4-BE49-F238E27FC236}">
              <a16:creationId xmlns:a16="http://schemas.microsoft.com/office/drawing/2014/main" id="{00000000-0008-0000-0900-000081000000}"/>
            </a:ext>
          </a:extLst>
        </xdr:cNvPr>
        <xdr:cNvSpPr/>
      </xdr:nvSpPr>
      <xdr:spPr>
        <a:xfrm>
          <a:off x="63309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130" name="Isosceles Triangle 129">
          <a:extLst>
            <a:ext uri="{FF2B5EF4-FFF2-40B4-BE49-F238E27FC236}">
              <a16:creationId xmlns:a16="http://schemas.microsoft.com/office/drawing/2014/main" id="{00000000-0008-0000-0900-000082000000}"/>
            </a:ext>
          </a:extLst>
        </xdr:cNvPr>
        <xdr:cNvSpPr/>
      </xdr:nvSpPr>
      <xdr:spPr>
        <a:xfrm>
          <a:off x="33572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136" name="Isosceles Triangle 135">
          <a:extLst>
            <a:ext uri="{FF2B5EF4-FFF2-40B4-BE49-F238E27FC236}">
              <a16:creationId xmlns:a16="http://schemas.microsoft.com/office/drawing/2014/main" id="{00000000-0008-0000-0900-000088000000}"/>
            </a:ext>
          </a:extLst>
        </xdr:cNvPr>
        <xdr:cNvSpPr/>
      </xdr:nvSpPr>
      <xdr:spPr>
        <a:xfrm>
          <a:off x="46145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142" name="Isosceles Triangle 141">
          <a:extLst>
            <a:ext uri="{FF2B5EF4-FFF2-40B4-BE49-F238E27FC236}">
              <a16:creationId xmlns:a16="http://schemas.microsoft.com/office/drawing/2014/main" id="{00000000-0008-0000-0900-00008E000000}"/>
            </a:ext>
          </a:extLst>
        </xdr:cNvPr>
        <xdr:cNvSpPr/>
      </xdr:nvSpPr>
      <xdr:spPr>
        <a:xfrm>
          <a:off x="58718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143" name="Isosceles Triangle 142">
          <a:extLst>
            <a:ext uri="{FF2B5EF4-FFF2-40B4-BE49-F238E27FC236}">
              <a16:creationId xmlns:a16="http://schemas.microsoft.com/office/drawing/2014/main" id="{00000000-0008-0000-0900-00008F000000}"/>
            </a:ext>
          </a:extLst>
        </xdr:cNvPr>
        <xdr:cNvSpPr/>
      </xdr:nvSpPr>
      <xdr:spPr>
        <a:xfrm>
          <a:off x="71291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150" name="Isosceles Triangle 149">
          <a:extLst>
            <a:ext uri="{FF2B5EF4-FFF2-40B4-BE49-F238E27FC236}">
              <a16:creationId xmlns:a16="http://schemas.microsoft.com/office/drawing/2014/main" id="{00000000-0008-0000-0900-000096000000}"/>
            </a:ext>
          </a:extLst>
        </xdr:cNvPr>
        <xdr:cNvSpPr/>
      </xdr:nvSpPr>
      <xdr:spPr>
        <a:xfrm>
          <a:off x="83864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154" name="Isosceles Triangle 153">
          <a:extLst>
            <a:ext uri="{FF2B5EF4-FFF2-40B4-BE49-F238E27FC236}">
              <a16:creationId xmlns:a16="http://schemas.microsoft.com/office/drawing/2014/main" id="{00000000-0008-0000-0900-00009A000000}"/>
            </a:ext>
          </a:extLst>
        </xdr:cNvPr>
        <xdr:cNvSpPr/>
      </xdr:nvSpPr>
      <xdr:spPr>
        <a:xfrm>
          <a:off x="96437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160" name="Isosceles Triangle 159">
          <a:extLst>
            <a:ext uri="{FF2B5EF4-FFF2-40B4-BE49-F238E27FC236}">
              <a16:creationId xmlns:a16="http://schemas.microsoft.com/office/drawing/2014/main" id="{00000000-0008-0000-0900-0000A0000000}"/>
            </a:ext>
          </a:extLst>
        </xdr:cNvPr>
        <xdr:cNvSpPr/>
      </xdr:nvSpPr>
      <xdr:spPr>
        <a:xfrm>
          <a:off x="109010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168" name="Isosceles Triangle 167">
          <a:extLst>
            <a:ext uri="{FF2B5EF4-FFF2-40B4-BE49-F238E27FC236}">
              <a16:creationId xmlns:a16="http://schemas.microsoft.com/office/drawing/2014/main" id="{00000000-0008-0000-0900-0000A8000000}"/>
            </a:ext>
          </a:extLst>
        </xdr:cNvPr>
        <xdr:cNvSpPr/>
      </xdr:nvSpPr>
      <xdr:spPr>
        <a:xfrm>
          <a:off x="121583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169" name="Isosceles Triangle 168">
          <a:extLst>
            <a:ext uri="{FF2B5EF4-FFF2-40B4-BE49-F238E27FC236}">
              <a16:creationId xmlns:a16="http://schemas.microsoft.com/office/drawing/2014/main" id="{00000000-0008-0000-0900-0000A9000000}"/>
            </a:ext>
          </a:extLst>
        </xdr:cNvPr>
        <xdr:cNvSpPr/>
      </xdr:nvSpPr>
      <xdr:spPr>
        <a:xfrm>
          <a:off x="134156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87" name="Isosceles Triangle 86">
          <a:extLst>
            <a:ext uri="{FF2B5EF4-FFF2-40B4-BE49-F238E27FC236}">
              <a16:creationId xmlns:a16="http://schemas.microsoft.com/office/drawing/2014/main" id="{00000000-0008-0000-0900-000057000000}"/>
            </a:ext>
          </a:extLst>
        </xdr:cNvPr>
        <xdr:cNvSpPr/>
      </xdr:nvSpPr>
      <xdr:spPr>
        <a:xfrm>
          <a:off x="1890395" y="286912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176" name="Isosceles Triangle 175">
          <a:extLst>
            <a:ext uri="{FF2B5EF4-FFF2-40B4-BE49-F238E27FC236}">
              <a16:creationId xmlns:a16="http://schemas.microsoft.com/office/drawing/2014/main" id="{00000000-0008-0000-0900-0000B0000000}"/>
            </a:ext>
          </a:extLst>
        </xdr:cNvPr>
        <xdr:cNvSpPr/>
      </xdr:nvSpPr>
      <xdr:spPr>
        <a:xfrm>
          <a:off x="63309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180" name="Isosceles Triangle 179">
          <a:extLst>
            <a:ext uri="{FF2B5EF4-FFF2-40B4-BE49-F238E27FC236}">
              <a16:creationId xmlns:a16="http://schemas.microsoft.com/office/drawing/2014/main" id="{00000000-0008-0000-0900-0000B4000000}"/>
            </a:ext>
          </a:extLst>
        </xdr:cNvPr>
        <xdr:cNvSpPr/>
      </xdr:nvSpPr>
      <xdr:spPr>
        <a:xfrm>
          <a:off x="33572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186" name="Isosceles Triangle 185">
          <a:extLst>
            <a:ext uri="{FF2B5EF4-FFF2-40B4-BE49-F238E27FC236}">
              <a16:creationId xmlns:a16="http://schemas.microsoft.com/office/drawing/2014/main" id="{00000000-0008-0000-0900-0000BA000000}"/>
            </a:ext>
          </a:extLst>
        </xdr:cNvPr>
        <xdr:cNvSpPr/>
      </xdr:nvSpPr>
      <xdr:spPr>
        <a:xfrm>
          <a:off x="46145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239" name="Isosceles Triangle 238">
          <a:extLst>
            <a:ext uri="{FF2B5EF4-FFF2-40B4-BE49-F238E27FC236}">
              <a16:creationId xmlns:a16="http://schemas.microsoft.com/office/drawing/2014/main" id="{00000000-0008-0000-0900-0000EF000000}"/>
            </a:ext>
          </a:extLst>
        </xdr:cNvPr>
        <xdr:cNvSpPr/>
      </xdr:nvSpPr>
      <xdr:spPr>
        <a:xfrm>
          <a:off x="58718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272" name="Isosceles Triangle 271">
          <a:extLst>
            <a:ext uri="{FF2B5EF4-FFF2-40B4-BE49-F238E27FC236}">
              <a16:creationId xmlns:a16="http://schemas.microsoft.com/office/drawing/2014/main" id="{00000000-0008-0000-0900-000010010000}"/>
            </a:ext>
          </a:extLst>
        </xdr:cNvPr>
        <xdr:cNvSpPr/>
      </xdr:nvSpPr>
      <xdr:spPr>
        <a:xfrm>
          <a:off x="71291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274" name="Isosceles Triangle 273">
          <a:extLst>
            <a:ext uri="{FF2B5EF4-FFF2-40B4-BE49-F238E27FC236}">
              <a16:creationId xmlns:a16="http://schemas.microsoft.com/office/drawing/2014/main" id="{00000000-0008-0000-0900-000012010000}"/>
            </a:ext>
          </a:extLst>
        </xdr:cNvPr>
        <xdr:cNvSpPr/>
      </xdr:nvSpPr>
      <xdr:spPr>
        <a:xfrm>
          <a:off x="83864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275" name="Isosceles Triangle 274">
          <a:extLst>
            <a:ext uri="{FF2B5EF4-FFF2-40B4-BE49-F238E27FC236}">
              <a16:creationId xmlns:a16="http://schemas.microsoft.com/office/drawing/2014/main" id="{00000000-0008-0000-0900-000013010000}"/>
            </a:ext>
          </a:extLst>
        </xdr:cNvPr>
        <xdr:cNvSpPr/>
      </xdr:nvSpPr>
      <xdr:spPr>
        <a:xfrm>
          <a:off x="96437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276" name="Isosceles Triangle 275">
          <a:extLst>
            <a:ext uri="{FF2B5EF4-FFF2-40B4-BE49-F238E27FC236}">
              <a16:creationId xmlns:a16="http://schemas.microsoft.com/office/drawing/2014/main" id="{00000000-0008-0000-0900-000014010000}"/>
            </a:ext>
          </a:extLst>
        </xdr:cNvPr>
        <xdr:cNvSpPr/>
      </xdr:nvSpPr>
      <xdr:spPr>
        <a:xfrm>
          <a:off x="109010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301" name="Isosceles Triangle 300">
          <a:extLst>
            <a:ext uri="{FF2B5EF4-FFF2-40B4-BE49-F238E27FC236}">
              <a16:creationId xmlns:a16="http://schemas.microsoft.com/office/drawing/2014/main" id="{00000000-0008-0000-0900-00002D010000}"/>
            </a:ext>
          </a:extLst>
        </xdr:cNvPr>
        <xdr:cNvSpPr/>
      </xdr:nvSpPr>
      <xdr:spPr>
        <a:xfrm>
          <a:off x="121583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302" name="Isosceles Triangle 301">
          <a:extLst>
            <a:ext uri="{FF2B5EF4-FFF2-40B4-BE49-F238E27FC236}">
              <a16:creationId xmlns:a16="http://schemas.microsoft.com/office/drawing/2014/main" id="{00000000-0008-0000-0900-00002E010000}"/>
            </a:ext>
          </a:extLst>
        </xdr:cNvPr>
        <xdr:cNvSpPr/>
      </xdr:nvSpPr>
      <xdr:spPr>
        <a:xfrm>
          <a:off x="134156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303" name="Isosceles Triangle 302">
          <a:extLst>
            <a:ext uri="{FF2B5EF4-FFF2-40B4-BE49-F238E27FC236}">
              <a16:creationId xmlns:a16="http://schemas.microsoft.com/office/drawing/2014/main" id="{00000000-0008-0000-0900-00002F010000}"/>
            </a:ext>
          </a:extLst>
        </xdr:cNvPr>
        <xdr:cNvSpPr/>
      </xdr:nvSpPr>
      <xdr:spPr>
        <a:xfrm>
          <a:off x="1890395" y="302215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304" name="Isosceles Triangle 303">
          <a:extLst>
            <a:ext uri="{FF2B5EF4-FFF2-40B4-BE49-F238E27FC236}">
              <a16:creationId xmlns:a16="http://schemas.microsoft.com/office/drawing/2014/main" id="{00000000-0008-0000-0900-000030010000}"/>
            </a:ext>
          </a:extLst>
        </xdr:cNvPr>
        <xdr:cNvSpPr/>
      </xdr:nvSpPr>
      <xdr:spPr>
        <a:xfrm>
          <a:off x="63309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305" name="Isosceles Triangle 304">
          <a:extLst>
            <a:ext uri="{FF2B5EF4-FFF2-40B4-BE49-F238E27FC236}">
              <a16:creationId xmlns:a16="http://schemas.microsoft.com/office/drawing/2014/main" id="{00000000-0008-0000-0900-000031010000}"/>
            </a:ext>
          </a:extLst>
        </xdr:cNvPr>
        <xdr:cNvSpPr/>
      </xdr:nvSpPr>
      <xdr:spPr>
        <a:xfrm>
          <a:off x="33572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306" name="Isosceles Triangle 305">
          <a:extLst>
            <a:ext uri="{FF2B5EF4-FFF2-40B4-BE49-F238E27FC236}">
              <a16:creationId xmlns:a16="http://schemas.microsoft.com/office/drawing/2014/main" id="{00000000-0008-0000-0900-000032010000}"/>
            </a:ext>
          </a:extLst>
        </xdr:cNvPr>
        <xdr:cNvSpPr/>
      </xdr:nvSpPr>
      <xdr:spPr>
        <a:xfrm>
          <a:off x="46145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307" name="Isosceles Triangle 306">
          <a:extLst>
            <a:ext uri="{FF2B5EF4-FFF2-40B4-BE49-F238E27FC236}">
              <a16:creationId xmlns:a16="http://schemas.microsoft.com/office/drawing/2014/main" id="{00000000-0008-0000-0900-000033010000}"/>
            </a:ext>
          </a:extLst>
        </xdr:cNvPr>
        <xdr:cNvSpPr/>
      </xdr:nvSpPr>
      <xdr:spPr>
        <a:xfrm>
          <a:off x="58718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308" name="Isosceles Triangle 307">
          <a:extLst>
            <a:ext uri="{FF2B5EF4-FFF2-40B4-BE49-F238E27FC236}">
              <a16:creationId xmlns:a16="http://schemas.microsoft.com/office/drawing/2014/main" id="{00000000-0008-0000-0900-000034010000}"/>
            </a:ext>
          </a:extLst>
        </xdr:cNvPr>
        <xdr:cNvSpPr/>
      </xdr:nvSpPr>
      <xdr:spPr>
        <a:xfrm>
          <a:off x="71291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309" name="Isosceles Triangle 308">
          <a:extLst>
            <a:ext uri="{FF2B5EF4-FFF2-40B4-BE49-F238E27FC236}">
              <a16:creationId xmlns:a16="http://schemas.microsoft.com/office/drawing/2014/main" id="{00000000-0008-0000-0900-000035010000}"/>
            </a:ext>
          </a:extLst>
        </xdr:cNvPr>
        <xdr:cNvSpPr/>
      </xdr:nvSpPr>
      <xdr:spPr>
        <a:xfrm>
          <a:off x="83864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310" name="Isosceles Triangle 309">
          <a:extLst>
            <a:ext uri="{FF2B5EF4-FFF2-40B4-BE49-F238E27FC236}">
              <a16:creationId xmlns:a16="http://schemas.microsoft.com/office/drawing/2014/main" id="{00000000-0008-0000-0900-000036010000}"/>
            </a:ext>
          </a:extLst>
        </xdr:cNvPr>
        <xdr:cNvSpPr/>
      </xdr:nvSpPr>
      <xdr:spPr>
        <a:xfrm>
          <a:off x="96437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311" name="Isosceles Triangle 310">
          <a:extLst>
            <a:ext uri="{FF2B5EF4-FFF2-40B4-BE49-F238E27FC236}">
              <a16:creationId xmlns:a16="http://schemas.microsoft.com/office/drawing/2014/main" id="{00000000-0008-0000-0900-000037010000}"/>
            </a:ext>
          </a:extLst>
        </xdr:cNvPr>
        <xdr:cNvSpPr/>
      </xdr:nvSpPr>
      <xdr:spPr>
        <a:xfrm>
          <a:off x="109010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312" name="Isosceles Triangle 311">
          <a:extLst>
            <a:ext uri="{FF2B5EF4-FFF2-40B4-BE49-F238E27FC236}">
              <a16:creationId xmlns:a16="http://schemas.microsoft.com/office/drawing/2014/main" id="{00000000-0008-0000-0900-000038010000}"/>
            </a:ext>
          </a:extLst>
        </xdr:cNvPr>
        <xdr:cNvSpPr/>
      </xdr:nvSpPr>
      <xdr:spPr>
        <a:xfrm>
          <a:off x="121583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158</xdr:row>
      <xdr:rowOff>78147</xdr:rowOff>
    </xdr:from>
    <xdr:to>
      <xdr:col>22</xdr:col>
      <xdr:colOff>0</xdr:colOff>
      <xdr:row>159</xdr:row>
      <xdr:rowOff>192447</xdr:rowOff>
    </xdr:to>
    <xdr:sp macro="" textlink="">
      <xdr:nvSpPr>
        <xdr:cNvPr id="313" name="Isosceles Triangle 312">
          <a:extLst>
            <a:ext uri="{FF2B5EF4-FFF2-40B4-BE49-F238E27FC236}">
              <a16:creationId xmlns:a16="http://schemas.microsoft.com/office/drawing/2014/main" id="{00000000-0008-0000-0900-000039010000}"/>
            </a:ext>
          </a:extLst>
        </xdr:cNvPr>
        <xdr:cNvSpPr/>
      </xdr:nvSpPr>
      <xdr:spPr>
        <a:xfrm>
          <a:off x="134156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314" name="Isosceles Triangle 313">
          <a:extLst>
            <a:ext uri="{FF2B5EF4-FFF2-40B4-BE49-F238E27FC236}">
              <a16:creationId xmlns:a16="http://schemas.microsoft.com/office/drawing/2014/main" id="{00000000-0008-0000-0900-00003A010000}"/>
            </a:ext>
          </a:extLst>
        </xdr:cNvPr>
        <xdr:cNvSpPr/>
      </xdr:nvSpPr>
      <xdr:spPr>
        <a:xfrm>
          <a:off x="1890395" y="317519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315" name="Isosceles Triangle 314">
          <a:extLst>
            <a:ext uri="{FF2B5EF4-FFF2-40B4-BE49-F238E27FC236}">
              <a16:creationId xmlns:a16="http://schemas.microsoft.com/office/drawing/2014/main" id="{00000000-0008-0000-0900-00003B010000}"/>
            </a:ext>
          </a:extLst>
        </xdr:cNvPr>
        <xdr:cNvSpPr/>
      </xdr:nvSpPr>
      <xdr:spPr>
        <a:xfrm>
          <a:off x="63309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316" name="Isosceles Triangle 315">
          <a:extLst>
            <a:ext uri="{FF2B5EF4-FFF2-40B4-BE49-F238E27FC236}">
              <a16:creationId xmlns:a16="http://schemas.microsoft.com/office/drawing/2014/main" id="{00000000-0008-0000-0900-00003C010000}"/>
            </a:ext>
          </a:extLst>
        </xdr:cNvPr>
        <xdr:cNvSpPr/>
      </xdr:nvSpPr>
      <xdr:spPr>
        <a:xfrm>
          <a:off x="33572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167</xdr:row>
      <xdr:rowOff>192447</xdr:rowOff>
    </xdr:to>
    <xdr:sp macro="" textlink="">
      <xdr:nvSpPr>
        <xdr:cNvPr id="317" name="Isosceles Triangle 316">
          <a:extLst>
            <a:ext uri="{FF2B5EF4-FFF2-40B4-BE49-F238E27FC236}">
              <a16:creationId xmlns:a16="http://schemas.microsoft.com/office/drawing/2014/main" id="{00000000-0008-0000-0900-00003D010000}"/>
            </a:ext>
          </a:extLst>
        </xdr:cNvPr>
        <xdr:cNvSpPr/>
      </xdr:nvSpPr>
      <xdr:spPr>
        <a:xfrm>
          <a:off x="46145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318" name="Isosceles Triangle 317">
          <a:extLst>
            <a:ext uri="{FF2B5EF4-FFF2-40B4-BE49-F238E27FC236}">
              <a16:creationId xmlns:a16="http://schemas.microsoft.com/office/drawing/2014/main" id="{00000000-0008-0000-0900-00003E010000}"/>
            </a:ext>
          </a:extLst>
        </xdr:cNvPr>
        <xdr:cNvSpPr/>
      </xdr:nvSpPr>
      <xdr:spPr>
        <a:xfrm>
          <a:off x="58718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319" name="Isosceles Triangle 318">
          <a:extLst>
            <a:ext uri="{FF2B5EF4-FFF2-40B4-BE49-F238E27FC236}">
              <a16:creationId xmlns:a16="http://schemas.microsoft.com/office/drawing/2014/main" id="{00000000-0008-0000-0900-00003F010000}"/>
            </a:ext>
          </a:extLst>
        </xdr:cNvPr>
        <xdr:cNvSpPr/>
      </xdr:nvSpPr>
      <xdr:spPr>
        <a:xfrm>
          <a:off x="71291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320" name="Isosceles Triangle 319">
          <a:extLst>
            <a:ext uri="{FF2B5EF4-FFF2-40B4-BE49-F238E27FC236}">
              <a16:creationId xmlns:a16="http://schemas.microsoft.com/office/drawing/2014/main" id="{00000000-0008-0000-0900-000040010000}"/>
            </a:ext>
          </a:extLst>
        </xdr:cNvPr>
        <xdr:cNvSpPr/>
      </xdr:nvSpPr>
      <xdr:spPr>
        <a:xfrm>
          <a:off x="83864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321" name="Isosceles Triangle 320">
          <a:extLst>
            <a:ext uri="{FF2B5EF4-FFF2-40B4-BE49-F238E27FC236}">
              <a16:creationId xmlns:a16="http://schemas.microsoft.com/office/drawing/2014/main" id="{00000000-0008-0000-0900-000041010000}"/>
            </a:ext>
          </a:extLst>
        </xdr:cNvPr>
        <xdr:cNvSpPr/>
      </xdr:nvSpPr>
      <xdr:spPr>
        <a:xfrm>
          <a:off x="96437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322" name="Isosceles Triangle 321">
          <a:extLst>
            <a:ext uri="{FF2B5EF4-FFF2-40B4-BE49-F238E27FC236}">
              <a16:creationId xmlns:a16="http://schemas.microsoft.com/office/drawing/2014/main" id="{00000000-0008-0000-0900-000042010000}"/>
            </a:ext>
          </a:extLst>
        </xdr:cNvPr>
        <xdr:cNvSpPr/>
      </xdr:nvSpPr>
      <xdr:spPr>
        <a:xfrm>
          <a:off x="109010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323" name="Isosceles Triangle 322">
          <a:extLst>
            <a:ext uri="{FF2B5EF4-FFF2-40B4-BE49-F238E27FC236}">
              <a16:creationId xmlns:a16="http://schemas.microsoft.com/office/drawing/2014/main" id="{00000000-0008-0000-0900-000043010000}"/>
            </a:ext>
          </a:extLst>
        </xdr:cNvPr>
        <xdr:cNvSpPr/>
      </xdr:nvSpPr>
      <xdr:spPr>
        <a:xfrm>
          <a:off x="121583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166</xdr:row>
      <xdr:rowOff>60004</xdr:rowOff>
    </xdr:from>
    <xdr:to>
      <xdr:col>21</xdr:col>
      <xdr:colOff>580571</xdr:colOff>
      <xdr:row>167</xdr:row>
      <xdr:rowOff>174304</xdr:rowOff>
    </xdr:to>
    <xdr:sp macro="" textlink="">
      <xdr:nvSpPr>
        <xdr:cNvPr id="324" name="Isosceles Triangle 323">
          <a:extLst>
            <a:ext uri="{FF2B5EF4-FFF2-40B4-BE49-F238E27FC236}">
              <a16:creationId xmlns:a16="http://schemas.microsoft.com/office/drawing/2014/main" id="{00000000-0008-0000-0900-000044010000}"/>
            </a:ext>
          </a:extLst>
        </xdr:cNvPr>
        <xdr:cNvSpPr/>
      </xdr:nvSpPr>
      <xdr:spPr>
        <a:xfrm>
          <a:off x="13367385" y="3173349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174</xdr:row>
      <xdr:rowOff>78147</xdr:rowOff>
    </xdr:from>
    <xdr:to>
      <xdr:col>2</xdr:col>
      <xdr:colOff>0</xdr:colOff>
      <xdr:row>175</xdr:row>
      <xdr:rowOff>192447</xdr:rowOff>
    </xdr:to>
    <xdr:sp macro="" textlink="">
      <xdr:nvSpPr>
        <xdr:cNvPr id="326" name="Isosceles Triangle 325">
          <a:extLst>
            <a:ext uri="{FF2B5EF4-FFF2-40B4-BE49-F238E27FC236}">
              <a16:creationId xmlns:a16="http://schemas.microsoft.com/office/drawing/2014/main" id="{00000000-0008-0000-0900-000046010000}"/>
            </a:ext>
          </a:extLst>
        </xdr:cNvPr>
        <xdr:cNvSpPr/>
      </xdr:nvSpPr>
      <xdr:spPr>
        <a:xfrm>
          <a:off x="633095" y="33282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10</xdr:col>
      <xdr:colOff>4572</xdr:colOff>
      <xdr:row>9</xdr:row>
      <xdr:rowOff>78147</xdr:rowOff>
    </xdr:from>
    <xdr:to>
      <xdr:col>11</xdr:col>
      <xdr:colOff>0</xdr:colOff>
      <xdr:row>10</xdr:row>
      <xdr:rowOff>192447</xdr:rowOff>
    </xdr:to>
    <xdr:sp macro="" textlink="">
      <xdr:nvSpPr>
        <xdr:cNvPr id="2" name="Isosceles Triangle 1">
          <a:extLst>
            <a:ext uri="{FF2B5EF4-FFF2-40B4-BE49-F238E27FC236}">
              <a16:creationId xmlns:a16="http://schemas.microsoft.com/office/drawing/2014/main" id="{00000000-0008-0000-0A00-000002000000}"/>
            </a:ext>
          </a:extLst>
        </xdr:cNvPr>
        <xdr:cNvSpPr/>
      </xdr:nvSpPr>
      <xdr:spPr>
        <a:xfrm>
          <a:off x="5535295" y="1837055"/>
          <a:ext cx="497205" cy="255270"/>
        </a:xfrm>
        <a:prstGeom prst="triangle">
          <a:avLst/>
        </a:prstGeom>
        <a:solidFill>
          <a:sysClr val="window" lastClr="FFFFFF"/>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9</xdr:row>
      <xdr:rowOff>78147</xdr:rowOff>
    </xdr:from>
    <xdr:to>
      <xdr:col>13</xdr:col>
      <xdr:colOff>0</xdr:colOff>
      <xdr:row>10</xdr:row>
      <xdr:rowOff>192447</xdr:rowOff>
    </xdr:to>
    <xdr:sp macro="" textlink="">
      <xdr:nvSpPr>
        <xdr:cNvPr id="3" name="Isosceles Triangle 2">
          <a:extLst>
            <a:ext uri="{FF2B5EF4-FFF2-40B4-BE49-F238E27FC236}">
              <a16:creationId xmlns:a16="http://schemas.microsoft.com/office/drawing/2014/main" id="{00000000-0008-0000-0A00-000003000000}"/>
            </a:ext>
          </a:extLst>
        </xdr:cNvPr>
        <xdr:cNvSpPr/>
      </xdr:nvSpPr>
      <xdr:spPr>
        <a:xfrm>
          <a:off x="65385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24011</xdr:colOff>
      <xdr:row>9</xdr:row>
      <xdr:rowOff>91106</xdr:rowOff>
    </xdr:from>
    <xdr:to>
      <xdr:col>15</xdr:col>
      <xdr:colOff>19439</xdr:colOff>
      <xdr:row>11</xdr:row>
      <xdr:rowOff>18016</xdr:rowOff>
    </xdr:to>
    <xdr:sp macro="" textlink="">
      <xdr:nvSpPr>
        <xdr:cNvPr id="4" name="Isosceles Triangle 3">
          <a:extLst>
            <a:ext uri="{FF2B5EF4-FFF2-40B4-BE49-F238E27FC236}">
              <a16:creationId xmlns:a16="http://schemas.microsoft.com/office/drawing/2014/main" id="{00000000-0008-0000-0A00-000004000000}"/>
            </a:ext>
          </a:extLst>
        </xdr:cNvPr>
        <xdr:cNvSpPr/>
      </xdr:nvSpPr>
      <xdr:spPr>
        <a:xfrm>
          <a:off x="7560945" y="1849755"/>
          <a:ext cx="497205" cy="2603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484062</xdr:colOff>
      <xdr:row>9</xdr:row>
      <xdr:rowOff>78147</xdr:rowOff>
    </xdr:from>
    <xdr:to>
      <xdr:col>16</xdr:col>
      <xdr:colOff>479491</xdr:colOff>
      <xdr:row>11</xdr:row>
      <xdr:rowOff>5057</xdr:rowOff>
    </xdr:to>
    <xdr:sp macro="" textlink="">
      <xdr:nvSpPr>
        <xdr:cNvPr id="5" name="Isosceles Triangle 4">
          <a:extLst>
            <a:ext uri="{FF2B5EF4-FFF2-40B4-BE49-F238E27FC236}">
              <a16:creationId xmlns:a16="http://schemas.microsoft.com/office/drawing/2014/main" id="{00000000-0008-0000-0A00-000005000000}"/>
            </a:ext>
          </a:extLst>
        </xdr:cNvPr>
        <xdr:cNvSpPr/>
      </xdr:nvSpPr>
      <xdr:spPr>
        <a:xfrm>
          <a:off x="8522970" y="1837055"/>
          <a:ext cx="497205" cy="25971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xdr:row>
      <xdr:rowOff>78147</xdr:rowOff>
    </xdr:from>
    <xdr:to>
      <xdr:col>19</xdr:col>
      <xdr:colOff>0</xdr:colOff>
      <xdr:row>10</xdr:row>
      <xdr:rowOff>192447</xdr:rowOff>
    </xdr:to>
    <xdr:sp macro="" textlink="">
      <xdr:nvSpPr>
        <xdr:cNvPr id="6" name="Isosceles Triangle 5">
          <a:extLst>
            <a:ext uri="{FF2B5EF4-FFF2-40B4-BE49-F238E27FC236}">
              <a16:creationId xmlns:a16="http://schemas.microsoft.com/office/drawing/2014/main" id="{00000000-0008-0000-0A00-000006000000}"/>
            </a:ext>
          </a:extLst>
        </xdr:cNvPr>
        <xdr:cNvSpPr/>
      </xdr:nvSpPr>
      <xdr:spPr>
        <a:xfrm>
          <a:off x="95484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xdr:row>
      <xdr:rowOff>78147</xdr:rowOff>
    </xdr:from>
    <xdr:to>
      <xdr:col>21</xdr:col>
      <xdr:colOff>0</xdr:colOff>
      <xdr:row>10</xdr:row>
      <xdr:rowOff>192447</xdr:rowOff>
    </xdr:to>
    <xdr:sp macro="" textlink="">
      <xdr:nvSpPr>
        <xdr:cNvPr id="7" name="Isosceles Triangle 6">
          <a:extLst>
            <a:ext uri="{FF2B5EF4-FFF2-40B4-BE49-F238E27FC236}">
              <a16:creationId xmlns:a16="http://schemas.microsoft.com/office/drawing/2014/main" id="{00000000-0008-0000-0A00-000007000000}"/>
            </a:ext>
          </a:extLst>
        </xdr:cNvPr>
        <xdr:cNvSpPr/>
      </xdr:nvSpPr>
      <xdr:spPr>
        <a:xfrm>
          <a:off x="105517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xdr:row>
      <xdr:rowOff>78147</xdr:rowOff>
    </xdr:from>
    <xdr:to>
      <xdr:col>3</xdr:col>
      <xdr:colOff>0</xdr:colOff>
      <xdr:row>18</xdr:row>
      <xdr:rowOff>192447</xdr:rowOff>
    </xdr:to>
    <xdr:sp macro="" textlink="">
      <xdr:nvSpPr>
        <xdr:cNvPr id="8" name="Isosceles Triangle 7">
          <a:extLst>
            <a:ext uri="{FF2B5EF4-FFF2-40B4-BE49-F238E27FC236}">
              <a16:creationId xmlns:a16="http://schemas.microsoft.com/office/drawing/2014/main" id="{00000000-0008-0000-0A00-000008000000}"/>
            </a:ext>
          </a:extLst>
        </xdr:cNvPr>
        <xdr:cNvSpPr/>
      </xdr:nvSpPr>
      <xdr:spPr>
        <a:xfrm>
          <a:off x="128714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xdr:row>
      <xdr:rowOff>78147</xdr:rowOff>
    </xdr:from>
    <xdr:to>
      <xdr:col>5</xdr:col>
      <xdr:colOff>0</xdr:colOff>
      <xdr:row>18</xdr:row>
      <xdr:rowOff>192447</xdr:rowOff>
    </xdr:to>
    <xdr:sp macro="" textlink="">
      <xdr:nvSpPr>
        <xdr:cNvPr id="9" name="Isosceles Triangle 8">
          <a:extLst>
            <a:ext uri="{FF2B5EF4-FFF2-40B4-BE49-F238E27FC236}">
              <a16:creationId xmlns:a16="http://schemas.microsoft.com/office/drawing/2014/main" id="{00000000-0008-0000-0A00-000009000000}"/>
            </a:ext>
          </a:extLst>
        </xdr:cNvPr>
        <xdr:cNvSpPr/>
      </xdr:nvSpPr>
      <xdr:spPr>
        <a:xfrm>
          <a:off x="25253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490541</xdr:colOff>
      <xdr:row>17</xdr:row>
      <xdr:rowOff>52229</xdr:rowOff>
    </xdr:from>
    <xdr:to>
      <xdr:col>6</xdr:col>
      <xdr:colOff>485970</xdr:colOff>
      <xdr:row>18</xdr:row>
      <xdr:rowOff>141129</xdr:rowOff>
    </xdr:to>
    <xdr:sp macro="" textlink="">
      <xdr:nvSpPr>
        <xdr:cNvPr id="10" name="Isosceles Triangle 9">
          <a:extLst>
            <a:ext uri="{FF2B5EF4-FFF2-40B4-BE49-F238E27FC236}">
              <a16:creationId xmlns:a16="http://schemas.microsoft.com/office/drawing/2014/main" id="{00000000-0008-0000-0A00-00000A000000}"/>
            </a:ext>
          </a:extLst>
        </xdr:cNvPr>
        <xdr:cNvSpPr/>
      </xdr:nvSpPr>
      <xdr:spPr>
        <a:xfrm>
          <a:off x="3512820" y="31572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17</xdr:row>
      <xdr:rowOff>78147</xdr:rowOff>
    </xdr:from>
    <xdr:to>
      <xdr:col>9</xdr:col>
      <xdr:colOff>0</xdr:colOff>
      <xdr:row>19</xdr:row>
      <xdr:rowOff>5057</xdr:rowOff>
    </xdr:to>
    <xdr:sp macro="" textlink="">
      <xdr:nvSpPr>
        <xdr:cNvPr id="11" name="Isosceles Triangle 10">
          <a:extLst>
            <a:ext uri="{FF2B5EF4-FFF2-40B4-BE49-F238E27FC236}">
              <a16:creationId xmlns:a16="http://schemas.microsoft.com/office/drawing/2014/main" id="{00000000-0008-0000-0A00-00000B000000}"/>
            </a:ext>
          </a:extLst>
        </xdr:cNvPr>
        <xdr:cNvSpPr/>
      </xdr:nvSpPr>
      <xdr:spPr>
        <a:xfrm>
          <a:off x="4531995" y="3183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599884</xdr:colOff>
      <xdr:row>17</xdr:row>
      <xdr:rowOff>54335</xdr:rowOff>
    </xdr:from>
    <xdr:to>
      <xdr:col>10</xdr:col>
      <xdr:colOff>595311</xdr:colOff>
      <xdr:row>18</xdr:row>
      <xdr:rowOff>149584</xdr:rowOff>
    </xdr:to>
    <xdr:sp macro="" textlink="">
      <xdr:nvSpPr>
        <xdr:cNvPr id="12" name="Isosceles Triangle 11">
          <a:extLst>
            <a:ext uri="{FF2B5EF4-FFF2-40B4-BE49-F238E27FC236}">
              <a16:creationId xmlns:a16="http://schemas.microsoft.com/office/drawing/2014/main" id="{00000000-0008-0000-0A00-00000C000000}"/>
            </a:ext>
          </a:extLst>
        </xdr:cNvPr>
        <xdr:cNvSpPr/>
      </xdr:nvSpPr>
      <xdr:spPr>
        <a:xfrm>
          <a:off x="5530850" y="3159125"/>
          <a:ext cx="501650"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13" name="Isosceles Triangle 12">
          <a:extLst>
            <a:ext uri="{FF2B5EF4-FFF2-40B4-BE49-F238E27FC236}">
              <a16:creationId xmlns:a16="http://schemas.microsoft.com/office/drawing/2014/main" id="{00000000-0008-0000-0A00-00000D000000}"/>
            </a:ext>
          </a:extLst>
        </xdr:cNvPr>
        <xdr:cNvSpPr/>
      </xdr:nvSpPr>
      <xdr:spPr>
        <a:xfrm>
          <a:off x="85451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xdr:row>
      <xdr:rowOff>78147</xdr:rowOff>
    </xdr:from>
    <xdr:to>
      <xdr:col>19</xdr:col>
      <xdr:colOff>0</xdr:colOff>
      <xdr:row>18</xdr:row>
      <xdr:rowOff>192447</xdr:rowOff>
    </xdr:to>
    <xdr:sp macro="" textlink="">
      <xdr:nvSpPr>
        <xdr:cNvPr id="14" name="Isosceles Triangle 13">
          <a:extLst>
            <a:ext uri="{FF2B5EF4-FFF2-40B4-BE49-F238E27FC236}">
              <a16:creationId xmlns:a16="http://schemas.microsoft.com/office/drawing/2014/main" id="{00000000-0008-0000-0A00-00000E000000}"/>
            </a:ext>
          </a:extLst>
        </xdr:cNvPr>
        <xdr:cNvSpPr/>
      </xdr:nvSpPr>
      <xdr:spPr>
        <a:xfrm>
          <a:off x="95484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xdr:row>
      <xdr:rowOff>78147</xdr:rowOff>
    </xdr:from>
    <xdr:to>
      <xdr:col>3</xdr:col>
      <xdr:colOff>0</xdr:colOff>
      <xdr:row>27</xdr:row>
      <xdr:rowOff>6709</xdr:rowOff>
    </xdr:to>
    <xdr:sp macro="" textlink="">
      <xdr:nvSpPr>
        <xdr:cNvPr id="15" name="Isosceles Triangle 14">
          <a:extLst>
            <a:ext uri="{FF2B5EF4-FFF2-40B4-BE49-F238E27FC236}">
              <a16:creationId xmlns:a16="http://schemas.microsoft.com/office/drawing/2014/main" id="{00000000-0008-0000-0A00-00000F000000}"/>
            </a:ext>
          </a:extLst>
        </xdr:cNvPr>
        <xdr:cNvSpPr/>
      </xdr:nvSpPr>
      <xdr:spPr>
        <a:xfrm>
          <a:off x="1287145" y="4523105"/>
          <a:ext cx="497205" cy="2616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xdr:row>
      <xdr:rowOff>78147</xdr:rowOff>
    </xdr:from>
    <xdr:to>
      <xdr:col>5</xdr:col>
      <xdr:colOff>0</xdr:colOff>
      <xdr:row>26</xdr:row>
      <xdr:rowOff>192447</xdr:rowOff>
    </xdr:to>
    <xdr:sp macro="" textlink="">
      <xdr:nvSpPr>
        <xdr:cNvPr id="16" name="Isosceles Triangle 15">
          <a:extLst>
            <a:ext uri="{FF2B5EF4-FFF2-40B4-BE49-F238E27FC236}">
              <a16:creationId xmlns:a16="http://schemas.microsoft.com/office/drawing/2014/main" id="{00000000-0008-0000-0A00-000010000000}"/>
            </a:ext>
          </a:extLst>
        </xdr:cNvPr>
        <xdr:cNvSpPr/>
      </xdr:nvSpPr>
      <xdr:spPr>
        <a:xfrm>
          <a:off x="25253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25</xdr:row>
      <xdr:rowOff>78147</xdr:rowOff>
    </xdr:from>
    <xdr:to>
      <xdr:col>7</xdr:col>
      <xdr:colOff>0</xdr:colOff>
      <xdr:row>26</xdr:row>
      <xdr:rowOff>192447</xdr:rowOff>
    </xdr:to>
    <xdr:sp macro="" textlink="">
      <xdr:nvSpPr>
        <xdr:cNvPr id="17" name="Isosceles Triangle 16">
          <a:extLst>
            <a:ext uri="{FF2B5EF4-FFF2-40B4-BE49-F238E27FC236}">
              <a16:creationId xmlns:a16="http://schemas.microsoft.com/office/drawing/2014/main" id="{00000000-0008-0000-0A00-000011000000}"/>
            </a:ext>
          </a:extLst>
        </xdr:cNvPr>
        <xdr:cNvSpPr/>
      </xdr:nvSpPr>
      <xdr:spPr>
        <a:xfrm>
          <a:off x="35286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11052</xdr:colOff>
      <xdr:row>25</xdr:row>
      <xdr:rowOff>58708</xdr:rowOff>
    </xdr:from>
    <xdr:to>
      <xdr:col>9</xdr:col>
      <xdr:colOff>6480</xdr:colOff>
      <xdr:row>26</xdr:row>
      <xdr:rowOff>147608</xdr:rowOff>
    </xdr:to>
    <xdr:sp macro="" textlink="">
      <xdr:nvSpPr>
        <xdr:cNvPr id="18" name="Isosceles Triangle 17">
          <a:extLst>
            <a:ext uri="{FF2B5EF4-FFF2-40B4-BE49-F238E27FC236}">
              <a16:creationId xmlns:a16="http://schemas.microsoft.com/office/drawing/2014/main" id="{00000000-0008-0000-0A00-000012000000}"/>
            </a:ext>
          </a:extLst>
        </xdr:cNvPr>
        <xdr:cNvSpPr/>
      </xdr:nvSpPr>
      <xdr:spPr>
        <a:xfrm>
          <a:off x="4538345" y="450342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25</xdr:row>
      <xdr:rowOff>78147</xdr:rowOff>
    </xdr:from>
    <xdr:to>
      <xdr:col>11</xdr:col>
      <xdr:colOff>0</xdr:colOff>
      <xdr:row>27</xdr:row>
      <xdr:rowOff>6709</xdr:rowOff>
    </xdr:to>
    <xdr:sp macro="" textlink="">
      <xdr:nvSpPr>
        <xdr:cNvPr id="19" name="Isosceles Triangle 18">
          <a:extLst>
            <a:ext uri="{FF2B5EF4-FFF2-40B4-BE49-F238E27FC236}">
              <a16:creationId xmlns:a16="http://schemas.microsoft.com/office/drawing/2014/main" id="{00000000-0008-0000-0A00-000013000000}"/>
            </a:ext>
          </a:extLst>
        </xdr:cNvPr>
        <xdr:cNvSpPr/>
      </xdr:nvSpPr>
      <xdr:spPr>
        <a:xfrm>
          <a:off x="5535295" y="4523105"/>
          <a:ext cx="497205" cy="2616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25</xdr:row>
      <xdr:rowOff>78147</xdr:rowOff>
    </xdr:from>
    <xdr:to>
      <xdr:col>17</xdr:col>
      <xdr:colOff>0</xdr:colOff>
      <xdr:row>26</xdr:row>
      <xdr:rowOff>192447</xdr:rowOff>
    </xdr:to>
    <xdr:sp macro="" textlink="">
      <xdr:nvSpPr>
        <xdr:cNvPr id="20" name="Isosceles Triangle 19">
          <a:extLst>
            <a:ext uri="{FF2B5EF4-FFF2-40B4-BE49-F238E27FC236}">
              <a16:creationId xmlns:a16="http://schemas.microsoft.com/office/drawing/2014/main" id="{00000000-0008-0000-0A00-000014000000}"/>
            </a:ext>
          </a:extLst>
        </xdr:cNvPr>
        <xdr:cNvSpPr/>
      </xdr:nvSpPr>
      <xdr:spPr>
        <a:xfrm>
          <a:off x="85451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25</xdr:row>
      <xdr:rowOff>78147</xdr:rowOff>
    </xdr:from>
    <xdr:to>
      <xdr:col>19</xdr:col>
      <xdr:colOff>0</xdr:colOff>
      <xdr:row>26</xdr:row>
      <xdr:rowOff>192447</xdr:rowOff>
    </xdr:to>
    <xdr:sp macro="" textlink="">
      <xdr:nvSpPr>
        <xdr:cNvPr id="21" name="Isosceles Triangle 20">
          <a:extLst>
            <a:ext uri="{FF2B5EF4-FFF2-40B4-BE49-F238E27FC236}">
              <a16:creationId xmlns:a16="http://schemas.microsoft.com/office/drawing/2014/main" id="{00000000-0008-0000-0A00-000015000000}"/>
            </a:ext>
          </a:extLst>
        </xdr:cNvPr>
        <xdr:cNvSpPr/>
      </xdr:nvSpPr>
      <xdr:spPr>
        <a:xfrm>
          <a:off x="95484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13643</xdr:colOff>
      <xdr:row>25</xdr:row>
      <xdr:rowOff>78147</xdr:rowOff>
    </xdr:from>
    <xdr:to>
      <xdr:col>21</xdr:col>
      <xdr:colOff>9071</xdr:colOff>
      <xdr:row>27</xdr:row>
      <xdr:rowOff>3761</xdr:rowOff>
    </xdr:to>
    <xdr:sp macro="" textlink="">
      <xdr:nvSpPr>
        <xdr:cNvPr id="22" name="Isosceles Triangle 21">
          <a:extLst>
            <a:ext uri="{FF2B5EF4-FFF2-40B4-BE49-F238E27FC236}">
              <a16:creationId xmlns:a16="http://schemas.microsoft.com/office/drawing/2014/main" id="{00000000-0008-0000-0A00-000016000000}"/>
            </a:ext>
          </a:extLst>
        </xdr:cNvPr>
        <xdr:cNvSpPr/>
      </xdr:nvSpPr>
      <xdr:spPr>
        <a:xfrm>
          <a:off x="10560685" y="4523105"/>
          <a:ext cx="497205" cy="25844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xdr:row>
      <xdr:rowOff>78147</xdr:rowOff>
    </xdr:from>
    <xdr:to>
      <xdr:col>3</xdr:col>
      <xdr:colOff>0</xdr:colOff>
      <xdr:row>35</xdr:row>
      <xdr:rowOff>5057</xdr:rowOff>
    </xdr:to>
    <xdr:sp macro="" textlink="">
      <xdr:nvSpPr>
        <xdr:cNvPr id="23" name="Isosceles Triangle 22">
          <a:extLst>
            <a:ext uri="{FF2B5EF4-FFF2-40B4-BE49-F238E27FC236}">
              <a16:creationId xmlns:a16="http://schemas.microsoft.com/office/drawing/2014/main" id="{00000000-0008-0000-0A00-000017000000}"/>
            </a:ext>
          </a:extLst>
        </xdr:cNvPr>
        <xdr:cNvSpPr/>
      </xdr:nvSpPr>
      <xdr:spPr>
        <a:xfrm>
          <a:off x="1287145" y="5869305"/>
          <a:ext cx="497205" cy="253365"/>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24" name="Isosceles Triangle 23">
          <a:extLst>
            <a:ext uri="{FF2B5EF4-FFF2-40B4-BE49-F238E27FC236}">
              <a16:creationId xmlns:a16="http://schemas.microsoft.com/office/drawing/2014/main" id="{00000000-0008-0000-0A00-000018000000}"/>
            </a:ext>
          </a:extLst>
        </xdr:cNvPr>
        <xdr:cNvSpPr/>
      </xdr:nvSpPr>
      <xdr:spPr>
        <a:xfrm>
          <a:off x="25253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33</xdr:row>
      <xdr:rowOff>78147</xdr:rowOff>
    </xdr:from>
    <xdr:to>
      <xdr:col>9</xdr:col>
      <xdr:colOff>0</xdr:colOff>
      <xdr:row>35</xdr:row>
      <xdr:rowOff>6710</xdr:rowOff>
    </xdr:to>
    <xdr:sp macro="" textlink="">
      <xdr:nvSpPr>
        <xdr:cNvPr id="25" name="Isosceles Triangle 24">
          <a:extLst>
            <a:ext uri="{FF2B5EF4-FFF2-40B4-BE49-F238E27FC236}">
              <a16:creationId xmlns:a16="http://schemas.microsoft.com/office/drawing/2014/main" id="{00000000-0008-0000-0A00-000019000000}"/>
            </a:ext>
          </a:extLst>
        </xdr:cNvPr>
        <xdr:cNvSpPr/>
      </xdr:nvSpPr>
      <xdr:spPr>
        <a:xfrm>
          <a:off x="4531995" y="58693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33</xdr:row>
      <xdr:rowOff>78147</xdr:rowOff>
    </xdr:from>
    <xdr:to>
      <xdr:col>11</xdr:col>
      <xdr:colOff>0</xdr:colOff>
      <xdr:row>34</xdr:row>
      <xdr:rowOff>192447</xdr:rowOff>
    </xdr:to>
    <xdr:sp macro="" textlink="">
      <xdr:nvSpPr>
        <xdr:cNvPr id="26" name="Isosceles Triangle 25">
          <a:extLst>
            <a:ext uri="{FF2B5EF4-FFF2-40B4-BE49-F238E27FC236}">
              <a16:creationId xmlns:a16="http://schemas.microsoft.com/office/drawing/2014/main" id="{00000000-0008-0000-0A00-00001A000000}"/>
            </a:ext>
          </a:extLst>
        </xdr:cNvPr>
        <xdr:cNvSpPr/>
      </xdr:nvSpPr>
      <xdr:spPr>
        <a:xfrm>
          <a:off x="55352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33</xdr:row>
      <xdr:rowOff>78147</xdr:rowOff>
    </xdr:from>
    <xdr:to>
      <xdr:col>17</xdr:col>
      <xdr:colOff>0</xdr:colOff>
      <xdr:row>34</xdr:row>
      <xdr:rowOff>192447</xdr:rowOff>
    </xdr:to>
    <xdr:sp macro="" textlink="">
      <xdr:nvSpPr>
        <xdr:cNvPr id="27" name="Isosceles Triangle 26">
          <a:extLst>
            <a:ext uri="{FF2B5EF4-FFF2-40B4-BE49-F238E27FC236}">
              <a16:creationId xmlns:a16="http://schemas.microsoft.com/office/drawing/2014/main" id="{00000000-0008-0000-0A00-00001B000000}"/>
            </a:ext>
          </a:extLst>
        </xdr:cNvPr>
        <xdr:cNvSpPr/>
      </xdr:nvSpPr>
      <xdr:spPr>
        <a:xfrm>
          <a:off x="85451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33</xdr:row>
      <xdr:rowOff>78147</xdr:rowOff>
    </xdr:from>
    <xdr:to>
      <xdr:col>19</xdr:col>
      <xdr:colOff>0</xdr:colOff>
      <xdr:row>34</xdr:row>
      <xdr:rowOff>192447</xdr:rowOff>
    </xdr:to>
    <xdr:sp macro="" textlink="">
      <xdr:nvSpPr>
        <xdr:cNvPr id="28" name="Isosceles Triangle 27">
          <a:extLst>
            <a:ext uri="{FF2B5EF4-FFF2-40B4-BE49-F238E27FC236}">
              <a16:creationId xmlns:a16="http://schemas.microsoft.com/office/drawing/2014/main" id="{00000000-0008-0000-0A00-00001C000000}"/>
            </a:ext>
          </a:extLst>
        </xdr:cNvPr>
        <xdr:cNvSpPr/>
      </xdr:nvSpPr>
      <xdr:spPr>
        <a:xfrm>
          <a:off x="95484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xdr:row>
      <xdr:rowOff>78147</xdr:rowOff>
    </xdr:from>
    <xdr:to>
      <xdr:col>3</xdr:col>
      <xdr:colOff>0</xdr:colOff>
      <xdr:row>42</xdr:row>
      <xdr:rowOff>192447</xdr:rowOff>
    </xdr:to>
    <xdr:sp macro="" textlink="">
      <xdr:nvSpPr>
        <xdr:cNvPr id="29" name="Isosceles Triangle 28">
          <a:extLst>
            <a:ext uri="{FF2B5EF4-FFF2-40B4-BE49-F238E27FC236}">
              <a16:creationId xmlns:a16="http://schemas.microsoft.com/office/drawing/2014/main" id="{00000000-0008-0000-0A00-00001D000000}"/>
            </a:ext>
          </a:extLst>
        </xdr:cNvPr>
        <xdr:cNvSpPr/>
      </xdr:nvSpPr>
      <xdr:spPr>
        <a:xfrm>
          <a:off x="1287145" y="720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41</xdr:row>
      <xdr:rowOff>78147</xdr:rowOff>
    </xdr:from>
    <xdr:to>
      <xdr:col>7</xdr:col>
      <xdr:colOff>0</xdr:colOff>
      <xdr:row>43</xdr:row>
      <xdr:rowOff>4770</xdr:rowOff>
    </xdr:to>
    <xdr:sp macro="" textlink="">
      <xdr:nvSpPr>
        <xdr:cNvPr id="30" name="Isosceles Triangle 29">
          <a:extLst>
            <a:ext uri="{FF2B5EF4-FFF2-40B4-BE49-F238E27FC236}">
              <a16:creationId xmlns:a16="http://schemas.microsoft.com/office/drawing/2014/main" id="{00000000-0008-0000-0A00-00001E000000}"/>
            </a:ext>
          </a:extLst>
        </xdr:cNvPr>
        <xdr:cNvSpPr/>
      </xdr:nvSpPr>
      <xdr:spPr>
        <a:xfrm>
          <a:off x="3528695" y="7209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41</xdr:row>
      <xdr:rowOff>78147</xdr:rowOff>
    </xdr:from>
    <xdr:to>
      <xdr:col>9</xdr:col>
      <xdr:colOff>0</xdr:colOff>
      <xdr:row>42</xdr:row>
      <xdr:rowOff>192447</xdr:rowOff>
    </xdr:to>
    <xdr:sp macro="" textlink="">
      <xdr:nvSpPr>
        <xdr:cNvPr id="31" name="Isosceles Triangle 30">
          <a:extLst>
            <a:ext uri="{FF2B5EF4-FFF2-40B4-BE49-F238E27FC236}">
              <a16:creationId xmlns:a16="http://schemas.microsoft.com/office/drawing/2014/main" id="{00000000-0008-0000-0A00-00001F000000}"/>
            </a:ext>
          </a:extLst>
        </xdr:cNvPr>
        <xdr:cNvSpPr/>
      </xdr:nvSpPr>
      <xdr:spPr>
        <a:xfrm>
          <a:off x="45319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41</xdr:row>
      <xdr:rowOff>78147</xdr:rowOff>
    </xdr:from>
    <xdr:to>
      <xdr:col>11</xdr:col>
      <xdr:colOff>0</xdr:colOff>
      <xdr:row>42</xdr:row>
      <xdr:rowOff>192447</xdr:rowOff>
    </xdr:to>
    <xdr:sp macro="" textlink="">
      <xdr:nvSpPr>
        <xdr:cNvPr id="32" name="Isosceles Triangle 31">
          <a:extLst>
            <a:ext uri="{FF2B5EF4-FFF2-40B4-BE49-F238E27FC236}">
              <a16:creationId xmlns:a16="http://schemas.microsoft.com/office/drawing/2014/main" id="{00000000-0008-0000-0A00-000020000000}"/>
            </a:ext>
          </a:extLst>
        </xdr:cNvPr>
        <xdr:cNvSpPr/>
      </xdr:nvSpPr>
      <xdr:spPr>
        <a:xfrm>
          <a:off x="55352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41</xdr:row>
      <xdr:rowOff>78147</xdr:rowOff>
    </xdr:from>
    <xdr:to>
      <xdr:col>13</xdr:col>
      <xdr:colOff>0</xdr:colOff>
      <xdr:row>42</xdr:row>
      <xdr:rowOff>192447</xdr:rowOff>
    </xdr:to>
    <xdr:sp macro="" textlink="">
      <xdr:nvSpPr>
        <xdr:cNvPr id="33" name="Isosceles Triangle 32">
          <a:extLst>
            <a:ext uri="{FF2B5EF4-FFF2-40B4-BE49-F238E27FC236}">
              <a16:creationId xmlns:a16="http://schemas.microsoft.com/office/drawing/2014/main" id="{00000000-0008-0000-0A00-000021000000}"/>
            </a:ext>
          </a:extLst>
        </xdr:cNvPr>
        <xdr:cNvSpPr/>
      </xdr:nvSpPr>
      <xdr:spPr>
        <a:xfrm>
          <a:off x="65385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41</xdr:row>
      <xdr:rowOff>78147</xdr:rowOff>
    </xdr:from>
    <xdr:to>
      <xdr:col>17</xdr:col>
      <xdr:colOff>0</xdr:colOff>
      <xdr:row>42</xdr:row>
      <xdr:rowOff>192447</xdr:rowOff>
    </xdr:to>
    <xdr:sp macro="" textlink="">
      <xdr:nvSpPr>
        <xdr:cNvPr id="34" name="Isosceles Triangle 33">
          <a:extLst>
            <a:ext uri="{FF2B5EF4-FFF2-40B4-BE49-F238E27FC236}">
              <a16:creationId xmlns:a16="http://schemas.microsoft.com/office/drawing/2014/main" id="{00000000-0008-0000-0A00-000022000000}"/>
            </a:ext>
          </a:extLst>
        </xdr:cNvPr>
        <xdr:cNvSpPr/>
      </xdr:nvSpPr>
      <xdr:spPr>
        <a:xfrm>
          <a:off x="8545195" y="720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41</xdr:row>
      <xdr:rowOff>78147</xdr:rowOff>
    </xdr:from>
    <xdr:to>
      <xdr:col>21</xdr:col>
      <xdr:colOff>0</xdr:colOff>
      <xdr:row>42</xdr:row>
      <xdr:rowOff>192447</xdr:rowOff>
    </xdr:to>
    <xdr:sp macro="" textlink="">
      <xdr:nvSpPr>
        <xdr:cNvPr id="35" name="Isosceles Triangle 34">
          <a:extLst>
            <a:ext uri="{FF2B5EF4-FFF2-40B4-BE49-F238E27FC236}">
              <a16:creationId xmlns:a16="http://schemas.microsoft.com/office/drawing/2014/main" id="{00000000-0008-0000-0A00-000023000000}"/>
            </a:ext>
          </a:extLst>
        </xdr:cNvPr>
        <xdr:cNvSpPr/>
      </xdr:nvSpPr>
      <xdr:spPr>
        <a:xfrm>
          <a:off x="105517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49</xdr:row>
      <xdr:rowOff>78147</xdr:rowOff>
    </xdr:from>
    <xdr:to>
      <xdr:col>3</xdr:col>
      <xdr:colOff>0</xdr:colOff>
      <xdr:row>50</xdr:row>
      <xdr:rowOff>192447</xdr:rowOff>
    </xdr:to>
    <xdr:sp macro="" textlink="">
      <xdr:nvSpPr>
        <xdr:cNvPr id="36" name="Isosceles Triangle 35">
          <a:extLst>
            <a:ext uri="{FF2B5EF4-FFF2-40B4-BE49-F238E27FC236}">
              <a16:creationId xmlns:a16="http://schemas.microsoft.com/office/drawing/2014/main" id="{00000000-0008-0000-0A00-000024000000}"/>
            </a:ext>
          </a:extLst>
        </xdr:cNvPr>
        <xdr:cNvSpPr/>
      </xdr:nvSpPr>
      <xdr:spPr>
        <a:xfrm>
          <a:off x="1287145" y="854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49</xdr:row>
      <xdr:rowOff>78147</xdr:rowOff>
    </xdr:from>
    <xdr:to>
      <xdr:col>5</xdr:col>
      <xdr:colOff>0</xdr:colOff>
      <xdr:row>50</xdr:row>
      <xdr:rowOff>192447</xdr:rowOff>
    </xdr:to>
    <xdr:sp macro="" textlink="">
      <xdr:nvSpPr>
        <xdr:cNvPr id="37" name="Isosceles Triangle 36">
          <a:extLst>
            <a:ext uri="{FF2B5EF4-FFF2-40B4-BE49-F238E27FC236}">
              <a16:creationId xmlns:a16="http://schemas.microsoft.com/office/drawing/2014/main" id="{00000000-0008-0000-0A00-000025000000}"/>
            </a:ext>
          </a:extLst>
        </xdr:cNvPr>
        <xdr:cNvSpPr/>
      </xdr:nvSpPr>
      <xdr:spPr>
        <a:xfrm>
          <a:off x="25253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49</xdr:row>
      <xdr:rowOff>78147</xdr:rowOff>
    </xdr:from>
    <xdr:to>
      <xdr:col>7</xdr:col>
      <xdr:colOff>0</xdr:colOff>
      <xdr:row>50</xdr:row>
      <xdr:rowOff>192447</xdr:rowOff>
    </xdr:to>
    <xdr:sp macro="" textlink="">
      <xdr:nvSpPr>
        <xdr:cNvPr id="38" name="Isosceles Triangle 37">
          <a:extLst>
            <a:ext uri="{FF2B5EF4-FFF2-40B4-BE49-F238E27FC236}">
              <a16:creationId xmlns:a16="http://schemas.microsoft.com/office/drawing/2014/main" id="{00000000-0008-0000-0A00-000026000000}"/>
            </a:ext>
          </a:extLst>
        </xdr:cNvPr>
        <xdr:cNvSpPr/>
      </xdr:nvSpPr>
      <xdr:spPr>
        <a:xfrm>
          <a:off x="35286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49</xdr:row>
      <xdr:rowOff>78147</xdr:rowOff>
    </xdr:from>
    <xdr:to>
      <xdr:col>9</xdr:col>
      <xdr:colOff>0</xdr:colOff>
      <xdr:row>50</xdr:row>
      <xdr:rowOff>192447</xdr:rowOff>
    </xdr:to>
    <xdr:sp macro="" textlink="">
      <xdr:nvSpPr>
        <xdr:cNvPr id="39" name="Isosceles Triangle 38">
          <a:extLst>
            <a:ext uri="{FF2B5EF4-FFF2-40B4-BE49-F238E27FC236}">
              <a16:creationId xmlns:a16="http://schemas.microsoft.com/office/drawing/2014/main" id="{00000000-0008-0000-0A00-000027000000}"/>
            </a:ext>
          </a:extLst>
        </xdr:cNvPr>
        <xdr:cNvSpPr/>
      </xdr:nvSpPr>
      <xdr:spPr>
        <a:xfrm>
          <a:off x="45319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11051</xdr:colOff>
      <xdr:row>49</xdr:row>
      <xdr:rowOff>65188</xdr:rowOff>
    </xdr:from>
    <xdr:to>
      <xdr:col>13</xdr:col>
      <xdr:colOff>6479</xdr:colOff>
      <xdr:row>50</xdr:row>
      <xdr:rowOff>155740</xdr:rowOff>
    </xdr:to>
    <xdr:sp macro="" textlink="">
      <xdr:nvSpPr>
        <xdr:cNvPr id="40" name="Isosceles Triangle 39">
          <a:extLst>
            <a:ext uri="{FF2B5EF4-FFF2-40B4-BE49-F238E27FC236}">
              <a16:creationId xmlns:a16="http://schemas.microsoft.com/office/drawing/2014/main" id="{00000000-0008-0000-0A00-000028000000}"/>
            </a:ext>
          </a:extLst>
        </xdr:cNvPr>
        <xdr:cNvSpPr/>
      </xdr:nvSpPr>
      <xdr:spPr>
        <a:xfrm>
          <a:off x="6544945" y="8535670"/>
          <a:ext cx="497205" cy="2495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49</xdr:row>
      <xdr:rowOff>78147</xdr:rowOff>
    </xdr:from>
    <xdr:to>
      <xdr:col>15</xdr:col>
      <xdr:colOff>0</xdr:colOff>
      <xdr:row>50</xdr:row>
      <xdr:rowOff>192447</xdr:rowOff>
    </xdr:to>
    <xdr:sp macro="" textlink="">
      <xdr:nvSpPr>
        <xdr:cNvPr id="41" name="Isosceles Triangle 40">
          <a:extLst>
            <a:ext uri="{FF2B5EF4-FFF2-40B4-BE49-F238E27FC236}">
              <a16:creationId xmlns:a16="http://schemas.microsoft.com/office/drawing/2014/main" id="{00000000-0008-0000-0A00-000029000000}"/>
            </a:ext>
          </a:extLst>
        </xdr:cNvPr>
        <xdr:cNvSpPr/>
      </xdr:nvSpPr>
      <xdr:spPr>
        <a:xfrm>
          <a:off x="75418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49</xdr:row>
      <xdr:rowOff>78147</xdr:rowOff>
    </xdr:from>
    <xdr:to>
      <xdr:col>17</xdr:col>
      <xdr:colOff>0</xdr:colOff>
      <xdr:row>50</xdr:row>
      <xdr:rowOff>192447</xdr:rowOff>
    </xdr:to>
    <xdr:sp macro="" textlink="">
      <xdr:nvSpPr>
        <xdr:cNvPr id="42" name="Isosceles Triangle 41">
          <a:extLst>
            <a:ext uri="{FF2B5EF4-FFF2-40B4-BE49-F238E27FC236}">
              <a16:creationId xmlns:a16="http://schemas.microsoft.com/office/drawing/2014/main" id="{00000000-0008-0000-0A00-00002A000000}"/>
            </a:ext>
          </a:extLst>
        </xdr:cNvPr>
        <xdr:cNvSpPr/>
      </xdr:nvSpPr>
      <xdr:spPr>
        <a:xfrm>
          <a:off x="8545195" y="854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49</xdr:row>
      <xdr:rowOff>78147</xdr:rowOff>
    </xdr:from>
    <xdr:to>
      <xdr:col>21</xdr:col>
      <xdr:colOff>0</xdr:colOff>
      <xdr:row>50</xdr:row>
      <xdr:rowOff>192447</xdr:rowOff>
    </xdr:to>
    <xdr:sp macro="" textlink="">
      <xdr:nvSpPr>
        <xdr:cNvPr id="43" name="Isosceles Triangle 42">
          <a:extLst>
            <a:ext uri="{FF2B5EF4-FFF2-40B4-BE49-F238E27FC236}">
              <a16:creationId xmlns:a16="http://schemas.microsoft.com/office/drawing/2014/main" id="{00000000-0008-0000-0A00-00002B000000}"/>
            </a:ext>
          </a:extLst>
        </xdr:cNvPr>
        <xdr:cNvSpPr/>
      </xdr:nvSpPr>
      <xdr:spPr>
        <a:xfrm>
          <a:off x="105517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57</xdr:row>
      <xdr:rowOff>78147</xdr:rowOff>
    </xdr:from>
    <xdr:to>
      <xdr:col>3</xdr:col>
      <xdr:colOff>0</xdr:colOff>
      <xdr:row>58</xdr:row>
      <xdr:rowOff>192447</xdr:rowOff>
    </xdr:to>
    <xdr:sp macro="" textlink="">
      <xdr:nvSpPr>
        <xdr:cNvPr id="44" name="Isosceles Triangle 43">
          <a:extLst>
            <a:ext uri="{FF2B5EF4-FFF2-40B4-BE49-F238E27FC236}">
              <a16:creationId xmlns:a16="http://schemas.microsoft.com/office/drawing/2014/main" id="{00000000-0008-0000-0A00-00002C000000}"/>
            </a:ext>
          </a:extLst>
        </xdr:cNvPr>
        <xdr:cNvSpPr/>
      </xdr:nvSpPr>
      <xdr:spPr>
        <a:xfrm>
          <a:off x="128714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57</xdr:row>
      <xdr:rowOff>78147</xdr:rowOff>
    </xdr:from>
    <xdr:to>
      <xdr:col>5</xdr:col>
      <xdr:colOff>0</xdr:colOff>
      <xdr:row>58</xdr:row>
      <xdr:rowOff>192447</xdr:rowOff>
    </xdr:to>
    <xdr:sp macro="" textlink="">
      <xdr:nvSpPr>
        <xdr:cNvPr id="45" name="Isosceles Triangle 44">
          <a:extLst>
            <a:ext uri="{FF2B5EF4-FFF2-40B4-BE49-F238E27FC236}">
              <a16:creationId xmlns:a16="http://schemas.microsoft.com/office/drawing/2014/main" id="{00000000-0008-0000-0A00-00002D000000}"/>
            </a:ext>
          </a:extLst>
        </xdr:cNvPr>
        <xdr:cNvSpPr/>
      </xdr:nvSpPr>
      <xdr:spPr>
        <a:xfrm>
          <a:off x="25253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57</xdr:row>
      <xdr:rowOff>78147</xdr:rowOff>
    </xdr:from>
    <xdr:to>
      <xdr:col>7</xdr:col>
      <xdr:colOff>0</xdr:colOff>
      <xdr:row>58</xdr:row>
      <xdr:rowOff>192447</xdr:rowOff>
    </xdr:to>
    <xdr:sp macro="" textlink="">
      <xdr:nvSpPr>
        <xdr:cNvPr id="46" name="Isosceles Triangle 45">
          <a:extLst>
            <a:ext uri="{FF2B5EF4-FFF2-40B4-BE49-F238E27FC236}">
              <a16:creationId xmlns:a16="http://schemas.microsoft.com/office/drawing/2014/main" id="{00000000-0008-0000-0A00-00002E000000}"/>
            </a:ext>
          </a:extLst>
        </xdr:cNvPr>
        <xdr:cNvSpPr/>
      </xdr:nvSpPr>
      <xdr:spPr>
        <a:xfrm>
          <a:off x="35286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57</xdr:row>
      <xdr:rowOff>78147</xdr:rowOff>
    </xdr:from>
    <xdr:to>
      <xdr:col>9</xdr:col>
      <xdr:colOff>0</xdr:colOff>
      <xdr:row>58</xdr:row>
      <xdr:rowOff>192447</xdr:rowOff>
    </xdr:to>
    <xdr:sp macro="" textlink="">
      <xdr:nvSpPr>
        <xdr:cNvPr id="47" name="Isosceles Triangle 46">
          <a:extLst>
            <a:ext uri="{FF2B5EF4-FFF2-40B4-BE49-F238E27FC236}">
              <a16:creationId xmlns:a16="http://schemas.microsoft.com/office/drawing/2014/main" id="{00000000-0008-0000-0A00-00002F000000}"/>
            </a:ext>
          </a:extLst>
        </xdr:cNvPr>
        <xdr:cNvSpPr/>
      </xdr:nvSpPr>
      <xdr:spPr>
        <a:xfrm>
          <a:off x="45319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57</xdr:row>
      <xdr:rowOff>78147</xdr:rowOff>
    </xdr:from>
    <xdr:to>
      <xdr:col>13</xdr:col>
      <xdr:colOff>0</xdr:colOff>
      <xdr:row>58</xdr:row>
      <xdr:rowOff>192447</xdr:rowOff>
    </xdr:to>
    <xdr:sp macro="" textlink="">
      <xdr:nvSpPr>
        <xdr:cNvPr id="48" name="Isosceles Triangle 47">
          <a:extLst>
            <a:ext uri="{FF2B5EF4-FFF2-40B4-BE49-F238E27FC236}">
              <a16:creationId xmlns:a16="http://schemas.microsoft.com/office/drawing/2014/main" id="{00000000-0008-0000-0A00-000030000000}"/>
            </a:ext>
          </a:extLst>
        </xdr:cNvPr>
        <xdr:cNvSpPr/>
      </xdr:nvSpPr>
      <xdr:spPr>
        <a:xfrm>
          <a:off x="65385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90053</xdr:rowOff>
    </xdr:from>
    <xdr:to>
      <xdr:col>15</xdr:col>
      <xdr:colOff>0</xdr:colOff>
      <xdr:row>59</xdr:row>
      <xdr:rowOff>18615</xdr:rowOff>
    </xdr:to>
    <xdr:sp macro="" textlink="">
      <xdr:nvSpPr>
        <xdr:cNvPr id="49" name="Isosceles Triangle 48">
          <a:extLst>
            <a:ext uri="{FF2B5EF4-FFF2-40B4-BE49-F238E27FC236}">
              <a16:creationId xmlns:a16="http://schemas.microsoft.com/office/drawing/2014/main" id="{00000000-0008-0000-0A00-000031000000}"/>
            </a:ext>
          </a:extLst>
        </xdr:cNvPr>
        <xdr:cNvSpPr/>
      </xdr:nvSpPr>
      <xdr:spPr>
        <a:xfrm>
          <a:off x="7541895" y="9909810"/>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50" name="Isosceles Triangle 49">
          <a:extLst>
            <a:ext uri="{FF2B5EF4-FFF2-40B4-BE49-F238E27FC236}">
              <a16:creationId xmlns:a16="http://schemas.microsoft.com/office/drawing/2014/main" id="{00000000-0008-0000-0A00-000032000000}"/>
            </a:ext>
          </a:extLst>
        </xdr:cNvPr>
        <xdr:cNvSpPr/>
      </xdr:nvSpPr>
      <xdr:spPr>
        <a:xfrm>
          <a:off x="85451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51" name="Isosceles Triangle 50">
          <a:extLst>
            <a:ext uri="{FF2B5EF4-FFF2-40B4-BE49-F238E27FC236}">
              <a16:creationId xmlns:a16="http://schemas.microsoft.com/office/drawing/2014/main" id="{00000000-0008-0000-0A00-000033000000}"/>
            </a:ext>
          </a:extLst>
        </xdr:cNvPr>
        <xdr:cNvSpPr/>
      </xdr:nvSpPr>
      <xdr:spPr>
        <a:xfrm>
          <a:off x="95484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59</xdr:row>
      <xdr:rowOff>6709</xdr:rowOff>
    </xdr:to>
    <xdr:sp macro="" textlink="">
      <xdr:nvSpPr>
        <xdr:cNvPr id="52" name="Isosceles Triangle 51">
          <a:extLst>
            <a:ext uri="{FF2B5EF4-FFF2-40B4-BE49-F238E27FC236}">
              <a16:creationId xmlns:a16="http://schemas.microsoft.com/office/drawing/2014/main" id="{00000000-0008-0000-0A00-000034000000}"/>
            </a:ext>
          </a:extLst>
        </xdr:cNvPr>
        <xdr:cNvSpPr/>
      </xdr:nvSpPr>
      <xdr:spPr>
        <a:xfrm>
          <a:off x="10551795" y="989838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xdr:row>
      <xdr:rowOff>90053</xdr:rowOff>
    </xdr:from>
    <xdr:to>
      <xdr:col>19</xdr:col>
      <xdr:colOff>0</xdr:colOff>
      <xdr:row>11</xdr:row>
      <xdr:rowOff>18615</xdr:rowOff>
    </xdr:to>
    <xdr:sp macro="" textlink="">
      <xdr:nvSpPr>
        <xdr:cNvPr id="53" name="Isosceles Triangle 52">
          <a:extLst>
            <a:ext uri="{FF2B5EF4-FFF2-40B4-BE49-F238E27FC236}">
              <a16:creationId xmlns:a16="http://schemas.microsoft.com/office/drawing/2014/main" id="{00000000-0008-0000-0A00-000035000000}"/>
            </a:ext>
          </a:extLst>
        </xdr:cNvPr>
        <xdr:cNvSpPr/>
      </xdr:nvSpPr>
      <xdr:spPr>
        <a:xfrm>
          <a:off x="9548495" y="1848485"/>
          <a:ext cx="497205" cy="2622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xdr:row>
      <xdr:rowOff>90053</xdr:rowOff>
    </xdr:from>
    <xdr:to>
      <xdr:col>3</xdr:col>
      <xdr:colOff>0</xdr:colOff>
      <xdr:row>19</xdr:row>
      <xdr:rowOff>18616</xdr:rowOff>
    </xdr:to>
    <xdr:sp macro="" textlink="">
      <xdr:nvSpPr>
        <xdr:cNvPr id="54" name="Isosceles Triangle 53">
          <a:extLst>
            <a:ext uri="{FF2B5EF4-FFF2-40B4-BE49-F238E27FC236}">
              <a16:creationId xmlns:a16="http://schemas.microsoft.com/office/drawing/2014/main" id="{00000000-0008-0000-0A00-000036000000}"/>
            </a:ext>
          </a:extLst>
        </xdr:cNvPr>
        <xdr:cNvSpPr/>
      </xdr:nvSpPr>
      <xdr:spPr>
        <a:xfrm>
          <a:off x="1287145" y="3194685"/>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xdr:row>
      <xdr:rowOff>78147</xdr:rowOff>
    </xdr:from>
    <xdr:to>
      <xdr:col>5</xdr:col>
      <xdr:colOff>0</xdr:colOff>
      <xdr:row>19</xdr:row>
      <xdr:rowOff>5057</xdr:rowOff>
    </xdr:to>
    <xdr:sp macro="" textlink="">
      <xdr:nvSpPr>
        <xdr:cNvPr id="55" name="Isosceles Triangle 54">
          <a:extLst>
            <a:ext uri="{FF2B5EF4-FFF2-40B4-BE49-F238E27FC236}">
              <a16:creationId xmlns:a16="http://schemas.microsoft.com/office/drawing/2014/main" id="{00000000-0008-0000-0A00-000037000000}"/>
            </a:ext>
          </a:extLst>
        </xdr:cNvPr>
        <xdr:cNvSpPr/>
      </xdr:nvSpPr>
      <xdr:spPr>
        <a:xfrm>
          <a:off x="2525395" y="3183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17</xdr:row>
      <xdr:rowOff>78147</xdr:rowOff>
    </xdr:from>
    <xdr:to>
      <xdr:col>13</xdr:col>
      <xdr:colOff>0</xdr:colOff>
      <xdr:row>18</xdr:row>
      <xdr:rowOff>192447</xdr:rowOff>
    </xdr:to>
    <xdr:sp macro="" textlink="">
      <xdr:nvSpPr>
        <xdr:cNvPr id="56" name="Isosceles Triangle 55">
          <a:extLst>
            <a:ext uri="{FF2B5EF4-FFF2-40B4-BE49-F238E27FC236}">
              <a16:creationId xmlns:a16="http://schemas.microsoft.com/office/drawing/2014/main" id="{00000000-0008-0000-0A00-000038000000}"/>
            </a:ext>
          </a:extLst>
        </xdr:cNvPr>
        <xdr:cNvSpPr/>
      </xdr:nvSpPr>
      <xdr:spPr>
        <a:xfrm>
          <a:off x="65385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17</xdr:row>
      <xdr:rowOff>78147</xdr:rowOff>
    </xdr:from>
    <xdr:to>
      <xdr:col>15</xdr:col>
      <xdr:colOff>0</xdr:colOff>
      <xdr:row>18</xdr:row>
      <xdr:rowOff>192447</xdr:rowOff>
    </xdr:to>
    <xdr:sp macro="" textlink="">
      <xdr:nvSpPr>
        <xdr:cNvPr id="57" name="Isosceles Triangle 56">
          <a:extLst>
            <a:ext uri="{FF2B5EF4-FFF2-40B4-BE49-F238E27FC236}">
              <a16:creationId xmlns:a16="http://schemas.microsoft.com/office/drawing/2014/main" id="{00000000-0008-0000-0A00-000039000000}"/>
            </a:ext>
          </a:extLst>
        </xdr:cNvPr>
        <xdr:cNvSpPr/>
      </xdr:nvSpPr>
      <xdr:spPr>
        <a:xfrm>
          <a:off x="75418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58" name="Isosceles Triangle 57">
          <a:extLst>
            <a:ext uri="{FF2B5EF4-FFF2-40B4-BE49-F238E27FC236}">
              <a16:creationId xmlns:a16="http://schemas.microsoft.com/office/drawing/2014/main" id="{00000000-0008-0000-0A00-00003A000000}"/>
            </a:ext>
          </a:extLst>
        </xdr:cNvPr>
        <xdr:cNvSpPr/>
      </xdr:nvSpPr>
      <xdr:spPr>
        <a:xfrm>
          <a:off x="85451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16478</xdr:colOff>
      <xdr:row>17</xdr:row>
      <xdr:rowOff>78147</xdr:rowOff>
    </xdr:from>
    <xdr:to>
      <xdr:col>19</xdr:col>
      <xdr:colOff>11906</xdr:colOff>
      <xdr:row>19</xdr:row>
      <xdr:rowOff>6710</xdr:rowOff>
    </xdr:to>
    <xdr:sp macro="" textlink="">
      <xdr:nvSpPr>
        <xdr:cNvPr id="59" name="Isosceles Triangle 58">
          <a:extLst>
            <a:ext uri="{FF2B5EF4-FFF2-40B4-BE49-F238E27FC236}">
              <a16:creationId xmlns:a16="http://schemas.microsoft.com/office/drawing/2014/main" id="{00000000-0008-0000-0A00-00003B000000}"/>
            </a:ext>
          </a:extLst>
        </xdr:cNvPr>
        <xdr:cNvSpPr/>
      </xdr:nvSpPr>
      <xdr:spPr>
        <a:xfrm>
          <a:off x="9559925" y="31832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17</xdr:row>
      <xdr:rowOff>78147</xdr:rowOff>
    </xdr:from>
    <xdr:to>
      <xdr:col>21</xdr:col>
      <xdr:colOff>0</xdr:colOff>
      <xdr:row>18</xdr:row>
      <xdr:rowOff>192447</xdr:rowOff>
    </xdr:to>
    <xdr:sp macro="" textlink="">
      <xdr:nvSpPr>
        <xdr:cNvPr id="60" name="Isosceles Triangle 59">
          <a:extLst>
            <a:ext uri="{FF2B5EF4-FFF2-40B4-BE49-F238E27FC236}">
              <a16:creationId xmlns:a16="http://schemas.microsoft.com/office/drawing/2014/main" id="{00000000-0008-0000-0A00-00003C000000}"/>
            </a:ext>
          </a:extLst>
        </xdr:cNvPr>
        <xdr:cNvSpPr/>
      </xdr:nvSpPr>
      <xdr:spPr>
        <a:xfrm>
          <a:off x="105517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61" name="Isosceles Triangle 60">
          <a:extLst>
            <a:ext uri="{FF2B5EF4-FFF2-40B4-BE49-F238E27FC236}">
              <a16:creationId xmlns:a16="http://schemas.microsoft.com/office/drawing/2014/main" id="{00000000-0008-0000-0A00-00003D000000}"/>
            </a:ext>
          </a:extLst>
        </xdr:cNvPr>
        <xdr:cNvSpPr/>
      </xdr:nvSpPr>
      <xdr:spPr>
        <a:xfrm>
          <a:off x="85451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xdr:row>
      <xdr:rowOff>78147</xdr:rowOff>
    </xdr:from>
    <xdr:to>
      <xdr:col>19</xdr:col>
      <xdr:colOff>0</xdr:colOff>
      <xdr:row>18</xdr:row>
      <xdr:rowOff>192447</xdr:rowOff>
    </xdr:to>
    <xdr:sp macro="" textlink="">
      <xdr:nvSpPr>
        <xdr:cNvPr id="62" name="Isosceles Triangle 61">
          <a:extLst>
            <a:ext uri="{FF2B5EF4-FFF2-40B4-BE49-F238E27FC236}">
              <a16:creationId xmlns:a16="http://schemas.microsoft.com/office/drawing/2014/main" id="{00000000-0008-0000-0A00-00003E000000}"/>
            </a:ext>
          </a:extLst>
        </xdr:cNvPr>
        <xdr:cNvSpPr/>
      </xdr:nvSpPr>
      <xdr:spPr>
        <a:xfrm>
          <a:off x="95484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24011</xdr:colOff>
      <xdr:row>25</xdr:row>
      <xdr:rowOff>78147</xdr:rowOff>
    </xdr:from>
    <xdr:to>
      <xdr:col>3</xdr:col>
      <xdr:colOff>19439</xdr:colOff>
      <xdr:row>27</xdr:row>
      <xdr:rowOff>5057</xdr:rowOff>
    </xdr:to>
    <xdr:sp macro="" textlink="">
      <xdr:nvSpPr>
        <xdr:cNvPr id="63" name="Isosceles Triangle 62">
          <a:extLst>
            <a:ext uri="{FF2B5EF4-FFF2-40B4-BE49-F238E27FC236}">
              <a16:creationId xmlns:a16="http://schemas.microsoft.com/office/drawing/2014/main" id="{00000000-0008-0000-0A00-00003F000000}"/>
            </a:ext>
          </a:extLst>
        </xdr:cNvPr>
        <xdr:cNvSpPr/>
      </xdr:nvSpPr>
      <xdr:spPr>
        <a:xfrm>
          <a:off x="1306195" y="4523105"/>
          <a:ext cx="497205" cy="25971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xdr:row>
      <xdr:rowOff>78147</xdr:rowOff>
    </xdr:from>
    <xdr:to>
      <xdr:col>5</xdr:col>
      <xdr:colOff>0</xdr:colOff>
      <xdr:row>26</xdr:row>
      <xdr:rowOff>192447</xdr:rowOff>
    </xdr:to>
    <xdr:sp macro="" textlink="">
      <xdr:nvSpPr>
        <xdr:cNvPr id="64" name="Isosceles Triangle 63">
          <a:extLst>
            <a:ext uri="{FF2B5EF4-FFF2-40B4-BE49-F238E27FC236}">
              <a16:creationId xmlns:a16="http://schemas.microsoft.com/office/drawing/2014/main" id="{00000000-0008-0000-0A00-000040000000}"/>
            </a:ext>
          </a:extLst>
        </xdr:cNvPr>
        <xdr:cNvSpPr/>
      </xdr:nvSpPr>
      <xdr:spPr>
        <a:xfrm>
          <a:off x="25253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25</xdr:row>
      <xdr:rowOff>78147</xdr:rowOff>
    </xdr:from>
    <xdr:to>
      <xdr:col>13</xdr:col>
      <xdr:colOff>0</xdr:colOff>
      <xdr:row>26</xdr:row>
      <xdr:rowOff>192447</xdr:rowOff>
    </xdr:to>
    <xdr:sp macro="" textlink="">
      <xdr:nvSpPr>
        <xdr:cNvPr id="65" name="Isosceles Triangle 64">
          <a:extLst>
            <a:ext uri="{FF2B5EF4-FFF2-40B4-BE49-F238E27FC236}">
              <a16:creationId xmlns:a16="http://schemas.microsoft.com/office/drawing/2014/main" id="{00000000-0008-0000-0A00-000041000000}"/>
            </a:ext>
          </a:extLst>
        </xdr:cNvPr>
        <xdr:cNvSpPr/>
      </xdr:nvSpPr>
      <xdr:spPr>
        <a:xfrm>
          <a:off x="65385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25</xdr:row>
      <xdr:rowOff>78147</xdr:rowOff>
    </xdr:from>
    <xdr:to>
      <xdr:col>15</xdr:col>
      <xdr:colOff>0</xdr:colOff>
      <xdr:row>26</xdr:row>
      <xdr:rowOff>192447</xdr:rowOff>
    </xdr:to>
    <xdr:sp macro="" textlink="">
      <xdr:nvSpPr>
        <xdr:cNvPr id="66" name="Isosceles Triangle 65">
          <a:extLst>
            <a:ext uri="{FF2B5EF4-FFF2-40B4-BE49-F238E27FC236}">
              <a16:creationId xmlns:a16="http://schemas.microsoft.com/office/drawing/2014/main" id="{00000000-0008-0000-0A00-000042000000}"/>
            </a:ext>
          </a:extLst>
        </xdr:cNvPr>
        <xdr:cNvSpPr/>
      </xdr:nvSpPr>
      <xdr:spPr>
        <a:xfrm>
          <a:off x="75418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67" name="Isosceles Triangle 66">
          <a:extLst>
            <a:ext uri="{FF2B5EF4-FFF2-40B4-BE49-F238E27FC236}">
              <a16:creationId xmlns:a16="http://schemas.microsoft.com/office/drawing/2014/main" id="{00000000-0008-0000-0A00-000043000000}"/>
            </a:ext>
          </a:extLst>
        </xdr:cNvPr>
        <xdr:cNvSpPr/>
      </xdr:nvSpPr>
      <xdr:spPr>
        <a:xfrm>
          <a:off x="25253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33</xdr:row>
      <xdr:rowOff>78147</xdr:rowOff>
    </xdr:from>
    <xdr:to>
      <xdr:col>7</xdr:col>
      <xdr:colOff>0</xdr:colOff>
      <xdr:row>34</xdr:row>
      <xdr:rowOff>192447</xdr:rowOff>
    </xdr:to>
    <xdr:sp macro="" textlink="">
      <xdr:nvSpPr>
        <xdr:cNvPr id="68" name="Isosceles Triangle 67">
          <a:extLst>
            <a:ext uri="{FF2B5EF4-FFF2-40B4-BE49-F238E27FC236}">
              <a16:creationId xmlns:a16="http://schemas.microsoft.com/office/drawing/2014/main" id="{00000000-0008-0000-0A00-000044000000}"/>
            </a:ext>
          </a:extLst>
        </xdr:cNvPr>
        <xdr:cNvSpPr/>
      </xdr:nvSpPr>
      <xdr:spPr>
        <a:xfrm>
          <a:off x="35286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16478</xdr:colOff>
      <xdr:row>25</xdr:row>
      <xdr:rowOff>78147</xdr:rowOff>
    </xdr:from>
    <xdr:to>
      <xdr:col>19</xdr:col>
      <xdr:colOff>11906</xdr:colOff>
      <xdr:row>27</xdr:row>
      <xdr:rowOff>6709</xdr:rowOff>
    </xdr:to>
    <xdr:sp macro="" textlink="">
      <xdr:nvSpPr>
        <xdr:cNvPr id="69" name="Isosceles Triangle 68">
          <a:extLst>
            <a:ext uri="{FF2B5EF4-FFF2-40B4-BE49-F238E27FC236}">
              <a16:creationId xmlns:a16="http://schemas.microsoft.com/office/drawing/2014/main" id="{00000000-0008-0000-0A00-000045000000}"/>
            </a:ext>
          </a:extLst>
        </xdr:cNvPr>
        <xdr:cNvSpPr/>
      </xdr:nvSpPr>
      <xdr:spPr>
        <a:xfrm>
          <a:off x="9559925" y="4523105"/>
          <a:ext cx="497205" cy="2616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70" name="Isosceles Triangle 69">
          <a:extLst>
            <a:ext uri="{FF2B5EF4-FFF2-40B4-BE49-F238E27FC236}">
              <a16:creationId xmlns:a16="http://schemas.microsoft.com/office/drawing/2014/main" id="{00000000-0008-0000-0A00-000046000000}"/>
            </a:ext>
          </a:extLst>
        </xdr:cNvPr>
        <xdr:cNvSpPr/>
      </xdr:nvSpPr>
      <xdr:spPr>
        <a:xfrm>
          <a:off x="25253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33</xdr:row>
      <xdr:rowOff>78147</xdr:rowOff>
    </xdr:from>
    <xdr:to>
      <xdr:col>13</xdr:col>
      <xdr:colOff>0</xdr:colOff>
      <xdr:row>34</xdr:row>
      <xdr:rowOff>192447</xdr:rowOff>
    </xdr:to>
    <xdr:sp macro="" textlink="">
      <xdr:nvSpPr>
        <xdr:cNvPr id="71" name="Isosceles Triangle 70">
          <a:extLst>
            <a:ext uri="{FF2B5EF4-FFF2-40B4-BE49-F238E27FC236}">
              <a16:creationId xmlns:a16="http://schemas.microsoft.com/office/drawing/2014/main" id="{00000000-0008-0000-0A00-000047000000}"/>
            </a:ext>
          </a:extLst>
        </xdr:cNvPr>
        <xdr:cNvSpPr/>
      </xdr:nvSpPr>
      <xdr:spPr>
        <a:xfrm>
          <a:off x="65385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33</xdr:row>
      <xdr:rowOff>78147</xdr:rowOff>
    </xdr:from>
    <xdr:to>
      <xdr:col>15</xdr:col>
      <xdr:colOff>0</xdr:colOff>
      <xdr:row>34</xdr:row>
      <xdr:rowOff>192447</xdr:rowOff>
    </xdr:to>
    <xdr:sp macro="" textlink="">
      <xdr:nvSpPr>
        <xdr:cNvPr id="72" name="Isosceles Triangle 71">
          <a:extLst>
            <a:ext uri="{FF2B5EF4-FFF2-40B4-BE49-F238E27FC236}">
              <a16:creationId xmlns:a16="http://schemas.microsoft.com/office/drawing/2014/main" id="{00000000-0008-0000-0A00-000048000000}"/>
            </a:ext>
          </a:extLst>
        </xdr:cNvPr>
        <xdr:cNvSpPr/>
      </xdr:nvSpPr>
      <xdr:spPr>
        <a:xfrm>
          <a:off x="75418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33</xdr:row>
      <xdr:rowOff>78147</xdr:rowOff>
    </xdr:from>
    <xdr:to>
      <xdr:col>21</xdr:col>
      <xdr:colOff>0</xdr:colOff>
      <xdr:row>34</xdr:row>
      <xdr:rowOff>192447</xdr:rowOff>
    </xdr:to>
    <xdr:sp macro="" textlink="">
      <xdr:nvSpPr>
        <xdr:cNvPr id="73" name="Isosceles Triangle 72">
          <a:extLst>
            <a:ext uri="{FF2B5EF4-FFF2-40B4-BE49-F238E27FC236}">
              <a16:creationId xmlns:a16="http://schemas.microsoft.com/office/drawing/2014/main" id="{00000000-0008-0000-0A00-000049000000}"/>
            </a:ext>
          </a:extLst>
        </xdr:cNvPr>
        <xdr:cNvSpPr/>
      </xdr:nvSpPr>
      <xdr:spPr>
        <a:xfrm>
          <a:off x="105517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41</xdr:row>
      <xdr:rowOff>78147</xdr:rowOff>
    </xdr:from>
    <xdr:to>
      <xdr:col>5</xdr:col>
      <xdr:colOff>0</xdr:colOff>
      <xdr:row>42</xdr:row>
      <xdr:rowOff>192447</xdr:rowOff>
    </xdr:to>
    <xdr:sp macro="" textlink="">
      <xdr:nvSpPr>
        <xdr:cNvPr id="74" name="Isosceles Triangle 73">
          <a:extLst>
            <a:ext uri="{FF2B5EF4-FFF2-40B4-BE49-F238E27FC236}">
              <a16:creationId xmlns:a16="http://schemas.microsoft.com/office/drawing/2014/main" id="{00000000-0008-0000-0A00-00004A000000}"/>
            </a:ext>
          </a:extLst>
        </xdr:cNvPr>
        <xdr:cNvSpPr/>
      </xdr:nvSpPr>
      <xdr:spPr>
        <a:xfrm>
          <a:off x="25253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484061</xdr:colOff>
      <xdr:row>33</xdr:row>
      <xdr:rowOff>78147</xdr:rowOff>
    </xdr:from>
    <xdr:to>
      <xdr:col>18</xdr:col>
      <xdr:colOff>479490</xdr:colOff>
      <xdr:row>35</xdr:row>
      <xdr:rowOff>5057</xdr:rowOff>
    </xdr:to>
    <xdr:sp macro="" textlink="">
      <xdr:nvSpPr>
        <xdr:cNvPr id="75" name="Isosceles Triangle 74">
          <a:extLst>
            <a:ext uri="{FF2B5EF4-FFF2-40B4-BE49-F238E27FC236}">
              <a16:creationId xmlns:a16="http://schemas.microsoft.com/office/drawing/2014/main" id="{00000000-0008-0000-0A00-00004B000000}"/>
            </a:ext>
          </a:extLst>
        </xdr:cNvPr>
        <xdr:cNvSpPr/>
      </xdr:nvSpPr>
      <xdr:spPr>
        <a:xfrm>
          <a:off x="9526270" y="58693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41</xdr:row>
      <xdr:rowOff>78147</xdr:rowOff>
    </xdr:from>
    <xdr:to>
      <xdr:col>19</xdr:col>
      <xdr:colOff>0</xdr:colOff>
      <xdr:row>42</xdr:row>
      <xdr:rowOff>192447</xdr:rowOff>
    </xdr:to>
    <xdr:sp macro="" textlink="">
      <xdr:nvSpPr>
        <xdr:cNvPr id="76" name="Isosceles Triangle 75">
          <a:extLst>
            <a:ext uri="{FF2B5EF4-FFF2-40B4-BE49-F238E27FC236}">
              <a16:creationId xmlns:a16="http://schemas.microsoft.com/office/drawing/2014/main" id="{00000000-0008-0000-0A00-00004C000000}"/>
            </a:ext>
          </a:extLst>
        </xdr:cNvPr>
        <xdr:cNvSpPr/>
      </xdr:nvSpPr>
      <xdr:spPr>
        <a:xfrm>
          <a:off x="95484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49</xdr:row>
      <xdr:rowOff>78147</xdr:rowOff>
    </xdr:from>
    <xdr:to>
      <xdr:col>5</xdr:col>
      <xdr:colOff>0</xdr:colOff>
      <xdr:row>50</xdr:row>
      <xdr:rowOff>192447</xdr:rowOff>
    </xdr:to>
    <xdr:sp macro="" textlink="">
      <xdr:nvSpPr>
        <xdr:cNvPr id="77" name="Isosceles Triangle 76">
          <a:extLst>
            <a:ext uri="{FF2B5EF4-FFF2-40B4-BE49-F238E27FC236}">
              <a16:creationId xmlns:a16="http://schemas.microsoft.com/office/drawing/2014/main" id="{00000000-0008-0000-0A00-00004D000000}"/>
            </a:ext>
          </a:extLst>
        </xdr:cNvPr>
        <xdr:cNvSpPr/>
      </xdr:nvSpPr>
      <xdr:spPr>
        <a:xfrm>
          <a:off x="25253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2</xdr:col>
      <xdr:colOff>4572</xdr:colOff>
      <xdr:row>49</xdr:row>
      <xdr:rowOff>78147</xdr:rowOff>
    </xdr:from>
    <xdr:to>
      <xdr:col>3</xdr:col>
      <xdr:colOff>0</xdr:colOff>
      <xdr:row>50</xdr:row>
      <xdr:rowOff>192447</xdr:rowOff>
    </xdr:to>
    <xdr:sp macro="" textlink="">
      <xdr:nvSpPr>
        <xdr:cNvPr id="78" name="Isosceles Triangle 77">
          <a:extLst>
            <a:ext uri="{FF2B5EF4-FFF2-40B4-BE49-F238E27FC236}">
              <a16:creationId xmlns:a16="http://schemas.microsoft.com/office/drawing/2014/main" id="{00000000-0008-0000-0A00-00004E000000}"/>
            </a:ext>
          </a:extLst>
        </xdr:cNvPr>
        <xdr:cNvSpPr/>
      </xdr:nvSpPr>
      <xdr:spPr>
        <a:xfrm>
          <a:off x="128714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49</xdr:row>
      <xdr:rowOff>78147</xdr:rowOff>
    </xdr:from>
    <xdr:to>
      <xdr:col>17</xdr:col>
      <xdr:colOff>0</xdr:colOff>
      <xdr:row>50</xdr:row>
      <xdr:rowOff>192447</xdr:rowOff>
    </xdr:to>
    <xdr:sp macro="" textlink="">
      <xdr:nvSpPr>
        <xdr:cNvPr id="79" name="Isosceles Triangle 78">
          <a:extLst>
            <a:ext uri="{FF2B5EF4-FFF2-40B4-BE49-F238E27FC236}">
              <a16:creationId xmlns:a16="http://schemas.microsoft.com/office/drawing/2014/main" id="{00000000-0008-0000-0A00-00004F000000}"/>
            </a:ext>
          </a:extLst>
        </xdr:cNvPr>
        <xdr:cNvSpPr/>
      </xdr:nvSpPr>
      <xdr:spPr>
        <a:xfrm>
          <a:off x="85451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49</xdr:row>
      <xdr:rowOff>78147</xdr:rowOff>
    </xdr:from>
    <xdr:to>
      <xdr:col>19</xdr:col>
      <xdr:colOff>0</xdr:colOff>
      <xdr:row>50</xdr:row>
      <xdr:rowOff>192447</xdr:rowOff>
    </xdr:to>
    <xdr:sp macro="" textlink="">
      <xdr:nvSpPr>
        <xdr:cNvPr id="80" name="Isosceles Triangle 79">
          <a:extLst>
            <a:ext uri="{FF2B5EF4-FFF2-40B4-BE49-F238E27FC236}">
              <a16:creationId xmlns:a16="http://schemas.microsoft.com/office/drawing/2014/main" id="{00000000-0008-0000-0A00-000050000000}"/>
            </a:ext>
          </a:extLst>
        </xdr:cNvPr>
        <xdr:cNvSpPr/>
      </xdr:nvSpPr>
      <xdr:spPr>
        <a:xfrm>
          <a:off x="95484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57</xdr:row>
      <xdr:rowOff>78147</xdr:rowOff>
    </xdr:from>
    <xdr:to>
      <xdr:col>3</xdr:col>
      <xdr:colOff>0</xdr:colOff>
      <xdr:row>58</xdr:row>
      <xdr:rowOff>192447</xdr:rowOff>
    </xdr:to>
    <xdr:sp macro="" textlink="">
      <xdr:nvSpPr>
        <xdr:cNvPr id="81" name="Isosceles Triangle 80">
          <a:extLst>
            <a:ext uri="{FF2B5EF4-FFF2-40B4-BE49-F238E27FC236}">
              <a16:creationId xmlns:a16="http://schemas.microsoft.com/office/drawing/2014/main" id="{00000000-0008-0000-0A00-000051000000}"/>
            </a:ext>
          </a:extLst>
        </xdr:cNvPr>
        <xdr:cNvSpPr/>
      </xdr:nvSpPr>
      <xdr:spPr>
        <a:xfrm>
          <a:off x="128714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82" name="Isosceles Triangle 81">
          <a:extLst>
            <a:ext uri="{FF2B5EF4-FFF2-40B4-BE49-F238E27FC236}">
              <a16:creationId xmlns:a16="http://schemas.microsoft.com/office/drawing/2014/main" id="{00000000-0008-0000-0A00-000052000000}"/>
            </a:ext>
          </a:extLst>
        </xdr:cNvPr>
        <xdr:cNvSpPr/>
      </xdr:nvSpPr>
      <xdr:spPr>
        <a:xfrm>
          <a:off x="85451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83" name="Isosceles Triangle 82">
          <a:extLst>
            <a:ext uri="{FF2B5EF4-FFF2-40B4-BE49-F238E27FC236}">
              <a16:creationId xmlns:a16="http://schemas.microsoft.com/office/drawing/2014/main" id="{00000000-0008-0000-0A00-000053000000}"/>
            </a:ext>
          </a:extLst>
        </xdr:cNvPr>
        <xdr:cNvSpPr/>
      </xdr:nvSpPr>
      <xdr:spPr>
        <a:xfrm>
          <a:off x="95484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157032</xdr:colOff>
      <xdr:row>442</xdr:row>
      <xdr:rowOff>127660</xdr:rowOff>
    </xdr:from>
    <xdr:to>
      <xdr:col>8</xdr:col>
      <xdr:colOff>423732</xdr:colOff>
      <xdr:row>444</xdr:row>
      <xdr:rowOff>127660</xdr:rowOff>
    </xdr:to>
    <xdr:sp macro="" textlink="">
      <xdr:nvSpPr>
        <xdr:cNvPr id="84" name="Line 327">
          <a:extLst>
            <a:ext uri="{FF2B5EF4-FFF2-40B4-BE49-F238E27FC236}">
              <a16:creationId xmlns:a16="http://schemas.microsoft.com/office/drawing/2014/main" id="{00000000-0008-0000-0A00-000054000000}"/>
            </a:ext>
          </a:extLst>
        </xdr:cNvPr>
        <xdr:cNvSpPr>
          <a:spLocks noChangeShapeType="1"/>
        </xdr:cNvSpPr>
      </xdr:nvSpPr>
      <xdr:spPr>
        <a:xfrm flipH="1">
          <a:off x="4684395" y="74425810"/>
          <a:ext cx="266700" cy="32702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133828</xdr:colOff>
      <xdr:row>440</xdr:row>
      <xdr:rowOff>40012</xdr:rowOff>
    </xdr:from>
    <xdr:to>
      <xdr:col>12</xdr:col>
      <xdr:colOff>400528</xdr:colOff>
      <xdr:row>442</xdr:row>
      <xdr:rowOff>59062</xdr:rowOff>
    </xdr:to>
    <xdr:sp macro="" textlink="">
      <xdr:nvSpPr>
        <xdr:cNvPr id="85" name="Line 328">
          <a:extLst>
            <a:ext uri="{FF2B5EF4-FFF2-40B4-BE49-F238E27FC236}">
              <a16:creationId xmlns:a16="http://schemas.microsoft.com/office/drawing/2014/main" id="{00000000-0008-0000-0A00-000055000000}"/>
            </a:ext>
          </a:extLst>
        </xdr:cNvPr>
        <xdr:cNvSpPr>
          <a:spLocks noChangeShapeType="1"/>
        </xdr:cNvSpPr>
      </xdr:nvSpPr>
      <xdr:spPr>
        <a:xfrm flipH="1">
          <a:off x="6667500" y="73992105"/>
          <a:ext cx="266700" cy="3651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40797</xdr:colOff>
      <xdr:row>440</xdr:row>
      <xdr:rowOff>6828</xdr:rowOff>
    </xdr:from>
    <xdr:to>
      <xdr:col>12</xdr:col>
      <xdr:colOff>307497</xdr:colOff>
      <xdr:row>442</xdr:row>
      <xdr:rowOff>4404</xdr:rowOff>
    </xdr:to>
    <xdr:sp macro="" textlink="">
      <xdr:nvSpPr>
        <xdr:cNvPr id="86" name="Line 328">
          <a:extLst>
            <a:ext uri="{FF2B5EF4-FFF2-40B4-BE49-F238E27FC236}">
              <a16:creationId xmlns:a16="http://schemas.microsoft.com/office/drawing/2014/main" id="{00000000-0008-0000-0A00-000056000000}"/>
            </a:ext>
          </a:extLst>
        </xdr:cNvPr>
        <xdr:cNvSpPr>
          <a:spLocks noChangeShapeType="1"/>
        </xdr:cNvSpPr>
      </xdr:nvSpPr>
      <xdr:spPr>
        <a:xfrm flipH="1">
          <a:off x="6574790" y="73958450"/>
          <a:ext cx="266700" cy="3435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75267</xdr:colOff>
      <xdr:row>446</xdr:row>
      <xdr:rowOff>128725</xdr:rowOff>
    </xdr:from>
    <xdr:to>
      <xdr:col>5</xdr:col>
      <xdr:colOff>242984</xdr:colOff>
      <xdr:row>448</xdr:row>
      <xdr:rowOff>97132</xdr:rowOff>
    </xdr:to>
    <xdr:sp macro="" textlink="">
      <xdr:nvSpPr>
        <xdr:cNvPr id="87" name="AutoShape 301">
          <a:extLst>
            <a:ext uri="{FF2B5EF4-FFF2-40B4-BE49-F238E27FC236}">
              <a16:creationId xmlns:a16="http://schemas.microsoft.com/office/drawing/2014/main" id="{00000000-0008-0000-0A00-000057000000}"/>
            </a:ext>
          </a:extLst>
        </xdr:cNvPr>
        <xdr:cNvSpPr>
          <a:spLocks noChangeArrowheads="1"/>
        </xdr:cNvSpPr>
      </xdr:nvSpPr>
      <xdr:spPr>
        <a:xfrm rot="7084349">
          <a:off x="3038475" y="75130025"/>
          <a:ext cx="2857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8</xdr:col>
      <xdr:colOff>236194</xdr:colOff>
      <xdr:row>448</xdr:row>
      <xdr:rowOff>103211</xdr:rowOff>
    </xdr:from>
    <xdr:to>
      <xdr:col>8</xdr:col>
      <xdr:colOff>412246</xdr:colOff>
      <xdr:row>450</xdr:row>
      <xdr:rowOff>147305</xdr:rowOff>
    </xdr:to>
    <xdr:sp macro="" textlink="">
      <xdr:nvSpPr>
        <xdr:cNvPr id="88" name="AutoShape 410">
          <a:extLst>
            <a:ext uri="{FF2B5EF4-FFF2-40B4-BE49-F238E27FC236}">
              <a16:creationId xmlns:a16="http://schemas.microsoft.com/office/drawing/2014/main" id="{00000000-0008-0000-0A00-000058000000}"/>
            </a:ext>
          </a:extLst>
        </xdr:cNvPr>
        <xdr:cNvSpPr>
          <a:spLocks noChangeArrowheads="1"/>
        </xdr:cNvSpPr>
      </xdr:nvSpPr>
      <xdr:spPr>
        <a:xfrm rot="7297720">
          <a:off x="4670425" y="75455780"/>
          <a:ext cx="3619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17</xdr:col>
      <xdr:colOff>142551</xdr:colOff>
      <xdr:row>442</xdr:row>
      <xdr:rowOff>135416</xdr:rowOff>
    </xdr:from>
    <xdr:to>
      <xdr:col>17</xdr:col>
      <xdr:colOff>450912</xdr:colOff>
      <xdr:row>445</xdr:row>
      <xdr:rowOff>1395</xdr:rowOff>
    </xdr:to>
    <xdr:pic>
      <xdr:nvPicPr>
        <xdr:cNvPr id="89" name="Picture 88">
          <a:extLst>
            <a:ext uri="{FF2B5EF4-FFF2-40B4-BE49-F238E27FC236}">
              <a16:creationId xmlns:a16="http://schemas.microsoft.com/office/drawing/2014/main" id="{00000000-0008-0000-0A00-000059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9184640" y="74433430"/>
          <a:ext cx="308610" cy="3517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264392</xdr:colOff>
      <xdr:row>448</xdr:row>
      <xdr:rowOff>119688</xdr:rowOff>
    </xdr:from>
    <xdr:to>
      <xdr:col>12</xdr:col>
      <xdr:colOff>457586</xdr:colOff>
      <xdr:row>450</xdr:row>
      <xdr:rowOff>127463</xdr:rowOff>
    </xdr:to>
    <xdr:sp macro="" textlink="">
      <xdr:nvSpPr>
        <xdr:cNvPr id="90" name="Parallelogram 89">
          <a:extLst>
            <a:ext uri="{FF2B5EF4-FFF2-40B4-BE49-F238E27FC236}">
              <a16:creationId xmlns:a16="http://schemas.microsoft.com/office/drawing/2014/main" id="{00000000-0008-0000-0A00-00005A000000}"/>
            </a:ext>
          </a:extLst>
        </xdr:cNvPr>
        <xdr:cNvSpPr/>
      </xdr:nvSpPr>
      <xdr:spPr>
        <a:xfrm rot="1440000">
          <a:off x="6798310" y="75379580"/>
          <a:ext cx="193040" cy="3251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265280</xdr:colOff>
      <xdr:row>448</xdr:row>
      <xdr:rowOff>136020</xdr:rowOff>
    </xdr:from>
    <xdr:to>
      <xdr:col>12</xdr:col>
      <xdr:colOff>461973</xdr:colOff>
      <xdr:row>450</xdr:row>
      <xdr:rowOff>103775</xdr:rowOff>
    </xdr:to>
    <xdr:cxnSp macro="">
      <xdr:nvCxnSpPr>
        <xdr:cNvPr id="91" name="Straight Connector 90">
          <a:extLst>
            <a:ext uri="{FF2B5EF4-FFF2-40B4-BE49-F238E27FC236}">
              <a16:creationId xmlns:a16="http://schemas.microsoft.com/office/drawing/2014/main" id="{00000000-0008-0000-0A00-00005B000000}"/>
            </a:ext>
          </a:extLst>
        </xdr:cNvPr>
        <xdr:cNvCxnSpPr/>
      </xdr:nvCxnSpPr>
      <xdr:spPr>
        <a:xfrm flipH="1">
          <a:off x="6798945" y="75396090"/>
          <a:ext cx="196850" cy="2851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6</xdr:col>
      <xdr:colOff>4572</xdr:colOff>
      <xdr:row>434</xdr:row>
      <xdr:rowOff>78147</xdr:rowOff>
    </xdr:from>
    <xdr:to>
      <xdr:col>7</xdr:col>
      <xdr:colOff>0</xdr:colOff>
      <xdr:row>436</xdr:row>
      <xdr:rowOff>0</xdr:rowOff>
    </xdr:to>
    <xdr:sp macro="" textlink="">
      <xdr:nvSpPr>
        <xdr:cNvPr id="92" name="Isosceles Triangle 91">
          <a:extLst>
            <a:ext uri="{FF2B5EF4-FFF2-40B4-BE49-F238E27FC236}">
              <a16:creationId xmlns:a16="http://schemas.microsoft.com/office/drawing/2014/main" id="{00000000-0008-0000-0A00-00005C000000}"/>
            </a:ext>
          </a:extLst>
        </xdr:cNvPr>
        <xdr:cNvSpPr/>
      </xdr:nvSpPr>
      <xdr:spPr>
        <a:xfrm>
          <a:off x="3528695" y="73007855"/>
          <a:ext cx="497205" cy="25527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8</xdr:col>
      <xdr:colOff>4572</xdr:colOff>
      <xdr:row>434</xdr:row>
      <xdr:rowOff>78147</xdr:rowOff>
    </xdr:from>
    <xdr:to>
      <xdr:col>9</xdr:col>
      <xdr:colOff>0</xdr:colOff>
      <xdr:row>435</xdr:row>
      <xdr:rowOff>192447</xdr:rowOff>
    </xdr:to>
    <xdr:sp macro="" textlink="">
      <xdr:nvSpPr>
        <xdr:cNvPr id="93" name="Isosceles Triangle 92">
          <a:extLst>
            <a:ext uri="{FF2B5EF4-FFF2-40B4-BE49-F238E27FC236}">
              <a16:creationId xmlns:a16="http://schemas.microsoft.com/office/drawing/2014/main" id="{00000000-0008-0000-0A00-00005D000000}"/>
            </a:ext>
          </a:extLst>
        </xdr:cNvPr>
        <xdr:cNvSpPr/>
      </xdr:nvSpPr>
      <xdr:spPr>
        <a:xfrm>
          <a:off x="4531995" y="73007855"/>
          <a:ext cx="497205" cy="25527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434</xdr:row>
      <xdr:rowOff>78147</xdr:rowOff>
    </xdr:from>
    <xdr:to>
      <xdr:col>11</xdr:col>
      <xdr:colOff>0</xdr:colOff>
      <xdr:row>435</xdr:row>
      <xdr:rowOff>192447</xdr:rowOff>
    </xdr:to>
    <xdr:sp macro="" textlink="">
      <xdr:nvSpPr>
        <xdr:cNvPr id="94" name="Isosceles Triangle 93">
          <a:extLst>
            <a:ext uri="{FF2B5EF4-FFF2-40B4-BE49-F238E27FC236}">
              <a16:creationId xmlns:a16="http://schemas.microsoft.com/office/drawing/2014/main" id="{00000000-0008-0000-0A00-00005E000000}"/>
            </a:ext>
          </a:extLst>
        </xdr:cNvPr>
        <xdr:cNvSpPr/>
      </xdr:nvSpPr>
      <xdr:spPr>
        <a:xfrm>
          <a:off x="5535295" y="73007855"/>
          <a:ext cx="497205" cy="25527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284789</xdr:colOff>
      <xdr:row>434</xdr:row>
      <xdr:rowOff>45487</xdr:rowOff>
    </xdr:from>
    <xdr:to>
      <xdr:col>8</xdr:col>
      <xdr:colOff>338667</xdr:colOff>
      <xdr:row>434</xdr:row>
      <xdr:rowOff>138545</xdr:rowOff>
    </xdr:to>
    <xdr:sp macro="" textlink="">
      <xdr:nvSpPr>
        <xdr:cNvPr id="95" name="Freeform 1071">
          <a:extLst>
            <a:ext uri="{FF2B5EF4-FFF2-40B4-BE49-F238E27FC236}">
              <a16:creationId xmlns:a16="http://schemas.microsoft.com/office/drawing/2014/main" id="{00000000-0008-0000-0A00-00005F000000}"/>
            </a:ext>
          </a:extLst>
        </xdr:cNvPr>
        <xdr:cNvSpPr/>
      </xdr:nvSpPr>
      <xdr:spPr>
        <a:xfrm>
          <a:off x="3808730" y="72974835"/>
          <a:ext cx="1057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8</xdr:col>
      <xdr:colOff>284788</xdr:colOff>
      <xdr:row>434</xdr:row>
      <xdr:rowOff>23091</xdr:rowOff>
    </xdr:from>
    <xdr:to>
      <xdr:col>10</xdr:col>
      <xdr:colOff>374843</xdr:colOff>
      <xdr:row>435</xdr:row>
      <xdr:rowOff>9496</xdr:rowOff>
    </xdr:to>
    <xdr:sp macro="" textlink="">
      <xdr:nvSpPr>
        <xdr:cNvPr id="96" name="Freeform 1072">
          <a:extLst>
            <a:ext uri="{FF2B5EF4-FFF2-40B4-BE49-F238E27FC236}">
              <a16:creationId xmlns:a16="http://schemas.microsoft.com/office/drawing/2014/main" id="{00000000-0008-0000-0A00-000060000000}"/>
            </a:ext>
          </a:extLst>
        </xdr:cNvPr>
        <xdr:cNvSpPr/>
      </xdr:nvSpPr>
      <xdr:spPr>
        <a:xfrm>
          <a:off x="4812030" y="72952610"/>
          <a:ext cx="1093470" cy="15113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7</xdr:col>
      <xdr:colOff>212656</xdr:colOff>
      <xdr:row>435</xdr:row>
      <xdr:rowOff>140918</xdr:rowOff>
    </xdr:from>
    <xdr:ext cx="224509" cy="507924"/>
    <xdr:pic>
      <xdr:nvPicPr>
        <xdr:cNvPr id="97" name="Picture 96">
          <a:extLst>
            <a:ext uri="{FF2B5EF4-FFF2-40B4-BE49-F238E27FC236}">
              <a16:creationId xmlns:a16="http://schemas.microsoft.com/office/drawing/2014/main" id="{00000000-0008-0000-0A00-000061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237990" y="732351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11</xdr:col>
      <xdr:colOff>123265</xdr:colOff>
      <xdr:row>436</xdr:row>
      <xdr:rowOff>11206</xdr:rowOff>
    </xdr:from>
    <xdr:to>
      <xdr:col>11</xdr:col>
      <xdr:colOff>212913</xdr:colOff>
      <xdr:row>436</xdr:row>
      <xdr:rowOff>156883</xdr:rowOff>
    </xdr:to>
    <xdr:sp macro="" textlink="">
      <xdr:nvSpPr>
        <xdr:cNvPr id="98" name="Curved Down Ribbon 1963">
          <a:extLst>
            <a:ext uri="{FF2B5EF4-FFF2-40B4-BE49-F238E27FC236}">
              <a16:creationId xmlns:a16="http://schemas.microsoft.com/office/drawing/2014/main" id="{00000000-0008-0000-0A00-000062000000}"/>
            </a:ext>
          </a:extLst>
        </xdr:cNvPr>
        <xdr:cNvSpPr/>
      </xdr:nvSpPr>
      <xdr:spPr>
        <a:xfrm>
          <a:off x="6155690" y="732739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0</xdr:colOff>
      <xdr:row>434</xdr:row>
      <xdr:rowOff>0</xdr:rowOff>
    </xdr:from>
    <xdr:to>
      <xdr:col>17</xdr:col>
      <xdr:colOff>609261</xdr:colOff>
      <xdr:row>435</xdr:row>
      <xdr:rowOff>95250</xdr:rowOff>
    </xdr:to>
    <xdr:sp macro="" textlink="">
      <xdr:nvSpPr>
        <xdr:cNvPr id="99" name="Isosceles Triangle 98">
          <a:extLst>
            <a:ext uri="{FF2B5EF4-FFF2-40B4-BE49-F238E27FC236}">
              <a16:creationId xmlns:a16="http://schemas.microsoft.com/office/drawing/2014/main" id="{00000000-0008-0000-0A00-000063000000}"/>
            </a:ext>
          </a:extLst>
        </xdr:cNvPr>
        <xdr:cNvSpPr/>
      </xdr:nvSpPr>
      <xdr:spPr>
        <a:xfrm>
          <a:off x="9042400" y="72929750"/>
          <a:ext cx="501650" cy="26035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0</xdr:colOff>
      <xdr:row>437</xdr:row>
      <xdr:rowOff>0</xdr:rowOff>
    </xdr:from>
    <xdr:to>
      <xdr:col>17</xdr:col>
      <xdr:colOff>609261</xdr:colOff>
      <xdr:row>438</xdr:row>
      <xdr:rowOff>81642</xdr:rowOff>
    </xdr:to>
    <xdr:sp macro="" textlink="">
      <xdr:nvSpPr>
        <xdr:cNvPr id="100" name="Isosceles Triangle 99">
          <a:extLst>
            <a:ext uri="{FF2B5EF4-FFF2-40B4-BE49-F238E27FC236}">
              <a16:creationId xmlns:a16="http://schemas.microsoft.com/office/drawing/2014/main" id="{00000000-0008-0000-0A00-000064000000}"/>
            </a:ext>
          </a:extLst>
        </xdr:cNvPr>
        <xdr:cNvSpPr/>
      </xdr:nvSpPr>
      <xdr:spPr>
        <a:xfrm>
          <a:off x="9042400" y="73440925"/>
          <a:ext cx="501650" cy="26543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204108</xdr:colOff>
      <xdr:row>437</xdr:row>
      <xdr:rowOff>95250</xdr:rowOff>
    </xdr:from>
    <xdr:to>
      <xdr:col>17</xdr:col>
      <xdr:colOff>353787</xdr:colOff>
      <xdr:row>438</xdr:row>
      <xdr:rowOff>68035</xdr:rowOff>
    </xdr:to>
    <xdr:sp macro="" textlink="">
      <xdr:nvSpPr>
        <xdr:cNvPr id="101" name="Curved Right Arrow 2121">
          <a:extLst>
            <a:ext uri="{FF2B5EF4-FFF2-40B4-BE49-F238E27FC236}">
              <a16:creationId xmlns:a16="http://schemas.microsoft.com/office/drawing/2014/main" id="{00000000-0008-0000-0A00-000065000000}"/>
            </a:ext>
          </a:extLst>
        </xdr:cNvPr>
        <xdr:cNvSpPr/>
      </xdr:nvSpPr>
      <xdr:spPr>
        <a:xfrm>
          <a:off x="9246235" y="73536175"/>
          <a:ext cx="149860" cy="15684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10</xdr:col>
      <xdr:colOff>244928</xdr:colOff>
      <xdr:row>435</xdr:row>
      <xdr:rowOff>13608</xdr:rowOff>
    </xdr:from>
    <xdr:to>
      <xdr:col>10</xdr:col>
      <xdr:colOff>381000</xdr:colOff>
      <xdr:row>435</xdr:row>
      <xdr:rowOff>149679</xdr:rowOff>
    </xdr:to>
    <xdr:sp macro="" textlink="">
      <xdr:nvSpPr>
        <xdr:cNvPr id="102" name="Flowchart: Connector 101">
          <a:extLst>
            <a:ext uri="{FF2B5EF4-FFF2-40B4-BE49-F238E27FC236}">
              <a16:creationId xmlns:a16="http://schemas.microsoft.com/office/drawing/2014/main" id="{00000000-0008-0000-0A00-000066000000}"/>
            </a:ext>
          </a:extLst>
        </xdr:cNvPr>
        <xdr:cNvSpPr/>
      </xdr:nvSpPr>
      <xdr:spPr>
        <a:xfrm>
          <a:off x="5775325" y="731081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460385</xdr:colOff>
      <xdr:row>434</xdr:row>
      <xdr:rowOff>95250</xdr:rowOff>
    </xdr:from>
    <xdr:to>
      <xdr:col>11</xdr:col>
      <xdr:colOff>217714</xdr:colOff>
      <xdr:row>435</xdr:row>
      <xdr:rowOff>44130</xdr:rowOff>
    </xdr:to>
    <xdr:cxnSp macro="">
      <xdr:nvCxnSpPr>
        <xdr:cNvPr id="103" name="Straight Arrow Connector 102">
          <a:extLst>
            <a:ext uri="{FF2B5EF4-FFF2-40B4-BE49-F238E27FC236}">
              <a16:creationId xmlns:a16="http://schemas.microsoft.com/office/drawing/2014/main" id="{00000000-0008-0000-0A00-000067000000}"/>
            </a:ext>
          </a:extLst>
        </xdr:cNvPr>
        <xdr:cNvCxnSpPr>
          <a:endCxn id="94" idx="5"/>
        </xdr:cNvCxnSpPr>
      </xdr:nvCxnSpPr>
      <xdr:spPr>
        <a:xfrm flipH="1">
          <a:off x="5991225" y="73025000"/>
          <a:ext cx="258445" cy="11366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4572</xdr:colOff>
      <xdr:row>17</xdr:row>
      <xdr:rowOff>78146</xdr:rowOff>
    </xdr:from>
    <xdr:to>
      <xdr:col>3</xdr:col>
      <xdr:colOff>0</xdr:colOff>
      <xdr:row>18</xdr:row>
      <xdr:rowOff>173397</xdr:rowOff>
    </xdr:to>
    <xdr:sp macro="" textlink="">
      <xdr:nvSpPr>
        <xdr:cNvPr id="104" name="Isosceles Triangle 103">
          <a:extLst>
            <a:ext uri="{FF2B5EF4-FFF2-40B4-BE49-F238E27FC236}">
              <a16:creationId xmlns:a16="http://schemas.microsoft.com/office/drawing/2014/main" id="{00000000-0008-0000-0A00-000068000000}"/>
            </a:ext>
          </a:extLst>
        </xdr:cNvPr>
        <xdr:cNvSpPr/>
      </xdr:nvSpPr>
      <xdr:spPr>
        <a:xfrm>
          <a:off x="1287145" y="3183255"/>
          <a:ext cx="497205" cy="248920"/>
        </a:xfrm>
        <a:prstGeom prst="triangle">
          <a:avLst/>
        </a:prstGeom>
        <a:noFill/>
        <a:ln>
          <a:solidFill>
            <a:sysClr val="windowText" lastClr="000000"/>
          </a:solidFill>
        </a:ln>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199</xdr:colOff>
      <xdr:row>444</xdr:row>
      <xdr:rowOff>50269</xdr:rowOff>
    </xdr:from>
    <xdr:to>
      <xdr:col>4</xdr:col>
      <xdr:colOff>109057</xdr:colOff>
      <xdr:row>444</xdr:row>
      <xdr:rowOff>131915</xdr:rowOff>
    </xdr:to>
    <xdr:sp macro="" textlink="">
      <xdr:nvSpPr>
        <xdr:cNvPr id="105" name="Oval 104">
          <a:extLst>
            <a:ext uri="{FF2B5EF4-FFF2-40B4-BE49-F238E27FC236}">
              <a16:creationId xmlns:a16="http://schemas.microsoft.com/office/drawing/2014/main" id="{00000000-0008-0000-0A00-000069000000}"/>
            </a:ext>
          </a:extLst>
        </xdr:cNvPr>
        <xdr:cNvSpPr/>
      </xdr:nvSpPr>
      <xdr:spPr>
        <a:xfrm flipH="1">
          <a:off x="2520950" y="7467536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152599</xdr:colOff>
      <xdr:row>445</xdr:row>
      <xdr:rowOff>45787</xdr:rowOff>
    </xdr:from>
    <xdr:to>
      <xdr:col>4</xdr:col>
      <xdr:colOff>261457</xdr:colOff>
      <xdr:row>445</xdr:row>
      <xdr:rowOff>127433</xdr:rowOff>
    </xdr:to>
    <xdr:sp macro="" textlink="">
      <xdr:nvSpPr>
        <xdr:cNvPr id="106" name="Oval 105">
          <a:extLst>
            <a:ext uri="{FF2B5EF4-FFF2-40B4-BE49-F238E27FC236}">
              <a16:creationId xmlns:a16="http://schemas.microsoft.com/office/drawing/2014/main" id="{00000000-0008-0000-0A00-00006A000000}"/>
            </a:ext>
          </a:extLst>
        </xdr:cNvPr>
        <xdr:cNvSpPr/>
      </xdr:nvSpPr>
      <xdr:spPr>
        <a:xfrm flipH="1">
          <a:off x="2673350" y="7482967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497176</xdr:colOff>
      <xdr:row>41</xdr:row>
      <xdr:rowOff>59003</xdr:rowOff>
    </xdr:from>
    <xdr:to>
      <xdr:col>14</xdr:col>
      <xdr:colOff>492603</xdr:colOff>
      <xdr:row>42</xdr:row>
      <xdr:rowOff>148154</xdr:rowOff>
    </xdr:to>
    <xdr:sp macro="" textlink="">
      <xdr:nvSpPr>
        <xdr:cNvPr id="107" name="Isosceles Triangle 106">
          <a:extLst>
            <a:ext uri="{FF2B5EF4-FFF2-40B4-BE49-F238E27FC236}">
              <a16:creationId xmlns:a16="http://schemas.microsoft.com/office/drawing/2014/main" id="{00000000-0008-0000-0A00-00006B000000}"/>
            </a:ext>
          </a:extLst>
        </xdr:cNvPr>
        <xdr:cNvSpPr/>
      </xdr:nvSpPr>
      <xdr:spPr>
        <a:xfrm>
          <a:off x="7532370" y="7189470"/>
          <a:ext cx="497205" cy="24828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0</xdr:colOff>
      <xdr:row>49</xdr:row>
      <xdr:rowOff>67236</xdr:rowOff>
    </xdr:from>
    <xdr:to>
      <xdr:col>10</xdr:col>
      <xdr:colOff>600546</xdr:colOff>
      <xdr:row>50</xdr:row>
      <xdr:rowOff>162486</xdr:rowOff>
    </xdr:to>
    <xdr:sp macro="" textlink="">
      <xdr:nvSpPr>
        <xdr:cNvPr id="108" name="Isosceles Triangle 107">
          <a:extLst>
            <a:ext uri="{FF2B5EF4-FFF2-40B4-BE49-F238E27FC236}">
              <a16:creationId xmlns:a16="http://schemas.microsoft.com/office/drawing/2014/main" id="{00000000-0008-0000-0A00-00006C000000}"/>
            </a:ext>
          </a:extLst>
        </xdr:cNvPr>
        <xdr:cNvSpPr/>
      </xdr:nvSpPr>
      <xdr:spPr>
        <a:xfrm>
          <a:off x="5530850" y="8537575"/>
          <a:ext cx="501650"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578793</xdr:colOff>
      <xdr:row>556</xdr:row>
      <xdr:rowOff>57736</xdr:rowOff>
    </xdr:from>
    <xdr:to>
      <xdr:col>14</xdr:col>
      <xdr:colOff>116151</xdr:colOff>
      <xdr:row>557</xdr:row>
      <xdr:rowOff>44129</xdr:rowOff>
    </xdr:to>
    <xdr:sp macro="" textlink="">
      <xdr:nvSpPr>
        <xdr:cNvPr id="109" name="Curved Right Arrow 320">
          <a:extLst>
            <a:ext uri="{FF2B5EF4-FFF2-40B4-BE49-F238E27FC236}">
              <a16:creationId xmlns:a16="http://schemas.microsoft.com/office/drawing/2014/main" id="{00000000-0008-0000-0A00-00006D000000}"/>
            </a:ext>
          </a:extLst>
        </xdr:cNvPr>
        <xdr:cNvSpPr/>
      </xdr:nvSpPr>
      <xdr:spPr>
        <a:xfrm>
          <a:off x="7537450" y="92471875"/>
          <a:ext cx="115570"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14</xdr:col>
      <xdr:colOff>118872</xdr:colOff>
      <xdr:row>557</xdr:row>
      <xdr:rowOff>46851</xdr:rowOff>
    </xdr:from>
    <xdr:to>
      <xdr:col>14</xdr:col>
      <xdr:colOff>268551</xdr:colOff>
      <xdr:row>558</xdr:row>
      <xdr:rowOff>33243</xdr:rowOff>
    </xdr:to>
    <xdr:sp macro="" textlink="">
      <xdr:nvSpPr>
        <xdr:cNvPr id="110" name="Curved Right Arrow 321">
          <a:extLst>
            <a:ext uri="{FF2B5EF4-FFF2-40B4-BE49-F238E27FC236}">
              <a16:creationId xmlns:a16="http://schemas.microsoft.com/office/drawing/2014/main" id="{00000000-0008-0000-0A00-00006E000000}"/>
            </a:ext>
          </a:extLst>
        </xdr:cNvPr>
        <xdr:cNvSpPr/>
      </xdr:nvSpPr>
      <xdr:spPr>
        <a:xfrm>
          <a:off x="7656195" y="92619830"/>
          <a:ext cx="149225"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14</xdr:col>
      <xdr:colOff>271272</xdr:colOff>
      <xdr:row>558</xdr:row>
      <xdr:rowOff>35965</xdr:rowOff>
    </xdr:from>
    <xdr:to>
      <xdr:col>14</xdr:col>
      <xdr:colOff>420951</xdr:colOff>
      <xdr:row>559</xdr:row>
      <xdr:rowOff>22357</xdr:rowOff>
    </xdr:to>
    <xdr:sp macro="" textlink="">
      <xdr:nvSpPr>
        <xdr:cNvPr id="111" name="Curved Right Arrow 322">
          <a:extLst>
            <a:ext uri="{FF2B5EF4-FFF2-40B4-BE49-F238E27FC236}">
              <a16:creationId xmlns:a16="http://schemas.microsoft.com/office/drawing/2014/main" id="{00000000-0008-0000-0A00-00006F000000}"/>
            </a:ext>
          </a:extLst>
        </xdr:cNvPr>
        <xdr:cNvSpPr/>
      </xdr:nvSpPr>
      <xdr:spPr>
        <a:xfrm>
          <a:off x="7808595" y="92767785"/>
          <a:ext cx="149225"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16</xdr:col>
      <xdr:colOff>11206</xdr:colOff>
      <xdr:row>41</xdr:row>
      <xdr:rowOff>78441</xdr:rowOff>
    </xdr:from>
    <xdr:to>
      <xdr:col>17</xdr:col>
      <xdr:colOff>6633</xdr:colOff>
      <xdr:row>43</xdr:row>
      <xdr:rowOff>5602</xdr:rowOff>
    </xdr:to>
    <xdr:sp macro="" textlink="">
      <xdr:nvSpPr>
        <xdr:cNvPr id="112" name="Isosceles Triangle 111">
          <a:extLst>
            <a:ext uri="{FF2B5EF4-FFF2-40B4-BE49-F238E27FC236}">
              <a16:creationId xmlns:a16="http://schemas.microsoft.com/office/drawing/2014/main" id="{00000000-0008-0000-0A00-000070000000}"/>
            </a:ext>
          </a:extLst>
        </xdr:cNvPr>
        <xdr:cNvSpPr/>
      </xdr:nvSpPr>
      <xdr:spPr>
        <a:xfrm>
          <a:off x="8551545" y="7209155"/>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52197</xdr:colOff>
      <xdr:row>519</xdr:row>
      <xdr:rowOff>123391</xdr:rowOff>
    </xdr:from>
    <xdr:to>
      <xdr:col>20</xdr:col>
      <xdr:colOff>188269</xdr:colOff>
      <xdr:row>520</xdr:row>
      <xdr:rowOff>92774</xdr:rowOff>
    </xdr:to>
    <xdr:sp macro="" textlink="">
      <xdr:nvSpPr>
        <xdr:cNvPr id="113" name="Flowchart: Connector 112">
          <a:extLst>
            <a:ext uri="{FF2B5EF4-FFF2-40B4-BE49-F238E27FC236}">
              <a16:creationId xmlns:a16="http://schemas.microsoft.com/office/drawing/2014/main" id="{00000000-0008-0000-0A00-000071000000}"/>
            </a:ext>
          </a:extLst>
        </xdr:cNvPr>
        <xdr:cNvSpPr/>
      </xdr:nvSpPr>
      <xdr:spPr>
        <a:xfrm>
          <a:off x="10599420" y="86664165"/>
          <a:ext cx="135890" cy="12827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47434</xdr:colOff>
      <xdr:row>527</xdr:row>
      <xdr:rowOff>142441</xdr:rowOff>
    </xdr:from>
    <xdr:to>
      <xdr:col>18</xdr:col>
      <xdr:colOff>183506</xdr:colOff>
      <xdr:row>528</xdr:row>
      <xdr:rowOff>111824</xdr:rowOff>
    </xdr:to>
    <xdr:sp macro="" textlink="">
      <xdr:nvSpPr>
        <xdr:cNvPr id="114" name="Flowchart: Connector 113">
          <a:extLst>
            <a:ext uri="{FF2B5EF4-FFF2-40B4-BE49-F238E27FC236}">
              <a16:creationId xmlns:a16="http://schemas.microsoft.com/office/drawing/2014/main" id="{00000000-0008-0000-0A00-000072000000}"/>
            </a:ext>
          </a:extLst>
        </xdr:cNvPr>
        <xdr:cNvSpPr/>
      </xdr:nvSpPr>
      <xdr:spPr>
        <a:xfrm>
          <a:off x="9591040" y="87953215"/>
          <a:ext cx="135890" cy="12827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15" name="Isosceles Triangle 114">
          <a:extLst>
            <a:ext uri="{FF2B5EF4-FFF2-40B4-BE49-F238E27FC236}">
              <a16:creationId xmlns:a16="http://schemas.microsoft.com/office/drawing/2014/main" id="{00000000-0008-0000-0A00-00007300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66</xdr:row>
      <xdr:rowOff>78147</xdr:rowOff>
    </xdr:from>
    <xdr:to>
      <xdr:col>7</xdr:col>
      <xdr:colOff>0</xdr:colOff>
      <xdr:row>67</xdr:row>
      <xdr:rowOff>192447</xdr:rowOff>
    </xdr:to>
    <xdr:sp macro="" textlink="">
      <xdr:nvSpPr>
        <xdr:cNvPr id="116" name="Isosceles Triangle 115">
          <a:extLst>
            <a:ext uri="{FF2B5EF4-FFF2-40B4-BE49-F238E27FC236}">
              <a16:creationId xmlns:a16="http://schemas.microsoft.com/office/drawing/2014/main" id="{00000000-0008-0000-0A00-000074000000}"/>
            </a:ext>
          </a:extLst>
        </xdr:cNvPr>
        <xdr:cNvSpPr/>
      </xdr:nvSpPr>
      <xdr:spPr>
        <a:xfrm>
          <a:off x="35286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66</xdr:row>
      <xdr:rowOff>78147</xdr:rowOff>
    </xdr:from>
    <xdr:to>
      <xdr:col>9</xdr:col>
      <xdr:colOff>0</xdr:colOff>
      <xdr:row>67</xdr:row>
      <xdr:rowOff>192447</xdr:rowOff>
    </xdr:to>
    <xdr:sp macro="" textlink="">
      <xdr:nvSpPr>
        <xdr:cNvPr id="117" name="Isosceles Triangle 116">
          <a:extLst>
            <a:ext uri="{FF2B5EF4-FFF2-40B4-BE49-F238E27FC236}">
              <a16:creationId xmlns:a16="http://schemas.microsoft.com/office/drawing/2014/main" id="{00000000-0008-0000-0A00-000075000000}"/>
            </a:ext>
          </a:extLst>
        </xdr:cNvPr>
        <xdr:cNvSpPr/>
      </xdr:nvSpPr>
      <xdr:spPr>
        <a:xfrm>
          <a:off x="45319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66</xdr:row>
      <xdr:rowOff>78147</xdr:rowOff>
    </xdr:from>
    <xdr:to>
      <xdr:col>13</xdr:col>
      <xdr:colOff>0</xdr:colOff>
      <xdr:row>67</xdr:row>
      <xdr:rowOff>192447</xdr:rowOff>
    </xdr:to>
    <xdr:sp macro="" textlink="">
      <xdr:nvSpPr>
        <xdr:cNvPr id="118" name="Isosceles Triangle 117">
          <a:extLst>
            <a:ext uri="{FF2B5EF4-FFF2-40B4-BE49-F238E27FC236}">
              <a16:creationId xmlns:a16="http://schemas.microsoft.com/office/drawing/2014/main" id="{00000000-0008-0000-0A00-000076000000}"/>
            </a:ext>
          </a:extLst>
        </xdr:cNvPr>
        <xdr:cNvSpPr/>
      </xdr:nvSpPr>
      <xdr:spPr>
        <a:xfrm>
          <a:off x="65385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66</xdr:row>
      <xdr:rowOff>78147</xdr:rowOff>
    </xdr:from>
    <xdr:to>
      <xdr:col>15</xdr:col>
      <xdr:colOff>0</xdr:colOff>
      <xdr:row>67</xdr:row>
      <xdr:rowOff>192447</xdr:rowOff>
    </xdr:to>
    <xdr:sp macro="" textlink="">
      <xdr:nvSpPr>
        <xdr:cNvPr id="119" name="Isosceles Triangle 118">
          <a:extLst>
            <a:ext uri="{FF2B5EF4-FFF2-40B4-BE49-F238E27FC236}">
              <a16:creationId xmlns:a16="http://schemas.microsoft.com/office/drawing/2014/main" id="{00000000-0008-0000-0A00-000077000000}"/>
            </a:ext>
          </a:extLst>
        </xdr:cNvPr>
        <xdr:cNvSpPr/>
      </xdr:nvSpPr>
      <xdr:spPr>
        <a:xfrm>
          <a:off x="75418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120" name="Isosceles Triangle 119">
          <a:extLst>
            <a:ext uri="{FF2B5EF4-FFF2-40B4-BE49-F238E27FC236}">
              <a16:creationId xmlns:a16="http://schemas.microsoft.com/office/drawing/2014/main" id="{00000000-0008-0000-0A00-000078000000}"/>
            </a:ext>
          </a:extLst>
        </xdr:cNvPr>
        <xdr:cNvSpPr/>
      </xdr:nvSpPr>
      <xdr:spPr>
        <a:xfrm>
          <a:off x="85451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121" name="Isosceles Triangle 120">
          <a:extLst>
            <a:ext uri="{FF2B5EF4-FFF2-40B4-BE49-F238E27FC236}">
              <a16:creationId xmlns:a16="http://schemas.microsoft.com/office/drawing/2014/main" id="{00000000-0008-0000-0A00-000079000000}"/>
            </a:ext>
          </a:extLst>
        </xdr:cNvPr>
        <xdr:cNvSpPr/>
      </xdr:nvSpPr>
      <xdr:spPr>
        <a:xfrm>
          <a:off x="105517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22" name="Isosceles Triangle 121">
          <a:extLst>
            <a:ext uri="{FF2B5EF4-FFF2-40B4-BE49-F238E27FC236}">
              <a16:creationId xmlns:a16="http://schemas.microsoft.com/office/drawing/2014/main" id="{00000000-0008-0000-0A00-00007A00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66</xdr:row>
      <xdr:rowOff>78147</xdr:rowOff>
    </xdr:from>
    <xdr:to>
      <xdr:col>5</xdr:col>
      <xdr:colOff>0</xdr:colOff>
      <xdr:row>67</xdr:row>
      <xdr:rowOff>192447</xdr:rowOff>
    </xdr:to>
    <xdr:sp macro="" textlink="">
      <xdr:nvSpPr>
        <xdr:cNvPr id="123" name="Isosceles Triangle 122">
          <a:extLst>
            <a:ext uri="{FF2B5EF4-FFF2-40B4-BE49-F238E27FC236}">
              <a16:creationId xmlns:a16="http://schemas.microsoft.com/office/drawing/2014/main" id="{00000000-0008-0000-0A00-00007B000000}"/>
            </a:ext>
          </a:extLst>
        </xdr:cNvPr>
        <xdr:cNvSpPr/>
      </xdr:nvSpPr>
      <xdr:spPr>
        <a:xfrm>
          <a:off x="25253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24" name="Isosceles Triangle 123">
          <a:extLst>
            <a:ext uri="{FF2B5EF4-FFF2-40B4-BE49-F238E27FC236}">
              <a16:creationId xmlns:a16="http://schemas.microsoft.com/office/drawing/2014/main" id="{00000000-0008-0000-0A00-00007C000000}"/>
            </a:ext>
          </a:extLst>
        </xdr:cNvPr>
        <xdr:cNvSpPr/>
      </xdr:nvSpPr>
      <xdr:spPr>
        <a:xfrm>
          <a:off x="128714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125" name="Isosceles Triangle 124">
          <a:extLst>
            <a:ext uri="{FF2B5EF4-FFF2-40B4-BE49-F238E27FC236}">
              <a16:creationId xmlns:a16="http://schemas.microsoft.com/office/drawing/2014/main" id="{00000000-0008-0000-0A00-00007D000000}"/>
            </a:ext>
          </a:extLst>
        </xdr:cNvPr>
        <xdr:cNvSpPr/>
      </xdr:nvSpPr>
      <xdr:spPr>
        <a:xfrm>
          <a:off x="85451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66</xdr:row>
      <xdr:rowOff>78147</xdr:rowOff>
    </xdr:from>
    <xdr:to>
      <xdr:col>19</xdr:col>
      <xdr:colOff>0</xdr:colOff>
      <xdr:row>67</xdr:row>
      <xdr:rowOff>192447</xdr:rowOff>
    </xdr:to>
    <xdr:sp macro="" textlink="">
      <xdr:nvSpPr>
        <xdr:cNvPr id="126" name="Isosceles Triangle 125">
          <a:extLst>
            <a:ext uri="{FF2B5EF4-FFF2-40B4-BE49-F238E27FC236}">
              <a16:creationId xmlns:a16="http://schemas.microsoft.com/office/drawing/2014/main" id="{00000000-0008-0000-0A00-00007E000000}"/>
            </a:ext>
          </a:extLst>
        </xdr:cNvPr>
        <xdr:cNvSpPr/>
      </xdr:nvSpPr>
      <xdr:spPr>
        <a:xfrm>
          <a:off x="95484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27" name="Isosceles Triangle 126">
          <a:extLst>
            <a:ext uri="{FF2B5EF4-FFF2-40B4-BE49-F238E27FC236}">
              <a16:creationId xmlns:a16="http://schemas.microsoft.com/office/drawing/2014/main" id="{00000000-0008-0000-0A00-00007F000000}"/>
            </a:ext>
          </a:extLst>
        </xdr:cNvPr>
        <xdr:cNvSpPr/>
      </xdr:nvSpPr>
      <xdr:spPr>
        <a:xfrm>
          <a:off x="128714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75</xdr:row>
      <xdr:rowOff>78147</xdr:rowOff>
    </xdr:from>
    <xdr:to>
      <xdr:col>7</xdr:col>
      <xdr:colOff>0</xdr:colOff>
      <xdr:row>76</xdr:row>
      <xdr:rowOff>192447</xdr:rowOff>
    </xdr:to>
    <xdr:sp macro="" textlink="">
      <xdr:nvSpPr>
        <xdr:cNvPr id="128" name="Isosceles Triangle 127">
          <a:extLst>
            <a:ext uri="{FF2B5EF4-FFF2-40B4-BE49-F238E27FC236}">
              <a16:creationId xmlns:a16="http://schemas.microsoft.com/office/drawing/2014/main" id="{00000000-0008-0000-0A00-000080000000}"/>
            </a:ext>
          </a:extLst>
        </xdr:cNvPr>
        <xdr:cNvSpPr/>
      </xdr:nvSpPr>
      <xdr:spPr>
        <a:xfrm>
          <a:off x="35286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75</xdr:row>
      <xdr:rowOff>78147</xdr:rowOff>
    </xdr:from>
    <xdr:to>
      <xdr:col>9</xdr:col>
      <xdr:colOff>0</xdr:colOff>
      <xdr:row>76</xdr:row>
      <xdr:rowOff>192447</xdr:rowOff>
    </xdr:to>
    <xdr:sp macro="" textlink="">
      <xdr:nvSpPr>
        <xdr:cNvPr id="129" name="Isosceles Triangle 128">
          <a:extLst>
            <a:ext uri="{FF2B5EF4-FFF2-40B4-BE49-F238E27FC236}">
              <a16:creationId xmlns:a16="http://schemas.microsoft.com/office/drawing/2014/main" id="{00000000-0008-0000-0A00-000081000000}"/>
            </a:ext>
          </a:extLst>
        </xdr:cNvPr>
        <xdr:cNvSpPr/>
      </xdr:nvSpPr>
      <xdr:spPr>
        <a:xfrm>
          <a:off x="45319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75</xdr:row>
      <xdr:rowOff>78147</xdr:rowOff>
    </xdr:from>
    <xdr:to>
      <xdr:col>11</xdr:col>
      <xdr:colOff>0</xdr:colOff>
      <xdr:row>76</xdr:row>
      <xdr:rowOff>192447</xdr:rowOff>
    </xdr:to>
    <xdr:sp macro="" textlink="">
      <xdr:nvSpPr>
        <xdr:cNvPr id="130" name="Isosceles Triangle 129">
          <a:extLst>
            <a:ext uri="{FF2B5EF4-FFF2-40B4-BE49-F238E27FC236}">
              <a16:creationId xmlns:a16="http://schemas.microsoft.com/office/drawing/2014/main" id="{00000000-0008-0000-0A00-000082000000}"/>
            </a:ext>
          </a:extLst>
        </xdr:cNvPr>
        <xdr:cNvSpPr/>
      </xdr:nvSpPr>
      <xdr:spPr>
        <a:xfrm>
          <a:off x="55352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75</xdr:row>
      <xdr:rowOff>78147</xdr:rowOff>
    </xdr:from>
    <xdr:to>
      <xdr:col>13</xdr:col>
      <xdr:colOff>0</xdr:colOff>
      <xdr:row>76</xdr:row>
      <xdr:rowOff>192447</xdr:rowOff>
    </xdr:to>
    <xdr:sp macro="" textlink="">
      <xdr:nvSpPr>
        <xdr:cNvPr id="131" name="Isosceles Triangle 130">
          <a:extLst>
            <a:ext uri="{FF2B5EF4-FFF2-40B4-BE49-F238E27FC236}">
              <a16:creationId xmlns:a16="http://schemas.microsoft.com/office/drawing/2014/main" id="{00000000-0008-0000-0A00-000083000000}"/>
            </a:ext>
          </a:extLst>
        </xdr:cNvPr>
        <xdr:cNvSpPr/>
      </xdr:nvSpPr>
      <xdr:spPr>
        <a:xfrm>
          <a:off x="65385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132" name="Isosceles Triangle 131">
          <a:extLst>
            <a:ext uri="{FF2B5EF4-FFF2-40B4-BE49-F238E27FC236}">
              <a16:creationId xmlns:a16="http://schemas.microsoft.com/office/drawing/2014/main" id="{00000000-0008-0000-0A00-000084000000}"/>
            </a:ext>
          </a:extLst>
        </xdr:cNvPr>
        <xdr:cNvSpPr/>
      </xdr:nvSpPr>
      <xdr:spPr>
        <a:xfrm>
          <a:off x="75418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133" name="Isosceles Triangle 132">
          <a:extLst>
            <a:ext uri="{FF2B5EF4-FFF2-40B4-BE49-F238E27FC236}">
              <a16:creationId xmlns:a16="http://schemas.microsoft.com/office/drawing/2014/main" id="{00000000-0008-0000-0A00-000085000000}"/>
            </a:ext>
          </a:extLst>
        </xdr:cNvPr>
        <xdr:cNvSpPr/>
      </xdr:nvSpPr>
      <xdr:spPr>
        <a:xfrm>
          <a:off x="85451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134" name="Isosceles Triangle 133">
          <a:extLst>
            <a:ext uri="{FF2B5EF4-FFF2-40B4-BE49-F238E27FC236}">
              <a16:creationId xmlns:a16="http://schemas.microsoft.com/office/drawing/2014/main" id="{00000000-0008-0000-0A00-000086000000}"/>
            </a:ext>
          </a:extLst>
        </xdr:cNvPr>
        <xdr:cNvSpPr/>
      </xdr:nvSpPr>
      <xdr:spPr>
        <a:xfrm>
          <a:off x="105517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35" name="Isosceles Triangle 134">
          <a:extLst>
            <a:ext uri="{FF2B5EF4-FFF2-40B4-BE49-F238E27FC236}">
              <a16:creationId xmlns:a16="http://schemas.microsoft.com/office/drawing/2014/main" id="{00000000-0008-0000-0A00-000087000000}"/>
            </a:ext>
          </a:extLst>
        </xdr:cNvPr>
        <xdr:cNvSpPr/>
      </xdr:nvSpPr>
      <xdr:spPr>
        <a:xfrm>
          <a:off x="128714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75</xdr:row>
      <xdr:rowOff>78147</xdr:rowOff>
    </xdr:from>
    <xdr:to>
      <xdr:col>5</xdr:col>
      <xdr:colOff>0</xdr:colOff>
      <xdr:row>76</xdr:row>
      <xdr:rowOff>192447</xdr:rowOff>
    </xdr:to>
    <xdr:sp macro="" textlink="">
      <xdr:nvSpPr>
        <xdr:cNvPr id="136" name="Isosceles Triangle 135">
          <a:extLst>
            <a:ext uri="{FF2B5EF4-FFF2-40B4-BE49-F238E27FC236}">
              <a16:creationId xmlns:a16="http://schemas.microsoft.com/office/drawing/2014/main" id="{00000000-0008-0000-0A00-000088000000}"/>
            </a:ext>
          </a:extLst>
        </xdr:cNvPr>
        <xdr:cNvSpPr/>
      </xdr:nvSpPr>
      <xdr:spPr>
        <a:xfrm>
          <a:off x="25253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37" name="Isosceles Triangle 136">
          <a:extLst>
            <a:ext uri="{FF2B5EF4-FFF2-40B4-BE49-F238E27FC236}">
              <a16:creationId xmlns:a16="http://schemas.microsoft.com/office/drawing/2014/main" id="{00000000-0008-0000-0A00-000089000000}"/>
            </a:ext>
          </a:extLst>
        </xdr:cNvPr>
        <xdr:cNvSpPr/>
      </xdr:nvSpPr>
      <xdr:spPr>
        <a:xfrm>
          <a:off x="128714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138" name="Isosceles Triangle 137">
          <a:extLst>
            <a:ext uri="{FF2B5EF4-FFF2-40B4-BE49-F238E27FC236}">
              <a16:creationId xmlns:a16="http://schemas.microsoft.com/office/drawing/2014/main" id="{00000000-0008-0000-0A00-00008A000000}"/>
            </a:ext>
          </a:extLst>
        </xdr:cNvPr>
        <xdr:cNvSpPr/>
      </xdr:nvSpPr>
      <xdr:spPr>
        <a:xfrm>
          <a:off x="85451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75</xdr:row>
      <xdr:rowOff>78147</xdr:rowOff>
    </xdr:from>
    <xdr:to>
      <xdr:col>19</xdr:col>
      <xdr:colOff>0</xdr:colOff>
      <xdr:row>76</xdr:row>
      <xdr:rowOff>192447</xdr:rowOff>
    </xdr:to>
    <xdr:sp macro="" textlink="">
      <xdr:nvSpPr>
        <xdr:cNvPr id="139" name="Isosceles Triangle 138">
          <a:extLst>
            <a:ext uri="{FF2B5EF4-FFF2-40B4-BE49-F238E27FC236}">
              <a16:creationId xmlns:a16="http://schemas.microsoft.com/office/drawing/2014/main" id="{00000000-0008-0000-0A00-00008B000000}"/>
            </a:ext>
          </a:extLst>
        </xdr:cNvPr>
        <xdr:cNvSpPr/>
      </xdr:nvSpPr>
      <xdr:spPr>
        <a:xfrm>
          <a:off x="95484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40" name="Isosceles Triangle 139">
          <a:extLst>
            <a:ext uri="{FF2B5EF4-FFF2-40B4-BE49-F238E27FC236}">
              <a16:creationId xmlns:a16="http://schemas.microsoft.com/office/drawing/2014/main" id="{00000000-0008-0000-0A00-00008C000000}"/>
            </a:ext>
          </a:extLst>
        </xdr:cNvPr>
        <xdr:cNvSpPr/>
      </xdr:nvSpPr>
      <xdr:spPr>
        <a:xfrm>
          <a:off x="128714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84</xdr:row>
      <xdr:rowOff>78147</xdr:rowOff>
    </xdr:from>
    <xdr:to>
      <xdr:col>7</xdr:col>
      <xdr:colOff>0</xdr:colOff>
      <xdr:row>85</xdr:row>
      <xdr:rowOff>192447</xdr:rowOff>
    </xdr:to>
    <xdr:sp macro="" textlink="">
      <xdr:nvSpPr>
        <xdr:cNvPr id="141" name="Isosceles Triangle 140">
          <a:extLst>
            <a:ext uri="{FF2B5EF4-FFF2-40B4-BE49-F238E27FC236}">
              <a16:creationId xmlns:a16="http://schemas.microsoft.com/office/drawing/2014/main" id="{00000000-0008-0000-0A00-00008D000000}"/>
            </a:ext>
          </a:extLst>
        </xdr:cNvPr>
        <xdr:cNvSpPr/>
      </xdr:nvSpPr>
      <xdr:spPr>
        <a:xfrm>
          <a:off x="35286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84</xdr:row>
      <xdr:rowOff>78147</xdr:rowOff>
    </xdr:from>
    <xdr:to>
      <xdr:col>9</xdr:col>
      <xdr:colOff>0</xdr:colOff>
      <xdr:row>85</xdr:row>
      <xdr:rowOff>192447</xdr:rowOff>
    </xdr:to>
    <xdr:sp macro="" textlink="">
      <xdr:nvSpPr>
        <xdr:cNvPr id="142" name="Isosceles Triangle 141">
          <a:extLst>
            <a:ext uri="{FF2B5EF4-FFF2-40B4-BE49-F238E27FC236}">
              <a16:creationId xmlns:a16="http://schemas.microsoft.com/office/drawing/2014/main" id="{00000000-0008-0000-0A00-00008E000000}"/>
            </a:ext>
          </a:extLst>
        </xdr:cNvPr>
        <xdr:cNvSpPr/>
      </xdr:nvSpPr>
      <xdr:spPr>
        <a:xfrm>
          <a:off x="45319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84</xdr:row>
      <xdr:rowOff>78147</xdr:rowOff>
    </xdr:from>
    <xdr:to>
      <xdr:col>11</xdr:col>
      <xdr:colOff>0</xdr:colOff>
      <xdr:row>85</xdr:row>
      <xdr:rowOff>192447</xdr:rowOff>
    </xdr:to>
    <xdr:sp macro="" textlink="">
      <xdr:nvSpPr>
        <xdr:cNvPr id="143" name="Isosceles Triangle 142">
          <a:extLst>
            <a:ext uri="{FF2B5EF4-FFF2-40B4-BE49-F238E27FC236}">
              <a16:creationId xmlns:a16="http://schemas.microsoft.com/office/drawing/2014/main" id="{00000000-0008-0000-0A00-00008F000000}"/>
            </a:ext>
          </a:extLst>
        </xdr:cNvPr>
        <xdr:cNvSpPr/>
      </xdr:nvSpPr>
      <xdr:spPr>
        <a:xfrm>
          <a:off x="55352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84</xdr:row>
      <xdr:rowOff>78147</xdr:rowOff>
    </xdr:from>
    <xdr:to>
      <xdr:col>13</xdr:col>
      <xdr:colOff>0</xdr:colOff>
      <xdr:row>85</xdr:row>
      <xdr:rowOff>192447</xdr:rowOff>
    </xdr:to>
    <xdr:sp macro="" textlink="">
      <xdr:nvSpPr>
        <xdr:cNvPr id="144" name="Isosceles Triangle 143">
          <a:extLst>
            <a:ext uri="{FF2B5EF4-FFF2-40B4-BE49-F238E27FC236}">
              <a16:creationId xmlns:a16="http://schemas.microsoft.com/office/drawing/2014/main" id="{00000000-0008-0000-0A00-000090000000}"/>
            </a:ext>
          </a:extLst>
        </xdr:cNvPr>
        <xdr:cNvSpPr/>
      </xdr:nvSpPr>
      <xdr:spPr>
        <a:xfrm>
          <a:off x="65385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84</xdr:row>
      <xdr:rowOff>78147</xdr:rowOff>
    </xdr:from>
    <xdr:to>
      <xdr:col>15</xdr:col>
      <xdr:colOff>0</xdr:colOff>
      <xdr:row>85</xdr:row>
      <xdr:rowOff>192447</xdr:rowOff>
    </xdr:to>
    <xdr:sp macro="" textlink="">
      <xdr:nvSpPr>
        <xdr:cNvPr id="145" name="Isosceles Triangle 144">
          <a:extLst>
            <a:ext uri="{FF2B5EF4-FFF2-40B4-BE49-F238E27FC236}">
              <a16:creationId xmlns:a16="http://schemas.microsoft.com/office/drawing/2014/main" id="{00000000-0008-0000-0A00-000091000000}"/>
            </a:ext>
          </a:extLst>
        </xdr:cNvPr>
        <xdr:cNvSpPr/>
      </xdr:nvSpPr>
      <xdr:spPr>
        <a:xfrm>
          <a:off x="75418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84</xdr:row>
      <xdr:rowOff>90053</xdr:rowOff>
    </xdr:from>
    <xdr:to>
      <xdr:col>17</xdr:col>
      <xdr:colOff>0</xdr:colOff>
      <xdr:row>86</xdr:row>
      <xdr:rowOff>18616</xdr:rowOff>
    </xdr:to>
    <xdr:sp macro="" textlink="">
      <xdr:nvSpPr>
        <xdr:cNvPr id="146" name="Isosceles Triangle 145">
          <a:extLst>
            <a:ext uri="{FF2B5EF4-FFF2-40B4-BE49-F238E27FC236}">
              <a16:creationId xmlns:a16="http://schemas.microsoft.com/office/drawing/2014/main" id="{00000000-0008-0000-0A00-000092000000}"/>
            </a:ext>
          </a:extLst>
        </xdr:cNvPr>
        <xdr:cNvSpPr/>
      </xdr:nvSpPr>
      <xdr:spPr>
        <a:xfrm>
          <a:off x="8545195" y="14411960"/>
          <a:ext cx="497205" cy="255905"/>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147" name="Isosceles Triangle 146">
          <a:extLst>
            <a:ext uri="{FF2B5EF4-FFF2-40B4-BE49-F238E27FC236}">
              <a16:creationId xmlns:a16="http://schemas.microsoft.com/office/drawing/2014/main" id="{00000000-0008-0000-0A00-000093000000}"/>
            </a:ext>
          </a:extLst>
        </xdr:cNvPr>
        <xdr:cNvSpPr/>
      </xdr:nvSpPr>
      <xdr:spPr>
        <a:xfrm>
          <a:off x="105517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48" name="Isosceles Triangle 147">
          <a:extLst>
            <a:ext uri="{FF2B5EF4-FFF2-40B4-BE49-F238E27FC236}">
              <a16:creationId xmlns:a16="http://schemas.microsoft.com/office/drawing/2014/main" id="{00000000-0008-0000-0A00-000094000000}"/>
            </a:ext>
          </a:extLst>
        </xdr:cNvPr>
        <xdr:cNvSpPr/>
      </xdr:nvSpPr>
      <xdr:spPr>
        <a:xfrm>
          <a:off x="128714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84</xdr:row>
      <xdr:rowOff>78147</xdr:rowOff>
    </xdr:from>
    <xdr:to>
      <xdr:col>5</xdr:col>
      <xdr:colOff>0</xdr:colOff>
      <xdr:row>85</xdr:row>
      <xdr:rowOff>192447</xdr:rowOff>
    </xdr:to>
    <xdr:sp macro="" textlink="">
      <xdr:nvSpPr>
        <xdr:cNvPr id="149" name="Isosceles Triangle 148">
          <a:extLst>
            <a:ext uri="{FF2B5EF4-FFF2-40B4-BE49-F238E27FC236}">
              <a16:creationId xmlns:a16="http://schemas.microsoft.com/office/drawing/2014/main" id="{00000000-0008-0000-0A00-000095000000}"/>
            </a:ext>
          </a:extLst>
        </xdr:cNvPr>
        <xdr:cNvSpPr/>
      </xdr:nvSpPr>
      <xdr:spPr>
        <a:xfrm>
          <a:off x="25253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50" name="Isosceles Triangle 149">
          <a:extLst>
            <a:ext uri="{FF2B5EF4-FFF2-40B4-BE49-F238E27FC236}">
              <a16:creationId xmlns:a16="http://schemas.microsoft.com/office/drawing/2014/main" id="{00000000-0008-0000-0A00-000096000000}"/>
            </a:ext>
          </a:extLst>
        </xdr:cNvPr>
        <xdr:cNvSpPr/>
      </xdr:nvSpPr>
      <xdr:spPr>
        <a:xfrm>
          <a:off x="128714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84</xdr:row>
      <xdr:rowOff>78147</xdr:rowOff>
    </xdr:from>
    <xdr:to>
      <xdr:col>17</xdr:col>
      <xdr:colOff>0</xdr:colOff>
      <xdr:row>85</xdr:row>
      <xdr:rowOff>192447</xdr:rowOff>
    </xdr:to>
    <xdr:sp macro="" textlink="">
      <xdr:nvSpPr>
        <xdr:cNvPr id="151" name="Isosceles Triangle 150">
          <a:extLst>
            <a:ext uri="{FF2B5EF4-FFF2-40B4-BE49-F238E27FC236}">
              <a16:creationId xmlns:a16="http://schemas.microsoft.com/office/drawing/2014/main" id="{00000000-0008-0000-0A00-000097000000}"/>
            </a:ext>
          </a:extLst>
        </xdr:cNvPr>
        <xdr:cNvSpPr/>
      </xdr:nvSpPr>
      <xdr:spPr>
        <a:xfrm>
          <a:off x="85451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84</xdr:row>
      <xdr:rowOff>78147</xdr:rowOff>
    </xdr:from>
    <xdr:to>
      <xdr:col>19</xdr:col>
      <xdr:colOff>0</xdr:colOff>
      <xdr:row>85</xdr:row>
      <xdr:rowOff>192447</xdr:rowOff>
    </xdr:to>
    <xdr:sp macro="" textlink="">
      <xdr:nvSpPr>
        <xdr:cNvPr id="152" name="Isosceles Triangle 151">
          <a:extLst>
            <a:ext uri="{FF2B5EF4-FFF2-40B4-BE49-F238E27FC236}">
              <a16:creationId xmlns:a16="http://schemas.microsoft.com/office/drawing/2014/main" id="{00000000-0008-0000-0A00-000098000000}"/>
            </a:ext>
          </a:extLst>
        </xdr:cNvPr>
        <xdr:cNvSpPr/>
      </xdr:nvSpPr>
      <xdr:spPr>
        <a:xfrm>
          <a:off x="95484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53" name="Isosceles Triangle 152">
          <a:extLst>
            <a:ext uri="{FF2B5EF4-FFF2-40B4-BE49-F238E27FC236}">
              <a16:creationId xmlns:a16="http://schemas.microsoft.com/office/drawing/2014/main" id="{00000000-0008-0000-0A00-000099000000}"/>
            </a:ext>
          </a:extLst>
        </xdr:cNvPr>
        <xdr:cNvSpPr/>
      </xdr:nvSpPr>
      <xdr:spPr>
        <a:xfrm>
          <a:off x="128714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93</xdr:row>
      <xdr:rowOff>78147</xdr:rowOff>
    </xdr:from>
    <xdr:to>
      <xdr:col>7</xdr:col>
      <xdr:colOff>0</xdr:colOff>
      <xdr:row>94</xdr:row>
      <xdr:rowOff>192447</xdr:rowOff>
    </xdr:to>
    <xdr:sp macro="" textlink="">
      <xdr:nvSpPr>
        <xdr:cNvPr id="154" name="Isosceles Triangle 153">
          <a:extLst>
            <a:ext uri="{FF2B5EF4-FFF2-40B4-BE49-F238E27FC236}">
              <a16:creationId xmlns:a16="http://schemas.microsoft.com/office/drawing/2014/main" id="{00000000-0008-0000-0A00-00009A000000}"/>
            </a:ext>
          </a:extLst>
        </xdr:cNvPr>
        <xdr:cNvSpPr/>
      </xdr:nvSpPr>
      <xdr:spPr>
        <a:xfrm>
          <a:off x="35286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93</xdr:row>
      <xdr:rowOff>78147</xdr:rowOff>
    </xdr:from>
    <xdr:to>
      <xdr:col>9</xdr:col>
      <xdr:colOff>0</xdr:colOff>
      <xdr:row>94</xdr:row>
      <xdr:rowOff>192447</xdr:rowOff>
    </xdr:to>
    <xdr:sp macro="" textlink="">
      <xdr:nvSpPr>
        <xdr:cNvPr id="155" name="Isosceles Triangle 154">
          <a:extLst>
            <a:ext uri="{FF2B5EF4-FFF2-40B4-BE49-F238E27FC236}">
              <a16:creationId xmlns:a16="http://schemas.microsoft.com/office/drawing/2014/main" id="{00000000-0008-0000-0A00-00009B000000}"/>
            </a:ext>
          </a:extLst>
        </xdr:cNvPr>
        <xdr:cNvSpPr/>
      </xdr:nvSpPr>
      <xdr:spPr>
        <a:xfrm>
          <a:off x="45319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93</xdr:row>
      <xdr:rowOff>78147</xdr:rowOff>
    </xdr:from>
    <xdr:to>
      <xdr:col>11</xdr:col>
      <xdr:colOff>0</xdr:colOff>
      <xdr:row>94</xdr:row>
      <xdr:rowOff>192447</xdr:rowOff>
    </xdr:to>
    <xdr:sp macro="" textlink="">
      <xdr:nvSpPr>
        <xdr:cNvPr id="156" name="Isosceles Triangle 155">
          <a:extLst>
            <a:ext uri="{FF2B5EF4-FFF2-40B4-BE49-F238E27FC236}">
              <a16:creationId xmlns:a16="http://schemas.microsoft.com/office/drawing/2014/main" id="{00000000-0008-0000-0A00-00009C000000}"/>
            </a:ext>
          </a:extLst>
        </xdr:cNvPr>
        <xdr:cNvSpPr/>
      </xdr:nvSpPr>
      <xdr:spPr>
        <a:xfrm>
          <a:off x="55352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93</xdr:row>
      <xdr:rowOff>78147</xdr:rowOff>
    </xdr:from>
    <xdr:to>
      <xdr:col>13</xdr:col>
      <xdr:colOff>0</xdr:colOff>
      <xdr:row>94</xdr:row>
      <xdr:rowOff>192447</xdr:rowOff>
    </xdr:to>
    <xdr:sp macro="" textlink="">
      <xdr:nvSpPr>
        <xdr:cNvPr id="157" name="Isosceles Triangle 156">
          <a:extLst>
            <a:ext uri="{FF2B5EF4-FFF2-40B4-BE49-F238E27FC236}">
              <a16:creationId xmlns:a16="http://schemas.microsoft.com/office/drawing/2014/main" id="{00000000-0008-0000-0A00-00009D000000}"/>
            </a:ext>
          </a:extLst>
        </xdr:cNvPr>
        <xdr:cNvSpPr/>
      </xdr:nvSpPr>
      <xdr:spPr>
        <a:xfrm>
          <a:off x="65385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93</xdr:row>
      <xdr:rowOff>78147</xdr:rowOff>
    </xdr:from>
    <xdr:to>
      <xdr:col>15</xdr:col>
      <xdr:colOff>0</xdr:colOff>
      <xdr:row>94</xdr:row>
      <xdr:rowOff>192447</xdr:rowOff>
    </xdr:to>
    <xdr:sp macro="" textlink="">
      <xdr:nvSpPr>
        <xdr:cNvPr id="158" name="Isosceles Triangle 157">
          <a:extLst>
            <a:ext uri="{FF2B5EF4-FFF2-40B4-BE49-F238E27FC236}">
              <a16:creationId xmlns:a16="http://schemas.microsoft.com/office/drawing/2014/main" id="{00000000-0008-0000-0A00-00009E000000}"/>
            </a:ext>
          </a:extLst>
        </xdr:cNvPr>
        <xdr:cNvSpPr/>
      </xdr:nvSpPr>
      <xdr:spPr>
        <a:xfrm>
          <a:off x="75418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159" name="Isosceles Triangle 158">
          <a:extLst>
            <a:ext uri="{FF2B5EF4-FFF2-40B4-BE49-F238E27FC236}">
              <a16:creationId xmlns:a16="http://schemas.microsoft.com/office/drawing/2014/main" id="{00000000-0008-0000-0A00-00009F000000}"/>
            </a:ext>
          </a:extLst>
        </xdr:cNvPr>
        <xdr:cNvSpPr/>
      </xdr:nvSpPr>
      <xdr:spPr>
        <a:xfrm>
          <a:off x="854519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160" name="Isosceles Triangle 159">
          <a:extLst>
            <a:ext uri="{FF2B5EF4-FFF2-40B4-BE49-F238E27FC236}">
              <a16:creationId xmlns:a16="http://schemas.microsoft.com/office/drawing/2014/main" id="{00000000-0008-0000-0A00-0000A0000000}"/>
            </a:ext>
          </a:extLst>
        </xdr:cNvPr>
        <xdr:cNvSpPr/>
      </xdr:nvSpPr>
      <xdr:spPr>
        <a:xfrm>
          <a:off x="105517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61" name="Isosceles Triangle 160">
          <a:extLst>
            <a:ext uri="{FF2B5EF4-FFF2-40B4-BE49-F238E27FC236}">
              <a16:creationId xmlns:a16="http://schemas.microsoft.com/office/drawing/2014/main" id="{00000000-0008-0000-0A00-0000A1000000}"/>
            </a:ext>
          </a:extLst>
        </xdr:cNvPr>
        <xdr:cNvSpPr/>
      </xdr:nvSpPr>
      <xdr:spPr>
        <a:xfrm>
          <a:off x="128714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93</xdr:row>
      <xdr:rowOff>78147</xdr:rowOff>
    </xdr:from>
    <xdr:to>
      <xdr:col>5</xdr:col>
      <xdr:colOff>0</xdr:colOff>
      <xdr:row>94</xdr:row>
      <xdr:rowOff>192447</xdr:rowOff>
    </xdr:to>
    <xdr:sp macro="" textlink="">
      <xdr:nvSpPr>
        <xdr:cNvPr id="162" name="Isosceles Triangle 161">
          <a:extLst>
            <a:ext uri="{FF2B5EF4-FFF2-40B4-BE49-F238E27FC236}">
              <a16:creationId xmlns:a16="http://schemas.microsoft.com/office/drawing/2014/main" id="{00000000-0008-0000-0A00-0000A2000000}"/>
            </a:ext>
          </a:extLst>
        </xdr:cNvPr>
        <xdr:cNvSpPr/>
      </xdr:nvSpPr>
      <xdr:spPr>
        <a:xfrm>
          <a:off x="25253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63" name="Isosceles Triangle 162">
          <a:extLst>
            <a:ext uri="{FF2B5EF4-FFF2-40B4-BE49-F238E27FC236}">
              <a16:creationId xmlns:a16="http://schemas.microsoft.com/office/drawing/2014/main" id="{00000000-0008-0000-0A00-0000A3000000}"/>
            </a:ext>
          </a:extLst>
        </xdr:cNvPr>
        <xdr:cNvSpPr/>
      </xdr:nvSpPr>
      <xdr:spPr>
        <a:xfrm>
          <a:off x="128714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164" name="Isosceles Triangle 163">
          <a:extLst>
            <a:ext uri="{FF2B5EF4-FFF2-40B4-BE49-F238E27FC236}">
              <a16:creationId xmlns:a16="http://schemas.microsoft.com/office/drawing/2014/main" id="{00000000-0008-0000-0A00-0000A4000000}"/>
            </a:ext>
          </a:extLst>
        </xdr:cNvPr>
        <xdr:cNvSpPr/>
      </xdr:nvSpPr>
      <xdr:spPr>
        <a:xfrm>
          <a:off x="85451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93</xdr:row>
      <xdr:rowOff>78147</xdr:rowOff>
    </xdr:from>
    <xdr:to>
      <xdr:col>19</xdr:col>
      <xdr:colOff>0</xdr:colOff>
      <xdr:row>94</xdr:row>
      <xdr:rowOff>192447</xdr:rowOff>
    </xdr:to>
    <xdr:sp macro="" textlink="">
      <xdr:nvSpPr>
        <xdr:cNvPr id="165" name="Isosceles Triangle 164">
          <a:extLst>
            <a:ext uri="{FF2B5EF4-FFF2-40B4-BE49-F238E27FC236}">
              <a16:creationId xmlns:a16="http://schemas.microsoft.com/office/drawing/2014/main" id="{00000000-0008-0000-0A00-0000A5000000}"/>
            </a:ext>
          </a:extLst>
        </xdr:cNvPr>
        <xdr:cNvSpPr/>
      </xdr:nvSpPr>
      <xdr:spPr>
        <a:xfrm>
          <a:off x="95484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66" name="Isosceles Triangle 165">
          <a:extLst>
            <a:ext uri="{FF2B5EF4-FFF2-40B4-BE49-F238E27FC236}">
              <a16:creationId xmlns:a16="http://schemas.microsoft.com/office/drawing/2014/main" id="{00000000-0008-0000-0A00-0000A6000000}"/>
            </a:ext>
          </a:extLst>
        </xdr:cNvPr>
        <xdr:cNvSpPr/>
      </xdr:nvSpPr>
      <xdr:spPr>
        <a:xfrm>
          <a:off x="128714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102</xdr:row>
      <xdr:rowOff>78147</xdr:rowOff>
    </xdr:from>
    <xdr:to>
      <xdr:col>7</xdr:col>
      <xdr:colOff>0</xdr:colOff>
      <xdr:row>103</xdr:row>
      <xdr:rowOff>192447</xdr:rowOff>
    </xdr:to>
    <xdr:sp macro="" textlink="">
      <xdr:nvSpPr>
        <xdr:cNvPr id="167" name="Isosceles Triangle 166">
          <a:extLst>
            <a:ext uri="{FF2B5EF4-FFF2-40B4-BE49-F238E27FC236}">
              <a16:creationId xmlns:a16="http://schemas.microsoft.com/office/drawing/2014/main" id="{00000000-0008-0000-0A00-0000A7000000}"/>
            </a:ext>
          </a:extLst>
        </xdr:cNvPr>
        <xdr:cNvSpPr/>
      </xdr:nvSpPr>
      <xdr:spPr>
        <a:xfrm>
          <a:off x="35286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102</xdr:row>
      <xdr:rowOff>78147</xdr:rowOff>
    </xdr:from>
    <xdr:to>
      <xdr:col>9</xdr:col>
      <xdr:colOff>0</xdr:colOff>
      <xdr:row>103</xdr:row>
      <xdr:rowOff>192447</xdr:rowOff>
    </xdr:to>
    <xdr:sp macro="" textlink="">
      <xdr:nvSpPr>
        <xdr:cNvPr id="168" name="Isosceles Triangle 167">
          <a:extLst>
            <a:ext uri="{FF2B5EF4-FFF2-40B4-BE49-F238E27FC236}">
              <a16:creationId xmlns:a16="http://schemas.microsoft.com/office/drawing/2014/main" id="{00000000-0008-0000-0A00-0000A8000000}"/>
            </a:ext>
          </a:extLst>
        </xdr:cNvPr>
        <xdr:cNvSpPr/>
      </xdr:nvSpPr>
      <xdr:spPr>
        <a:xfrm>
          <a:off x="45319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102</xdr:row>
      <xdr:rowOff>78147</xdr:rowOff>
    </xdr:from>
    <xdr:to>
      <xdr:col>11</xdr:col>
      <xdr:colOff>0</xdr:colOff>
      <xdr:row>103</xdr:row>
      <xdr:rowOff>192447</xdr:rowOff>
    </xdr:to>
    <xdr:sp macro="" textlink="">
      <xdr:nvSpPr>
        <xdr:cNvPr id="169" name="Isosceles Triangle 168">
          <a:extLst>
            <a:ext uri="{FF2B5EF4-FFF2-40B4-BE49-F238E27FC236}">
              <a16:creationId xmlns:a16="http://schemas.microsoft.com/office/drawing/2014/main" id="{00000000-0008-0000-0A00-0000A9000000}"/>
            </a:ext>
          </a:extLst>
        </xdr:cNvPr>
        <xdr:cNvSpPr/>
      </xdr:nvSpPr>
      <xdr:spPr>
        <a:xfrm>
          <a:off x="55352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102</xdr:row>
      <xdr:rowOff>78147</xdr:rowOff>
    </xdr:from>
    <xdr:to>
      <xdr:col>13</xdr:col>
      <xdr:colOff>0</xdr:colOff>
      <xdr:row>103</xdr:row>
      <xdr:rowOff>192447</xdr:rowOff>
    </xdr:to>
    <xdr:sp macro="" textlink="">
      <xdr:nvSpPr>
        <xdr:cNvPr id="170" name="Isosceles Triangle 169">
          <a:extLst>
            <a:ext uri="{FF2B5EF4-FFF2-40B4-BE49-F238E27FC236}">
              <a16:creationId xmlns:a16="http://schemas.microsoft.com/office/drawing/2014/main" id="{00000000-0008-0000-0A00-0000AA000000}"/>
            </a:ext>
          </a:extLst>
        </xdr:cNvPr>
        <xdr:cNvSpPr/>
      </xdr:nvSpPr>
      <xdr:spPr>
        <a:xfrm>
          <a:off x="65385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102</xdr:row>
      <xdr:rowOff>78147</xdr:rowOff>
    </xdr:from>
    <xdr:to>
      <xdr:col>15</xdr:col>
      <xdr:colOff>0</xdr:colOff>
      <xdr:row>103</xdr:row>
      <xdr:rowOff>192447</xdr:rowOff>
    </xdr:to>
    <xdr:sp macro="" textlink="">
      <xdr:nvSpPr>
        <xdr:cNvPr id="171" name="Isosceles Triangle 170">
          <a:extLst>
            <a:ext uri="{FF2B5EF4-FFF2-40B4-BE49-F238E27FC236}">
              <a16:creationId xmlns:a16="http://schemas.microsoft.com/office/drawing/2014/main" id="{00000000-0008-0000-0A00-0000AB000000}"/>
            </a:ext>
          </a:extLst>
        </xdr:cNvPr>
        <xdr:cNvSpPr/>
      </xdr:nvSpPr>
      <xdr:spPr>
        <a:xfrm>
          <a:off x="75418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172" name="Isosceles Triangle 171">
          <a:extLst>
            <a:ext uri="{FF2B5EF4-FFF2-40B4-BE49-F238E27FC236}">
              <a16:creationId xmlns:a16="http://schemas.microsoft.com/office/drawing/2014/main" id="{00000000-0008-0000-0A00-0000AC000000}"/>
            </a:ext>
          </a:extLst>
        </xdr:cNvPr>
        <xdr:cNvSpPr/>
      </xdr:nvSpPr>
      <xdr:spPr>
        <a:xfrm>
          <a:off x="854519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102</xdr:row>
      <xdr:rowOff>78147</xdr:rowOff>
    </xdr:from>
    <xdr:to>
      <xdr:col>19</xdr:col>
      <xdr:colOff>0</xdr:colOff>
      <xdr:row>104</xdr:row>
      <xdr:rowOff>5057</xdr:rowOff>
    </xdr:to>
    <xdr:sp macro="" textlink="">
      <xdr:nvSpPr>
        <xdr:cNvPr id="173" name="Isosceles Triangle 172">
          <a:extLst>
            <a:ext uri="{FF2B5EF4-FFF2-40B4-BE49-F238E27FC236}">
              <a16:creationId xmlns:a16="http://schemas.microsoft.com/office/drawing/2014/main" id="{00000000-0008-0000-0A00-0000AD000000}"/>
            </a:ext>
          </a:extLst>
        </xdr:cNvPr>
        <xdr:cNvSpPr/>
      </xdr:nvSpPr>
      <xdr:spPr>
        <a:xfrm>
          <a:off x="9548495" y="174040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174" name="Isosceles Triangle 173">
          <a:extLst>
            <a:ext uri="{FF2B5EF4-FFF2-40B4-BE49-F238E27FC236}">
              <a16:creationId xmlns:a16="http://schemas.microsoft.com/office/drawing/2014/main" id="{00000000-0008-0000-0A00-0000AE000000}"/>
            </a:ext>
          </a:extLst>
        </xdr:cNvPr>
        <xdr:cNvSpPr/>
      </xdr:nvSpPr>
      <xdr:spPr>
        <a:xfrm>
          <a:off x="105517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75" name="Isosceles Triangle 174">
          <a:extLst>
            <a:ext uri="{FF2B5EF4-FFF2-40B4-BE49-F238E27FC236}">
              <a16:creationId xmlns:a16="http://schemas.microsoft.com/office/drawing/2014/main" id="{00000000-0008-0000-0A00-0000AF000000}"/>
            </a:ext>
          </a:extLst>
        </xdr:cNvPr>
        <xdr:cNvSpPr/>
      </xdr:nvSpPr>
      <xdr:spPr>
        <a:xfrm>
          <a:off x="128714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102</xdr:row>
      <xdr:rowOff>78147</xdr:rowOff>
    </xdr:from>
    <xdr:to>
      <xdr:col>5</xdr:col>
      <xdr:colOff>0</xdr:colOff>
      <xdr:row>103</xdr:row>
      <xdr:rowOff>192447</xdr:rowOff>
    </xdr:to>
    <xdr:sp macro="" textlink="">
      <xdr:nvSpPr>
        <xdr:cNvPr id="176" name="Isosceles Triangle 175">
          <a:extLst>
            <a:ext uri="{FF2B5EF4-FFF2-40B4-BE49-F238E27FC236}">
              <a16:creationId xmlns:a16="http://schemas.microsoft.com/office/drawing/2014/main" id="{00000000-0008-0000-0A00-0000B0000000}"/>
            </a:ext>
          </a:extLst>
        </xdr:cNvPr>
        <xdr:cNvSpPr/>
      </xdr:nvSpPr>
      <xdr:spPr>
        <a:xfrm>
          <a:off x="25253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77" name="Isosceles Triangle 176">
          <a:extLst>
            <a:ext uri="{FF2B5EF4-FFF2-40B4-BE49-F238E27FC236}">
              <a16:creationId xmlns:a16="http://schemas.microsoft.com/office/drawing/2014/main" id="{00000000-0008-0000-0A00-0000B1000000}"/>
            </a:ext>
          </a:extLst>
        </xdr:cNvPr>
        <xdr:cNvSpPr/>
      </xdr:nvSpPr>
      <xdr:spPr>
        <a:xfrm>
          <a:off x="128714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178" name="Isosceles Triangle 177">
          <a:extLst>
            <a:ext uri="{FF2B5EF4-FFF2-40B4-BE49-F238E27FC236}">
              <a16:creationId xmlns:a16="http://schemas.microsoft.com/office/drawing/2014/main" id="{00000000-0008-0000-0A00-0000B2000000}"/>
            </a:ext>
          </a:extLst>
        </xdr:cNvPr>
        <xdr:cNvSpPr/>
      </xdr:nvSpPr>
      <xdr:spPr>
        <a:xfrm>
          <a:off x="85451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79" name="Isosceles Triangle 178">
          <a:extLst>
            <a:ext uri="{FF2B5EF4-FFF2-40B4-BE49-F238E27FC236}">
              <a16:creationId xmlns:a16="http://schemas.microsoft.com/office/drawing/2014/main" id="{00000000-0008-0000-0A00-0000B3000000}"/>
            </a:ext>
          </a:extLst>
        </xdr:cNvPr>
        <xdr:cNvSpPr/>
      </xdr:nvSpPr>
      <xdr:spPr>
        <a:xfrm>
          <a:off x="128714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180" name="Isosceles Triangle 179">
          <a:extLst>
            <a:ext uri="{FF2B5EF4-FFF2-40B4-BE49-F238E27FC236}">
              <a16:creationId xmlns:a16="http://schemas.microsoft.com/office/drawing/2014/main" id="{00000000-0008-0000-0A00-0000B4000000}"/>
            </a:ext>
          </a:extLst>
        </xdr:cNvPr>
        <xdr:cNvSpPr/>
      </xdr:nvSpPr>
      <xdr:spPr>
        <a:xfrm>
          <a:off x="252539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111</xdr:row>
      <xdr:rowOff>78147</xdr:rowOff>
    </xdr:from>
    <xdr:to>
      <xdr:col>7</xdr:col>
      <xdr:colOff>0</xdr:colOff>
      <xdr:row>112</xdr:row>
      <xdr:rowOff>192447</xdr:rowOff>
    </xdr:to>
    <xdr:sp macro="" textlink="">
      <xdr:nvSpPr>
        <xdr:cNvPr id="181" name="Isosceles Triangle 180">
          <a:extLst>
            <a:ext uri="{FF2B5EF4-FFF2-40B4-BE49-F238E27FC236}">
              <a16:creationId xmlns:a16="http://schemas.microsoft.com/office/drawing/2014/main" id="{00000000-0008-0000-0A00-0000B5000000}"/>
            </a:ext>
          </a:extLst>
        </xdr:cNvPr>
        <xdr:cNvSpPr/>
      </xdr:nvSpPr>
      <xdr:spPr>
        <a:xfrm>
          <a:off x="35286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111</xdr:row>
      <xdr:rowOff>78147</xdr:rowOff>
    </xdr:from>
    <xdr:to>
      <xdr:col>9</xdr:col>
      <xdr:colOff>0</xdr:colOff>
      <xdr:row>112</xdr:row>
      <xdr:rowOff>192447</xdr:rowOff>
    </xdr:to>
    <xdr:sp macro="" textlink="">
      <xdr:nvSpPr>
        <xdr:cNvPr id="182" name="Isosceles Triangle 181">
          <a:extLst>
            <a:ext uri="{FF2B5EF4-FFF2-40B4-BE49-F238E27FC236}">
              <a16:creationId xmlns:a16="http://schemas.microsoft.com/office/drawing/2014/main" id="{00000000-0008-0000-0A00-0000B6000000}"/>
            </a:ext>
          </a:extLst>
        </xdr:cNvPr>
        <xdr:cNvSpPr/>
      </xdr:nvSpPr>
      <xdr:spPr>
        <a:xfrm>
          <a:off x="45319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111</xdr:row>
      <xdr:rowOff>78147</xdr:rowOff>
    </xdr:from>
    <xdr:to>
      <xdr:col>11</xdr:col>
      <xdr:colOff>0</xdr:colOff>
      <xdr:row>112</xdr:row>
      <xdr:rowOff>192447</xdr:rowOff>
    </xdr:to>
    <xdr:sp macro="" textlink="">
      <xdr:nvSpPr>
        <xdr:cNvPr id="183" name="Isosceles Triangle 182">
          <a:extLst>
            <a:ext uri="{FF2B5EF4-FFF2-40B4-BE49-F238E27FC236}">
              <a16:creationId xmlns:a16="http://schemas.microsoft.com/office/drawing/2014/main" id="{00000000-0008-0000-0A00-0000B7000000}"/>
            </a:ext>
          </a:extLst>
        </xdr:cNvPr>
        <xdr:cNvSpPr/>
      </xdr:nvSpPr>
      <xdr:spPr>
        <a:xfrm>
          <a:off x="55352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111</xdr:row>
      <xdr:rowOff>78147</xdr:rowOff>
    </xdr:from>
    <xdr:to>
      <xdr:col>13</xdr:col>
      <xdr:colOff>0</xdr:colOff>
      <xdr:row>112</xdr:row>
      <xdr:rowOff>192447</xdr:rowOff>
    </xdr:to>
    <xdr:sp macro="" textlink="">
      <xdr:nvSpPr>
        <xdr:cNvPr id="184" name="Isosceles Triangle 183">
          <a:extLst>
            <a:ext uri="{FF2B5EF4-FFF2-40B4-BE49-F238E27FC236}">
              <a16:creationId xmlns:a16="http://schemas.microsoft.com/office/drawing/2014/main" id="{00000000-0008-0000-0A00-0000B8000000}"/>
            </a:ext>
          </a:extLst>
        </xdr:cNvPr>
        <xdr:cNvSpPr/>
      </xdr:nvSpPr>
      <xdr:spPr>
        <a:xfrm>
          <a:off x="65385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111</xdr:row>
      <xdr:rowOff>78147</xdr:rowOff>
    </xdr:from>
    <xdr:to>
      <xdr:col>15</xdr:col>
      <xdr:colOff>0</xdr:colOff>
      <xdr:row>112</xdr:row>
      <xdr:rowOff>192447</xdr:rowOff>
    </xdr:to>
    <xdr:sp macro="" textlink="">
      <xdr:nvSpPr>
        <xdr:cNvPr id="185" name="Isosceles Triangle 184">
          <a:extLst>
            <a:ext uri="{FF2B5EF4-FFF2-40B4-BE49-F238E27FC236}">
              <a16:creationId xmlns:a16="http://schemas.microsoft.com/office/drawing/2014/main" id="{00000000-0008-0000-0A00-0000B9000000}"/>
            </a:ext>
          </a:extLst>
        </xdr:cNvPr>
        <xdr:cNvSpPr/>
      </xdr:nvSpPr>
      <xdr:spPr>
        <a:xfrm>
          <a:off x="75418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186" name="Isosceles Triangle 185">
          <a:extLst>
            <a:ext uri="{FF2B5EF4-FFF2-40B4-BE49-F238E27FC236}">
              <a16:creationId xmlns:a16="http://schemas.microsoft.com/office/drawing/2014/main" id="{00000000-0008-0000-0A00-0000BA000000}"/>
            </a:ext>
          </a:extLst>
        </xdr:cNvPr>
        <xdr:cNvSpPr/>
      </xdr:nvSpPr>
      <xdr:spPr>
        <a:xfrm>
          <a:off x="105517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87" name="Isosceles Triangle 186">
          <a:extLst>
            <a:ext uri="{FF2B5EF4-FFF2-40B4-BE49-F238E27FC236}">
              <a16:creationId xmlns:a16="http://schemas.microsoft.com/office/drawing/2014/main" id="{00000000-0008-0000-0A00-0000BB000000}"/>
            </a:ext>
          </a:extLst>
        </xdr:cNvPr>
        <xdr:cNvSpPr/>
      </xdr:nvSpPr>
      <xdr:spPr>
        <a:xfrm>
          <a:off x="128714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188" name="Isosceles Triangle 187">
          <a:extLst>
            <a:ext uri="{FF2B5EF4-FFF2-40B4-BE49-F238E27FC236}">
              <a16:creationId xmlns:a16="http://schemas.microsoft.com/office/drawing/2014/main" id="{00000000-0008-0000-0A00-0000BC000000}"/>
            </a:ext>
          </a:extLst>
        </xdr:cNvPr>
        <xdr:cNvSpPr/>
      </xdr:nvSpPr>
      <xdr:spPr>
        <a:xfrm>
          <a:off x="25253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89" name="Isosceles Triangle 188">
          <a:extLst>
            <a:ext uri="{FF2B5EF4-FFF2-40B4-BE49-F238E27FC236}">
              <a16:creationId xmlns:a16="http://schemas.microsoft.com/office/drawing/2014/main" id="{00000000-0008-0000-0A00-0000BD000000}"/>
            </a:ext>
          </a:extLst>
        </xdr:cNvPr>
        <xdr:cNvSpPr/>
      </xdr:nvSpPr>
      <xdr:spPr>
        <a:xfrm>
          <a:off x="128714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111</xdr:row>
      <xdr:rowOff>78147</xdr:rowOff>
    </xdr:from>
    <xdr:to>
      <xdr:col>17</xdr:col>
      <xdr:colOff>0</xdr:colOff>
      <xdr:row>112</xdr:row>
      <xdr:rowOff>192447</xdr:rowOff>
    </xdr:to>
    <xdr:sp macro="" textlink="">
      <xdr:nvSpPr>
        <xdr:cNvPr id="190" name="Isosceles Triangle 189">
          <a:extLst>
            <a:ext uri="{FF2B5EF4-FFF2-40B4-BE49-F238E27FC236}">
              <a16:creationId xmlns:a16="http://schemas.microsoft.com/office/drawing/2014/main" id="{00000000-0008-0000-0A00-0000BE000000}"/>
            </a:ext>
          </a:extLst>
        </xdr:cNvPr>
        <xdr:cNvSpPr/>
      </xdr:nvSpPr>
      <xdr:spPr>
        <a:xfrm>
          <a:off x="85451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111</xdr:row>
      <xdr:rowOff>78147</xdr:rowOff>
    </xdr:from>
    <xdr:to>
      <xdr:col>19</xdr:col>
      <xdr:colOff>0</xdr:colOff>
      <xdr:row>112</xdr:row>
      <xdr:rowOff>192447</xdr:rowOff>
    </xdr:to>
    <xdr:sp macro="" textlink="">
      <xdr:nvSpPr>
        <xdr:cNvPr id="191" name="Isosceles Triangle 190">
          <a:extLst>
            <a:ext uri="{FF2B5EF4-FFF2-40B4-BE49-F238E27FC236}">
              <a16:creationId xmlns:a16="http://schemas.microsoft.com/office/drawing/2014/main" id="{00000000-0008-0000-0A00-0000BF000000}"/>
            </a:ext>
          </a:extLst>
        </xdr:cNvPr>
        <xdr:cNvSpPr/>
      </xdr:nvSpPr>
      <xdr:spPr>
        <a:xfrm>
          <a:off x="95484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192" name="Isosceles Triangle 191">
          <a:extLst>
            <a:ext uri="{FF2B5EF4-FFF2-40B4-BE49-F238E27FC236}">
              <a16:creationId xmlns:a16="http://schemas.microsoft.com/office/drawing/2014/main" id="{00000000-0008-0000-0A00-0000C0000000}"/>
            </a:ext>
          </a:extLst>
        </xdr:cNvPr>
        <xdr:cNvSpPr/>
      </xdr:nvSpPr>
      <xdr:spPr>
        <a:xfrm>
          <a:off x="1287145" y="204012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120</xdr:row>
      <xdr:rowOff>78147</xdr:rowOff>
    </xdr:from>
    <xdr:to>
      <xdr:col>7</xdr:col>
      <xdr:colOff>0</xdr:colOff>
      <xdr:row>121</xdr:row>
      <xdr:rowOff>192447</xdr:rowOff>
    </xdr:to>
    <xdr:sp macro="" textlink="">
      <xdr:nvSpPr>
        <xdr:cNvPr id="193" name="Isosceles Triangle 192">
          <a:extLst>
            <a:ext uri="{FF2B5EF4-FFF2-40B4-BE49-F238E27FC236}">
              <a16:creationId xmlns:a16="http://schemas.microsoft.com/office/drawing/2014/main" id="{00000000-0008-0000-0A00-0000C1000000}"/>
            </a:ext>
          </a:extLst>
        </xdr:cNvPr>
        <xdr:cNvSpPr/>
      </xdr:nvSpPr>
      <xdr:spPr>
        <a:xfrm>
          <a:off x="35286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00B050"/>
            </a:solidFill>
          </a:endParaRPr>
        </a:p>
      </xdr:txBody>
    </xdr:sp>
    <xdr:clientData/>
  </xdr:twoCellAnchor>
  <xdr:twoCellAnchor>
    <xdr:from>
      <xdr:col>8</xdr:col>
      <xdr:colOff>4572</xdr:colOff>
      <xdr:row>120</xdr:row>
      <xdr:rowOff>78147</xdr:rowOff>
    </xdr:from>
    <xdr:to>
      <xdr:col>9</xdr:col>
      <xdr:colOff>0</xdr:colOff>
      <xdr:row>121</xdr:row>
      <xdr:rowOff>192447</xdr:rowOff>
    </xdr:to>
    <xdr:sp macro="" textlink="">
      <xdr:nvSpPr>
        <xdr:cNvPr id="194" name="Isosceles Triangle 193">
          <a:extLst>
            <a:ext uri="{FF2B5EF4-FFF2-40B4-BE49-F238E27FC236}">
              <a16:creationId xmlns:a16="http://schemas.microsoft.com/office/drawing/2014/main" id="{00000000-0008-0000-0A00-0000C2000000}"/>
            </a:ext>
          </a:extLst>
        </xdr:cNvPr>
        <xdr:cNvSpPr/>
      </xdr:nvSpPr>
      <xdr:spPr>
        <a:xfrm>
          <a:off x="45319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120</xdr:row>
      <xdr:rowOff>78147</xdr:rowOff>
    </xdr:from>
    <xdr:to>
      <xdr:col>13</xdr:col>
      <xdr:colOff>0</xdr:colOff>
      <xdr:row>122</xdr:row>
      <xdr:rowOff>5057</xdr:rowOff>
    </xdr:to>
    <xdr:sp macro="" textlink="">
      <xdr:nvSpPr>
        <xdr:cNvPr id="195" name="Isosceles Triangle 194">
          <a:extLst>
            <a:ext uri="{FF2B5EF4-FFF2-40B4-BE49-F238E27FC236}">
              <a16:creationId xmlns:a16="http://schemas.microsoft.com/office/drawing/2014/main" id="{00000000-0008-0000-0A00-0000C3000000}"/>
            </a:ext>
          </a:extLst>
        </xdr:cNvPr>
        <xdr:cNvSpPr/>
      </xdr:nvSpPr>
      <xdr:spPr>
        <a:xfrm>
          <a:off x="65385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120</xdr:row>
      <xdr:rowOff>78147</xdr:rowOff>
    </xdr:from>
    <xdr:to>
      <xdr:col>15</xdr:col>
      <xdr:colOff>0</xdr:colOff>
      <xdr:row>122</xdr:row>
      <xdr:rowOff>5057</xdr:rowOff>
    </xdr:to>
    <xdr:sp macro="" textlink="">
      <xdr:nvSpPr>
        <xdr:cNvPr id="196" name="Isosceles Triangle 195">
          <a:extLst>
            <a:ext uri="{FF2B5EF4-FFF2-40B4-BE49-F238E27FC236}">
              <a16:creationId xmlns:a16="http://schemas.microsoft.com/office/drawing/2014/main" id="{00000000-0008-0000-0A00-0000C4000000}"/>
            </a:ext>
          </a:extLst>
        </xdr:cNvPr>
        <xdr:cNvSpPr/>
      </xdr:nvSpPr>
      <xdr:spPr>
        <a:xfrm>
          <a:off x="75418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120</xdr:row>
      <xdr:rowOff>78147</xdr:rowOff>
    </xdr:from>
    <xdr:to>
      <xdr:col>19</xdr:col>
      <xdr:colOff>0</xdr:colOff>
      <xdr:row>121</xdr:row>
      <xdr:rowOff>192447</xdr:rowOff>
    </xdr:to>
    <xdr:sp macro="" textlink="">
      <xdr:nvSpPr>
        <xdr:cNvPr id="197" name="Isosceles Triangle 196">
          <a:extLst>
            <a:ext uri="{FF2B5EF4-FFF2-40B4-BE49-F238E27FC236}">
              <a16:creationId xmlns:a16="http://schemas.microsoft.com/office/drawing/2014/main" id="{00000000-0008-0000-0A00-0000C5000000}"/>
            </a:ext>
          </a:extLst>
        </xdr:cNvPr>
        <xdr:cNvSpPr/>
      </xdr:nvSpPr>
      <xdr:spPr>
        <a:xfrm>
          <a:off x="95484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120</xdr:row>
      <xdr:rowOff>78147</xdr:rowOff>
    </xdr:from>
    <xdr:to>
      <xdr:col>21</xdr:col>
      <xdr:colOff>0</xdr:colOff>
      <xdr:row>122</xdr:row>
      <xdr:rowOff>5057</xdr:rowOff>
    </xdr:to>
    <xdr:sp macro="" textlink="">
      <xdr:nvSpPr>
        <xdr:cNvPr id="198" name="Isosceles Triangle 197">
          <a:extLst>
            <a:ext uri="{FF2B5EF4-FFF2-40B4-BE49-F238E27FC236}">
              <a16:creationId xmlns:a16="http://schemas.microsoft.com/office/drawing/2014/main" id="{00000000-0008-0000-0A00-0000C6000000}"/>
            </a:ext>
          </a:extLst>
        </xdr:cNvPr>
        <xdr:cNvSpPr/>
      </xdr:nvSpPr>
      <xdr:spPr>
        <a:xfrm>
          <a:off x="105517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199" name="Isosceles Triangle 198">
          <a:extLst>
            <a:ext uri="{FF2B5EF4-FFF2-40B4-BE49-F238E27FC236}">
              <a16:creationId xmlns:a16="http://schemas.microsoft.com/office/drawing/2014/main" id="{00000000-0008-0000-0A00-0000C7000000}"/>
            </a:ext>
          </a:extLst>
        </xdr:cNvPr>
        <xdr:cNvSpPr/>
      </xdr:nvSpPr>
      <xdr:spPr>
        <a:xfrm>
          <a:off x="1287145" y="204012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120</xdr:row>
      <xdr:rowOff>78147</xdr:rowOff>
    </xdr:from>
    <xdr:to>
      <xdr:col>5</xdr:col>
      <xdr:colOff>0</xdr:colOff>
      <xdr:row>121</xdr:row>
      <xdr:rowOff>192447</xdr:rowOff>
    </xdr:to>
    <xdr:sp macro="" textlink="">
      <xdr:nvSpPr>
        <xdr:cNvPr id="200" name="Isosceles Triangle 199">
          <a:extLst>
            <a:ext uri="{FF2B5EF4-FFF2-40B4-BE49-F238E27FC236}">
              <a16:creationId xmlns:a16="http://schemas.microsoft.com/office/drawing/2014/main" id="{00000000-0008-0000-0A00-0000C8000000}"/>
            </a:ext>
          </a:extLst>
        </xdr:cNvPr>
        <xdr:cNvSpPr/>
      </xdr:nvSpPr>
      <xdr:spPr>
        <a:xfrm>
          <a:off x="25253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201" name="Isosceles Triangle 200">
          <a:extLst>
            <a:ext uri="{FF2B5EF4-FFF2-40B4-BE49-F238E27FC236}">
              <a16:creationId xmlns:a16="http://schemas.microsoft.com/office/drawing/2014/main" id="{00000000-0008-0000-0A00-0000C9000000}"/>
            </a:ext>
          </a:extLst>
        </xdr:cNvPr>
        <xdr:cNvSpPr/>
      </xdr:nvSpPr>
      <xdr:spPr>
        <a:xfrm>
          <a:off x="128714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120</xdr:row>
      <xdr:rowOff>78147</xdr:rowOff>
    </xdr:from>
    <xdr:to>
      <xdr:col>17</xdr:col>
      <xdr:colOff>0</xdr:colOff>
      <xdr:row>121</xdr:row>
      <xdr:rowOff>192447</xdr:rowOff>
    </xdr:to>
    <xdr:sp macro="" textlink="">
      <xdr:nvSpPr>
        <xdr:cNvPr id="202" name="Isosceles Triangle 201">
          <a:extLst>
            <a:ext uri="{FF2B5EF4-FFF2-40B4-BE49-F238E27FC236}">
              <a16:creationId xmlns:a16="http://schemas.microsoft.com/office/drawing/2014/main" id="{00000000-0008-0000-0A00-0000CA000000}"/>
            </a:ext>
          </a:extLst>
        </xdr:cNvPr>
        <xdr:cNvSpPr/>
      </xdr:nvSpPr>
      <xdr:spPr>
        <a:xfrm>
          <a:off x="85451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120</xdr:row>
      <xdr:rowOff>78147</xdr:rowOff>
    </xdr:from>
    <xdr:to>
      <xdr:col>19</xdr:col>
      <xdr:colOff>0</xdr:colOff>
      <xdr:row>121</xdr:row>
      <xdr:rowOff>192447</xdr:rowOff>
    </xdr:to>
    <xdr:sp macro="" textlink="">
      <xdr:nvSpPr>
        <xdr:cNvPr id="203" name="Isosceles Triangle 202">
          <a:extLst>
            <a:ext uri="{FF2B5EF4-FFF2-40B4-BE49-F238E27FC236}">
              <a16:creationId xmlns:a16="http://schemas.microsoft.com/office/drawing/2014/main" id="{00000000-0008-0000-0A00-0000CB000000}"/>
            </a:ext>
          </a:extLst>
        </xdr:cNvPr>
        <xdr:cNvSpPr/>
      </xdr:nvSpPr>
      <xdr:spPr>
        <a:xfrm>
          <a:off x="95484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129</xdr:row>
      <xdr:rowOff>78147</xdr:rowOff>
    </xdr:from>
    <xdr:to>
      <xdr:col>5</xdr:col>
      <xdr:colOff>0</xdr:colOff>
      <xdr:row>131</xdr:row>
      <xdr:rowOff>5057</xdr:rowOff>
    </xdr:to>
    <xdr:sp macro="" textlink="">
      <xdr:nvSpPr>
        <xdr:cNvPr id="204" name="Isosceles Triangle 203">
          <a:extLst>
            <a:ext uri="{FF2B5EF4-FFF2-40B4-BE49-F238E27FC236}">
              <a16:creationId xmlns:a16="http://schemas.microsoft.com/office/drawing/2014/main" id="{00000000-0008-0000-0A00-0000CC000000}"/>
            </a:ext>
          </a:extLst>
        </xdr:cNvPr>
        <xdr:cNvSpPr/>
      </xdr:nvSpPr>
      <xdr:spPr>
        <a:xfrm>
          <a:off x="25253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129</xdr:row>
      <xdr:rowOff>78147</xdr:rowOff>
    </xdr:from>
    <xdr:to>
      <xdr:col>7</xdr:col>
      <xdr:colOff>0</xdr:colOff>
      <xdr:row>131</xdr:row>
      <xdr:rowOff>5057</xdr:rowOff>
    </xdr:to>
    <xdr:sp macro="" textlink="">
      <xdr:nvSpPr>
        <xdr:cNvPr id="205" name="Isosceles Triangle 204">
          <a:extLst>
            <a:ext uri="{FF2B5EF4-FFF2-40B4-BE49-F238E27FC236}">
              <a16:creationId xmlns:a16="http://schemas.microsoft.com/office/drawing/2014/main" id="{00000000-0008-0000-0A00-0000CD000000}"/>
            </a:ext>
          </a:extLst>
        </xdr:cNvPr>
        <xdr:cNvSpPr/>
      </xdr:nvSpPr>
      <xdr:spPr>
        <a:xfrm>
          <a:off x="35286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129</xdr:row>
      <xdr:rowOff>78147</xdr:rowOff>
    </xdr:from>
    <xdr:to>
      <xdr:col>9</xdr:col>
      <xdr:colOff>0</xdr:colOff>
      <xdr:row>131</xdr:row>
      <xdr:rowOff>5057</xdr:rowOff>
    </xdr:to>
    <xdr:sp macro="" textlink="">
      <xdr:nvSpPr>
        <xdr:cNvPr id="206" name="Isosceles Triangle 205">
          <a:extLst>
            <a:ext uri="{FF2B5EF4-FFF2-40B4-BE49-F238E27FC236}">
              <a16:creationId xmlns:a16="http://schemas.microsoft.com/office/drawing/2014/main" id="{00000000-0008-0000-0A00-0000CE000000}"/>
            </a:ext>
          </a:extLst>
        </xdr:cNvPr>
        <xdr:cNvSpPr/>
      </xdr:nvSpPr>
      <xdr:spPr>
        <a:xfrm>
          <a:off x="45319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129</xdr:row>
      <xdr:rowOff>58708</xdr:rowOff>
    </xdr:from>
    <xdr:to>
      <xdr:col>11</xdr:col>
      <xdr:colOff>0</xdr:colOff>
      <xdr:row>130</xdr:row>
      <xdr:rowOff>147608</xdr:rowOff>
    </xdr:to>
    <xdr:sp macro="" textlink="">
      <xdr:nvSpPr>
        <xdr:cNvPr id="207" name="Isosceles Triangle 206">
          <a:extLst>
            <a:ext uri="{FF2B5EF4-FFF2-40B4-BE49-F238E27FC236}">
              <a16:creationId xmlns:a16="http://schemas.microsoft.com/office/drawing/2014/main" id="{00000000-0008-0000-0A00-0000CF000000}"/>
            </a:ext>
          </a:extLst>
        </xdr:cNvPr>
        <xdr:cNvSpPr/>
      </xdr:nvSpPr>
      <xdr:spPr>
        <a:xfrm>
          <a:off x="5535295" y="218801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129</xdr:row>
      <xdr:rowOff>78147</xdr:rowOff>
    </xdr:from>
    <xdr:to>
      <xdr:col>13</xdr:col>
      <xdr:colOff>0</xdr:colOff>
      <xdr:row>130</xdr:row>
      <xdr:rowOff>192447</xdr:rowOff>
    </xdr:to>
    <xdr:sp macro="" textlink="">
      <xdr:nvSpPr>
        <xdr:cNvPr id="208" name="Isosceles Triangle 207">
          <a:extLst>
            <a:ext uri="{FF2B5EF4-FFF2-40B4-BE49-F238E27FC236}">
              <a16:creationId xmlns:a16="http://schemas.microsoft.com/office/drawing/2014/main" id="{00000000-0008-0000-0A00-0000D0000000}"/>
            </a:ext>
          </a:extLst>
        </xdr:cNvPr>
        <xdr:cNvSpPr/>
      </xdr:nvSpPr>
      <xdr:spPr>
        <a:xfrm>
          <a:off x="65385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129</xdr:row>
      <xdr:rowOff>78147</xdr:rowOff>
    </xdr:from>
    <xdr:to>
      <xdr:col>15</xdr:col>
      <xdr:colOff>0</xdr:colOff>
      <xdr:row>130</xdr:row>
      <xdr:rowOff>192447</xdr:rowOff>
    </xdr:to>
    <xdr:sp macro="" textlink="">
      <xdr:nvSpPr>
        <xdr:cNvPr id="209" name="Isosceles Triangle 208">
          <a:extLst>
            <a:ext uri="{FF2B5EF4-FFF2-40B4-BE49-F238E27FC236}">
              <a16:creationId xmlns:a16="http://schemas.microsoft.com/office/drawing/2014/main" id="{00000000-0008-0000-0A00-0000D1000000}"/>
            </a:ext>
          </a:extLst>
        </xdr:cNvPr>
        <xdr:cNvSpPr/>
      </xdr:nvSpPr>
      <xdr:spPr>
        <a:xfrm>
          <a:off x="75418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129</xdr:row>
      <xdr:rowOff>78147</xdr:rowOff>
    </xdr:from>
    <xdr:to>
      <xdr:col>21</xdr:col>
      <xdr:colOff>0</xdr:colOff>
      <xdr:row>130</xdr:row>
      <xdr:rowOff>192447</xdr:rowOff>
    </xdr:to>
    <xdr:sp macro="" textlink="">
      <xdr:nvSpPr>
        <xdr:cNvPr id="210" name="Isosceles Triangle 209">
          <a:extLst>
            <a:ext uri="{FF2B5EF4-FFF2-40B4-BE49-F238E27FC236}">
              <a16:creationId xmlns:a16="http://schemas.microsoft.com/office/drawing/2014/main" id="{00000000-0008-0000-0A00-0000D2000000}"/>
            </a:ext>
          </a:extLst>
        </xdr:cNvPr>
        <xdr:cNvSpPr/>
      </xdr:nvSpPr>
      <xdr:spPr>
        <a:xfrm>
          <a:off x="105517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24011</xdr:colOff>
      <xdr:row>129</xdr:row>
      <xdr:rowOff>78147</xdr:rowOff>
    </xdr:from>
    <xdr:to>
      <xdr:col>3</xdr:col>
      <xdr:colOff>19439</xdr:colOff>
      <xdr:row>131</xdr:row>
      <xdr:rowOff>5057</xdr:rowOff>
    </xdr:to>
    <xdr:sp macro="" textlink="">
      <xdr:nvSpPr>
        <xdr:cNvPr id="211" name="Isosceles Triangle 210">
          <a:extLst>
            <a:ext uri="{FF2B5EF4-FFF2-40B4-BE49-F238E27FC236}">
              <a16:creationId xmlns:a16="http://schemas.microsoft.com/office/drawing/2014/main" id="{00000000-0008-0000-0A00-0000D3000000}"/>
            </a:ext>
          </a:extLst>
        </xdr:cNvPr>
        <xdr:cNvSpPr/>
      </xdr:nvSpPr>
      <xdr:spPr>
        <a:xfrm>
          <a:off x="13061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129</xdr:row>
      <xdr:rowOff>78147</xdr:rowOff>
    </xdr:from>
    <xdr:to>
      <xdr:col>17</xdr:col>
      <xdr:colOff>0</xdr:colOff>
      <xdr:row>130</xdr:row>
      <xdr:rowOff>192447</xdr:rowOff>
    </xdr:to>
    <xdr:sp macro="" textlink="">
      <xdr:nvSpPr>
        <xdr:cNvPr id="212" name="Isosceles Triangle 211">
          <a:extLst>
            <a:ext uri="{FF2B5EF4-FFF2-40B4-BE49-F238E27FC236}">
              <a16:creationId xmlns:a16="http://schemas.microsoft.com/office/drawing/2014/main" id="{00000000-0008-0000-0A00-0000D4000000}"/>
            </a:ext>
          </a:extLst>
        </xdr:cNvPr>
        <xdr:cNvSpPr/>
      </xdr:nvSpPr>
      <xdr:spPr>
        <a:xfrm>
          <a:off x="85451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129</xdr:row>
      <xdr:rowOff>78147</xdr:rowOff>
    </xdr:from>
    <xdr:to>
      <xdr:col>19</xdr:col>
      <xdr:colOff>0</xdr:colOff>
      <xdr:row>130</xdr:row>
      <xdr:rowOff>192447</xdr:rowOff>
    </xdr:to>
    <xdr:sp macro="" textlink="">
      <xdr:nvSpPr>
        <xdr:cNvPr id="213" name="Isosceles Triangle 212">
          <a:extLst>
            <a:ext uri="{FF2B5EF4-FFF2-40B4-BE49-F238E27FC236}">
              <a16:creationId xmlns:a16="http://schemas.microsoft.com/office/drawing/2014/main" id="{00000000-0008-0000-0A00-0000D5000000}"/>
            </a:ext>
          </a:extLst>
        </xdr:cNvPr>
        <xdr:cNvSpPr/>
      </xdr:nvSpPr>
      <xdr:spPr>
        <a:xfrm>
          <a:off x="95484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137</xdr:row>
      <xdr:rowOff>78147</xdr:rowOff>
    </xdr:from>
    <xdr:to>
      <xdr:col>3</xdr:col>
      <xdr:colOff>0</xdr:colOff>
      <xdr:row>138</xdr:row>
      <xdr:rowOff>192447</xdr:rowOff>
    </xdr:to>
    <xdr:sp macro="" textlink="">
      <xdr:nvSpPr>
        <xdr:cNvPr id="214" name="Isosceles Triangle 213">
          <a:extLst>
            <a:ext uri="{FF2B5EF4-FFF2-40B4-BE49-F238E27FC236}">
              <a16:creationId xmlns:a16="http://schemas.microsoft.com/office/drawing/2014/main" id="{00000000-0008-0000-0A00-0000D6000000}"/>
            </a:ext>
          </a:extLst>
        </xdr:cNvPr>
        <xdr:cNvSpPr/>
      </xdr:nvSpPr>
      <xdr:spPr>
        <a:xfrm>
          <a:off x="1287145" y="232397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137</xdr:row>
      <xdr:rowOff>78147</xdr:rowOff>
    </xdr:from>
    <xdr:to>
      <xdr:col>7</xdr:col>
      <xdr:colOff>0</xdr:colOff>
      <xdr:row>138</xdr:row>
      <xdr:rowOff>192447</xdr:rowOff>
    </xdr:to>
    <xdr:sp macro="" textlink="">
      <xdr:nvSpPr>
        <xdr:cNvPr id="215" name="Isosceles Triangle 214">
          <a:extLst>
            <a:ext uri="{FF2B5EF4-FFF2-40B4-BE49-F238E27FC236}">
              <a16:creationId xmlns:a16="http://schemas.microsoft.com/office/drawing/2014/main" id="{00000000-0008-0000-0A00-0000D7000000}"/>
            </a:ext>
          </a:extLst>
        </xdr:cNvPr>
        <xdr:cNvSpPr/>
      </xdr:nvSpPr>
      <xdr:spPr>
        <a:xfrm>
          <a:off x="35286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137</xdr:row>
      <xdr:rowOff>78147</xdr:rowOff>
    </xdr:from>
    <xdr:to>
      <xdr:col>9</xdr:col>
      <xdr:colOff>0</xdr:colOff>
      <xdr:row>138</xdr:row>
      <xdr:rowOff>192447</xdr:rowOff>
    </xdr:to>
    <xdr:sp macro="" textlink="">
      <xdr:nvSpPr>
        <xdr:cNvPr id="216" name="Isosceles Triangle 215">
          <a:extLst>
            <a:ext uri="{FF2B5EF4-FFF2-40B4-BE49-F238E27FC236}">
              <a16:creationId xmlns:a16="http://schemas.microsoft.com/office/drawing/2014/main" id="{00000000-0008-0000-0A00-0000D8000000}"/>
            </a:ext>
          </a:extLst>
        </xdr:cNvPr>
        <xdr:cNvSpPr/>
      </xdr:nvSpPr>
      <xdr:spPr>
        <a:xfrm>
          <a:off x="45319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137</xdr:row>
      <xdr:rowOff>78147</xdr:rowOff>
    </xdr:from>
    <xdr:to>
      <xdr:col>11</xdr:col>
      <xdr:colOff>0</xdr:colOff>
      <xdr:row>138</xdr:row>
      <xdr:rowOff>192447</xdr:rowOff>
    </xdr:to>
    <xdr:sp macro="" textlink="">
      <xdr:nvSpPr>
        <xdr:cNvPr id="217" name="Isosceles Triangle 216">
          <a:extLst>
            <a:ext uri="{FF2B5EF4-FFF2-40B4-BE49-F238E27FC236}">
              <a16:creationId xmlns:a16="http://schemas.microsoft.com/office/drawing/2014/main" id="{00000000-0008-0000-0A00-0000D9000000}"/>
            </a:ext>
          </a:extLst>
        </xdr:cNvPr>
        <xdr:cNvSpPr/>
      </xdr:nvSpPr>
      <xdr:spPr>
        <a:xfrm>
          <a:off x="55352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137</xdr:row>
      <xdr:rowOff>78147</xdr:rowOff>
    </xdr:from>
    <xdr:to>
      <xdr:col>13</xdr:col>
      <xdr:colOff>0</xdr:colOff>
      <xdr:row>139</xdr:row>
      <xdr:rowOff>5057</xdr:rowOff>
    </xdr:to>
    <xdr:sp macro="" textlink="">
      <xdr:nvSpPr>
        <xdr:cNvPr id="218" name="Isosceles Triangle 217">
          <a:extLst>
            <a:ext uri="{FF2B5EF4-FFF2-40B4-BE49-F238E27FC236}">
              <a16:creationId xmlns:a16="http://schemas.microsoft.com/office/drawing/2014/main" id="{00000000-0008-0000-0A00-0000DA000000}"/>
            </a:ext>
          </a:extLst>
        </xdr:cNvPr>
        <xdr:cNvSpPr/>
      </xdr:nvSpPr>
      <xdr:spPr>
        <a:xfrm>
          <a:off x="6538595" y="232397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137</xdr:row>
      <xdr:rowOff>78147</xdr:rowOff>
    </xdr:from>
    <xdr:to>
      <xdr:col>15</xdr:col>
      <xdr:colOff>0</xdr:colOff>
      <xdr:row>138</xdr:row>
      <xdr:rowOff>192447</xdr:rowOff>
    </xdr:to>
    <xdr:sp macro="" textlink="">
      <xdr:nvSpPr>
        <xdr:cNvPr id="219" name="Isosceles Triangle 218">
          <a:extLst>
            <a:ext uri="{FF2B5EF4-FFF2-40B4-BE49-F238E27FC236}">
              <a16:creationId xmlns:a16="http://schemas.microsoft.com/office/drawing/2014/main" id="{00000000-0008-0000-0A00-0000DB000000}"/>
            </a:ext>
          </a:extLst>
        </xdr:cNvPr>
        <xdr:cNvSpPr/>
      </xdr:nvSpPr>
      <xdr:spPr>
        <a:xfrm>
          <a:off x="75418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137</xdr:row>
      <xdr:rowOff>78147</xdr:rowOff>
    </xdr:from>
    <xdr:to>
      <xdr:col>21</xdr:col>
      <xdr:colOff>0</xdr:colOff>
      <xdr:row>139</xdr:row>
      <xdr:rowOff>5057</xdr:rowOff>
    </xdr:to>
    <xdr:sp macro="" textlink="">
      <xdr:nvSpPr>
        <xdr:cNvPr id="220" name="Isosceles Triangle 219">
          <a:extLst>
            <a:ext uri="{FF2B5EF4-FFF2-40B4-BE49-F238E27FC236}">
              <a16:creationId xmlns:a16="http://schemas.microsoft.com/office/drawing/2014/main" id="{00000000-0008-0000-0A00-0000DC000000}"/>
            </a:ext>
          </a:extLst>
        </xdr:cNvPr>
        <xdr:cNvSpPr/>
      </xdr:nvSpPr>
      <xdr:spPr>
        <a:xfrm>
          <a:off x="10551795" y="232397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137</xdr:row>
      <xdr:rowOff>78147</xdr:rowOff>
    </xdr:from>
    <xdr:to>
      <xdr:col>5</xdr:col>
      <xdr:colOff>0</xdr:colOff>
      <xdr:row>138</xdr:row>
      <xdr:rowOff>192447</xdr:rowOff>
    </xdr:to>
    <xdr:sp macro="" textlink="">
      <xdr:nvSpPr>
        <xdr:cNvPr id="221" name="Isosceles Triangle 220">
          <a:extLst>
            <a:ext uri="{FF2B5EF4-FFF2-40B4-BE49-F238E27FC236}">
              <a16:creationId xmlns:a16="http://schemas.microsoft.com/office/drawing/2014/main" id="{00000000-0008-0000-0A00-0000DD000000}"/>
            </a:ext>
          </a:extLst>
        </xdr:cNvPr>
        <xdr:cNvSpPr/>
      </xdr:nvSpPr>
      <xdr:spPr>
        <a:xfrm>
          <a:off x="25253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137</xdr:row>
      <xdr:rowOff>78147</xdr:rowOff>
    </xdr:from>
    <xdr:to>
      <xdr:col>17</xdr:col>
      <xdr:colOff>0</xdr:colOff>
      <xdr:row>138</xdr:row>
      <xdr:rowOff>192447</xdr:rowOff>
    </xdr:to>
    <xdr:sp macro="" textlink="">
      <xdr:nvSpPr>
        <xdr:cNvPr id="222" name="Isosceles Triangle 221">
          <a:extLst>
            <a:ext uri="{FF2B5EF4-FFF2-40B4-BE49-F238E27FC236}">
              <a16:creationId xmlns:a16="http://schemas.microsoft.com/office/drawing/2014/main" id="{00000000-0008-0000-0A00-0000DE000000}"/>
            </a:ext>
          </a:extLst>
        </xdr:cNvPr>
        <xdr:cNvSpPr/>
      </xdr:nvSpPr>
      <xdr:spPr>
        <a:xfrm>
          <a:off x="85451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137</xdr:row>
      <xdr:rowOff>78147</xdr:rowOff>
    </xdr:from>
    <xdr:to>
      <xdr:col>19</xdr:col>
      <xdr:colOff>0</xdr:colOff>
      <xdr:row>138</xdr:row>
      <xdr:rowOff>192447</xdr:rowOff>
    </xdr:to>
    <xdr:sp macro="" textlink="">
      <xdr:nvSpPr>
        <xdr:cNvPr id="223" name="Isosceles Triangle 222">
          <a:extLst>
            <a:ext uri="{FF2B5EF4-FFF2-40B4-BE49-F238E27FC236}">
              <a16:creationId xmlns:a16="http://schemas.microsoft.com/office/drawing/2014/main" id="{00000000-0008-0000-0A00-0000DF000000}"/>
            </a:ext>
          </a:extLst>
        </xdr:cNvPr>
        <xdr:cNvSpPr/>
      </xdr:nvSpPr>
      <xdr:spPr>
        <a:xfrm>
          <a:off x="95484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145</xdr:row>
      <xdr:rowOff>78147</xdr:rowOff>
    </xdr:from>
    <xdr:to>
      <xdr:col>3</xdr:col>
      <xdr:colOff>0</xdr:colOff>
      <xdr:row>146</xdr:row>
      <xdr:rowOff>192447</xdr:rowOff>
    </xdr:to>
    <xdr:sp macro="" textlink="">
      <xdr:nvSpPr>
        <xdr:cNvPr id="224" name="Isosceles Triangle 223">
          <a:extLst>
            <a:ext uri="{FF2B5EF4-FFF2-40B4-BE49-F238E27FC236}">
              <a16:creationId xmlns:a16="http://schemas.microsoft.com/office/drawing/2014/main" id="{00000000-0008-0000-0A00-0000E0000000}"/>
            </a:ext>
          </a:extLst>
        </xdr:cNvPr>
        <xdr:cNvSpPr/>
      </xdr:nvSpPr>
      <xdr:spPr>
        <a:xfrm>
          <a:off x="1287145" y="24579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145</xdr:row>
      <xdr:rowOff>78147</xdr:rowOff>
    </xdr:from>
    <xdr:to>
      <xdr:col>7</xdr:col>
      <xdr:colOff>0</xdr:colOff>
      <xdr:row>146</xdr:row>
      <xdr:rowOff>192447</xdr:rowOff>
    </xdr:to>
    <xdr:sp macro="" textlink="">
      <xdr:nvSpPr>
        <xdr:cNvPr id="225" name="Isosceles Triangle 224">
          <a:extLst>
            <a:ext uri="{FF2B5EF4-FFF2-40B4-BE49-F238E27FC236}">
              <a16:creationId xmlns:a16="http://schemas.microsoft.com/office/drawing/2014/main" id="{00000000-0008-0000-0A00-0000E1000000}"/>
            </a:ext>
          </a:extLst>
        </xdr:cNvPr>
        <xdr:cNvSpPr/>
      </xdr:nvSpPr>
      <xdr:spPr>
        <a:xfrm>
          <a:off x="35286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145</xdr:row>
      <xdr:rowOff>78147</xdr:rowOff>
    </xdr:from>
    <xdr:to>
      <xdr:col>9</xdr:col>
      <xdr:colOff>0</xdr:colOff>
      <xdr:row>146</xdr:row>
      <xdr:rowOff>192447</xdr:rowOff>
    </xdr:to>
    <xdr:sp macro="" textlink="">
      <xdr:nvSpPr>
        <xdr:cNvPr id="226" name="Isosceles Triangle 225">
          <a:extLst>
            <a:ext uri="{FF2B5EF4-FFF2-40B4-BE49-F238E27FC236}">
              <a16:creationId xmlns:a16="http://schemas.microsoft.com/office/drawing/2014/main" id="{00000000-0008-0000-0A00-0000E2000000}"/>
            </a:ext>
          </a:extLst>
        </xdr:cNvPr>
        <xdr:cNvSpPr/>
      </xdr:nvSpPr>
      <xdr:spPr>
        <a:xfrm>
          <a:off x="45319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145</xdr:row>
      <xdr:rowOff>78147</xdr:rowOff>
    </xdr:from>
    <xdr:to>
      <xdr:col>11</xdr:col>
      <xdr:colOff>0</xdr:colOff>
      <xdr:row>146</xdr:row>
      <xdr:rowOff>192447</xdr:rowOff>
    </xdr:to>
    <xdr:sp macro="" textlink="">
      <xdr:nvSpPr>
        <xdr:cNvPr id="227" name="Isosceles Triangle 226">
          <a:extLst>
            <a:ext uri="{FF2B5EF4-FFF2-40B4-BE49-F238E27FC236}">
              <a16:creationId xmlns:a16="http://schemas.microsoft.com/office/drawing/2014/main" id="{00000000-0008-0000-0A00-0000E3000000}"/>
            </a:ext>
          </a:extLst>
        </xdr:cNvPr>
        <xdr:cNvSpPr/>
      </xdr:nvSpPr>
      <xdr:spPr>
        <a:xfrm>
          <a:off x="55352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145</xdr:row>
      <xdr:rowOff>78147</xdr:rowOff>
    </xdr:from>
    <xdr:to>
      <xdr:col>13</xdr:col>
      <xdr:colOff>0</xdr:colOff>
      <xdr:row>147</xdr:row>
      <xdr:rowOff>5057</xdr:rowOff>
    </xdr:to>
    <xdr:sp macro="" textlink="">
      <xdr:nvSpPr>
        <xdr:cNvPr id="228" name="Isosceles Triangle 227">
          <a:extLst>
            <a:ext uri="{FF2B5EF4-FFF2-40B4-BE49-F238E27FC236}">
              <a16:creationId xmlns:a16="http://schemas.microsoft.com/office/drawing/2014/main" id="{00000000-0008-0000-0A00-0000E4000000}"/>
            </a:ext>
          </a:extLst>
        </xdr:cNvPr>
        <xdr:cNvSpPr/>
      </xdr:nvSpPr>
      <xdr:spPr>
        <a:xfrm>
          <a:off x="6538595" y="24579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145</xdr:row>
      <xdr:rowOff>78147</xdr:rowOff>
    </xdr:from>
    <xdr:to>
      <xdr:col>15</xdr:col>
      <xdr:colOff>0</xdr:colOff>
      <xdr:row>146</xdr:row>
      <xdr:rowOff>192447</xdr:rowOff>
    </xdr:to>
    <xdr:sp macro="" textlink="">
      <xdr:nvSpPr>
        <xdr:cNvPr id="229" name="Isosceles Triangle 228">
          <a:extLst>
            <a:ext uri="{FF2B5EF4-FFF2-40B4-BE49-F238E27FC236}">
              <a16:creationId xmlns:a16="http://schemas.microsoft.com/office/drawing/2014/main" id="{00000000-0008-0000-0A00-0000E5000000}"/>
            </a:ext>
          </a:extLst>
        </xdr:cNvPr>
        <xdr:cNvSpPr/>
      </xdr:nvSpPr>
      <xdr:spPr>
        <a:xfrm>
          <a:off x="75418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145</xdr:row>
      <xdr:rowOff>78147</xdr:rowOff>
    </xdr:from>
    <xdr:to>
      <xdr:col>19</xdr:col>
      <xdr:colOff>0</xdr:colOff>
      <xdr:row>147</xdr:row>
      <xdr:rowOff>5057</xdr:rowOff>
    </xdr:to>
    <xdr:sp macro="" textlink="">
      <xdr:nvSpPr>
        <xdr:cNvPr id="230" name="Isosceles Triangle 229">
          <a:extLst>
            <a:ext uri="{FF2B5EF4-FFF2-40B4-BE49-F238E27FC236}">
              <a16:creationId xmlns:a16="http://schemas.microsoft.com/office/drawing/2014/main" id="{00000000-0008-0000-0A00-0000E6000000}"/>
            </a:ext>
          </a:extLst>
        </xdr:cNvPr>
        <xdr:cNvSpPr/>
      </xdr:nvSpPr>
      <xdr:spPr>
        <a:xfrm>
          <a:off x="9548495" y="24579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145</xdr:row>
      <xdr:rowOff>78147</xdr:rowOff>
    </xdr:from>
    <xdr:to>
      <xdr:col>21</xdr:col>
      <xdr:colOff>0</xdr:colOff>
      <xdr:row>146</xdr:row>
      <xdr:rowOff>192447</xdr:rowOff>
    </xdr:to>
    <xdr:sp macro="" textlink="">
      <xdr:nvSpPr>
        <xdr:cNvPr id="231" name="Isosceles Triangle 230">
          <a:extLst>
            <a:ext uri="{FF2B5EF4-FFF2-40B4-BE49-F238E27FC236}">
              <a16:creationId xmlns:a16="http://schemas.microsoft.com/office/drawing/2014/main" id="{00000000-0008-0000-0A00-0000E7000000}"/>
            </a:ext>
          </a:extLst>
        </xdr:cNvPr>
        <xdr:cNvSpPr/>
      </xdr:nvSpPr>
      <xdr:spPr>
        <a:xfrm>
          <a:off x="105517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145</xdr:row>
      <xdr:rowOff>78147</xdr:rowOff>
    </xdr:from>
    <xdr:to>
      <xdr:col>3</xdr:col>
      <xdr:colOff>0</xdr:colOff>
      <xdr:row>146</xdr:row>
      <xdr:rowOff>192447</xdr:rowOff>
    </xdr:to>
    <xdr:sp macro="" textlink="">
      <xdr:nvSpPr>
        <xdr:cNvPr id="232" name="Isosceles Triangle 231">
          <a:extLst>
            <a:ext uri="{FF2B5EF4-FFF2-40B4-BE49-F238E27FC236}">
              <a16:creationId xmlns:a16="http://schemas.microsoft.com/office/drawing/2014/main" id="{00000000-0008-0000-0A00-0000E8000000}"/>
            </a:ext>
          </a:extLst>
        </xdr:cNvPr>
        <xdr:cNvSpPr/>
      </xdr:nvSpPr>
      <xdr:spPr>
        <a:xfrm>
          <a:off x="1287145" y="24579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145</xdr:row>
      <xdr:rowOff>78147</xdr:rowOff>
    </xdr:from>
    <xdr:to>
      <xdr:col>5</xdr:col>
      <xdr:colOff>0</xdr:colOff>
      <xdr:row>146</xdr:row>
      <xdr:rowOff>192447</xdr:rowOff>
    </xdr:to>
    <xdr:sp macro="" textlink="">
      <xdr:nvSpPr>
        <xdr:cNvPr id="233" name="Isosceles Triangle 232">
          <a:extLst>
            <a:ext uri="{FF2B5EF4-FFF2-40B4-BE49-F238E27FC236}">
              <a16:creationId xmlns:a16="http://schemas.microsoft.com/office/drawing/2014/main" id="{00000000-0008-0000-0A00-0000E9000000}"/>
            </a:ext>
          </a:extLst>
        </xdr:cNvPr>
        <xdr:cNvSpPr/>
      </xdr:nvSpPr>
      <xdr:spPr>
        <a:xfrm>
          <a:off x="25253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145</xdr:row>
      <xdr:rowOff>78147</xdr:rowOff>
    </xdr:from>
    <xdr:to>
      <xdr:col>17</xdr:col>
      <xdr:colOff>0</xdr:colOff>
      <xdr:row>146</xdr:row>
      <xdr:rowOff>192447</xdr:rowOff>
    </xdr:to>
    <xdr:sp macro="" textlink="">
      <xdr:nvSpPr>
        <xdr:cNvPr id="234" name="Isosceles Triangle 233">
          <a:extLst>
            <a:ext uri="{FF2B5EF4-FFF2-40B4-BE49-F238E27FC236}">
              <a16:creationId xmlns:a16="http://schemas.microsoft.com/office/drawing/2014/main" id="{00000000-0008-0000-0A00-0000EA000000}"/>
            </a:ext>
          </a:extLst>
        </xdr:cNvPr>
        <xdr:cNvSpPr/>
      </xdr:nvSpPr>
      <xdr:spPr>
        <a:xfrm>
          <a:off x="85451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11906</xdr:colOff>
      <xdr:row>9</xdr:row>
      <xdr:rowOff>71437</xdr:rowOff>
    </xdr:from>
    <xdr:to>
      <xdr:col>3</xdr:col>
      <xdr:colOff>7334</xdr:colOff>
      <xdr:row>10</xdr:row>
      <xdr:rowOff>166687</xdr:rowOff>
    </xdr:to>
    <xdr:sp macro="" textlink="">
      <xdr:nvSpPr>
        <xdr:cNvPr id="235" name="Isosceles Triangle 234">
          <a:extLst>
            <a:ext uri="{FF2B5EF4-FFF2-40B4-BE49-F238E27FC236}">
              <a16:creationId xmlns:a16="http://schemas.microsoft.com/office/drawing/2014/main" id="{00000000-0008-0000-0A00-0000EB000000}"/>
            </a:ext>
          </a:extLst>
        </xdr:cNvPr>
        <xdr:cNvSpPr/>
      </xdr:nvSpPr>
      <xdr:spPr>
        <a:xfrm>
          <a:off x="1294130" y="1830070"/>
          <a:ext cx="497205" cy="260350"/>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1</xdr:colOff>
      <xdr:row>9</xdr:row>
      <xdr:rowOff>71438</xdr:rowOff>
    </xdr:from>
    <xdr:to>
      <xdr:col>4</xdr:col>
      <xdr:colOff>602647</xdr:colOff>
      <xdr:row>11</xdr:row>
      <xdr:rowOff>0</xdr:rowOff>
    </xdr:to>
    <xdr:sp macro="" textlink="">
      <xdr:nvSpPr>
        <xdr:cNvPr id="236" name="Isosceles Triangle 235">
          <a:extLst>
            <a:ext uri="{FF2B5EF4-FFF2-40B4-BE49-F238E27FC236}">
              <a16:creationId xmlns:a16="http://schemas.microsoft.com/office/drawing/2014/main" id="{00000000-0008-0000-0A00-0000EC000000}"/>
            </a:ext>
          </a:extLst>
        </xdr:cNvPr>
        <xdr:cNvSpPr/>
      </xdr:nvSpPr>
      <xdr:spPr>
        <a:xfrm>
          <a:off x="2520950" y="1830070"/>
          <a:ext cx="501650" cy="262255"/>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23814</xdr:colOff>
      <xdr:row>9</xdr:row>
      <xdr:rowOff>71438</xdr:rowOff>
    </xdr:from>
    <xdr:to>
      <xdr:col>6</xdr:col>
      <xdr:colOff>626460</xdr:colOff>
      <xdr:row>11</xdr:row>
      <xdr:rowOff>0</xdr:rowOff>
    </xdr:to>
    <xdr:sp macro="" textlink="">
      <xdr:nvSpPr>
        <xdr:cNvPr id="237" name="Isosceles Triangle 236">
          <a:extLst>
            <a:ext uri="{FF2B5EF4-FFF2-40B4-BE49-F238E27FC236}">
              <a16:creationId xmlns:a16="http://schemas.microsoft.com/office/drawing/2014/main" id="{00000000-0008-0000-0A00-0000ED000000}"/>
            </a:ext>
          </a:extLst>
        </xdr:cNvPr>
        <xdr:cNvSpPr/>
      </xdr:nvSpPr>
      <xdr:spPr>
        <a:xfrm>
          <a:off x="3547745" y="1830070"/>
          <a:ext cx="478155" cy="262255"/>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0</xdr:colOff>
      <xdr:row>9</xdr:row>
      <xdr:rowOff>67467</xdr:rowOff>
    </xdr:from>
    <xdr:to>
      <xdr:col>9</xdr:col>
      <xdr:colOff>983</xdr:colOff>
      <xdr:row>10</xdr:row>
      <xdr:rowOff>162716</xdr:rowOff>
    </xdr:to>
    <xdr:sp macro="" textlink="">
      <xdr:nvSpPr>
        <xdr:cNvPr id="238" name="Isosceles Triangle 237">
          <a:extLst>
            <a:ext uri="{FF2B5EF4-FFF2-40B4-BE49-F238E27FC236}">
              <a16:creationId xmlns:a16="http://schemas.microsoft.com/office/drawing/2014/main" id="{00000000-0008-0000-0A00-0000EE000000}"/>
            </a:ext>
          </a:extLst>
        </xdr:cNvPr>
        <xdr:cNvSpPr/>
      </xdr:nvSpPr>
      <xdr:spPr>
        <a:xfrm>
          <a:off x="4527550" y="1826260"/>
          <a:ext cx="502285" cy="260350"/>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153</xdr:row>
      <xdr:rowOff>78147</xdr:rowOff>
    </xdr:from>
    <xdr:to>
      <xdr:col>3</xdr:col>
      <xdr:colOff>0</xdr:colOff>
      <xdr:row>154</xdr:row>
      <xdr:rowOff>192447</xdr:rowOff>
    </xdr:to>
    <xdr:sp macro="" textlink="">
      <xdr:nvSpPr>
        <xdr:cNvPr id="239" name="Isosceles Triangle 238">
          <a:extLst>
            <a:ext uri="{FF2B5EF4-FFF2-40B4-BE49-F238E27FC236}">
              <a16:creationId xmlns:a16="http://schemas.microsoft.com/office/drawing/2014/main" id="{00000000-0008-0000-0A00-0000EF000000}"/>
            </a:ext>
          </a:extLst>
        </xdr:cNvPr>
        <xdr:cNvSpPr/>
      </xdr:nvSpPr>
      <xdr:spPr>
        <a:xfrm>
          <a:off x="1287145" y="259194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153</xdr:row>
      <xdr:rowOff>78147</xdr:rowOff>
    </xdr:from>
    <xdr:to>
      <xdr:col>7</xdr:col>
      <xdr:colOff>0</xdr:colOff>
      <xdr:row>154</xdr:row>
      <xdr:rowOff>192447</xdr:rowOff>
    </xdr:to>
    <xdr:sp macro="" textlink="">
      <xdr:nvSpPr>
        <xdr:cNvPr id="240" name="Isosceles Triangle 239">
          <a:extLst>
            <a:ext uri="{FF2B5EF4-FFF2-40B4-BE49-F238E27FC236}">
              <a16:creationId xmlns:a16="http://schemas.microsoft.com/office/drawing/2014/main" id="{00000000-0008-0000-0A00-0000F0000000}"/>
            </a:ext>
          </a:extLst>
        </xdr:cNvPr>
        <xdr:cNvSpPr/>
      </xdr:nvSpPr>
      <xdr:spPr>
        <a:xfrm>
          <a:off x="35286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153</xdr:row>
      <xdr:rowOff>78147</xdr:rowOff>
    </xdr:from>
    <xdr:to>
      <xdr:col>9</xdr:col>
      <xdr:colOff>0</xdr:colOff>
      <xdr:row>154</xdr:row>
      <xdr:rowOff>192447</xdr:rowOff>
    </xdr:to>
    <xdr:sp macro="" textlink="">
      <xdr:nvSpPr>
        <xdr:cNvPr id="241" name="Isosceles Triangle 240">
          <a:extLst>
            <a:ext uri="{FF2B5EF4-FFF2-40B4-BE49-F238E27FC236}">
              <a16:creationId xmlns:a16="http://schemas.microsoft.com/office/drawing/2014/main" id="{00000000-0008-0000-0A00-0000F1000000}"/>
            </a:ext>
          </a:extLst>
        </xdr:cNvPr>
        <xdr:cNvSpPr/>
      </xdr:nvSpPr>
      <xdr:spPr>
        <a:xfrm>
          <a:off x="45319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153</xdr:row>
      <xdr:rowOff>78147</xdr:rowOff>
    </xdr:from>
    <xdr:to>
      <xdr:col>11</xdr:col>
      <xdr:colOff>0</xdr:colOff>
      <xdr:row>154</xdr:row>
      <xdr:rowOff>192447</xdr:rowOff>
    </xdr:to>
    <xdr:sp macro="" textlink="">
      <xdr:nvSpPr>
        <xdr:cNvPr id="242" name="Isosceles Triangle 241">
          <a:extLst>
            <a:ext uri="{FF2B5EF4-FFF2-40B4-BE49-F238E27FC236}">
              <a16:creationId xmlns:a16="http://schemas.microsoft.com/office/drawing/2014/main" id="{00000000-0008-0000-0A00-0000F2000000}"/>
            </a:ext>
          </a:extLst>
        </xdr:cNvPr>
        <xdr:cNvSpPr/>
      </xdr:nvSpPr>
      <xdr:spPr>
        <a:xfrm>
          <a:off x="55352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153</xdr:row>
      <xdr:rowOff>90053</xdr:rowOff>
    </xdr:from>
    <xdr:to>
      <xdr:col>13</xdr:col>
      <xdr:colOff>0</xdr:colOff>
      <xdr:row>155</xdr:row>
      <xdr:rowOff>18616</xdr:rowOff>
    </xdr:to>
    <xdr:sp macro="" textlink="">
      <xdr:nvSpPr>
        <xdr:cNvPr id="243" name="Isosceles Triangle 242">
          <a:extLst>
            <a:ext uri="{FF2B5EF4-FFF2-40B4-BE49-F238E27FC236}">
              <a16:creationId xmlns:a16="http://schemas.microsoft.com/office/drawing/2014/main" id="{00000000-0008-0000-0A00-0000F3000000}"/>
            </a:ext>
          </a:extLst>
        </xdr:cNvPr>
        <xdr:cNvSpPr/>
      </xdr:nvSpPr>
      <xdr:spPr>
        <a:xfrm>
          <a:off x="6538595" y="25930860"/>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153</xdr:row>
      <xdr:rowOff>78147</xdr:rowOff>
    </xdr:from>
    <xdr:to>
      <xdr:col>15</xdr:col>
      <xdr:colOff>0</xdr:colOff>
      <xdr:row>155</xdr:row>
      <xdr:rowOff>6710</xdr:rowOff>
    </xdr:to>
    <xdr:sp macro="" textlink="">
      <xdr:nvSpPr>
        <xdr:cNvPr id="244" name="Isosceles Triangle 243">
          <a:extLst>
            <a:ext uri="{FF2B5EF4-FFF2-40B4-BE49-F238E27FC236}">
              <a16:creationId xmlns:a16="http://schemas.microsoft.com/office/drawing/2014/main" id="{00000000-0008-0000-0A00-0000F4000000}"/>
            </a:ext>
          </a:extLst>
        </xdr:cNvPr>
        <xdr:cNvSpPr/>
      </xdr:nvSpPr>
      <xdr:spPr>
        <a:xfrm>
          <a:off x="7541895" y="2591943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153</xdr:row>
      <xdr:rowOff>78147</xdr:rowOff>
    </xdr:from>
    <xdr:to>
      <xdr:col>17</xdr:col>
      <xdr:colOff>0</xdr:colOff>
      <xdr:row>154</xdr:row>
      <xdr:rowOff>192447</xdr:rowOff>
    </xdr:to>
    <xdr:sp macro="" textlink="">
      <xdr:nvSpPr>
        <xdr:cNvPr id="245" name="Isosceles Triangle 244">
          <a:extLst>
            <a:ext uri="{FF2B5EF4-FFF2-40B4-BE49-F238E27FC236}">
              <a16:creationId xmlns:a16="http://schemas.microsoft.com/office/drawing/2014/main" id="{00000000-0008-0000-0A00-0000F5000000}"/>
            </a:ext>
          </a:extLst>
        </xdr:cNvPr>
        <xdr:cNvSpPr/>
      </xdr:nvSpPr>
      <xdr:spPr>
        <a:xfrm>
          <a:off x="8545195" y="259194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153</xdr:row>
      <xdr:rowOff>78147</xdr:rowOff>
    </xdr:from>
    <xdr:to>
      <xdr:col>19</xdr:col>
      <xdr:colOff>0</xdr:colOff>
      <xdr:row>154</xdr:row>
      <xdr:rowOff>192447</xdr:rowOff>
    </xdr:to>
    <xdr:sp macro="" textlink="">
      <xdr:nvSpPr>
        <xdr:cNvPr id="246" name="Isosceles Triangle 245">
          <a:extLst>
            <a:ext uri="{FF2B5EF4-FFF2-40B4-BE49-F238E27FC236}">
              <a16:creationId xmlns:a16="http://schemas.microsoft.com/office/drawing/2014/main" id="{00000000-0008-0000-0A00-0000F6000000}"/>
            </a:ext>
          </a:extLst>
        </xdr:cNvPr>
        <xdr:cNvSpPr/>
      </xdr:nvSpPr>
      <xdr:spPr>
        <a:xfrm>
          <a:off x="95484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153</xdr:row>
      <xdr:rowOff>78147</xdr:rowOff>
    </xdr:from>
    <xdr:to>
      <xdr:col>21</xdr:col>
      <xdr:colOff>0</xdr:colOff>
      <xdr:row>155</xdr:row>
      <xdr:rowOff>3761</xdr:rowOff>
    </xdr:to>
    <xdr:sp macro="" textlink="">
      <xdr:nvSpPr>
        <xdr:cNvPr id="247" name="Isosceles Triangle 246">
          <a:extLst>
            <a:ext uri="{FF2B5EF4-FFF2-40B4-BE49-F238E27FC236}">
              <a16:creationId xmlns:a16="http://schemas.microsoft.com/office/drawing/2014/main" id="{00000000-0008-0000-0A00-0000F7000000}"/>
            </a:ext>
          </a:extLst>
        </xdr:cNvPr>
        <xdr:cNvSpPr/>
      </xdr:nvSpPr>
      <xdr:spPr>
        <a:xfrm>
          <a:off x="10551795" y="25919430"/>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153</xdr:row>
      <xdr:rowOff>78147</xdr:rowOff>
    </xdr:from>
    <xdr:to>
      <xdr:col>5</xdr:col>
      <xdr:colOff>0</xdr:colOff>
      <xdr:row>154</xdr:row>
      <xdr:rowOff>192447</xdr:rowOff>
    </xdr:to>
    <xdr:sp macro="" textlink="">
      <xdr:nvSpPr>
        <xdr:cNvPr id="248" name="Isosceles Triangle 247">
          <a:extLst>
            <a:ext uri="{FF2B5EF4-FFF2-40B4-BE49-F238E27FC236}">
              <a16:creationId xmlns:a16="http://schemas.microsoft.com/office/drawing/2014/main" id="{00000000-0008-0000-0A00-0000F8000000}"/>
            </a:ext>
          </a:extLst>
        </xdr:cNvPr>
        <xdr:cNvSpPr/>
      </xdr:nvSpPr>
      <xdr:spPr>
        <a:xfrm>
          <a:off x="25253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153</xdr:row>
      <xdr:rowOff>78147</xdr:rowOff>
    </xdr:from>
    <xdr:to>
      <xdr:col>3</xdr:col>
      <xdr:colOff>0</xdr:colOff>
      <xdr:row>154</xdr:row>
      <xdr:rowOff>192447</xdr:rowOff>
    </xdr:to>
    <xdr:sp macro="" textlink="">
      <xdr:nvSpPr>
        <xdr:cNvPr id="249" name="Isosceles Triangle 248">
          <a:extLst>
            <a:ext uri="{FF2B5EF4-FFF2-40B4-BE49-F238E27FC236}">
              <a16:creationId xmlns:a16="http://schemas.microsoft.com/office/drawing/2014/main" id="{00000000-0008-0000-0A00-0000F9000000}"/>
            </a:ext>
          </a:extLst>
        </xdr:cNvPr>
        <xdr:cNvSpPr/>
      </xdr:nvSpPr>
      <xdr:spPr>
        <a:xfrm>
          <a:off x="128714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153</xdr:row>
      <xdr:rowOff>78147</xdr:rowOff>
    </xdr:from>
    <xdr:to>
      <xdr:col>17</xdr:col>
      <xdr:colOff>0</xdr:colOff>
      <xdr:row>154</xdr:row>
      <xdr:rowOff>192447</xdr:rowOff>
    </xdr:to>
    <xdr:sp macro="" textlink="">
      <xdr:nvSpPr>
        <xdr:cNvPr id="250" name="Isosceles Triangle 249">
          <a:extLst>
            <a:ext uri="{FF2B5EF4-FFF2-40B4-BE49-F238E27FC236}">
              <a16:creationId xmlns:a16="http://schemas.microsoft.com/office/drawing/2014/main" id="{00000000-0008-0000-0A00-0000FA000000}"/>
            </a:ext>
          </a:extLst>
        </xdr:cNvPr>
        <xdr:cNvSpPr/>
      </xdr:nvSpPr>
      <xdr:spPr>
        <a:xfrm>
          <a:off x="85451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57</xdr:row>
      <xdr:rowOff>78147</xdr:rowOff>
    </xdr:from>
    <xdr:to>
      <xdr:col>11</xdr:col>
      <xdr:colOff>0</xdr:colOff>
      <xdr:row>58</xdr:row>
      <xdr:rowOff>192447</xdr:rowOff>
    </xdr:to>
    <xdr:sp macro="" textlink="">
      <xdr:nvSpPr>
        <xdr:cNvPr id="338" name="Isosceles Triangle 337">
          <a:extLst>
            <a:ext uri="{FF2B5EF4-FFF2-40B4-BE49-F238E27FC236}">
              <a16:creationId xmlns:a16="http://schemas.microsoft.com/office/drawing/2014/main" id="{00000000-0008-0000-0A00-000052010000}"/>
            </a:ext>
          </a:extLst>
        </xdr:cNvPr>
        <xdr:cNvSpPr/>
      </xdr:nvSpPr>
      <xdr:spPr>
        <a:xfrm>
          <a:off x="55352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57</xdr:row>
      <xdr:rowOff>78147</xdr:rowOff>
    </xdr:from>
    <xdr:to>
      <xdr:col>13</xdr:col>
      <xdr:colOff>0</xdr:colOff>
      <xdr:row>58</xdr:row>
      <xdr:rowOff>192447</xdr:rowOff>
    </xdr:to>
    <xdr:sp macro="" textlink="">
      <xdr:nvSpPr>
        <xdr:cNvPr id="339" name="Isosceles Triangle 338">
          <a:extLst>
            <a:ext uri="{FF2B5EF4-FFF2-40B4-BE49-F238E27FC236}">
              <a16:creationId xmlns:a16="http://schemas.microsoft.com/office/drawing/2014/main" id="{00000000-0008-0000-0A00-000053010000}"/>
            </a:ext>
          </a:extLst>
        </xdr:cNvPr>
        <xdr:cNvSpPr/>
      </xdr:nvSpPr>
      <xdr:spPr>
        <a:xfrm>
          <a:off x="65385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78147</xdr:rowOff>
    </xdr:from>
    <xdr:to>
      <xdr:col>15</xdr:col>
      <xdr:colOff>0</xdr:colOff>
      <xdr:row>58</xdr:row>
      <xdr:rowOff>192447</xdr:rowOff>
    </xdr:to>
    <xdr:sp macro="" textlink="">
      <xdr:nvSpPr>
        <xdr:cNvPr id="340" name="Isosceles Triangle 339">
          <a:extLst>
            <a:ext uri="{FF2B5EF4-FFF2-40B4-BE49-F238E27FC236}">
              <a16:creationId xmlns:a16="http://schemas.microsoft.com/office/drawing/2014/main" id="{00000000-0008-0000-0A00-000054010000}"/>
            </a:ext>
          </a:extLst>
        </xdr:cNvPr>
        <xdr:cNvSpPr/>
      </xdr:nvSpPr>
      <xdr:spPr>
        <a:xfrm>
          <a:off x="75418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341" name="Isosceles Triangle 340">
          <a:extLst>
            <a:ext uri="{FF2B5EF4-FFF2-40B4-BE49-F238E27FC236}">
              <a16:creationId xmlns:a16="http://schemas.microsoft.com/office/drawing/2014/main" id="{00000000-0008-0000-0A00-000055010000}"/>
            </a:ext>
          </a:extLst>
        </xdr:cNvPr>
        <xdr:cNvSpPr/>
      </xdr:nvSpPr>
      <xdr:spPr>
        <a:xfrm>
          <a:off x="95484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78147</xdr:rowOff>
    </xdr:from>
    <xdr:to>
      <xdr:col>15</xdr:col>
      <xdr:colOff>0</xdr:colOff>
      <xdr:row>58</xdr:row>
      <xdr:rowOff>192447</xdr:rowOff>
    </xdr:to>
    <xdr:sp macro="" textlink="">
      <xdr:nvSpPr>
        <xdr:cNvPr id="342" name="Isosceles Triangle 341">
          <a:extLst>
            <a:ext uri="{FF2B5EF4-FFF2-40B4-BE49-F238E27FC236}">
              <a16:creationId xmlns:a16="http://schemas.microsoft.com/office/drawing/2014/main" id="{00000000-0008-0000-0A00-000056010000}"/>
            </a:ext>
          </a:extLst>
        </xdr:cNvPr>
        <xdr:cNvSpPr/>
      </xdr:nvSpPr>
      <xdr:spPr>
        <a:xfrm>
          <a:off x="75418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343" name="Isosceles Triangle 342">
          <a:extLst>
            <a:ext uri="{FF2B5EF4-FFF2-40B4-BE49-F238E27FC236}">
              <a16:creationId xmlns:a16="http://schemas.microsoft.com/office/drawing/2014/main" id="{00000000-0008-0000-0A00-000057010000}"/>
            </a:ext>
          </a:extLst>
        </xdr:cNvPr>
        <xdr:cNvSpPr/>
      </xdr:nvSpPr>
      <xdr:spPr>
        <a:xfrm>
          <a:off x="85451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4" name="Isosceles Triangle 343">
          <a:extLst>
            <a:ext uri="{FF2B5EF4-FFF2-40B4-BE49-F238E27FC236}">
              <a16:creationId xmlns:a16="http://schemas.microsoft.com/office/drawing/2014/main" id="{00000000-0008-0000-0A00-000058010000}"/>
            </a:ext>
          </a:extLst>
        </xdr:cNvPr>
        <xdr:cNvSpPr/>
      </xdr:nvSpPr>
      <xdr:spPr>
        <a:xfrm>
          <a:off x="105517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5" name="Isosceles Triangle 344">
          <a:extLst>
            <a:ext uri="{FF2B5EF4-FFF2-40B4-BE49-F238E27FC236}">
              <a16:creationId xmlns:a16="http://schemas.microsoft.com/office/drawing/2014/main" id="{00000000-0008-0000-0A00-000059010000}"/>
            </a:ext>
          </a:extLst>
        </xdr:cNvPr>
        <xdr:cNvSpPr/>
      </xdr:nvSpPr>
      <xdr:spPr>
        <a:xfrm>
          <a:off x="105517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6" name="Isosceles Triangle 345">
          <a:extLst>
            <a:ext uri="{FF2B5EF4-FFF2-40B4-BE49-F238E27FC236}">
              <a16:creationId xmlns:a16="http://schemas.microsoft.com/office/drawing/2014/main" id="{00000000-0008-0000-0A00-00005A010000}"/>
            </a:ext>
          </a:extLst>
        </xdr:cNvPr>
        <xdr:cNvSpPr/>
      </xdr:nvSpPr>
      <xdr:spPr>
        <a:xfrm>
          <a:off x="105517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347" name="Isosceles Triangle 346">
          <a:extLst>
            <a:ext uri="{FF2B5EF4-FFF2-40B4-BE49-F238E27FC236}">
              <a16:creationId xmlns:a16="http://schemas.microsoft.com/office/drawing/2014/main" id="{00000000-0008-0000-0A00-00005B01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66</xdr:row>
      <xdr:rowOff>78147</xdr:rowOff>
    </xdr:from>
    <xdr:to>
      <xdr:col>5</xdr:col>
      <xdr:colOff>0</xdr:colOff>
      <xdr:row>67</xdr:row>
      <xdr:rowOff>192447</xdr:rowOff>
    </xdr:to>
    <xdr:sp macro="" textlink="">
      <xdr:nvSpPr>
        <xdr:cNvPr id="348" name="Isosceles Triangle 347">
          <a:extLst>
            <a:ext uri="{FF2B5EF4-FFF2-40B4-BE49-F238E27FC236}">
              <a16:creationId xmlns:a16="http://schemas.microsoft.com/office/drawing/2014/main" id="{00000000-0008-0000-0A00-00005C010000}"/>
            </a:ext>
          </a:extLst>
        </xdr:cNvPr>
        <xdr:cNvSpPr/>
      </xdr:nvSpPr>
      <xdr:spPr>
        <a:xfrm>
          <a:off x="25253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66</xdr:row>
      <xdr:rowOff>78147</xdr:rowOff>
    </xdr:from>
    <xdr:to>
      <xdr:col>11</xdr:col>
      <xdr:colOff>0</xdr:colOff>
      <xdr:row>67</xdr:row>
      <xdr:rowOff>192447</xdr:rowOff>
    </xdr:to>
    <xdr:sp macro="" textlink="">
      <xdr:nvSpPr>
        <xdr:cNvPr id="349" name="Isosceles Triangle 348">
          <a:extLst>
            <a:ext uri="{FF2B5EF4-FFF2-40B4-BE49-F238E27FC236}">
              <a16:creationId xmlns:a16="http://schemas.microsoft.com/office/drawing/2014/main" id="{00000000-0008-0000-0A00-00005D010000}"/>
            </a:ext>
          </a:extLst>
        </xdr:cNvPr>
        <xdr:cNvSpPr/>
      </xdr:nvSpPr>
      <xdr:spPr>
        <a:xfrm>
          <a:off x="55352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350" name="Isosceles Triangle 349">
          <a:extLst>
            <a:ext uri="{FF2B5EF4-FFF2-40B4-BE49-F238E27FC236}">
              <a16:creationId xmlns:a16="http://schemas.microsoft.com/office/drawing/2014/main" id="{00000000-0008-0000-0A00-00005E010000}"/>
            </a:ext>
          </a:extLst>
        </xdr:cNvPr>
        <xdr:cNvSpPr/>
      </xdr:nvSpPr>
      <xdr:spPr>
        <a:xfrm>
          <a:off x="128714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66</xdr:row>
      <xdr:rowOff>78147</xdr:rowOff>
    </xdr:from>
    <xdr:to>
      <xdr:col>15</xdr:col>
      <xdr:colOff>0</xdr:colOff>
      <xdr:row>67</xdr:row>
      <xdr:rowOff>192447</xdr:rowOff>
    </xdr:to>
    <xdr:sp macro="" textlink="">
      <xdr:nvSpPr>
        <xdr:cNvPr id="351" name="Isosceles Triangle 350">
          <a:extLst>
            <a:ext uri="{FF2B5EF4-FFF2-40B4-BE49-F238E27FC236}">
              <a16:creationId xmlns:a16="http://schemas.microsoft.com/office/drawing/2014/main" id="{00000000-0008-0000-0A00-00005F010000}"/>
            </a:ext>
          </a:extLst>
        </xdr:cNvPr>
        <xdr:cNvSpPr/>
      </xdr:nvSpPr>
      <xdr:spPr>
        <a:xfrm>
          <a:off x="75418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352" name="Isosceles Triangle 351">
          <a:extLst>
            <a:ext uri="{FF2B5EF4-FFF2-40B4-BE49-F238E27FC236}">
              <a16:creationId xmlns:a16="http://schemas.microsoft.com/office/drawing/2014/main" id="{00000000-0008-0000-0A00-000060010000}"/>
            </a:ext>
          </a:extLst>
        </xdr:cNvPr>
        <xdr:cNvSpPr/>
      </xdr:nvSpPr>
      <xdr:spPr>
        <a:xfrm>
          <a:off x="85451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3" name="Isosceles Triangle 352">
          <a:extLst>
            <a:ext uri="{FF2B5EF4-FFF2-40B4-BE49-F238E27FC236}">
              <a16:creationId xmlns:a16="http://schemas.microsoft.com/office/drawing/2014/main" id="{00000000-0008-0000-0A00-000061010000}"/>
            </a:ext>
          </a:extLst>
        </xdr:cNvPr>
        <xdr:cNvSpPr/>
      </xdr:nvSpPr>
      <xdr:spPr>
        <a:xfrm>
          <a:off x="105517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4" name="Isosceles Triangle 353">
          <a:extLst>
            <a:ext uri="{FF2B5EF4-FFF2-40B4-BE49-F238E27FC236}">
              <a16:creationId xmlns:a16="http://schemas.microsoft.com/office/drawing/2014/main" id="{00000000-0008-0000-0A00-000062010000}"/>
            </a:ext>
          </a:extLst>
        </xdr:cNvPr>
        <xdr:cNvSpPr/>
      </xdr:nvSpPr>
      <xdr:spPr>
        <a:xfrm>
          <a:off x="105517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5" name="Isosceles Triangle 354">
          <a:extLst>
            <a:ext uri="{FF2B5EF4-FFF2-40B4-BE49-F238E27FC236}">
              <a16:creationId xmlns:a16="http://schemas.microsoft.com/office/drawing/2014/main" id="{00000000-0008-0000-0A00-000063010000}"/>
            </a:ext>
          </a:extLst>
        </xdr:cNvPr>
        <xdr:cNvSpPr/>
      </xdr:nvSpPr>
      <xdr:spPr>
        <a:xfrm>
          <a:off x="105517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75</xdr:row>
      <xdr:rowOff>78147</xdr:rowOff>
    </xdr:from>
    <xdr:to>
      <xdr:col>5</xdr:col>
      <xdr:colOff>0</xdr:colOff>
      <xdr:row>76</xdr:row>
      <xdr:rowOff>192447</xdr:rowOff>
    </xdr:to>
    <xdr:sp macro="" textlink="">
      <xdr:nvSpPr>
        <xdr:cNvPr id="356" name="Isosceles Triangle 355">
          <a:extLst>
            <a:ext uri="{FF2B5EF4-FFF2-40B4-BE49-F238E27FC236}">
              <a16:creationId xmlns:a16="http://schemas.microsoft.com/office/drawing/2014/main" id="{00000000-0008-0000-0A00-000064010000}"/>
            </a:ext>
          </a:extLst>
        </xdr:cNvPr>
        <xdr:cNvSpPr/>
      </xdr:nvSpPr>
      <xdr:spPr>
        <a:xfrm>
          <a:off x="25253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357" name="Isosceles Triangle 356">
          <a:extLst>
            <a:ext uri="{FF2B5EF4-FFF2-40B4-BE49-F238E27FC236}">
              <a16:creationId xmlns:a16="http://schemas.microsoft.com/office/drawing/2014/main" id="{00000000-0008-0000-0A00-000065010000}"/>
            </a:ext>
          </a:extLst>
        </xdr:cNvPr>
        <xdr:cNvSpPr/>
      </xdr:nvSpPr>
      <xdr:spPr>
        <a:xfrm>
          <a:off x="75418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75</xdr:row>
      <xdr:rowOff>78147</xdr:rowOff>
    </xdr:from>
    <xdr:to>
      <xdr:col>19</xdr:col>
      <xdr:colOff>0</xdr:colOff>
      <xdr:row>76</xdr:row>
      <xdr:rowOff>192447</xdr:rowOff>
    </xdr:to>
    <xdr:sp macro="" textlink="">
      <xdr:nvSpPr>
        <xdr:cNvPr id="358" name="Isosceles Triangle 357">
          <a:extLst>
            <a:ext uri="{FF2B5EF4-FFF2-40B4-BE49-F238E27FC236}">
              <a16:creationId xmlns:a16="http://schemas.microsoft.com/office/drawing/2014/main" id="{00000000-0008-0000-0A00-000066010000}"/>
            </a:ext>
          </a:extLst>
        </xdr:cNvPr>
        <xdr:cNvSpPr/>
      </xdr:nvSpPr>
      <xdr:spPr>
        <a:xfrm>
          <a:off x="95484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359" name="Isosceles Triangle 358">
          <a:extLst>
            <a:ext uri="{FF2B5EF4-FFF2-40B4-BE49-F238E27FC236}">
              <a16:creationId xmlns:a16="http://schemas.microsoft.com/office/drawing/2014/main" id="{00000000-0008-0000-0A00-000067010000}"/>
            </a:ext>
          </a:extLst>
        </xdr:cNvPr>
        <xdr:cNvSpPr/>
      </xdr:nvSpPr>
      <xdr:spPr>
        <a:xfrm>
          <a:off x="75418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360" name="Isosceles Triangle 359">
          <a:extLst>
            <a:ext uri="{FF2B5EF4-FFF2-40B4-BE49-F238E27FC236}">
              <a16:creationId xmlns:a16="http://schemas.microsoft.com/office/drawing/2014/main" id="{00000000-0008-0000-0A00-000068010000}"/>
            </a:ext>
          </a:extLst>
        </xdr:cNvPr>
        <xdr:cNvSpPr/>
      </xdr:nvSpPr>
      <xdr:spPr>
        <a:xfrm>
          <a:off x="85451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1" name="Isosceles Triangle 360">
          <a:extLst>
            <a:ext uri="{FF2B5EF4-FFF2-40B4-BE49-F238E27FC236}">
              <a16:creationId xmlns:a16="http://schemas.microsoft.com/office/drawing/2014/main" id="{00000000-0008-0000-0A00-000069010000}"/>
            </a:ext>
          </a:extLst>
        </xdr:cNvPr>
        <xdr:cNvSpPr/>
      </xdr:nvSpPr>
      <xdr:spPr>
        <a:xfrm>
          <a:off x="105517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2" name="Isosceles Triangle 361">
          <a:extLst>
            <a:ext uri="{FF2B5EF4-FFF2-40B4-BE49-F238E27FC236}">
              <a16:creationId xmlns:a16="http://schemas.microsoft.com/office/drawing/2014/main" id="{00000000-0008-0000-0A00-00006A010000}"/>
            </a:ext>
          </a:extLst>
        </xdr:cNvPr>
        <xdr:cNvSpPr/>
      </xdr:nvSpPr>
      <xdr:spPr>
        <a:xfrm>
          <a:off x="105517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3" name="Isosceles Triangle 362">
          <a:extLst>
            <a:ext uri="{FF2B5EF4-FFF2-40B4-BE49-F238E27FC236}">
              <a16:creationId xmlns:a16="http://schemas.microsoft.com/office/drawing/2014/main" id="{00000000-0008-0000-0A00-00006B010000}"/>
            </a:ext>
          </a:extLst>
        </xdr:cNvPr>
        <xdr:cNvSpPr/>
      </xdr:nvSpPr>
      <xdr:spPr>
        <a:xfrm>
          <a:off x="105517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84</xdr:row>
      <xdr:rowOff>78147</xdr:rowOff>
    </xdr:from>
    <xdr:to>
      <xdr:col>5</xdr:col>
      <xdr:colOff>0</xdr:colOff>
      <xdr:row>85</xdr:row>
      <xdr:rowOff>192447</xdr:rowOff>
    </xdr:to>
    <xdr:sp macro="" textlink="">
      <xdr:nvSpPr>
        <xdr:cNvPr id="364" name="Isosceles Triangle 363">
          <a:extLst>
            <a:ext uri="{FF2B5EF4-FFF2-40B4-BE49-F238E27FC236}">
              <a16:creationId xmlns:a16="http://schemas.microsoft.com/office/drawing/2014/main" id="{00000000-0008-0000-0A00-00006C010000}"/>
            </a:ext>
          </a:extLst>
        </xdr:cNvPr>
        <xdr:cNvSpPr/>
      </xdr:nvSpPr>
      <xdr:spPr>
        <a:xfrm>
          <a:off x="25253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84</xdr:row>
      <xdr:rowOff>78147</xdr:rowOff>
    </xdr:from>
    <xdr:to>
      <xdr:col>19</xdr:col>
      <xdr:colOff>0</xdr:colOff>
      <xdr:row>85</xdr:row>
      <xdr:rowOff>192447</xdr:rowOff>
    </xdr:to>
    <xdr:sp macro="" textlink="">
      <xdr:nvSpPr>
        <xdr:cNvPr id="365" name="Isosceles Triangle 364">
          <a:extLst>
            <a:ext uri="{FF2B5EF4-FFF2-40B4-BE49-F238E27FC236}">
              <a16:creationId xmlns:a16="http://schemas.microsoft.com/office/drawing/2014/main" id="{00000000-0008-0000-0A00-00006D010000}"/>
            </a:ext>
          </a:extLst>
        </xdr:cNvPr>
        <xdr:cNvSpPr/>
      </xdr:nvSpPr>
      <xdr:spPr>
        <a:xfrm>
          <a:off x="95484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366" name="Isosceles Triangle 365">
          <a:extLst>
            <a:ext uri="{FF2B5EF4-FFF2-40B4-BE49-F238E27FC236}">
              <a16:creationId xmlns:a16="http://schemas.microsoft.com/office/drawing/2014/main" id="{00000000-0008-0000-0A00-00006E010000}"/>
            </a:ext>
          </a:extLst>
        </xdr:cNvPr>
        <xdr:cNvSpPr/>
      </xdr:nvSpPr>
      <xdr:spPr>
        <a:xfrm>
          <a:off x="1055179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367" name="Isosceles Triangle 366">
          <a:extLst>
            <a:ext uri="{FF2B5EF4-FFF2-40B4-BE49-F238E27FC236}">
              <a16:creationId xmlns:a16="http://schemas.microsoft.com/office/drawing/2014/main" id="{00000000-0008-0000-0A00-00006F010000}"/>
            </a:ext>
          </a:extLst>
        </xdr:cNvPr>
        <xdr:cNvSpPr/>
      </xdr:nvSpPr>
      <xdr:spPr>
        <a:xfrm>
          <a:off x="105517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93</xdr:row>
      <xdr:rowOff>78147</xdr:rowOff>
    </xdr:from>
    <xdr:to>
      <xdr:col>5</xdr:col>
      <xdr:colOff>0</xdr:colOff>
      <xdr:row>94</xdr:row>
      <xdr:rowOff>192447</xdr:rowOff>
    </xdr:to>
    <xdr:sp macro="" textlink="">
      <xdr:nvSpPr>
        <xdr:cNvPr id="368" name="Isosceles Triangle 367">
          <a:extLst>
            <a:ext uri="{FF2B5EF4-FFF2-40B4-BE49-F238E27FC236}">
              <a16:creationId xmlns:a16="http://schemas.microsoft.com/office/drawing/2014/main" id="{00000000-0008-0000-0A00-000070010000}"/>
            </a:ext>
          </a:extLst>
        </xdr:cNvPr>
        <xdr:cNvSpPr/>
      </xdr:nvSpPr>
      <xdr:spPr>
        <a:xfrm>
          <a:off x="25253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93</xdr:row>
      <xdr:rowOff>78147</xdr:rowOff>
    </xdr:from>
    <xdr:to>
      <xdr:col>19</xdr:col>
      <xdr:colOff>0</xdr:colOff>
      <xdr:row>94</xdr:row>
      <xdr:rowOff>192447</xdr:rowOff>
    </xdr:to>
    <xdr:sp macro="" textlink="">
      <xdr:nvSpPr>
        <xdr:cNvPr id="369" name="Isosceles Triangle 368">
          <a:extLst>
            <a:ext uri="{FF2B5EF4-FFF2-40B4-BE49-F238E27FC236}">
              <a16:creationId xmlns:a16="http://schemas.microsoft.com/office/drawing/2014/main" id="{00000000-0008-0000-0A00-000071010000}"/>
            </a:ext>
          </a:extLst>
        </xdr:cNvPr>
        <xdr:cNvSpPr/>
      </xdr:nvSpPr>
      <xdr:spPr>
        <a:xfrm>
          <a:off x="95484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370" name="Isosceles Triangle 369">
          <a:extLst>
            <a:ext uri="{FF2B5EF4-FFF2-40B4-BE49-F238E27FC236}">
              <a16:creationId xmlns:a16="http://schemas.microsoft.com/office/drawing/2014/main" id="{00000000-0008-0000-0A00-000072010000}"/>
            </a:ext>
          </a:extLst>
        </xdr:cNvPr>
        <xdr:cNvSpPr/>
      </xdr:nvSpPr>
      <xdr:spPr>
        <a:xfrm>
          <a:off x="128714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371" name="Isosceles Triangle 370">
          <a:extLst>
            <a:ext uri="{FF2B5EF4-FFF2-40B4-BE49-F238E27FC236}">
              <a16:creationId xmlns:a16="http://schemas.microsoft.com/office/drawing/2014/main" id="{00000000-0008-0000-0A00-000073010000}"/>
            </a:ext>
          </a:extLst>
        </xdr:cNvPr>
        <xdr:cNvSpPr/>
      </xdr:nvSpPr>
      <xdr:spPr>
        <a:xfrm>
          <a:off x="85451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372" name="Isosceles Triangle 371">
          <a:extLst>
            <a:ext uri="{FF2B5EF4-FFF2-40B4-BE49-F238E27FC236}">
              <a16:creationId xmlns:a16="http://schemas.microsoft.com/office/drawing/2014/main" id="{00000000-0008-0000-0A00-000074010000}"/>
            </a:ext>
          </a:extLst>
        </xdr:cNvPr>
        <xdr:cNvSpPr/>
      </xdr:nvSpPr>
      <xdr:spPr>
        <a:xfrm>
          <a:off x="1055179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373" name="Isosceles Triangle 372">
          <a:extLst>
            <a:ext uri="{FF2B5EF4-FFF2-40B4-BE49-F238E27FC236}">
              <a16:creationId xmlns:a16="http://schemas.microsoft.com/office/drawing/2014/main" id="{00000000-0008-0000-0A00-000075010000}"/>
            </a:ext>
          </a:extLst>
        </xdr:cNvPr>
        <xdr:cNvSpPr/>
      </xdr:nvSpPr>
      <xdr:spPr>
        <a:xfrm>
          <a:off x="105517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102</xdr:row>
      <xdr:rowOff>78147</xdr:rowOff>
    </xdr:from>
    <xdr:to>
      <xdr:col>5</xdr:col>
      <xdr:colOff>0</xdr:colOff>
      <xdr:row>103</xdr:row>
      <xdr:rowOff>192447</xdr:rowOff>
    </xdr:to>
    <xdr:sp macro="" textlink="">
      <xdr:nvSpPr>
        <xdr:cNvPr id="374" name="Isosceles Triangle 373">
          <a:extLst>
            <a:ext uri="{FF2B5EF4-FFF2-40B4-BE49-F238E27FC236}">
              <a16:creationId xmlns:a16="http://schemas.microsoft.com/office/drawing/2014/main" id="{00000000-0008-0000-0A00-000076010000}"/>
            </a:ext>
          </a:extLst>
        </xdr:cNvPr>
        <xdr:cNvSpPr/>
      </xdr:nvSpPr>
      <xdr:spPr>
        <a:xfrm>
          <a:off x="25253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375" name="Isosceles Triangle 374">
          <a:extLst>
            <a:ext uri="{FF2B5EF4-FFF2-40B4-BE49-F238E27FC236}">
              <a16:creationId xmlns:a16="http://schemas.microsoft.com/office/drawing/2014/main" id="{00000000-0008-0000-0A00-000077010000}"/>
            </a:ext>
          </a:extLst>
        </xdr:cNvPr>
        <xdr:cNvSpPr/>
      </xdr:nvSpPr>
      <xdr:spPr>
        <a:xfrm>
          <a:off x="128714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102</xdr:row>
      <xdr:rowOff>78147</xdr:rowOff>
    </xdr:from>
    <xdr:to>
      <xdr:col>15</xdr:col>
      <xdr:colOff>0</xdr:colOff>
      <xdr:row>103</xdr:row>
      <xdr:rowOff>192447</xdr:rowOff>
    </xdr:to>
    <xdr:sp macro="" textlink="">
      <xdr:nvSpPr>
        <xdr:cNvPr id="376" name="Isosceles Triangle 375">
          <a:extLst>
            <a:ext uri="{FF2B5EF4-FFF2-40B4-BE49-F238E27FC236}">
              <a16:creationId xmlns:a16="http://schemas.microsoft.com/office/drawing/2014/main" id="{00000000-0008-0000-0A00-000078010000}"/>
            </a:ext>
          </a:extLst>
        </xdr:cNvPr>
        <xdr:cNvSpPr/>
      </xdr:nvSpPr>
      <xdr:spPr>
        <a:xfrm>
          <a:off x="75418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377" name="Isosceles Triangle 376">
          <a:extLst>
            <a:ext uri="{FF2B5EF4-FFF2-40B4-BE49-F238E27FC236}">
              <a16:creationId xmlns:a16="http://schemas.microsoft.com/office/drawing/2014/main" id="{00000000-0008-0000-0A00-000079010000}"/>
            </a:ext>
          </a:extLst>
        </xdr:cNvPr>
        <xdr:cNvSpPr/>
      </xdr:nvSpPr>
      <xdr:spPr>
        <a:xfrm>
          <a:off x="85451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378" name="Isosceles Triangle 377">
          <a:extLst>
            <a:ext uri="{FF2B5EF4-FFF2-40B4-BE49-F238E27FC236}">
              <a16:creationId xmlns:a16="http://schemas.microsoft.com/office/drawing/2014/main" id="{00000000-0008-0000-0A00-00007A010000}"/>
            </a:ext>
          </a:extLst>
        </xdr:cNvPr>
        <xdr:cNvSpPr/>
      </xdr:nvSpPr>
      <xdr:spPr>
        <a:xfrm>
          <a:off x="1055179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379" name="Isosceles Triangle 378">
          <a:extLst>
            <a:ext uri="{FF2B5EF4-FFF2-40B4-BE49-F238E27FC236}">
              <a16:creationId xmlns:a16="http://schemas.microsoft.com/office/drawing/2014/main" id="{00000000-0008-0000-0A00-00007B010000}"/>
            </a:ext>
          </a:extLst>
        </xdr:cNvPr>
        <xdr:cNvSpPr/>
      </xdr:nvSpPr>
      <xdr:spPr>
        <a:xfrm>
          <a:off x="105517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380" name="Isosceles Triangle 379">
          <a:extLst>
            <a:ext uri="{FF2B5EF4-FFF2-40B4-BE49-F238E27FC236}">
              <a16:creationId xmlns:a16="http://schemas.microsoft.com/office/drawing/2014/main" id="{00000000-0008-0000-0A00-00007C010000}"/>
            </a:ext>
          </a:extLst>
        </xdr:cNvPr>
        <xdr:cNvSpPr/>
      </xdr:nvSpPr>
      <xdr:spPr>
        <a:xfrm>
          <a:off x="25253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111</xdr:row>
      <xdr:rowOff>78147</xdr:rowOff>
    </xdr:from>
    <xdr:to>
      <xdr:col>9</xdr:col>
      <xdr:colOff>0</xdr:colOff>
      <xdr:row>112</xdr:row>
      <xdr:rowOff>192447</xdr:rowOff>
    </xdr:to>
    <xdr:sp macro="" textlink="">
      <xdr:nvSpPr>
        <xdr:cNvPr id="381" name="Isosceles Triangle 380">
          <a:extLst>
            <a:ext uri="{FF2B5EF4-FFF2-40B4-BE49-F238E27FC236}">
              <a16:creationId xmlns:a16="http://schemas.microsoft.com/office/drawing/2014/main" id="{00000000-0008-0000-0A00-00007D010000}"/>
            </a:ext>
          </a:extLst>
        </xdr:cNvPr>
        <xdr:cNvSpPr/>
      </xdr:nvSpPr>
      <xdr:spPr>
        <a:xfrm>
          <a:off x="45319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111</xdr:row>
      <xdr:rowOff>78147</xdr:rowOff>
    </xdr:from>
    <xdr:to>
      <xdr:col>11</xdr:col>
      <xdr:colOff>0</xdr:colOff>
      <xdr:row>112</xdr:row>
      <xdr:rowOff>192447</xdr:rowOff>
    </xdr:to>
    <xdr:sp macro="" textlink="">
      <xdr:nvSpPr>
        <xdr:cNvPr id="382" name="Isosceles Triangle 381">
          <a:extLst>
            <a:ext uri="{FF2B5EF4-FFF2-40B4-BE49-F238E27FC236}">
              <a16:creationId xmlns:a16="http://schemas.microsoft.com/office/drawing/2014/main" id="{00000000-0008-0000-0A00-00007E010000}"/>
            </a:ext>
          </a:extLst>
        </xdr:cNvPr>
        <xdr:cNvSpPr/>
      </xdr:nvSpPr>
      <xdr:spPr>
        <a:xfrm>
          <a:off x="55352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111</xdr:row>
      <xdr:rowOff>78147</xdr:rowOff>
    </xdr:from>
    <xdr:to>
      <xdr:col>13</xdr:col>
      <xdr:colOff>0</xdr:colOff>
      <xdr:row>112</xdr:row>
      <xdr:rowOff>192447</xdr:rowOff>
    </xdr:to>
    <xdr:sp macro="" textlink="">
      <xdr:nvSpPr>
        <xdr:cNvPr id="383" name="Isosceles Triangle 382">
          <a:extLst>
            <a:ext uri="{FF2B5EF4-FFF2-40B4-BE49-F238E27FC236}">
              <a16:creationId xmlns:a16="http://schemas.microsoft.com/office/drawing/2014/main" id="{00000000-0008-0000-0A00-00007F010000}"/>
            </a:ext>
          </a:extLst>
        </xdr:cNvPr>
        <xdr:cNvSpPr/>
      </xdr:nvSpPr>
      <xdr:spPr>
        <a:xfrm>
          <a:off x="65385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111</xdr:row>
      <xdr:rowOff>78147</xdr:rowOff>
    </xdr:from>
    <xdr:to>
      <xdr:col>19</xdr:col>
      <xdr:colOff>0</xdr:colOff>
      <xdr:row>112</xdr:row>
      <xdr:rowOff>192447</xdr:rowOff>
    </xdr:to>
    <xdr:sp macro="" textlink="">
      <xdr:nvSpPr>
        <xdr:cNvPr id="384" name="Isosceles Triangle 383">
          <a:extLst>
            <a:ext uri="{FF2B5EF4-FFF2-40B4-BE49-F238E27FC236}">
              <a16:creationId xmlns:a16="http://schemas.microsoft.com/office/drawing/2014/main" id="{00000000-0008-0000-0A00-000080010000}"/>
            </a:ext>
          </a:extLst>
        </xdr:cNvPr>
        <xdr:cNvSpPr/>
      </xdr:nvSpPr>
      <xdr:spPr>
        <a:xfrm>
          <a:off x="95484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111</xdr:row>
      <xdr:rowOff>78147</xdr:rowOff>
    </xdr:from>
    <xdr:to>
      <xdr:col>15</xdr:col>
      <xdr:colOff>0</xdr:colOff>
      <xdr:row>112</xdr:row>
      <xdr:rowOff>192447</xdr:rowOff>
    </xdr:to>
    <xdr:sp macro="" textlink="">
      <xdr:nvSpPr>
        <xdr:cNvPr id="385" name="Isosceles Triangle 384">
          <a:extLst>
            <a:ext uri="{FF2B5EF4-FFF2-40B4-BE49-F238E27FC236}">
              <a16:creationId xmlns:a16="http://schemas.microsoft.com/office/drawing/2014/main" id="{00000000-0008-0000-0A00-000081010000}"/>
            </a:ext>
          </a:extLst>
        </xdr:cNvPr>
        <xdr:cNvSpPr/>
      </xdr:nvSpPr>
      <xdr:spPr>
        <a:xfrm>
          <a:off x="75418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386" name="Isosceles Triangle 385">
          <a:extLst>
            <a:ext uri="{FF2B5EF4-FFF2-40B4-BE49-F238E27FC236}">
              <a16:creationId xmlns:a16="http://schemas.microsoft.com/office/drawing/2014/main" id="{00000000-0008-0000-0A00-000082010000}"/>
            </a:ext>
          </a:extLst>
        </xdr:cNvPr>
        <xdr:cNvSpPr/>
      </xdr:nvSpPr>
      <xdr:spPr>
        <a:xfrm>
          <a:off x="1055179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387" name="Isosceles Triangle 386">
          <a:extLst>
            <a:ext uri="{FF2B5EF4-FFF2-40B4-BE49-F238E27FC236}">
              <a16:creationId xmlns:a16="http://schemas.microsoft.com/office/drawing/2014/main" id="{00000000-0008-0000-0A00-000083010000}"/>
            </a:ext>
          </a:extLst>
        </xdr:cNvPr>
        <xdr:cNvSpPr/>
      </xdr:nvSpPr>
      <xdr:spPr>
        <a:xfrm>
          <a:off x="105517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120</xdr:row>
      <xdr:rowOff>78147</xdr:rowOff>
    </xdr:from>
    <xdr:to>
      <xdr:col>5</xdr:col>
      <xdr:colOff>0</xdr:colOff>
      <xdr:row>121</xdr:row>
      <xdr:rowOff>192447</xdr:rowOff>
    </xdr:to>
    <xdr:sp macro="" textlink="">
      <xdr:nvSpPr>
        <xdr:cNvPr id="388" name="Isosceles Triangle 387">
          <a:extLst>
            <a:ext uri="{FF2B5EF4-FFF2-40B4-BE49-F238E27FC236}">
              <a16:creationId xmlns:a16="http://schemas.microsoft.com/office/drawing/2014/main" id="{00000000-0008-0000-0A00-000084010000}"/>
            </a:ext>
          </a:extLst>
        </xdr:cNvPr>
        <xdr:cNvSpPr/>
      </xdr:nvSpPr>
      <xdr:spPr>
        <a:xfrm>
          <a:off x="25253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120</xdr:row>
      <xdr:rowOff>78147</xdr:rowOff>
    </xdr:from>
    <xdr:to>
      <xdr:col>11</xdr:col>
      <xdr:colOff>0</xdr:colOff>
      <xdr:row>122</xdr:row>
      <xdr:rowOff>5057</xdr:rowOff>
    </xdr:to>
    <xdr:sp macro="" textlink="">
      <xdr:nvSpPr>
        <xdr:cNvPr id="389" name="Isosceles Triangle 388">
          <a:extLst>
            <a:ext uri="{FF2B5EF4-FFF2-40B4-BE49-F238E27FC236}">
              <a16:creationId xmlns:a16="http://schemas.microsoft.com/office/drawing/2014/main" id="{00000000-0008-0000-0A00-000085010000}"/>
            </a:ext>
          </a:extLst>
        </xdr:cNvPr>
        <xdr:cNvSpPr/>
      </xdr:nvSpPr>
      <xdr:spPr>
        <a:xfrm>
          <a:off x="55352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120278</xdr:colOff>
      <xdr:row>113</xdr:row>
      <xdr:rowOff>28186</xdr:rowOff>
    </xdr:from>
    <xdr:to>
      <xdr:col>13</xdr:col>
      <xdr:colOff>316971</xdr:colOff>
      <xdr:row>114</xdr:row>
      <xdr:rowOff>150722</xdr:rowOff>
    </xdr:to>
    <xdr:cxnSp macro="">
      <xdr:nvCxnSpPr>
        <xdr:cNvPr id="390" name="Straight Connector 389">
          <a:extLst>
            <a:ext uri="{FF2B5EF4-FFF2-40B4-BE49-F238E27FC236}">
              <a16:creationId xmlns:a16="http://schemas.microsoft.com/office/drawing/2014/main" id="{00000000-0008-0000-0A00-000086010000}"/>
            </a:ext>
          </a:extLst>
        </xdr:cNvPr>
        <xdr:cNvCxnSpPr/>
      </xdr:nvCxnSpPr>
      <xdr:spPr>
        <a:xfrm flipH="1">
          <a:off x="7155815" y="19179540"/>
          <a:ext cx="196850" cy="30035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9</xdr:col>
      <xdr:colOff>119062</xdr:colOff>
      <xdr:row>10</xdr:row>
      <xdr:rowOff>166687</xdr:rowOff>
    </xdr:from>
    <xdr:to>
      <xdr:col>9</xdr:col>
      <xdr:colOff>385762</xdr:colOff>
      <xdr:row>12</xdr:row>
      <xdr:rowOff>154780</xdr:rowOff>
    </xdr:to>
    <xdr:sp macro="" textlink="">
      <xdr:nvSpPr>
        <xdr:cNvPr id="391" name="Line 327">
          <a:extLst>
            <a:ext uri="{FF2B5EF4-FFF2-40B4-BE49-F238E27FC236}">
              <a16:creationId xmlns:a16="http://schemas.microsoft.com/office/drawing/2014/main" id="{00000000-0008-0000-0A00-000087010000}"/>
            </a:ext>
          </a:extLst>
        </xdr:cNvPr>
        <xdr:cNvSpPr>
          <a:spLocks noChangeShapeType="1"/>
        </xdr:cNvSpPr>
      </xdr:nvSpPr>
      <xdr:spPr>
        <a:xfrm flipH="1">
          <a:off x="5147945" y="2090420"/>
          <a:ext cx="266700" cy="33401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54267</xdr:colOff>
      <xdr:row>19</xdr:row>
      <xdr:rowOff>4375</xdr:rowOff>
    </xdr:from>
    <xdr:to>
      <xdr:col>13</xdr:col>
      <xdr:colOff>320967</xdr:colOff>
      <xdr:row>20</xdr:row>
      <xdr:rowOff>149032</xdr:rowOff>
    </xdr:to>
    <xdr:sp macro="" textlink="">
      <xdr:nvSpPr>
        <xdr:cNvPr id="392" name="Line 327">
          <a:extLst>
            <a:ext uri="{FF2B5EF4-FFF2-40B4-BE49-F238E27FC236}">
              <a16:creationId xmlns:a16="http://schemas.microsoft.com/office/drawing/2014/main" id="{00000000-0008-0000-0A00-000088010000}"/>
            </a:ext>
          </a:extLst>
        </xdr:cNvPr>
        <xdr:cNvSpPr>
          <a:spLocks noChangeShapeType="1"/>
        </xdr:cNvSpPr>
      </xdr:nvSpPr>
      <xdr:spPr>
        <a:xfrm flipH="1">
          <a:off x="7089775" y="343598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130969</xdr:colOff>
      <xdr:row>51</xdr:row>
      <xdr:rowOff>47625</xdr:rowOff>
    </xdr:from>
    <xdr:to>
      <xdr:col>5</xdr:col>
      <xdr:colOff>397669</xdr:colOff>
      <xdr:row>53</xdr:row>
      <xdr:rowOff>23812</xdr:rowOff>
    </xdr:to>
    <xdr:sp macro="" textlink="">
      <xdr:nvSpPr>
        <xdr:cNvPr id="393" name="Line 327">
          <a:extLst>
            <a:ext uri="{FF2B5EF4-FFF2-40B4-BE49-F238E27FC236}">
              <a16:creationId xmlns:a16="http://schemas.microsoft.com/office/drawing/2014/main" id="{00000000-0008-0000-0A00-000089010000}"/>
            </a:ext>
          </a:extLst>
        </xdr:cNvPr>
        <xdr:cNvSpPr>
          <a:spLocks noChangeShapeType="1"/>
        </xdr:cNvSpPr>
      </xdr:nvSpPr>
      <xdr:spPr>
        <a:xfrm flipH="1">
          <a:off x="3153410" y="884555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17657</xdr:colOff>
      <xdr:row>51</xdr:row>
      <xdr:rowOff>4374</xdr:rowOff>
    </xdr:from>
    <xdr:to>
      <xdr:col>9</xdr:col>
      <xdr:colOff>284357</xdr:colOff>
      <xdr:row>52</xdr:row>
      <xdr:rowOff>152805</xdr:rowOff>
    </xdr:to>
    <xdr:sp macro="" textlink="">
      <xdr:nvSpPr>
        <xdr:cNvPr id="394" name="Line 327">
          <a:extLst>
            <a:ext uri="{FF2B5EF4-FFF2-40B4-BE49-F238E27FC236}">
              <a16:creationId xmlns:a16="http://schemas.microsoft.com/office/drawing/2014/main" id="{00000000-0008-0000-0A00-00008A010000}"/>
            </a:ext>
          </a:extLst>
        </xdr:cNvPr>
        <xdr:cNvSpPr>
          <a:spLocks noChangeShapeType="1"/>
        </xdr:cNvSpPr>
      </xdr:nvSpPr>
      <xdr:spPr>
        <a:xfrm flipH="1">
          <a:off x="5046345" y="8801735"/>
          <a:ext cx="266700" cy="32639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196816</xdr:colOff>
      <xdr:row>51</xdr:row>
      <xdr:rowOff>35719</xdr:rowOff>
    </xdr:from>
    <xdr:to>
      <xdr:col>11</xdr:col>
      <xdr:colOff>463516</xdr:colOff>
      <xdr:row>53</xdr:row>
      <xdr:rowOff>11906</xdr:rowOff>
    </xdr:to>
    <xdr:sp macro="" textlink="">
      <xdr:nvSpPr>
        <xdr:cNvPr id="395" name="Line 327">
          <a:extLst>
            <a:ext uri="{FF2B5EF4-FFF2-40B4-BE49-F238E27FC236}">
              <a16:creationId xmlns:a16="http://schemas.microsoft.com/office/drawing/2014/main" id="{00000000-0008-0000-0A00-00008B010000}"/>
            </a:ext>
          </a:extLst>
        </xdr:cNvPr>
        <xdr:cNvSpPr>
          <a:spLocks noChangeShapeType="1"/>
        </xdr:cNvSpPr>
      </xdr:nvSpPr>
      <xdr:spPr>
        <a:xfrm flipH="1">
          <a:off x="6228715" y="88334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119063</xdr:colOff>
      <xdr:row>59</xdr:row>
      <xdr:rowOff>23812</xdr:rowOff>
    </xdr:from>
    <xdr:to>
      <xdr:col>3</xdr:col>
      <xdr:colOff>385763</xdr:colOff>
      <xdr:row>61</xdr:row>
      <xdr:rowOff>0</xdr:rowOff>
    </xdr:to>
    <xdr:sp macro="" textlink="">
      <xdr:nvSpPr>
        <xdr:cNvPr id="396" name="Line 327">
          <a:extLst>
            <a:ext uri="{FF2B5EF4-FFF2-40B4-BE49-F238E27FC236}">
              <a16:creationId xmlns:a16="http://schemas.microsoft.com/office/drawing/2014/main" id="{00000000-0008-0000-0A00-00008C010000}"/>
            </a:ext>
          </a:extLst>
        </xdr:cNvPr>
        <xdr:cNvSpPr>
          <a:spLocks noChangeShapeType="1"/>
        </xdr:cNvSpPr>
      </xdr:nvSpPr>
      <xdr:spPr>
        <a:xfrm flipH="1">
          <a:off x="1903095" y="1017079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47787</xdr:colOff>
      <xdr:row>58</xdr:row>
      <xdr:rowOff>126432</xdr:rowOff>
    </xdr:from>
    <xdr:to>
      <xdr:col>13</xdr:col>
      <xdr:colOff>314487</xdr:colOff>
      <xdr:row>60</xdr:row>
      <xdr:rowOff>109100</xdr:rowOff>
    </xdr:to>
    <xdr:sp macro="" textlink="">
      <xdr:nvSpPr>
        <xdr:cNvPr id="397" name="Line 327">
          <a:extLst>
            <a:ext uri="{FF2B5EF4-FFF2-40B4-BE49-F238E27FC236}">
              <a16:creationId xmlns:a16="http://schemas.microsoft.com/office/drawing/2014/main" id="{00000000-0008-0000-0A00-00008D010000}"/>
            </a:ext>
          </a:extLst>
        </xdr:cNvPr>
        <xdr:cNvSpPr>
          <a:spLocks noChangeShapeType="1"/>
        </xdr:cNvSpPr>
      </xdr:nvSpPr>
      <xdr:spPr>
        <a:xfrm flipH="1">
          <a:off x="7083425" y="10105390"/>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67387</xdr:colOff>
      <xdr:row>59</xdr:row>
      <xdr:rowOff>36771</xdr:rowOff>
    </xdr:from>
    <xdr:to>
      <xdr:col>19</xdr:col>
      <xdr:colOff>334087</xdr:colOff>
      <xdr:row>61</xdr:row>
      <xdr:rowOff>12959</xdr:rowOff>
    </xdr:to>
    <xdr:sp macro="" textlink="">
      <xdr:nvSpPr>
        <xdr:cNvPr id="398" name="Line 327">
          <a:extLst>
            <a:ext uri="{FF2B5EF4-FFF2-40B4-BE49-F238E27FC236}">
              <a16:creationId xmlns:a16="http://schemas.microsoft.com/office/drawing/2014/main" id="{00000000-0008-0000-0A00-00008E010000}"/>
            </a:ext>
          </a:extLst>
        </xdr:cNvPr>
        <xdr:cNvSpPr>
          <a:spLocks noChangeShapeType="1"/>
        </xdr:cNvSpPr>
      </xdr:nvSpPr>
      <xdr:spPr>
        <a:xfrm flipH="1">
          <a:off x="10113010" y="1018349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166688</xdr:colOff>
      <xdr:row>59</xdr:row>
      <xdr:rowOff>47625</xdr:rowOff>
    </xdr:from>
    <xdr:to>
      <xdr:col>21</xdr:col>
      <xdr:colOff>433388</xdr:colOff>
      <xdr:row>61</xdr:row>
      <xdr:rowOff>23813</xdr:rowOff>
    </xdr:to>
    <xdr:sp macro="" textlink="">
      <xdr:nvSpPr>
        <xdr:cNvPr id="399" name="Line 327">
          <a:extLst>
            <a:ext uri="{FF2B5EF4-FFF2-40B4-BE49-F238E27FC236}">
              <a16:creationId xmlns:a16="http://schemas.microsoft.com/office/drawing/2014/main" id="{00000000-0008-0000-0A00-00008F010000}"/>
            </a:ext>
          </a:extLst>
        </xdr:cNvPr>
        <xdr:cNvSpPr>
          <a:spLocks noChangeShapeType="1"/>
        </xdr:cNvSpPr>
      </xdr:nvSpPr>
      <xdr:spPr>
        <a:xfrm flipH="1">
          <a:off x="11215370" y="1019492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84882</xdr:colOff>
      <xdr:row>68</xdr:row>
      <xdr:rowOff>27296</xdr:rowOff>
    </xdr:from>
    <xdr:to>
      <xdr:col>3</xdr:col>
      <xdr:colOff>351582</xdr:colOff>
      <xdr:row>70</xdr:row>
      <xdr:rowOff>3483</xdr:rowOff>
    </xdr:to>
    <xdr:sp macro="" textlink="">
      <xdr:nvSpPr>
        <xdr:cNvPr id="400" name="Line 327">
          <a:extLst>
            <a:ext uri="{FF2B5EF4-FFF2-40B4-BE49-F238E27FC236}">
              <a16:creationId xmlns:a16="http://schemas.microsoft.com/office/drawing/2014/main" id="{00000000-0008-0000-0A00-000090010000}"/>
            </a:ext>
          </a:extLst>
        </xdr:cNvPr>
        <xdr:cNvSpPr>
          <a:spLocks noChangeShapeType="1"/>
        </xdr:cNvSpPr>
      </xdr:nvSpPr>
      <xdr:spPr>
        <a:xfrm flipH="1">
          <a:off x="1868805" y="1167257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37094</xdr:colOff>
      <xdr:row>67</xdr:row>
      <xdr:rowOff>119952</xdr:rowOff>
    </xdr:from>
    <xdr:to>
      <xdr:col>5</xdr:col>
      <xdr:colOff>303794</xdr:colOff>
      <xdr:row>69</xdr:row>
      <xdr:rowOff>102619</xdr:rowOff>
    </xdr:to>
    <xdr:sp macro="" textlink="">
      <xdr:nvSpPr>
        <xdr:cNvPr id="401" name="Line 327">
          <a:extLst>
            <a:ext uri="{FF2B5EF4-FFF2-40B4-BE49-F238E27FC236}">
              <a16:creationId xmlns:a16="http://schemas.microsoft.com/office/drawing/2014/main" id="{00000000-0008-0000-0A00-000091010000}"/>
            </a:ext>
          </a:extLst>
        </xdr:cNvPr>
        <xdr:cNvSpPr>
          <a:spLocks noChangeShapeType="1"/>
        </xdr:cNvSpPr>
      </xdr:nvSpPr>
      <xdr:spPr>
        <a:xfrm flipH="1">
          <a:off x="3059430" y="1159700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8</xdr:col>
      <xdr:colOff>498199</xdr:colOff>
      <xdr:row>67</xdr:row>
      <xdr:rowOff>138339</xdr:rowOff>
    </xdr:from>
    <xdr:to>
      <xdr:col>9</xdr:col>
      <xdr:colOff>265971</xdr:colOff>
      <xdr:row>69</xdr:row>
      <xdr:rowOff>121006</xdr:rowOff>
    </xdr:to>
    <xdr:sp macro="" textlink="">
      <xdr:nvSpPr>
        <xdr:cNvPr id="402" name="Line 327">
          <a:extLst>
            <a:ext uri="{FF2B5EF4-FFF2-40B4-BE49-F238E27FC236}">
              <a16:creationId xmlns:a16="http://schemas.microsoft.com/office/drawing/2014/main" id="{00000000-0008-0000-0A00-000092010000}"/>
            </a:ext>
          </a:extLst>
        </xdr:cNvPr>
        <xdr:cNvSpPr>
          <a:spLocks noChangeShapeType="1"/>
        </xdr:cNvSpPr>
      </xdr:nvSpPr>
      <xdr:spPr>
        <a:xfrm flipH="1">
          <a:off x="5025390" y="11615420"/>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52160</xdr:colOff>
      <xdr:row>67</xdr:row>
      <xdr:rowOff>132913</xdr:rowOff>
    </xdr:from>
    <xdr:to>
      <xdr:col>11</xdr:col>
      <xdr:colOff>318860</xdr:colOff>
      <xdr:row>69</xdr:row>
      <xdr:rowOff>115580</xdr:rowOff>
    </xdr:to>
    <xdr:sp macro="" textlink="">
      <xdr:nvSpPr>
        <xdr:cNvPr id="403" name="Line 327">
          <a:extLst>
            <a:ext uri="{FF2B5EF4-FFF2-40B4-BE49-F238E27FC236}">
              <a16:creationId xmlns:a16="http://schemas.microsoft.com/office/drawing/2014/main" id="{00000000-0008-0000-0A00-000093010000}"/>
            </a:ext>
          </a:extLst>
        </xdr:cNvPr>
        <xdr:cNvSpPr>
          <a:spLocks noChangeShapeType="1"/>
        </xdr:cNvSpPr>
      </xdr:nvSpPr>
      <xdr:spPr>
        <a:xfrm flipH="1">
          <a:off x="6084570" y="11610340"/>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15</xdr:col>
      <xdr:colOff>66173</xdr:colOff>
      <xdr:row>67</xdr:row>
      <xdr:rowOff>139392</xdr:rowOff>
    </xdr:from>
    <xdr:to>
      <xdr:col>15</xdr:col>
      <xdr:colOff>332873</xdr:colOff>
      <xdr:row>69</xdr:row>
      <xdr:rowOff>122059</xdr:rowOff>
    </xdr:to>
    <xdr:sp macro="" textlink="">
      <xdr:nvSpPr>
        <xdr:cNvPr id="404" name="Line 327">
          <a:extLst>
            <a:ext uri="{FF2B5EF4-FFF2-40B4-BE49-F238E27FC236}">
              <a16:creationId xmlns:a16="http://schemas.microsoft.com/office/drawing/2014/main" id="{00000000-0008-0000-0A00-000094010000}"/>
            </a:ext>
          </a:extLst>
        </xdr:cNvPr>
        <xdr:cNvSpPr>
          <a:spLocks noChangeShapeType="1"/>
        </xdr:cNvSpPr>
      </xdr:nvSpPr>
      <xdr:spPr>
        <a:xfrm flipH="1">
          <a:off x="8105140" y="11616690"/>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37096</xdr:colOff>
      <xdr:row>76</xdr:row>
      <xdr:rowOff>152351</xdr:rowOff>
    </xdr:from>
    <xdr:to>
      <xdr:col>5</xdr:col>
      <xdr:colOff>303796</xdr:colOff>
      <xdr:row>78</xdr:row>
      <xdr:rowOff>135019</xdr:rowOff>
    </xdr:to>
    <xdr:sp macro="" textlink="">
      <xdr:nvSpPr>
        <xdr:cNvPr id="405" name="Line 327">
          <a:extLst>
            <a:ext uri="{FF2B5EF4-FFF2-40B4-BE49-F238E27FC236}">
              <a16:creationId xmlns:a16="http://schemas.microsoft.com/office/drawing/2014/main" id="{00000000-0008-0000-0A00-000095010000}"/>
            </a:ext>
          </a:extLst>
        </xdr:cNvPr>
        <xdr:cNvSpPr>
          <a:spLocks noChangeShapeType="1"/>
        </xdr:cNvSpPr>
      </xdr:nvSpPr>
      <xdr:spPr>
        <a:xfrm flipH="1">
          <a:off x="3059430" y="1312799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270362</xdr:colOff>
      <xdr:row>86</xdr:row>
      <xdr:rowOff>6481</xdr:rowOff>
    </xdr:from>
    <xdr:to>
      <xdr:col>21</xdr:col>
      <xdr:colOff>537062</xdr:colOff>
      <xdr:row>87</xdr:row>
      <xdr:rowOff>161262</xdr:rowOff>
    </xdr:to>
    <xdr:sp macro="" textlink="">
      <xdr:nvSpPr>
        <xdr:cNvPr id="406" name="Line 327">
          <a:extLst>
            <a:ext uri="{FF2B5EF4-FFF2-40B4-BE49-F238E27FC236}">
              <a16:creationId xmlns:a16="http://schemas.microsoft.com/office/drawing/2014/main" id="{00000000-0008-0000-0A00-000096010000}"/>
            </a:ext>
          </a:extLst>
        </xdr:cNvPr>
        <xdr:cNvSpPr>
          <a:spLocks noChangeShapeType="1"/>
        </xdr:cNvSpPr>
      </xdr:nvSpPr>
      <xdr:spPr>
        <a:xfrm flipH="1">
          <a:off x="11318875" y="146558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156888</xdr:colOff>
      <xdr:row>95</xdr:row>
      <xdr:rowOff>70385</xdr:rowOff>
    </xdr:from>
    <xdr:to>
      <xdr:col>7</xdr:col>
      <xdr:colOff>423588</xdr:colOff>
      <xdr:row>97</xdr:row>
      <xdr:rowOff>46573</xdr:rowOff>
    </xdr:to>
    <xdr:sp macro="" textlink="">
      <xdr:nvSpPr>
        <xdr:cNvPr id="407" name="Line 327">
          <a:extLst>
            <a:ext uri="{FF2B5EF4-FFF2-40B4-BE49-F238E27FC236}">
              <a16:creationId xmlns:a16="http://schemas.microsoft.com/office/drawing/2014/main" id="{00000000-0008-0000-0A00-000097010000}"/>
            </a:ext>
          </a:extLst>
        </xdr:cNvPr>
        <xdr:cNvSpPr>
          <a:spLocks noChangeShapeType="1"/>
        </xdr:cNvSpPr>
      </xdr:nvSpPr>
      <xdr:spPr>
        <a:xfrm flipH="1">
          <a:off x="4182745" y="162179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150408</xdr:colOff>
      <xdr:row>95</xdr:row>
      <xdr:rowOff>47626</xdr:rowOff>
    </xdr:from>
    <xdr:to>
      <xdr:col>11</xdr:col>
      <xdr:colOff>417108</xdr:colOff>
      <xdr:row>97</xdr:row>
      <xdr:rowOff>23814</xdr:rowOff>
    </xdr:to>
    <xdr:sp macro="" textlink="">
      <xdr:nvSpPr>
        <xdr:cNvPr id="408" name="Line 327">
          <a:extLst>
            <a:ext uri="{FF2B5EF4-FFF2-40B4-BE49-F238E27FC236}">
              <a16:creationId xmlns:a16="http://schemas.microsoft.com/office/drawing/2014/main" id="{00000000-0008-0000-0A00-000098010000}"/>
            </a:ext>
          </a:extLst>
        </xdr:cNvPr>
        <xdr:cNvSpPr>
          <a:spLocks noChangeShapeType="1"/>
        </xdr:cNvSpPr>
      </xdr:nvSpPr>
      <xdr:spPr>
        <a:xfrm flipH="1">
          <a:off x="6182360" y="1619567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129917</xdr:colOff>
      <xdr:row>95</xdr:row>
      <xdr:rowOff>26081</xdr:rowOff>
    </xdr:from>
    <xdr:to>
      <xdr:col>13</xdr:col>
      <xdr:colOff>396617</xdr:colOff>
      <xdr:row>97</xdr:row>
      <xdr:rowOff>2269</xdr:rowOff>
    </xdr:to>
    <xdr:sp macro="" textlink="">
      <xdr:nvSpPr>
        <xdr:cNvPr id="409" name="Line 327">
          <a:extLst>
            <a:ext uri="{FF2B5EF4-FFF2-40B4-BE49-F238E27FC236}">
              <a16:creationId xmlns:a16="http://schemas.microsoft.com/office/drawing/2014/main" id="{00000000-0008-0000-0A00-000099010000}"/>
            </a:ext>
          </a:extLst>
        </xdr:cNvPr>
        <xdr:cNvSpPr>
          <a:spLocks noChangeShapeType="1"/>
        </xdr:cNvSpPr>
      </xdr:nvSpPr>
      <xdr:spPr>
        <a:xfrm flipH="1">
          <a:off x="7165340" y="161740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497148</xdr:colOff>
      <xdr:row>103</xdr:row>
      <xdr:rowOff>139392</xdr:rowOff>
    </xdr:from>
    <xdr:to>
      <xdr:col>7</xdr:col>
      <xdr:colOff>264919</xdr:colOff>
      <xdr:row>105</xdr:row>
      <xdr:rowOff>122058</xdr:rowOff>
    </xdr:to>
    <xdr:sp macro="" textlink="">
      <xdr:nvSpPr>
        <xdr:cNvPr id="410" name="Line 327">
          <a:extLst>
            <a:ext uri="{FF2B5EF4-FFF2-40B4-BE49-F238E27FC236}">
              <a16:creationId xmlns:a16="http://schemas.microsoft.com/office/drawing/2014/main" id="{00000000-0008-0000-0A00-00009A010000}"/>
            </a:ext>
          </a:extLst>
        </xdr:cNvPr>
        <xdr:cNvSpPr>
          <a:spLocks noChangeShapeType="1"/>
        </xdr:cNvSpPr>
      </xdr:nvSpPr>
      <xdr:spPr>
        <a:xfrm flipH="1">
          <a:off x="4020820" y="17623790"/>
          <a:ext cx="269875"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19762</xdr:colOff>
      <xdr:row>112</xdr:row>
      <xdr:rowOff>140446</xdr:rowOff>
    </xdr:from>
    <xdr:to>
      <xdr:col>17</xdr:col>
      <xdr:colOff>286462</xdr:colOff>
      <xdr:row>114</xdr:row>
      <xdr:rowOff>123113</xdr:rowOff>
    </xdr:to>
    <xdr:sp macro="" textlink="">
      <xdr:nvSpPr>
        <xdr:cNvPr id="411" name="Line 327">
          <a:extLst>
            <a:ext uri="{FF2B5EF4-FFF2-40B4-BE49-F238E27FC236}">
              <a16:creationId xmlns:a16="http://schemas.microsoft.com/office/drawing/2014/main" id="{00000000-0008-0000-0A00-00009B010000}"/>
            </a:ext>
          </a:extLst>
        </xdr:cNvPr>
        <xdr:cNvSpPr>
          <a:spLocks noChangeShapeType="1"/>
        </xdr:cNvSpPr>
      </xdr:nvSpPr>
      <xdr:spPr>
        <a:xfrm flipH="1">
          <a:off x="9062085" y="19123660"/>
          <a:ext cx="26670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154781</xdr:colOff>
      <xdr:row>113</xdr:row>
      <xdr:rowOff>47625</xdr:rowOff>
    </xdr:from>
    <xdr:to>
      <xdr:col>21</xdr:col>
      <xdr:colOff>421481</xdr:colOff>
      <xdr:row>115</xdr:row>
      <xdr:rowOff>23813</xdr:rowOff>
    </xdr:to>
    <xdr:sp macro="" textlink="">
      <xdr:nvSpPr>
        <xdr:cNvPr id="412" name="Line 327">
          <a:extLst>
            <a:ext uri="{FF2B5EF4-FFF2-40B4-BE49-F238E27FC236}">
              <a16:creationId xmlns:a16="http://schemas.microsoft.com/office/drawing/2014/main" id="{00000000-0008-0000-0A00-00009C010000}"/>
            </a:ext>
          </a:extLst>
        </xdr:cNvPr>
        <xdr:cNvSpPr>
          <a:spLocks noChangeShapeType="1"/>
        </xdr:cNvSpPr>
      </xdr:nvSpPr>
      <xdr:spPr>
        <a:xfrm flipH="1">
          <a:off x="11203305" y="1919922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40254</xdr:colOff>
      <xdr:row>121</xdr:row>
      <xdr:rowOff>147978</xdr:rowOff>
    </xdr:from>
    <xdr:to>
      <xdr:col>3</xdr:col>
      <xdr:colOff>306954</xdr:colOff>
      <xdr:row>123</xdr:row>
      <xdr:rowOff>140769</xdr:rowOff>
    </xdr:to>
    <xdr:sp macro="" textlink="">
      <xdr:nvSpPr>
        <xdr:cNvPr id="413" name="Line 327">
          <a:extLst>
            <a:ext uri="{FF2B5EF4-FFF2-40B4-BE49-F238E27FC236}">
              <a16:creationId xmlns:a16="http://schemas.microsoft.com/office/drawing/2014/main" id="{00000000-0008-0000-0A00-00009D010000}"/>
            </a:ext>
          </a:extLst>
        </xdr:cNvPr>
        <xdr:cNvSpPr>
          <a:spLocks noChangeShapeType="1"/>
        </xdr:cNvSpPr>
      </xdr:nvSpPr>
      <xdr:spPr>
        <a:xfrm flipH="1">
          <a:off x="1824355" y="20629880"/>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40092</xdr:colOff>
      <xdr:row>121</xdr:row>
      <xdr:rowOff>141498</xdr:rowOff>
    </xdr:from>
    <xdr:to>
      <xdr:col>5</xdr:col>
      <xdr:colOff>306792</xdr:colOff>
      <xdr:row>123</xdr:row>
      <xdr:rowOff>134289</xdr:rowOff>
    </xdr:to>
    <xdr:sp macro="" textlink="">
      <xdr:nvSpPr>
        <xdr:cNvPr id="414" name="Line 327">
          <a:extLst>
            <a:ext uri="{FF2B5EF4-FFF2-40B4-BE49-F238E27FC236}">
              <a16:creationId xmlns:a16="http://schemas.microsoft.com/office/drawing/2014/main" id="{00000000-0008-0000-0A00-00009E010000}"/>
            </a:ext>
          </a:extLst>
        </xdr:cNvPr>
        <xdr:cNvSpPr>
          <a:spLocks noChangeShapeType="1"/>
        </xdr:cNvSpPr>
      </xdr:nvSpPr>
      <xdr:spPr>
        <a:xfrm flipH="1">
          <a:off x="3062605" y="20622895"/>
          <a:ext cx="266700" cy="33909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161780</xdr:colOff>
      <xdr:row>121</xdr:row>
      <xdr:rowOff>153630</xdr:rowOff>
    </xdr:from>
    <xdr:to>
      <xdr:col>9</xdr:col>
      <xdr:colOff>428480</xdr:colOff>
      <xdr:row>123</xdr:row>
      <xdr:rowOff>145180</xdr:rowOff>
    </xdr:to>
    <xdr:sp macro="" textlink="">
      <xdr:nvSpPr>
        <xdr:cNvPr id="415" name="Line 327">
          <a:extLst>
            <a:ext uri="{FF2B5EF4-FFF2-40B4-BE49-F238E27FC236}">
              <a16:creationId xmlns:a16="http://schemas.microsoft.com/office/drawing/2014/main" id="{00000000-0008-0000-0A00-00009F010000}"/>
            </a:ext>
          </a:extLst>
        </xdr:cNvPr>
        <xdr:cNvSpPr>
          <a:spLocks noChangeShapeType="1"/>
        </xdr:cNvSpPr>
      </xdr:nvSpPr>
      <xdr:spPr>
        <a:xfrm flipH="1">
          <a:off x="5190490" y="20634960"/>
          <a:ext cx="266700" cy="33782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485761</xdr:colOff>
      <xdr:row>121</xdr:row>
      <xdr:rowOff>151433</xdr:rowOff>
    </xdr:from>
    <xdr:to>
      <xdr:col>13</xdr:col>
      <xdr:colOff>253533</xdr:colOff>
      <xdr:row>123</xdr:row>
      <xdr:rowOff>143635</xdr:rowOff>
    </xdr:to>
    <xdr:sp macro="" textlink="">
      <xdr:nvSpPr>
        <xdr:cNvPr id="416" name="Line 327">
          <a:extLst>
            <a:ext uri="{FF2B5EF4-FFF2-40B4-BE49-F238E27FC236}">
              <a16:creationId xmlns:a16="http://schemas.microsoft.com/office/drawing/2014/main" id="{00000000-0008-0000-0A00-0000A0010000}"/>
            </a:ext>
          </a:extLst>
        </xdr:cNvPr>
        <xdr:cNvSpPr>
          <a:spLocks noChangeShapeType="1"/>
        </xdr:cNvSpPr>
      </xdr:nvSpPr>
      <xdr:spPr>
        <a:xfrm flipH="1">
          <a:off x="7019290" y="20633055"/>
          <a:ext cx="269875" cy="338455"/>
        </a:xfrm>
        <a:prstGeom prst="line">
          <a:avLst/>
        </a:prstGeom>
      </xdr:spPr>
      <xdr:style>
        <a:lnRef idx="3">
          <a:schemeClr val="dk1"/>
        </a:lnRef>
        <a:fillRef idx="0">
          <a:schemeClr val="dk1"/>
        </a:fillRef>
        <a:effectRef idx="2">
          <a:schemeClr val="dk1"/>
        </a:effectRef>
        <a:fontRef idx="minor">
          <a:schemeClr val="tx1"/>
        </a:fontRef>
      </xdr:style>
    </xdr:sp>
    <xdr:clientData/>
  </xdr:twoCellAnchor>
  <xdr:twoCellAnchor>
    <xdr:from>
      <xdr:col>15</xdr:col>
      <xdr:colOff>15885</xdr:colOff>
      <xdr:row>122</xdr:row>
      <xdr:rowOff>2404</xdr:rowOff>
    </xdr:from>
    <xdr:to>
      <xdr:col>15</xdr:col>
      <xdr:colOff>282585</xdr:colOff>
      <xdr:row>123</xdr:row>
      <xdr:rowOff>156596</xdr:rowOff>
    </xdr:to>
    <xdr:sp macro="" textlink="">
      <xdr:nvSpPr>
        <xdr:cNvPr id="417" name="Line 327">
          <a:extLst>
            <a:ext uri="{FF2B5EF4-FFF2-40B4-BE49-F238E27FC236}">
              <a16:creationId xmlns:a16="http://schemas.microsoft.com/office/drawing/2014/main" id="{00000000-0008-0000-0A00-0000A1010000}"/>
            </a:ext>
          </a:extLst>
        </xdr:cNvPr>
        <xdr:cNvSpPr>
          <a:spLocks noChangeShapeType="1"/>
        </xdr:cNvSpPr>
      </xdr:nvSpPr>
      <xdr:spPr>
        <a:xfrm flipH="1">
          <a:off x="8054975" y="206521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39399</xdr:colOff>
      <xdr:row>131</xdr:row>
      <xdr:rowOff>19439</xdr:rowOff>
    </xdr:from>
    <xdr:to>
      <xdr:col>3</xdr:col>
      <xdr:colOff>306099</xdr:colOff>
      <xdr:row>133</xdr:row>
      <xdr:rowOff>11512</xdr:rowOff>
    </xdr:to>
    <xdr:sp macro="" textlink="">
      <xdr:nvSpPr>
        <xdr:cNvPr id="418" name="Line 327">
          <a:extLst>
            <a:ext uri="{FF2B5EF4-FFF2-40B4-BE49-F238E27FC236}">
              <a16:creationId xmlns:a16="http://schemas.microsoft.com/office/drawing/2014/main" id="{00000000-0008-0000-0A00-0000A2010000}"/>
            </a:ext>
          </a:extLst>
        </xdr:cNvPr>
        <xdr:cNvSpPr>
          <a:spLocks noChangeShapeType="1"/>
        </xdr:cNvSpPr>
      </xdr:nvSpPr>
      <xdr:spPr>
        <a:xfrm flipH="1">
          <a:off x="1823720" y="2216785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42744</xdr:colOff>
      <xdr:row>130</xdr:row>
      <xdr:rowOff>155510</xdr:rowOff>
    </xdr:from>
    <xdr:to>
      <xdr:col>5</xdr:col>
      <xdr:colOff>309444</xdr:colOff>
      <xdr:row>132</xdr:row>
      <xdr:rowOff>154063</xdr:rowOff>
    </xdr:to>
    <xdr:sp macro="" textlink="">
      <xdr:nvSpPr>
        <xdr:cNvPr id="419" name="Line 327">
          <a:extLst>
            <a:ext uri="{FF2B5EF4-FFF2-40B4-BE49-F238E27FC236}">
              <a16:creationId xmlns:a16="http://schemas.microsoft.com/office/drawing/2014/main" id="{00000000-0008-0000-0A00-0000A3010000}"/>
            </a:ext>
          </a:extLst>
        </xdr:cNvPr>
        <xdr:cNvSpPr>
          <a:spLocks noChangeShapeType="1"/>
        </xdr:cNvSpPr>
      </xdr:nvSpPr>
      <xdr:spPr>
        <a:xfrm flipH="1">
          <a:off x="3065145" y="22135465"/>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174740</xdr:colOff>
      <xdr:row>130</xdr:row>
      <xdr:rowOff>123112</xdr:rowOff>
    </xdr:from>
    <xdr:to>
      <xdr:col>9</xdr:col>
      <xdr:colOff>441440</xdr:colOff>
      <xdr:row>132</xdr:row>
      <xdr:rowOff>121665</xdr:rowOff>
    </xdr:to>
    <xdr:sp macro="" textlink="">
      <xdr:nvSpPr>
        <xdr:cNvPr id="420" name="Line 327">
          <a:extLst>
            <a:ext uri="{FF2B5EF4-FFF2-40B4-BE49-F238E27FC236}">
              <a16:creationId xmlns:a16="http://schemas.microsoft.com/office/drawing/2014/main" id="{00000000-0008-0000-0A00-0000A4010000}"/>
            </a:ext>
          </a:extLst>
        </xdr:cNvPr>
        <xdr:cNvSpPr>
          <a:spLocks noChangeShapeType="1"/>
        </xdr:cNvSpPr>
      </xdr:nvSpPr>
      <xdr:spPr>
        <a:xfrm flipH="1">
          <a:off x="5203825" y="22103080"/>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71798</xdr:colOff>
      <xdr:row>130</xdr:row>
      <xdr:rowOff>151433</xdr:rowOff>
    </xdr:from>
    <xdr:to>
      <xdr:col>13</xdr:col>
      <xdr:colOff>338498</xdr:colOff>
      <xdr:row>132</xdr:row>
      <xdr:rowOff>143636</xdr:rowOff>
    </xdr:to>
    <xdr:sp macro="" textlink="">
      <xdr:nvSpPr>
        <xdr:cNvPr id="421" name="Line 327">
          <a:extLst>
            <a:ext uri="{FF2B5EF4-FFF2-40B4-BE49-F238E27FC236}">
              <a16:creationId xmlns:a16="http://schemas.microsoft.com/office/drawing/2014/main" id="{00000000-0008-0000-0A00-0000A5010000}"/>
            </a:ext>
          </a:extLst>
        </xdr:cNvPr>
        <xdr:cNvSpPr>
          <a:spLocks noChangeShapeType="1"/>
        </xdr:cNvSpPr>
      </xdr:nvSpPr>
      <xdr:spPr>
        <a:xfrm flipH="1">
          <a:off x="7107555" y="22131655"/>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120499</xdr:colOff>
      <xdr:row>122</xdr:row>
      <xdr:rowOff>8883</xdr:rowOff>
    </xdr:from>
    <xdr:to>
      <xdr:col>21</xdr:col>
      <xdr:colOff>387199</xdr:colOff>
      <xdr:row>123</xdr:row>
      <xdr:rowOff>163075</xdr:rowOff>
    </xdr:to>
    <xdr:sp macro="" textlink="">
      <xdr:nvSpPr>
        <xdr:cNvPr id="422" name="Line 327">
          <a:extLst>
            <a:ext uri="{FF2B5EF4-FFF2-40B4-BE49-F238E27FC236}">
              <a16:creationId xmlns:a16="http://schemas.microsoft.com/office/drawing/2014/main" id="{00000000-0008-0000-0A00-0000A6010000}"/>
            </a:ext>
          </a:extLst>
        </xdr:cNvPr>
        <xdr:cNvSpPr>
          <a:spLocks noChangeShapeType="1"/>
        </xdr:cNvSpPr>
      </xdr:nvSpPr>
      <xdr:spPr>
        <a:xfrm flipH="1">
          <a:off x="11169015" y="2065845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38669</xdr:colOff>
      <xdr:row>138</xdr:row>
      <xdr:rowOff>151434</xdr:rowOff>
    </xdr:from>
    <xdr:to>
      <xdr:col>3</xdr:col>
      <xdr:colOff>305369</xdr:colOff>
      <xdr:row>140</xdr:row>
      <xdr:rowOff>143636</xdr:rowOff>
    </xdr:to>
    <xdr:sp macro="" textlink="">
      <xdr:nvSpPr>
        <xdr:cNvPr id="423" name="Line 327">
          <a:extLst>
            <a:ext uri="{FF2B5EF4-FFF2-40B4-BE49-F238E27FC236}">
              <a16:creationId xmlns:a16="http://schemas.microsoft.com/office/drawing/2014/main" id="{00000000-0008-0000-0A00-0000A7010000}"/>
            </a:ext>
          </a:extLst>
        </xdr:cNvPr>
        <xdr:cNvSpPr>
          <a:spLocks noChangeShapeType="1"/>
        </xdr:cNvSpPr>
      </xdr:nvSpPr>
      <xdr:spPr>
        <a:xfrm flipH="1">
          <a:off x="1822450" y="23471505"/>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46088</xdr:colOff>
      <xdr:row>138</xdr:row>
      <xdr:rowOff>129592</xdr:rowOff>
    </xdr:from>
    <xdr:to>
      <xdr:col>9</xdr:col>
      <xdr:colOff>312788</xdr:colOff>
      <xdr:row>140</xdr:row>
      <xdr:rowOff>128144</xdr:rowOff>
    </xdr:to>
    <xdr:sp macro="" textlink="">
      <xdr:nvSpPr>
        <xdr:cNvPr id="424" name="Line 327">
          <a:extLst>
            <a:ext uri="{FF2B5EF4-FFF2-40B4-BE49-F238E27FC236}">
              <a16:creationId xmlns:a16="http://schemas.microsoft.com/office/drawing/2014/main" id="{00000000-0008-0000-0A00-0000A8010000}"/>
            </a:ext>
          </a:extLst>
        </xdr:cNvPr>
        <xdr:cNvSpPr>
          <a:spLocks noChangeShapeType="1"/>
        </xdr:cNvSpPr>
      </xdr:nvSpPr>
      <xdr:spPr>
        <a:xfrm flipH="1">
          <a:off x="5074920" y="23449915"/>
          <a:ext cx="266700" cy="3441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153629</xdr:colOff>
      <xdr:row>139</xdr:row>
      <xdr:rowOff>46089</xdr:rowOff>
    </xdr:from>
    <xdr:to>
      <xdr:col>13</xdr:col>
      <xdr:colOff>420329</xdr:colOff>
      <xdr:row>141</xdr:row>
      <xdr:rowOff>22277</xdr:rowOff>
    </xdr:to>
    <xdr:sp macro="" textlink="">
      <xdr:nvSpPr>
        <xdr:cNvPr id="425" name="Line 327">
          <a:extLst>
            <a:ext uri="{FF2B5EF4-FFF2-40B4-BE49-F238E27FC236}">
              <a16:creationId xmlns:a16="http://schemas.microsoft.com/office/drawing/2014/main" id="{00000000-0008-0000-0A00-0000A9010000}"/>
            </a:ext>
          </a:extLst>
        </xdr:cNvPr>
        <xdr:cNvSpPr>
          <a:spLocks noChangeShapeType="1"/>
        </xdr:cNvSpPr>
      </xdr:nvSpPr>
      <xdr:spPr>
        <a:xfrm flipH="1">
          <a:off x="7188835" y="2353437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7734</xdr:colOff>
      <xdr:row>147</xdr:row>
      <xdr:rowOff>2405</xdr:rowOff>
    </xdr:from>
    <xdr:to>
      <xdr:col>5</xdr:col>
      <xdr:colOff>274434</xdr:colOff>
      <xdr:row>148</xdr:row>
      <xdr:rowOff>156597</xdr:rowOff>
    </xdr:to>
    <xdr:sp macro="" textlink="">
      <xdr:nvSpPr>
        <xdr:cNvPr id="426" name="Line 327">
          <a:extLst>
            <a:ext uri="{FF2B5EF4-FFF2-40B4-BE49-F238E27FC236}">
              <a16:creationId xmlns:a16="http://schemas.microsoft.com/office/drawing/2014/main" id="{00000000-0008-0000-0A00-0000AA010000}"/>
            </a:ext>
          </a:extLst>
        </xdr:cNvPr>
        <xdr:cNvSpPr>
          <a:spLocks noChangeShapeType="1"/>
        </xdr:cNvSpPr>
      </xdr:nvSpPr>
      <xdr:spPr>
        <a:xfrm flipH="1">
          <a:off x="3030220" y="248304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79949</xdr:colOff>
      <xdr:row>139</xdr:row>
      <xdr:rowOff>30516</xdr:rowOff>
    </xdr:from>
    <xdr:to>
      <xdr:col>15</xdr:col>
      <xdr:colOff>346649</xdr:colOff>
      <xdr:row>141</xdr:row>
      <xdr:rowOff>15586</xdr:rowOff>
    </xdr:to>
    <xdr:sp macro="" textlink="">
      <xdr:nvSpPr>
        <xdr:cNvPr id="427" name="Line 327">
          <a:extLst>
            <a:ext uri="{FF2B5EF4-FFF2-40B4-BE49-F238E27FC236}">
              <a16:creationId xmlns:a16="http://schemas.microsoft.com/office/drawing/2014/main" id="{00000000-0008-0000-0A00-0000AB010000}"/>
            </a:ext>
          </a:extLst>
        </xdr:cNvPr>
        <xdr:cNvSpPr>
          <a:spLocks noChangeShapeType="1"/>
        </xdr:cNvSpPr>
      </xdr:nvSpPr>
      <xdr:spPr>
        <a:xfrm flipH="1">
          <a:off x="8118475" y="23519130"/>
          <a:ext cx="266700" cy="34036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179547</xdr:colOff>
      <xdr:row>139</xdr:row>
      <xdr:rowOff>41281</xdr:rowOff>
    </xdr:from>
    <xdr:to>
      <xdr:col>21</xdr:col>
      <xdr:colOff>446247</xdr:colOff>
      <xdr:row>141</xdr:row>
      <xdr:rowOff>27003</xdr:rowOff>
    </xdr:to>
    <xdr:sp macro="" textlink="">
      <xdr:nvSpPr>
        <xdr:cNvPr id="428" name="Line 327">
          <a:extLst>
            <a:ext uri="{FF2B5EF4-FFF2-40B4-BE49-F238E27FC236}">
              <a16:creationId xmlns:a16="http://schemas.microsoft.com/office/drawing/2014/main" id="{00000000-0008-0000-0A00-0000AC010000}"/>
            </a:ext>
          </a:extLst>
        </xdr:cNvPr>
        <xdr:cNvSpPr>
          <a:spLocks noChangeShapeType="1"/>
        </xdr:cNvSpPr>
      </xdr:nvSpPr>
      <xdr:spPr>
        <a:xfrm flipH="1">
          <a:off x="11228070" y="23529925"/>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184355</xdr:colOff>
      <xdr:row>147</xdr:row>
      <xdr:rowOff>30726</xdr:rowOff>
    </xdr:from>
    <xdr:to>
      <xdr:col>15</xdr:col>
      <xdr:colOff>451055</xdr:colOff>
      <xdr:row>149</xdr:row>
      <xdr:rowOff>6913</xdr:rowOff>
    </xdr:to>
    <xdr:sp macro="" textlink="">
      <xdr:nvSpPr>
        <xdr:cNvPr id="429" name="Line 327">
          <a:extLst>
            <a:ext uri="{FF2B5EF4-FFF2-40B4-BE49-F238E27FC236}">
              <a16:creationId xmlns:a16="http://schemas.microsoft.com/office/drawing/2014/main" id="{00000000-0008-0000-0A00-0000AD010000}"/>
            </a:ext>
          </a:extLst>
        </xdr:cNvPr>
        <xdr:cNvSpPr>
          <a:spLocks noChangeShapeType="1"/>
        </xdr:cNvSpPr>
      </xdr:nvSpPr>
      <xdr:spPr>
        <a:xfrm flipH="1">
          <a:off x="8223250" y="2485898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56436</xdr:colOff>
      <xdr:row>147</xdr:row>
      <xdr:rowOff>21843</xdr:rowOff>
    </xdr:from>
    <xdr:to>
      <xdr:col>19</xdr:col>
      <xdr:colOff>323136</xdr:colOff>
      <xdr:row>149</xdr:row>
      <xdr:rowOff>7565</xdr:rowOff>
    </xdr:to>
    <xdr:sp macro="" textlink="">
      <xdr:nvSpPr>
        <xdr:cNvPr id="430" name="Line 327">
          <a:extLst>
            <a:ext uri="{FF2B5EF4-FFF2-40B4-BE49-F238E27FC236}">
              <a16:creationId xmlns:a16="http://schemas.microsoft.com/office/drawing/2014/main" id="{00000000-0008-0000-0A00-0000AE010000}"/>
            </a:ext>
          </a:extLst>
        </xdr:cNvPr>
        <xdr:cNvSpPr>
          <a:spLocks noChangeShapeType="1"/>
        </xdr:cNvSpPr>
      </xdr:nvSpPr>
      <xdr:spPr>
        <a:xfrm flipH="1">
          <a:off x="10101580" y="24850090"/>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15155</xdr:colOff>
      <xdr:row>154</xdr:row>
      <xdr:rowOff>123112</xdr:rowOff>
    </xdr:from>
    <xdr:to>
      <xdr:col>13</xdr:col>
      <xdr:colOff>281855</xdr:colOff>
      <xdr:row>156</xdr:row>
      <xdr:rowOff>121664</xdr:rowOff>
    </xdr:to>
    <xdr:sp macro="" textlink="">
      <xdr:nvSpPr>
        <xdr:cNvPr id="431" name="Line 327">
          <a:extLst>
            <a:ext uri="{FF2B5EF4-FFF2-40B4-BE49-F238E27FC236}">
              <a16:creationId xmlns:a16="http://schemas.microsoft.com/office/drawing/2014/main" id="{00000000-0008-0000-0A00-0000AF010000}"/>
            </a:ext>
          </a:extLst>
        </xdr:cNvPr>
        <xdr:cNvSpPr>
          <a:spLocks noChangeShapeType="1"/>
        </xdr:cNvSpPr>
      </xdr:nvSpPr>
      <xdr:spPr>
        <a:xfrm flipH="1">
          <a:off x="7050405" y="26122630"/>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153628</xdr:colOff>
      <xdr:row>154</xdr:row>
      <xdr:rowOff>160318</xdr:rowOff>
    </xdr:from>
    <xdr:to>
      <xdr:col>17</xdr:col>
      <xdr:colOff>420328</xdr:colOff>
      <xdr:row>156</xdr:row>
      <xdr:rowOff>142984</xdr:rowOff>
    </xdr:to>
    <xdr:sp macro="" textlink="">
      <xdr:nvSpPr>
        <xdr:cNvPr id="432" name="Line 327">
          <a:extLst>
            <a:ext uri="{FF2B5EF4-FFF2-40B4-BE49-F238E27FC236}">
              <a16:creationId xmlns:a16="http://schemas.microsoft.com/office/drawing/2014/main" id="{00000000-0008-0000-0A00-0000B0010000}"/>
            </a:ext>
          </a:extLst>
        </xdr:cNvPr>
        <xdr:cNvSpPr>
          <a:spLocks noChangeShapeType="1"/>
        </xdr:cNvSpPr>
      </xdr:nvSpPr>
      <xdr:spPr>
        <a:xfrm flipH="1">
          <a:off x="9195435" y="2616009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168992</xdr:colOff>
      <xdr:row>155</xdr:row>
      <xdr:rowOff>30726</xdr:rowOff>
    </xdr:from>
    <xdr:to>
      <xdr:col>15</xdr:col>
      <xdr:colOff>435692</xdr:colOff>
      <xdr:row>157</xdr:row>
      <xdr:rowOff>6913</xdr:rowOff>
    </xdr:to>
    <xdr:sp macro="" textlink="">
      <xdr:nvSpPr>
        <xdr:cNvPr id="433" name="Line 327">
          <a:extLst>
            <a:ext uri="{FF2B5EF4-FFF2-40B4-BE49-F238E27FC236}">
              <a16:creationId xmlns:a16="http://schemas.microsoft.com/office/drawing/2014/main" id="{00000000-0008-0000-0A00-0000B1010000}"/>
            </a:ext>
          </a:extLst>
        </xdr:cNvPr>
        <xdr:cNvSpPr>
          <a:spLocks noChangeShapeType="1"/>
        </xdr:cNvSpPr>
      </xdr:nvSpPr>
      <xdr:spPr>
        <a:xfrm flipH="1">
          <a:off x="8208010" y="261988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15362</xdr:colOff>
      <xdr:row>10</xdr:row>
      <xdr:rowOff>153629</xdr:rowOff>
    </xdr:from>
    <xdr:to>
      <xdr:col>3</xdr:col>
      <xdr:colOff>30725</xdr:colOff>
      <xdr:row>13</xdr:row>
      <xdr:rowOff>34181</xdr:rowOff>
    </xdr:to>
    <xdr:sp macro="" textlink="">
      <xdr:nvSpPr>
        <xdr:cNvPr id="455" name="Line 327">
          <a:extLst>
            <a:ext uri="{FF2B5EF4-FFF2-40B4-BE49-F238E27FC236}">
              <a16:creationId xmlns:a16="http://schemas.microsoft.com/office/drawing/2014/main" id="{00000000-0008-0000-0A00-0000C7010000}"/>
            </a:ext>
          </a:extLst>
        </xdr:cNvPr>
        <xdr:cNvSpPr>
          <a:spLocks noChangeShapeType="1"/>
        </xdr:cNvSpPr>
      </xdr:nvSpPr>
      <xdr:spPr>
        <a:xfrm flipH="1">
          <a:off x="1297940" y="2077085"/>
          <a:ext cx="516890" cy="4044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46089</xdr:colOff>
      <xdr:row>11</xdr:row>
      <xdr:rowOff>15362</xdr:rowOff>
    </xdr:from>
    <xdr:to>
      <xdr:col>2</xdr:col>
      <xdr:colOff>599152</xdr:colOff>
      <xdr:row>12</xdr:row>
      <xdr:rowOff>168990</xdr:rowOff>
    </xdr:to>
    <xdr:sp macro="" textlink="">
      <xdr:nvSpPr>
        <xdr:cNvPr id="456" name="Line 327">
          <a:extLst>
            <a:ext uri="{FF2B5EF4-FFF2-40B4-BE49-F238E27FC236}">
              <a16:creationId xmlns:a16="http://schemas.microsoft.com/office/drawing/2014/main" id="{00000000-0008-0000-0A00-0000C8010000}"/>
            </a:ext>
          </a:extLst>
        </xdr:cNvPr>
        <xdr:cNvSpPr>
          <a:spLocks noChangeShapeType="1"/>
        </xdr:cNvSpPr>
      </xdr:nvSpPr>
      <xdr:spPr>
        <a:xfrm flipH="1" flipV="1">
          <a:off x="1328420" y="2107565"/>
          <a:ext cx="45593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14134</xdr:colOff>
      <xdr:row>11</xdr:row>
      <xdr:rowOff>14133</xdr:rowOff>
    </xdr:from>
    <xdr:to>
      <xdr:col>6</xdr:col>
      <xdr:colOff>567197</xdr:colOff>
      <xdr:row>12</xdr:row>
      <xdr:rowOff>167761</xdr:rowOff>
    </xdr:to>
    <xdr:sp macro="" textlink="">
      <xdr:nvSpPr>
        <xdr:cNvPr id="457" name="Line 327">
          <a:extLst>
            <a:ext uri="{FF2B5EF4-FFF2-40B4-BE49-F238E27FC236}">
              <a16:creationId xmlns:a16="http://schemas.microsoft.com/office/drawing/2014/main" id="{00000000-0008-0000-0A00-0000C9010000}"/>
            </a:ext>
          </a:extLst>
        </xdr:cNvPr>
        <xdr:cNvSpPr>
          <a:spLocks noChangeShapeType="1"/>
        </xdr:cNvSpPr>
      </xdr:nvSpPr>
      <xdr:spPr>
        <a:xfrm flipH="1" flipV="1">
          <a:off x="3538220" y="2106295"/>
          <a:ext cx="48768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6077</xdr:colOff>
      <xdr:row>10</xdr:row>
      <xdr:rowOff>126317</xdr:rowOff>
    </xdr:from>
    <xdr:to>
      <xdr:col>7</xdr:col>
      <xdr:colOff>5463</xdr:colOff>
      <xdr:row>12</xdr:row>
      <xdr:rowOff>146842</xdr:rowOff>
    </xdr:to>
    <xdr:sp macro="" textlink="">
      <xdr:nvSpPr>
        <xdr:cNvPr id="458" name="Line 327">
          <a:extLst>
            <a:ext uri="{FF2B5EF4-FFF2-40B4-BE49-F238E27FC236}">
              <a16:creationId xmlns:a16="http://schemas.microsoft.com/office/drawing/2014/main" id="{00000000-0008-0000-0A00-0000CA010000}"/>
            </a:ext>
          </a:extLst>
        </xdr:cNvPr>
        <xdr:cNvSpPr>
          <a:spLocks noChangeShapeType="1"/>
        </xdr:cNvSpPr>
      </xdr:nvSpPr>
      <xdr:spPr>
        <a:xfrm flipH="1">
          <a:off x="3529965" y="2049780"/>
          <a:ext cx="501015" cy="3670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97199</xdr:colOff>
      <xdr:row>11</xdr:row>
      <xdr:rowOff>0</xdr:rowOff>
    </xdr:from>
    <xdr:to>
      <xdr:col>7</xdr:col>
      <xdr:colOff>363899</xdr:colOff>
      <xdr:row>12</xdr:row>
      <xdr:rowOff>155511</xdr:rowOff>
    </xdr:to>
    <xdr:sp macro="" textlink="">
      <xdr:nvSpPr>
        <xdr:cNvPr id="465" name="Line 327">
          <a:extLst>
            <a:ext uri="{FF2B5EF4-FFF2-40B4-BE49-F238E27FC236}">
              <a16:creationId xmlns:a16="http://schemas.microsoft.com/office/drawing/2014/main" id="{00000000-0008-0000-0A00-0000D1010000}"/>
            </a:ext>
          </a:extLst>
        </xdr:cNvPr>
        <xdr:cNvSpPr>
          <a:spLocks noChangeShapeType="1"/>
        </xdr:cNvSpPr>
      </xdr:nvSpPr>
      <xdr:spPr>
        <a:xfrm flipH="1">
          <a:off x="4123055" y="2092325"/>
          <a:ext cx="266700" cy="33274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77745</xdr:colOff>
      <xdr:row>18</xdr:row>
      <xdr:rowOff>155510</xdr:rowOff>
    </xdr:from>
    <xdr:to>
      <xdr:col>3</xdr:col>
      <xdr:colOff>344445</xdr:colOff>
      <xdr:row>20</xdr:row>
      <xdr:rowOff>149031</xdr:rowOff>
    </xdr:to>
    <xdr:sp macro="" textlink="">
      <xdr:nvSpPr>
        <xdr:cNvPr id="466" name="Line 327">
          <a:extLst>
            <a:ext uri="{FF2B5EF4-FFF2-40B4-BE49-F238E27FC236}">
              <a16:creationId xmlns:a16="http://schemas.microsoft.com/office/drawing/2014/main" id="{00000000-0008-0000-0A00-0000D2010000}"/>
            </a:ext>
          </a:extLst>
        </xdr:cNvPr>
        <xdr:cNvSpPr>
          <a:spLocks noChangeShapeType="1"/>
        </xdr:cNvSpPr>
      </xdr:nvSpPr>
      <xdr:spPr>
        <a:xfrm flipH="1">
          <a:off x="1861820" y="3418840"/>
          <a:ext cx="266700" cy="33972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15</xdr:col>
      <xdr:colOff>123113</xdr:colOff>
      <xdr:row>59</xdr:row>
      <xdr:rowOff>25919</xdr:rowOff>
    </xdr:from>
    <xdr:to>
      <xdr:col>15</xdr:col>
      <xdr:colOff>389813</xdr:colOff>
      <xdr:row>61</xdr:row>
      <xdr:rowOff>2107</xdr:rowOff>
    </xdr:to>
    <xdr:sp macro="" textlink="">
      <xdr:nvSpPr>
        <xdr:cNvPr id="467" name="Line 327">
          <a:extLst>
            <a:ext uri="{FF2B5EF4-FFF2-40B4-BE49-F238E27FC236}">
              <a16:creationId xmlns:a16="http://schemas.microsoft.com/office/drawing/2014/main" id="{00000000-0008-0000-0A00-0000D3010000}"/>
            </a:ext>
          </a:extLst>
        </xdr:cNvPr>
        <xdr:cNvSpPr>
          <a:spLocks noChangeShapeType="1"/>
        </xdr:cNvSpPr>
      </xdr:nvSpPr>
      <xdr:spPr>
        <a:xfrm flipH="1">
          <a:off x="8161655" y="10172700"/>
          <a:ext cx="266700" cy="33210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97194</xdr:colOff>
      <xdr:row>59</xdr:row>
      <xdr:rowOff>32398</xdr:rowOff>
    </xdr:from>
    <xdr:to>
      <xdr:col>17</xdr:col>
      <xdr:colOff>363894</xdr:colOff>
      <xdr:row>61</xdr:row>
      <xdr:rowOff>8586</xdr:rowOff>
    </xdr:to>
    <xdr:sp macro="" textlink="">
      <xdr:nvSpPr>
        <xdr:cNvPr id="468" name="Line 327">
          <a:extLst>
            <a:ext uri="{FF2B5EF4-FFF2-40B4-BE49-F238E27FC236}">
              <a16:creationId xmlns:a16="http://schemas.microsoft.com/office/drawing/2014/main" id="{00000000-0008-0000-0A00-0000D4010000}"/>
            </a:ext>
          </a:extLst>
        </xdr:cNvPr>
        <xdr:cNvSpPr>
          <a:spLocks noChangeShapeType="1"/>
        </xdr:cNvSpPr>
      </xdr:nvSpPr>
      <xdr:spPr>
        <a:xfrm flipH="1">
          <a:off x="9139555" y="101796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58317</xdr:colOff>
      <xdr:row>76</xdr:row>
      <xdr:rowOff>155509</xdr:rowOff>
    </xdr:from>
    <xdr:to>
      <xdr:col>15</xdr:col>
      <xdr:colOff>325017</xdr:colOff>
      <xdr:row>78</xdr:row>
      <xdr:rowOff>138177</xdr:rowOff>
    </xdr:to>
    <xdr:sp macro="" textlink="">
      <xdr:nvSpPr>
        <xdr:cNvPr id="469" name="Line 327">
          <a:extLst>
            <a:ext uri="{FF2B5EF4-FFF2-40B4-BE49-F238E27FC236}">
              <a16:creationId xmlns:a16="http://schemas.microsoft.com/office/drawing/2014/main" id="{00000000-0008-0000-0A00-0000D5010000}"/>
            </a:ext>
          </a:extLst>
        </xdr:cNvPr>
        <xdr:cNvSpPr>
          <a:spLocks noChangeShapeType="1"/>
        </xdr:cNvSpPr>
      </xdr:nvSpPr>
      <xdr:spPr>
        <a:xfrm flipH="1">
          <a:off x="8096885" y="1313116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64796</xdr:colOff>
      <xdr:row>77</xdr:row>
      <xdr:rowOff>19439</xdr:rowOff>
    </xdr:from>
    <xdr:to>
      <xdr:col>21</xdr:col>
      <xdr:colOff>331496</xdr:colOff>
      <xdr:row>78</xdr:row>
      <xdr:rowOff>164096</xdr:rowOff>
    </xdr:to>
    <xdr:sp macro="" textlink="">
      <xdr:nvSpPr>
        <xdr:cNvPr id="470" name="Line 327">
          <a:extLst>
            <a:ext uri="{FF2B5EF4-FFF2-40B4-BE49-F238E27FC236}">
              <a16:creationId xmlns:a16="http://schemas.microsoft.com/office/drawing/2014/main" id="{00000000-0008-0000-0A00-0000D6010000}"/>
            </a:ext>
          </a:extLst>
        </xdr:cNvPr>
        <xdr:cNvSpPr>
          <a:spLocks noChangeShapeType="1"/>
        </xdr:cNvSpPr>
      </xdr:nvSpPr>
      <xdr:spPr>
        <a:xfrm flipH="1">
          <a:off x="11113770" y="13163550"/>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103674</xdr:colOff>
      <xdr:row>104</xdr:row>
      <xdr:rowOff>19439</xdr:rowOff>
    </xdr:from>
    <xdr:to>
      <xdr:col>21</xdr:col>
      <xdr:colOff>370374</xdr:colOff>
      <xdr:row>105</xdr:row>
      <xdr:rowOff>164096</xdr:rowOff>
    </xdr:to>
    <xdr:sp macro="" textlink="">
      <xdr:nvSpPr>
        <xdr:cNvPr id="471" name="Line 327">
          <a:extLst>
            <a:ext uri="{FF2B5EF4-FFF2-40B4-BE49-F238E27FC236}">
              <a16:creationId xmlns:a16="http://schemas.microsoft.com/office/drawing/2014/main" id="{00000000-0008-0000-0A00-0000D7010000}"/>
            </a:ext>
          </a:extLst>
        </xdr:cNvPr>
        <xdr:cNvSpPr>
          <a:spLocks noChangeShapeType="1"/>
        </xdr:cNvSpPr>
      </xdr:nvSpPr>
      <xdr:spPr>
        <a:xfrm flipH="1">
          <a:off x="11152505" y="17672050"/>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6480</xdr:colOff>
      <xdr:row>122</xdr:row>
      <xdr:rowOff>0</xdr:rowOff>
    </xdr:from>
    <xdr:to>
      <xdr:col>19</xdr:col>
      <xdr:colOff>273180</xdr:colOff>
      <xdr:row>123</xdr:row>
      <xdr:rowOff>144657</xdr:rowOff>
    </xdr:to>
    <xdr:sp macro="" textlink="">
      <xdr:nvSpPr>
        <xdr:cNvPr id="472" name="Line 327">
          <a:extLst>
            <a:ext uri="{FF2B5EF4-FFF2-40B4-BE49-F238E27FC236}">
              <a16:creationId xmlns:a16="http://schemas.microsoft.com/office/drawing/2014/main" id="{00000000-0008-0000-0A00-0000D8010000}"/>
            </a:ext>
          </a:extLst>
        </xdr:cNvPr>
        <xdr:cNvSpPr>
          <a:spLocks noChangeShapeType="1"/>
        </xdr:cNvSpPr>
      </xdr:nvSpPr>
      <xdr:spPr>
        <a:xfrm flipH="1">
          <a:off x="10052050" y="2065020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38880</xdr:colOff>
      <xdr:row>130</xdr:row>
      <xdr:rowOff>129592</xdr:rowOff>
    </xdr:from>
    <xdr:to>
      <xdr:col>7</xdr:col>
      <xdr:colOff>305580</xdr:colOff>
      <xdr:row>132</xdr:row>
      <xdr:rowOff>112260</xdr:rowOff>
    </xdr:to>
    <xdr:sp macro="" textlink="">
      <xdr:nvSpPr>
        <xdr:cNvPr id="473" name="Line 327">
          <a:extLst>
            <a:ext uri="{FF2B5EF4-FFF2-40B4-BE49-F238E27FC236}">
              <a16:creationId xmlns:a16="http://schemas.microsoft.com/office/drawing/2014/main" id="{00000000-0008-0000-0A00-0000D9010000}"/>
            </a:ext>
          </a:extLst>
        </xdr:cNvPr>
        <xdr:cNvSpPr>
          <a:spLocks noChangeShapeType="1"/>
        </xdr:cNvSpPr>
      </xdr:nvSpPr>
      <xdr:spPr>
        <a:xfrm flipH="1">
          <a:off x="4064635" y="22110065"/>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32397</xdr:colOff>
      <xdr:row>138</xdr:row>
      <xdr:rowOff>129592</xdr:rowOff>
    </xdr:from>
    <xdr:to>
      <xdr:col>5</xdr:col>
      <xdr:colOff>299097</xdr:colOff>
      <xdr:row>140</xdr:row>
      <xdr:rowOff>112260</xdr:rowOff>
    </xdr:to>
    <xdr:sp macro="" textlink="">
      <xdr:nvSpPr>
        <xdr:cNvPr id="474" name="Line 327">
          <a:extLst>
            <a:ext uri="{FF2B5EF4-FFF2-40B4-BE49-F238E27FC236}">
              <a16:creationId xmlns:a16="http://schemas.microsoft.com/office/drawing/2014/main" id="{00000000-0008-0000-0A00-0000DA010000}"/>
            </a:ext>
          </a:extLst>
        </xdr:cNvPr>
        <xdr:cNvSpPr>
          <a:spLocks noChangeShapeType="1"/>
        </xdr:cNvSpPr>
      </xdr:nvSpPr>
      <xdr:spPr>
        <a:xfrm flipH="1">
          <a:off x="3054985" y="23449915"/>
          <a:ext cx="26670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12960</xdr:colOff>
      <xdr:row>139</xdr:row>
      <xdr:rowOff>0</xdr:rowOff>
    </xdr:from>
    <xdr:to>
      <xdr:col>17</xdr:col>
      <xdr:colOff>279660</xdr:colOff>
      <xdr:row>140</xdr:row>
      <xdr:rowOff>144658</xdr:rowOff>
    </xdr:to>
    <xdr:sp macro="" textlink="">
      <xdr:nvSpPr>
        <xdr:cNvPr id="475" name="Line 327">
          <a:extLst>
            <a:ext uri="{FF2B5EF4-FFF2-40B4-BE49-F238E27FC236}">
              <a16:creationId xmlns:a16="http://schemas.microsoft.com/office/drawing/2014/main" id="{00000000-0008-0000-0A00-0000DB010000}"/>
            </a:ext>
          </a:extLst>
        </xdr:cNvPr>
        <xdr:cNvSpPr>
          <a:spLocks noChangeShapeType="1"/>
        </xdr:cNvSpPr>
      </xdr:nvSpPr>
      <xdr:spPr>
        <a:xfrm flipH="1">
          <a:off x="9055100" y="234886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10</xdr:col>
      <xdr:colOff>358507</xdr:colOff>
      <xdr:row>77</xdr:row>
      <xdr:rowOff>123495</xdr:rowOff>
    </xdr:from>
    <xdr:to>
      <xdr:col>11</xdr:col>
      <xdr:colOff>380734</xdr:colOff>
      <xdr:row>78</xdr:row>
      <xdr:rowOff>29228</xdr:rowOff>
    </xdr:to>
    <xdr:pic>
      <xdr:nvPicPr>
        <xdr:cNvPr id="479" name="Picture 13">
          <a:extLst>
            <a:ext uri="{FF2B5EF4-FFF2-40B4-BE49-F238E27FC236}">
              <a16:creationId xmlns:a16="http://schemas.microsoft.com/office/drawing/2014/main" id="{00000000-0008-0000-0A00-0000DF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6109335" y="13047345"/>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479490</xdr:colOff>
      <xdr:row>95</xdr:row>
      <xdr:rowOff>110154</xdr:rowOff>
    </xdr:from>
    <xdr:to>
      <xdr:col>8</xdr:col>
      <xdr:colOff>65</xdr:colOff>
      <xdr:row>96</xdr:row>
      <xdr:rowOff>15888</xdr:rowOff>
    </xdr:to>
    <xdr:pic>
      <xdr:nvPicPr>
        <xdr:cNvPr id="480" name="Picture 13">
          <a:extLst>
            <a:ext uri="{FF2B5EF4-FFF2-40B4-BE49-F238E27FC236}">
              <a16:creationId xmlns:a16="http://schemas.microsoft.com/office/drawing/2014/main" id="{00000000-0008-0000-0A00-0000E0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3385" y="16037560"/>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485971</xdr:colOff>
      <xdr:row>104</xdr:row>
      <xdr:rowOff>103676</xdr:rowOff>
    </xdr:from>
    <xdr:to>
      <xdr:col>20</xdr:col>
      <xdr:colOff>6546</xdr:colOff>
      <xdr:row>105</xdr:row>
      <xdr:rowOff>9409</xdr:rowOff>
    </xdr:to>
    <xdr:pic>
      <xdr:nvPicPr>
        <xdr:cNvPr id="481" name="Picture 13">
          <a:extLst>
            <a:ext uri="{FF2B5EF4-FFF2-40B4-BE49-F238E27FC236}">
              <a16:creationId xmlns:a16="http://schemas.microsoft.com/office/drawing/2014/main" id="{00000000-0008-0000-0A00-0000E1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50170" y="1753616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32399</xdr:colOff>
      <xdr:row>122</xdr:row>
      <xdr:rowOff>110155</xdr:rowOff>
    </xdr:from>
    <xdr:to>
      <xdr:col>14</xdr:col>
      <xdr:colOff>22874</xdr:colOff>
      <xdr:row>123</xdr:row>
      <xdr:rowOff>15890</xdr:rowOff>
    </xdr:to>
    <xdr:pic>
      <xdr:nvPicPr>
        <xdr:cNvPr id="482" name="Picture 13">
          <a:extLst>
            <a:ext uri="{FF2B5EF4-FFF2-40B4-BE49-F238E27FC236}">
              <a16:creationId xmlns:a16="http://schemas.microsoft.com/office/drawing/2014/main" id="{00000000-0008-0000-0A00-0000E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72020" y="20555585"/>
          <a:ext cx="8382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140</xdr:row>
      <xdr:rowOff>0</xdr:rowOff>
    </xdr:from>
    <xdr:to>
      <xdr:col>9</xdr:col>
      <xdr:colOff>489404</xdr:colOff>
      <xdr:row>140</xdr:row>
      <xdr:rowOff>86904</xdr:rowOff>
    </xdr:to>
    <xdr:pic>
      <xdr:nvPicPr>
        <xdr:cNvPr id="483" name="Picture 13">
          <a:extLst>
            <a:ext uri="{FF2B5EF4-FFF2-40B4-BE49-F238E27FC236}">
              <a16:creationId xmlns:a16="http://schemas.microsoft.com/office/drawing/2014/main" id="{00000000-0008-0000-0A00-0000E3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29860" y="234651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32399</xdr:colOff>
      <xdr:row>156</xdr:row>
      <xdr:rowOff>32396</xdr:rowOff>
    </xdr:from>
    <xdr:to>
      <xdr:col>14</xdr:col>
      <xdr:colOff>22874</xdr:colOff>
      <xdr:row>156</xdr:row>
      <xdr:rowOff>119300</xdr:rowOff>
    </xdr:to>
    <xdr:pic>
      <xdr:nvPicPr>
        <xdr:cNvPr id="484" name="Picture 13">
          <a:extLst>
            <a:ext uri="{FF2B5EF4-FFF2-40B4-BE49-F238E27FC236}">
              <a16:creationId xmlns:a16="http://schemas.microsoft.com/office/drawing/2014/main" id="{00000000-0008-0000-0A00-0000E4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70750" y="26175335"/>
          <a:ext cx="8636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453571</xdr:colOff>
      <xdr:row>155</xdr:row>
      <xdr:rowOff>103675</xdr:rowOff>
    </xdr:from>
    <xdr:to>
      <xdr:col>15</xdr:col>
      <xdr:colOff>475796</xdr:colOff>
      <xdr:row>156</xdr:row>
      <xdr:rowOff>9410</xdr:rowOff>
    </xdr:to>
    <xdr:pic>
      <xdr:nvPicPr>
        <xdr:cNvPr id="485" name="Picture 13">
          <a:extLst>
            <a:ext uri="{FF2B5EF4-FFF2-40B4-BE49-F238E27FC236}">
              <a16:creationId xmlns:a16="http://schemas.microsoft.com/office/drawing/2014/main" id="{00000000-0008-0000-0A00-0000E5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11185" y="2605151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19</xdr:col>
      <xdr:colOff>0</xdr:colOff>
      <xdr:row>156</xdr:row>
      <xdr:rowOff>0</xdr:rowOff>
    </xdr:from>
    <xdr:to>
      <xdr:col>19</xdr:col>
      <xdr:colOff>489404</xdr:colOff>
      <xdr:row>156</xdr:row>
      <xdr:rowOff>86904</xdr:rowOff>
    </xdr:to>
    <xdr:pic>
      <xdr:nvPicPr>
        <xdr:cNvPr id="486" name="Picture 13">
          <a:extLst>
            <a:ext uri="{FF2B5EF4-FFF2-40B4-BE49-F238E27FC236}">
              <a16:creationId xmlns:a16="http://schemas.microsoft.com/office/drawing/2014/main" id="{00000000-0008-0000-0A00-0000E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46360" y="261448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51837</xdr:colOff>
      <xdr:row>154</xdr:row>
      <xdr:rowOff>142552</xdr:rowOff>
    </xdr:from>
    <xdr:to>
      <xdr:col>11</xdr:col>
      <xdr:colOff>370272</xdr:colOff>
      <xdr:row>157</xdr:row>
      <xdr:rowOff>8273</xdr:rowOff>
    </xdr:to>
    <xdr:pic>
      <xdr:nvPicPr>
        <xdr:cNvPr id="497" name="Picture 496">
          <a:extLst>
            <a:ext uri="{FF2B5EF4-FFF2-40B4-BE49-F238E27FC236}">
              <a16:creationId xmlns:a16="http://schemas.microsoft.com/office/drawing/2014/main" id="{00000000-0008-0000-0A00-0000F1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6083935" y="26142315"/>
          <a:ext cx="318770" cy="3898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15</xdr:col>
      <xdr:colOff>84235</xdr:colOff>
      <xdr:row>146</xdr:row>
      <xdr:rowOff>136072</xdr:rowOff>
    </xdr:from>
    <xdr:to>
      <xdr:col>15</xdr:col>
      <xdr:colOff>277429</xdr:colOff>
      <xdr:row>148</xdr:row>
      <xdr:rowOff>137367</xdr:rowOff>
    </xdr:to>
    <xdr:sp macro="" textlink="">
      <xdr:nvSpPr>
        <xdr:cNvPr id="498" name="Parallelogram 497">
          <a:extLst>
            <a:ext uri="{FF2B5EF4-FFF2-40B4-BE49-F238E27FC236}">
              <a16:creationId xmlns:a16="http://schemas.microsoft.com/office/drawing/2014/main" id="{00000000-0008-0000-0A00-0000F2010000}"/>
            </a:ext>
          </a:extLst>
        </xdr:cNvPr>
        <xdr:cNvSpPr/>
      </xdr:nvSpPr>
      <xdr:spPr>
        <a:xfrm rot="1440000">
          <a:off x="8122920" y="24796115"/>
          <a:ext cx="193040" cy="347345"/>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12</xdr:col>
      <xdr:colOff>438832</xdr:colOff>
      <xdr:row>113</xdr:row>
      <xdr:rowOff>105942</xdr:rowOff>
    </xdr:from>
    <xdr:to>
      <xdr:col>13</xdr:col>
      <xdr:colOff>461058</xdr:colOff>
      <xdr:row>114</xdr:row>
      <xdr:rowOff>11678</xdr:rowOff>
    </xdr:to>
    <xdr:pic>
      <xdr:nvPicPr>
        <xdr:cNvPr id="499" name="Picture 13">
          <a:extLst>
            <a:ext uri="{FF2B5EF4-FFF2-40B4-BE49-F238E27FC236}">
              <a16:creationId xmlns:a16="http://schemas.microsoft.com/office/drawing/2014/main" id="{00000000-0008-0000-0A00-0000F3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192645" y="19037300"/>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84235</xdr:colOff>
      <xdr:row>146</xdr:row>
      <xdr:rowOff>136072</xdr:rowOff>
    </xdr:from>
    <xdr:to>
      <xdr:col>15</xdr:col>
      <xdr:colOff>280928</xdr:colOff>
      <xdr:row>148</xdr:row>
      <xdr:rowOff>96618</xdr:rowOff>
    </xdr:to>
    <xdr:cxnSp macro="">
      <xdr:nvCxnSpPr>
        <xdr:cNvPr id="500" name="Straight Connector 499">
          <a:extLst>
            <a:ext uri="{FF2B5EF4-FFF2-40B4-BE49-F238E27FC236}">
              <a16:creationId xmlns:a16="http://schemas.microsoft.com/office/drawing/2014/main" id="{00000000-0008-0000-0A00-0000F4010000}"/>
            </a:ext>
          </a:extLst>
        </xdr:cNvPr>
        <xdr:cNvCxnSpPr/>
      </xdr:nvCxnSpPr>
      <xdr:spPr>
        <a:xfrm flipH="1">
          <a:off x="8122920" y="24796115"/>
          <a:ext cx="196850" cy="30670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9</xdr:col>
      <xdr:colOff>0</xdr:colOff>
      <xdr:row>140</xdr:row>
      <xdr:rowOff>0</xdr:rowOff>
    </xdr:from>
    <xdr:to>
      <xdr:col>9</xdr:col>
      <xdr:colOff>196693</xdr:colOff>
      <xdr:row>141</xdr:row>
      <xdr:rowOff>122535</xdr:rowOff>
    </xdr:to>
    <xdr:cxnSp macro="">
      <xdr:nvCxnSpPr>
        <xdr:cNvPr id="501" name="Straight Connector 500">
          <a:extLst>
            <a:ext uri="{FF2B5EF4-FFF2-40B4-BE49-F238E27FC236}">
              <a16:creationId xmlns:a16="http://schemas.microsoft.com/office/drawing/2014/main" id="{00000000-0008-0000-0A00-0000F5010000}"/>
            </a:ext>
          </a:extLst>
        </xdr:cNvPr>
        <xdr:cNvCxnSpPr/>
      </xdr:nvCxnSpPr>
      <xdr:spPr>
        <a:xfrm flipH="1">
          <a:off x="5029200" y="23666450"/>
          <a:ext cx="196215" cy="299720"/>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editAs="oneCell">
    <xdr:from>
      <xdr:col>2</xdr:col>
      <xdr:colOff>356378</xdr:colOff>
      <xdr:row>68</xdr:row>
      <xdr:rowOff>129592</xdr:rowOff>
    </xdr:from>
    <xdr:to>
      <xdr:col>3</xdr:col>
      <xdr:colOff>378603</xdr:colOff>
      <xdr:row>69</xdr:row>
      <xdr:rowOff>35326</xdr:rowOff>
    </xdr:to>
    <xdr:pic>
      <xdr:nvPicPr>
        <xdr:cNvPr id="502" name="Picture 13">
          <a:extLst>
            <a:ext uri="{FF2B5EF4-FFF2-40B4-BE49-F238E27FC236}">
              <a16:creationId xmlns:a16="http://schemas.microsoft.com/office/drawing/2014/main" id="{00000000-0008-0000-0A00-0000F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858645" y="11555095"/>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473012</xdr:colOff>
      <xdr:row>51</xdr:row>
      <xdr:rowOff>90715</xdr:rowOff>
    </xdr:from>
    <xdr:to>
      <xdr:col>19</xdr:col>
      <xdr:colOff>495237</xdr:colOff>
      <xdr:row>52</xdr:row>
      <xdr:rowOff>2799</xdr:rowOff>
    </xdr:to>
    <xdr:pic>
      <xdr:nvPicPr>
        <xdr:cNvPr id="503" name="Picture 13">
          <a:extLst>
            <a:ext uri="{FF2B5EF4-FFF2-40B4-BE49-F238E27FC236}">
              <a16:creationId xmlns:a16="http://schemas.microsoft.com/office/drawing/2014/main" id="{00000000-0008-0000-0A00-0000F7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33660" y="8671560"/>
          <a:ext cx="9017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12959</xdr:colOff>
      <xdr:row>27</xdr:row>
      <xdr:rowOff>168468</xdr:rowOff>
    </xdr:from>
    <xdr:to>
      <xdr:col>14</xdr:col>
      <xdr:colOff>3434</xdr:colOff>
      <xdr:row>28</xdr:row>
      <xdr:rowOff>74078</xdr:rowOff>
    </xdr:to>
    <xdr:pic>
      <xdr:nvPicPr>
        <xdr:cNvPr id="504" name="Picture 13">
          <a:extLst>
            <a:ext uri="{FF2B5EF4-FFF2-40B4-BE49-F238E27FC236}">
              <a16:creationId xmlns:a16="http://schemas.microsoft.com/office/drawing/2014/main" id="{00000000-0008-0000-0A00-0000F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52970" y="4742180"/>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58316</xdr:colOff>
      <xdr:row>19</xdr:row>
      <xdr:rowOff>155510</xdr:rowOff>
    </xdr:from>
    <xdr:to>
      <xdr:col>14</xdr:col>
      <xdr:colOff>48791</xdr:colOff>
      <xdr:row>20</xdr:row>
      <xdr:rowOff>61246</xdr:rowOff>
    </xdr:to>
    <xdr:pic>
      <xdr:nvPicPr>
        <xdr:cNvPr id="505" name="Picture 13">
          <a:extLst>
            <a:ext uri="{FF2B5EF4-FFF2-40B4-BE49-F238E27FC236}">
              <a16:creationId xmlns:a16="http://schemas.microsoft.com/office/drawing/2014/main" id="{00000000-0008-0000-0A00-0000F9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98055" y="3383280"/>
          <a:ext cx="8382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0</xdr:colOff>
      <xdr:row>20</xdr:row>
      <xdr:rowOff>0</xdr:rowOff>
    </xdr:from>
    <xdr:to>
      <xdr:col>7</xdr:col>
      <xdr:colOff>489404</xdr:colOff>
      <xdr:row>20</xdr:row>
      <xdr:rowOff>86904</xdr:rowOff>
    </xdr:to>
    <xdr:pic>
      <xdr:nvPicPr>
        <xdr:cNvPr id="506" name="Picture 13">
          <a:extLst>
            <a:ext uri="{FF2B5EF4-FFF2-40B4-BE49-F238E27FC236}">
              <a16:creationId xmlns:a16="http://schemas.microsoft.com/office/drawing/2014/main" id="{00000000-0008-0000-0A00-0000FA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6560" y="3408680"/>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464302</xdr:colOff>
      <xdr:row>437</xdr:row>
      <xdr:rowOff>163871</xdr:rowOff>
    </xdr:from>
    <xdr:to>
      <xdr:col>12</xdr:col>
      <xdr:colOff>487014</xdr:colOff>
      <xdr:row>438</xdr:row>
      <xdr:rowOff>66900</xdr:rowOff>
    </xdr:to>
    <xdr:pic>
      <xdr:nvPicPr>
        <xdr:cNvPr id="507" name="Picture 13">
          <a:extLst>
            <a:ext uri="{FF2B5EF4-FFF2-40B4-BE49-F238E27FC236}">
              <a16:creationId xmlns:a16="http://schemas.microsoft.com/office/drawing/2014/main" id="{00000000-0008-0000-0A00-0000FB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6715125" y="73385680"/>
          <a:ext cx="86995" cy="5245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25918</xdr:colOff>
      <xdr:row>447</xdr:row>
      <xdr:rowOff>19440</xdr:rowOff>
    </xdr:from>
    <xdr:to>
      <xdr:col>17</xdr:col>
      <xdr:colOff>431132</xdr:colOff>
      <xdr:row>447</xdr:row>
      <xdr:rowOff>133733</xdr:rowOff>
    </xdr:to>
    <xdr:pic>
      <xdr:nvPicPr>
        <xdr:cNvPr id="508" name="Picture 13">
          <a:extLst>
            <a:ext uri="{FF2B5EF4-FFF2-40B4-BE49-F238E27FC236}">
              <a16:creationId xmlns:a16="http://schemas.microsoft.com/office/drawing/2014/main" id="{00000000-0008-0000-0A00-0000FC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9213215" y="74975085"/>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58316</xdr:colOff>
      <xdr:row>19</xdr:row>
      <xdr:rowOff>129591</xdr:rowOff>
    </xdr:from>
    <xdr:to>
      <xdr:col>5</xdr:col>
      <xdr:colOff>463530</xdr:colOff>
      <xdr:row>20</xdr:row>
      <xdr:rowOff>62716</xdr:rowOff>
    </xdr:to>
    <xdr:pic>
      <xdr:nvPicPr>
        <xdr:cNvPr id="509" name="Picture 13">
          <a:extLst>
            <a:ext uri="{FF2B5EF4-FFF2-40B4-BE49-F238E27FC236}">
              <a16:creationId xmlns:a16="http://schemas.microsoft.com/office/drawing/2014/main" id="{00000000-0008-0000-0A00-0000FD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3227705" y="3414395"/>
          <a:ext cx="111125"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8</xdr:col>
      <xdr:colOff>181430</xdr:colOff>
      <xdr:row>441</xdr:row>
      <xdr:rowOff>19438</xdr:rowOff>
    </xdr:from>
    <xdr:to>
      <xdr:col>8</xdr:col>
      <xdr:colOff>311022</xdr:colOff>
      <xdr:row>442</xdr:row>
      <xdr:rowOff>12959</xdr:rowOff>
    </xdr:to>
    <xdr:sp macro="" textlink="">
      <xdr:nvSpPr>
        <xdr:cNvPr id="511" name="Flowchart: Magnetic Disk 510">
          <a:extLst>
            <a:ext uri="{FF2B5EF4-FFF2-40B4-BE49-F238E27FC236}">
              <a16:creationId xmlns:a16="http://schemas.microsoft.com/office/drawing/2014/main" id="{00000000-0008-0000-0A00-0000FF010000}"/>
            </a:ext>
          </a:extLst>
        </xdr:cNvPr>
        <xdr:cNvSpPr/>
      </xdr:nvSpPr>
      <xdr:spPr>
        <a:xfrm>
          <a:off x="4708525" y="7413942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5</xdr:col>
      <xdr:colOff>311020</xdr:colOff>
      <xdr:row>52</xdr:row>
      <xdr:rowOff>19439</xdr:rowOff>
    </xdr:from>
    <xdr:to>
      <xdr:col>5</xdr:col>
      <xdr:colOff>440612</xdr:colOff>
      <xdr:row>53</xdr:row>
      <xdr:rowOff>12960</xdr:rowOff>
    </xdr:to>
    <xdr:sp macro="" textlink="">
      <xdr:nvSpPr>
        <xdr:cNvPr id="512" name="Flowchart: Magnetic Disk 511">
          <a:extLst>
            <a:ext uri="{FF2B5EF4-FFF2-40B4-BE49-F238E27FC236}">
              <a16:creationId xmlns:a16="http://schemas.microsoft.com/office/drawing/2014/main" id="{00000000-0008-0000-0A00-000000020000}"/>
            </a:ext>
          </a:extLst>
        </xdr:cNvPr>
        <xdr:cNvSpPr/>
      </xdr:nvSpPr>
      <xdr:spPr>
        <a:xfrm>
          <a:off x="3333115" y="899477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356378</xdr:colOff>
      <xdr:row>52</xdr:row>
      <xdr:rowOff>64796</xdr:rowOff>
    </xdr:from>
    <xdr:to>
      <xdr:col>19</xdr:col>
      <xdr:colOff>485970</xdr:colOff>
      <xdr:row>53</xdr:row>
      <xdr:rowOff>58317</xdr:rowOff>
    </xdr:to>
    <xdr:sp macro="" textlink="">
      <xdr:nvSpPr>
        <xdr:cNvPr id="513" name="Flowchart: Magnetic Disk 512">
          <a:extLst>
            <a:ext uri="{FF2B5EF4-FFF2-40B4-BE49-F238E27FC236}">
              <a16:creationId xmlns:a16="http://schemas.microsoft.com/office/drawing/2014/main" id="{00000000-0008-0000-0A00-000001020000}"/>
            </a:ext>
          </a:extLst>
        </xdr:cNvPr>
        <xdr:cNvSpPr/>
      </xdr:nvSpPr>
      <xdr:spPr>
        <a:xfrm>
          <a:off x="10401935" y="9040495"/>
          <a:ext cx="129540" cy="17081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13</xdr:col>
      <xdr:colOff>187908</xdr:colOff>
      <xdr:row>86</xdr:row>
      <xdr:rowOff>110154</xdr:rowOff>
    </xdr:from>
    <xdr:to>
      <xdr:col>13</xdr:col>
      <xdr:colOff>317500</xdr:colOff>
      <xdr:row>87</xdr:row>
      <xdr:rowOff>103674</xdr:rowOff>
    </xdr:to>
    <xdr:sp macro="" textlink="">
      <xdr:nvSpPr>
        <xdr:cNvPr id="514" name="Flowchart: Magnetic Disk 513">
          <a:extLst>
            <a:ext uri="{FF2B5EF4-FFF2-40B4-BE49-F238E27FC236}">
              <a16:creationId xmlns:a16="http://schemas.microsoft.com/office/drawing/2014/main" id="{00000000-0008-0000-0A00-000002020000}"/>
            </a:ext>
          </a:extLst>
        </xdr:cNvPr>
        <xdr:cNvSpPr/>
      </xdr:nvSpPr>
      <xdr:spPr>
        <a:xfrm>
          <a:off x="7223125" y="14759305"/>
          <a:ext cx="130175"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15</xdr:col>
      <xdr:colOff>213827</xdr:colOff>
      <xdr:row>95</xdr:row>
      <xdr:rowOff>84236</xdr:rowOff>
    </xdr:from>
    <xdr:to>
      <xdr:col>15</xdr:col>
      <xdr:colOff>343419</xdr:colOff>
      <xdr:row>96</xdr:row>
      <xdr:rowOff>77756</xdr:rowOff>
    </xdr:to>
    <xdr:sp macro="" textlink="">
      <xdr:nvSpPr>
        <xdr:cNvPr id="515" name="Flowchart: Magnetic Disk 514">
          <a:extLst>
            <a:ext uri="{FF2B5EF4-FFF2-40B4-BE49-F238E27FC236}">
              <a16:creationId xmlns:a16="http://schemas.microsoft.com/office/drawing/2014/main" id="{00000000-0008-0000-0A00-000003020000}"/>
            </a:ext>
          </a:extLst>
        </xdr:cNvPr>
        <xdr:cNvSpPr/>
      </xdr:nvSpPr>
      <xdr:spPr>
        <a:xfrm>
          <a:off x="8252460" y="1623187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123112</xdr:colOff>
      <xdr:row>95</xdr:row>
      <xdr:rowOff>25918</xdr:rowOff>
    </xdr:from>
    <xdr:to>
      <xdr:col>19</xdr:col>
      <xdr:colOff>252704</xdr:colOff>
      <xdr:row>96</xdr:row>
      <xdr:rowOff>19438</xdr:rowOff>
    </xdr:to>
    <xdr:sp macro="" textlink="">
      <xdr:nvSpPr>
        <xdr:cNvPr id="516" name="Flowchart: Magnetic Disk 515">
          <a:extLst>
            <a:ext uri="{FF2B5EF4-FFF2-40B4-BE49-F238E27FC236}">
              <a16:creationId xmlns:a16="http://schemas.microsoft.com/office/drawing/2014/main" id="{00000000-0008-0000-0A00-000004020000}"/>
            </a:ext>
          </a:extLst>
        </xdr:cNvPr>
        <xdr:cNvSpPr/>
      </xdr:nvSpPr>
      <xdr:spPr>
        <a:xfrm>
          <a:off x="10168255" y="161734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291581</xdr:colOff>
      <xdr:row>105</xdr:row>
      <xdr:rowOff>0</xdr:rowOff>
    </xdr:from>
    <xdr:to>
      <xdr:col>17</xdr:col>
      <xdr:colOff>421173</xdr:colOff>
      <xdr:row>105</xdr:row>
      <xdr:rowOff>161990</xdr:rowOff>
    </xdr:to>
    <xdr:sp macro="" textlink="">
      <xdr:nvSpPr>
        <xdr:cNvPr id="517" name="Flowchart: Magnetic Disk 516">
          <a:extLst>
            <a:ext uri="{FF2B5EF4-FFF2-40B4-BE49-F238E27FC236}">
              <a16:creationId xmlns:a16="http://schemas.microsoft.com/office/drawing/2014/main" id="{00000000-0008-0000-0A00-000005020000}"/>
            </a:ext>
          </a:extLst>
        </xdr:cNvPr>
        <xdr:cNvSpPr/>
      </xdr:nvSpPr>
      <xdr:spPr>
        <a:xfrm>
          <a:off x="9333865" y="17830800"/>
          <a:ext cx="129540" cy="16192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311020</xdr:colOff>
      <xdr:row>123</xdr:row>
      <xdr:rowOff>0</xdr:rowOff>
    </xdr:from>
    <xdr:to>
      <xdr:col>19</xdr:col>
      <xdr:colOff>440612</xdr:colOff>
      <xdr:row>123</xdr:row>
      <xdr:rowOff>161990</xdr:rowOff>
    </xdr:to>
    <xdr:sp macro="" textlink="">
      <xdr:nvSpPr>
        <xdr:cNvPr id="518" name="Flowchart: Magnetic Disk 517">
          <a:extLst>
            <a:ext uri="{FF2B5EF4-FFF2-40B4-BE49-F238E27FC236}">
              <a16:creationId xmlns:a16="http://schemas.microsoft.com/office/drawing/2014/main" id="{00000000-0008-0000-0A00-000006020000}"/>
            </a:ext>
          </a:extLst>
        </xdr:cNvPr>
        <xdr:cNvSpPr/>
      </xdr:nvSpPr>
      <xdr:spPr>
        <a:xfrm>
          <a:off x="10356215" y="20828000"/>
          <a:ext cx="129540" cy="16192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3</xdr:col>
      <xdr:colOff>498929</xdr:colOff>
      <xdr:row>132</xdr:row>
      <xdr:rowOff>32398</xdr:rowOff>
    </xdr:from>
    <xdr:to>
      <xdr:col>3</xdr:col>
      <xdr:colOff>628521</xdr:colOff>
      <xdr:row>133</xdr:row>
      <xdr:rowOff>25918</xdr:rowOff>
    </xdr:to>
    <xdr:sp macro="" textlink="">
      <xdr:nvSpPr>
        <xdr:cNvPr id="519" name="Flowchart: Magnetic Disk 518">
          <a:extLst>
            <a:ext uri="{FF2B5EF4-FFF2-40B4-BE49-F238E27FC236}">
              <a16:creationId xmlns:a16="http://schemas.microsoft.com/office/drawing/2014/main" id="{00000000-0008-0000-0A00-000007020000}"/>
            </a:ext>
          </a:extLst>
        </xdr:cNvPr>
        <xdr:cNvSpPr/>
      </xdr:nvSpPr>
      <xdr:spPr>
        <a:xfrm>
          <a:off x="2282825" y="22358985"/>
          <a:ext cx="129540" cy="17081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2</a:t>
          </a:r>
        </a:p>
      </xdr:txBody>
    </xdr:sp>
    <xdr:clientData/>
  </xdr:twoCellAnchor>
  <xdr:twoCellAnchor>
    <xdr:from>
      <xdr:col>21</xdr:col>
      <xdr:colOff>408215</xdr:colOff>
      <xdr:row>123</xdr:row>
      <xdr:rowOff>25919</xdr:rowOff>
    </xdr:from>
    <xdr:to>
      <xdr:col>21</xdr:col>
      <xdr:colOff>537807</xdr:colOff>
      <xdr:row>124</xdr:row>
      <xdr:rowOff>19440</xdr:rowOff>
    </xdr:to>
    <xdr:sp macro="" textlink="">
      <xdr:nvSpPr>
        <xdr:cNvPr id="520" name="Flowchart: Magnetic Disk 519">
          <a:extLst>
            <a:ext uri="{FF2B5EF4-FFF2-40B4-BE49-F238E27FC236}">
              <a16:creationId xmlns:a16="http://schemas.microsoft.com/office/drawing/2014/main" id="{00000000-0008-0000-0A00-000008020000}"/>
            </a:ext>
          </a:extLst>
        </xdr:cNvPr>
        <xdr:cNvSpPr/>
      </xdr:nvSpPr>
      <xdr:spPr>
        <a:xfrm>
          <a:off x="11456670" y="208534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7</xdr:col>
      <xdr:colOff>330459</xdr:colOff>
      <xdr:row>132</xdr:row>
      <xdr:rowOff>12959</xdr:rowOff>
    </xdr:from>
    <xdr:to>
      <xdr:col>7</xdr:col>
      <xdr:colOff>460051</xdr:colOff>
      <xdr:row>133</xdr:row>
      <xdr:rowOff>6479</xdr:rowOff>
    </xdr:to>
    <xdr:sp macro="" textlink="">
      <xdr:nvSpPr>
        <xdr:cNvPr id="521" name="Flowchart: Magnetic Disk 520">
          <a:extLst>
            <a:ext uri="{FF2B5EF4-FFF2-40B4-BE49-F238E27FC236}">
              <a16:creationId xmlns:a16="http://schemas.microsoft.com/office/drawing/2014/main" id="{00000000-0008-0000-0A00-000009020000}"/>
            </a:ext>
          </a:extLst>
        </xdr:cNvPr>
        <xdr:cNvSpPr/>
      </xdr:nvSpPr>
      <xdr:spPr>
        <a:xfrm>
          <a:off x="4356100" y="223393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9</xdr:col>
      <xdr:colOff>77756</xdr:colOff>
      <xdr:row>131</xdr:row>
      <xdr:rowOff>58316</xdr:rowOff>
    </xdr:from>
    <xdr:to>
      <xdr:col>9</xdr:col>
      <xdr:colOff>207348</xdr:colOff>
      <xdr:row>132</xdr:row>
      <xdr:rowOff>51837</xdr:rowOff>
    </xdr:to>
    <xdr:sp macro="" textlink="">
      <xdr:nvSpPr>
        <xdr:cNvPr id="522" name="Flowchart: Magnetic Disk 521">
          <a:extLst>
            <a:ext uri="{FF2B5EF4-FFF2-40B4-BE49-F238E27FC236}">
              <a16:creationId xmlns:a16="http://schemas.microsoft.com/office/drawing/2014/main" id="{00000000-0008-0000-0A00-00000A020000}"/>
            </a:ext>
          </a:extLst>
        </xdr:cNvPr>
        <xdr:cNvSpPr/>
      </xdr:nvSpPr>
      <xdr:spPr>
        <a:xfrm>
          <a:off x="5106670" y="2220658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13</xdr:col>
      <xdr:colOff>38877</xdr:colOff>
      <xdr:row>131</xdr:row>
      <xdr:rowOff>6479</xdr:rowOff>
    </xdr:from>
    <xdr:to>
      <xdr:col>13</xdr:col>
      <xdr:colOff>168469</xdr:colOff>
      <xdr:row>132</xdr:row>
      <xdr:rowOff>0</xdr:rowOff>
    </xdr:to>
    <xdr:sp macro="" textlink="">
      <xdr:nvSpPr>
        <xdr:cNvPr id="523" name="Flowchart: Magnetic Disk 522">
          <a:extLst>
            <a:ext uri="{FF2B5EF4-FFF2-40B4-BE49-F238E27FC236}">
              <a16:creationId xmlns:a16="http://schemas.microsoft.com/office/drawing/2014/main" id="{00000000-0008-0000-0A00-00000B020000}"/>
            </a:ext>
          </a:extLst>
        </xdr:cNvPr>
        <xdr:cNvSpPr/>
      </xdr:nvSpPr>
      <xdr:spPr>
        <a:xfrm>
          <a:off x="7074535" y="221551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155510</xdr:colOff>
      <xdr:row>439</xdr:row>
      <xdr:rowOff>123113</xdr:rowOff>
    </xdr:from>
    <xdr:to>
      <xdr:col>17</xdr:col>
      <xdr:colOff>369336</xdr:colOff>
      <xdr:row>441</xdr:row>
      <xdr:rowOff>84235</xdr:rowOff>
    </xdr:to>
    <xdr:sp macro="" textlink="">
      <xdr:nvSpPr>
        <xdr:cNvPr id="537" name="Flowchart: Predefined Process 536">
          <a:extLst>
            <a:ext uri="{FF2B5EF4-FFF2-40B4-BE49-F238E27FC236}">
              <a16:creationId xmlns:a16="http://schemas.microsoft.com/office/drawing/2014/main" id="{00000000-0008-0000-0A00-000019020000}"/>
            </a:ext>
          </a:extLst>
        </xdr:cNvPr>
        <xdr:cNvSpPr/>
      </xdr:nvSpPr>
      <xdr:spPr>
        <a:xfrm>
          <a:off x="9197340" y="73915905"/>
          <a:ext cx="213995" cy="2882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207347</xdr:colOff>
      <xdr:row>12</xdr:row>
      <xdr:rowOff>123112</xdr:rowOff>
    </xdr:from>
    <xdr:to>
      <xdr:col>7</xdr:col>
      <xdr:colOff>421173</xdr:colOff>
      <xdr:row>14</xdr:row>
      <xdr:rowOff>71275</xdr:rowOff>
    </xdr:to>
    <xdr:sp macro="" textlink="">
      <xdr:nvSpPr>
        <xdr:cNvPr id="538" name="Flowchart: Predefined Process 537">
          <a:extLst>
            <a:ext uri="{FF2B5EF4-FFF2-40B4-BE49-F238E27FC236}">
              <a16:creationId xmlns:a16="http://schemas.microsoft.com/office/drawing/2014/main" id="{00000000-0008-0000-0A00-00001A020000}"/>
            </a:ext>
          </a:extLst>
        </xdr:cNvPr>
        <xdr:cNvSpPr/>
      </xdr:nvSpPr>
      <xdr:spPr>
        <a:xfrm>
          <a:off x="4232910" y="2392680"/>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239745</xdr:colOff>
      <xdr:row>12</xdr:row>
      <xdr:rowOff>142550</xdr:rowOff>
    </xdr:from>
    <xdr:to>
      <xdr:col>9</xdr:col>
      <xdr:colOff>453571</xdr:colOff>
      <xdr:row>14</xdr:row>
      <xdr:rowOff>90713</xdr:rowOff>
    </xdr:to>
    <xdr:sp macro="" textlink="">
      <xdr:nvSpPr>
        <xdr:cNvPr id="539" name="Flowchart: Predefined Process 538">
          <a:extLst>
            <a:ext uri="{FF2B5EF4-FFF2-40B4-BE49-F238E27FC236}">
              <a16:creationId xmlns:a16="http://schemas.microsoft.com/office/drawing/2014/main" id="{00000000-0008-0000-0A00-00001B020000}"/>
            </a:ext>
          </a:extLst>
        </xdr:cNvPr>
        <xdr:cNvSpPr/>
      </xdr:nvSpPr>
      <xdr:spPr>
        <a:xfrm>
          <a:off x="5268595" y="241236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149031</xdr:colOff>
      <xdr:row>11</xdr:row>
      <xdr:rowOff>38878</xdr:rowOff>
    </xdr:from>
    <xdr:to>
      <xdr:col>13</xdr:col>
      <xdr:colOff>362857</xdr:colOff>
      <xdr:row>12</xdr:row>
      <xdr:rowOff>155511</xdr:rowOff>
    </xdr:to>
    <xdr:sp macro="" textlink="">
      <xdr:nvSpPr>
        <xdr:cNvPr id="540" name="Flowchart: Predefined Process 539">
          <a:extLst>
            <a:ext uri="{FF2B5EF4-FFF2-40B4-BE49-F238E27FC236}">
              <a16:creationId xmlns:a16="http://schemas.microsoft.com/office/drawing/2014/main" id="{00000000-0008-0000-0A00-00001C020000}"/>
            </a:ext>
          </a:extLst>
        </xdr:cNvPr>
        <xdr:cNvSpPr/>
      </xdr:nvSpPr>
      <xdr:spPr>
        <a:xfrm>
          <a:off x="7184390" y="213106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116633</xdr:colOff>
      <xdr:row>11</xdr:row>
      <xdr:rowOff>32398</xdr:rowOff>
    </xdr:from>
    <xdr:to>
      <xdr:col>15</xdr:col>
      <xdr:colOff>330459</xdr:colOff>
      <xdr:row>12</xdr:row>
      <xdr:rowOff>149031</xdr:rowOff>
    </xdr:to>
    <xdr:sp macro="" textlink="">
      <xdr:nvSpPr>
        <xdr:cNvPr id="541" name="Flowchart: Predefined Process 540">
          <a:extLst>
            <a:ext uri="{FF2B5EF4-FFF2-40B4-BE49-F238E27FC236}">
              <a16:creationId xmlns:a16="http://schemas.microsoft.com/office/drawing/2014/main" id="{00000000-0008-0000-0A00-00001D020000}"/>
            </a:ext>
          </a:extLst>
        </xdr:cNvPr>
        <xdr:cNvSpPr/>
      </xdr:nvSpPr>
      <xdr:spPr>
        <a:xfrm>
          <a:off x="8155305" y="212471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213826</xdr:colOff>
      <xdr:row>19</xdr:row>
      <xdr:rowOff>58316</xdr:rowOff>
    </xdr:from>
    <xdr:to>
      <xdr:col>21</xdr:col>
      <xdr:colOff>427652</xdr:colOff>
      <xdr:row>21</xdr:row>
      <xdr:rowOff>6479</xdr:rowOff>
    </xdr:to>
    <xdr:sp macro="" textlink="">
      <xdr:nvSpPr>
        <xdr:cNvPr id="542" name="Flowchart: Predefined Process 541">
          <a:extLst>
            <a:ext uri="{FF2B5EF4-FFF2-40B4-BE49-F238E27FC236}">
              <a16:creationId xmlns:a16="http://schemas.microsoft.com/office/drawing/2014/main" id="{00000000-0008-0000-0A00-00001E020000}"/>
            </a:ext>
          </a:extLst>
        </xdr:cNvPr>
        <xdr:cNvSpPr/>
      </xdr:nvSpPr>
      <xdr:spPr>
        <a:xfrm>
          <a:off x="11262360" y="348996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252704</xdr:colOff>
      <xdr:row>27</xdr:row>
      <xdr:rowOff>110154</xdr:rowOff>
    </xdr:from>
    <xdr:to>
      <xdr:col>5</xdr:col>
      <xdr:colOff>466530</xdr:colOff>
      <xdr:row>29</xdr:row>
      <xdr:rowOff>58317</xdr:rowOff>
    </xdr:to>
    <xdr:sp macro="" textlink="">
      <xdr:nvSpPr>
        <xdr:cNvPr id="543" name="Flowchart: Predefined Process 542">
          <a:extLst>
            <a:ext uri="{FF2B5EF4-FFF2-40B4-BE49-F238E27FC236}">
              <a16:creationId xmlns:a16="http://schemas.microsoft.com/office/drawing/2014/main" id="{00000000-0008-0000-0A00-00001F020000}"/>
            </a:ext>
          </a:extLst>
        </xdr:cNvPr>
        <xdr:cNvSpPr/>
      </xdr:nvSpPr>
      <xdr:spPr>
        <a:xfrm>
          <a:off x="3274695" y="488823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272143</xdr:colOff>
      <xdr:row>27</xdr:row>
      <xdr:rowOff>77754</xdr:rowOff>
    </xdr:from>
    <xdr:to>
      <xdr:col>21</xdr:col>
      <xdr:colOff>485969</xdr:colOff>
      <xdr:row>29</xdr:row>
      <xdr:rowOff>25917</xdr:rowOff>
    </xdr:to>
    <xdr:sp macro="" textlink="">
      <xdr:nvSpPr>
        <xdr:cNvPr id="544" name="Flowchart: Predefined Process 543">
          <a:extLst>
            <a:ext uri="{FF2B5EF4-FFF2-40B4-BE49-F238E27FC236}">
              <a16:creationId xmlns:a16="http://schemas.microsoft.com/office/drawing/2014/main" id="{00000000-0008-0000-0A00-000020020000}"/>
            </a:ext>
          </a:extLst>
        </xdr:cNvPr>
        <xdr:cNvSpPr/>
      </xdr:nvSpPr>
      <xdr:spPr>
        <a:xfrm>
          <a:off x="11320780" y="485584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233265</xdr:colOff>
      <xdr:row>52</xdr:row>
      <xdr:rowOff>38877</xdr:rowOff>
    </xdr:from>
    <xdr:to>
      <xdr:col>9</xdr:col>
      <xdr:colOff>447091</xdr:colOff>
      <xdr:row>53</xdr:row>
      <xdr:rowOff>155510</xdr:rowOff>
    </xdr:to>
    <xdr:sp macro="" textlink="">
      <xdr:nvSpPr>
        <xdr:cNvPr id="545" name="Flowchart: Predefined Process 544">
          <a:extLst>
            <a:ext uri="{FF2B5EF4-FFF2-40B4-BE49-F238E27FC236}">
              <a16:creationId xmlns:a16="http://schemas.microsoft.com/office/drawing/2014/main" id="{00000000-0008-0000-0A00-000021020000}"/>
            </a:ext>
          </a:extLst>
        </xdr:cNvPr>
        <xdr:cNvSpPr/>
      </xdr:nvSpPr>
      <xdr:spPr>
        <a:xfrm>
          <a:off x="5262245" y="901446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440612</xdr:colOff>
      <xdr:row>59</xdr:row>
      <xdr:rowOff>149031</xdr:rowOff>
    </xdr:from>
    <xdr:to>
      <xdr:col>3</xdr:col>
      <xdr:colOff>654438</xdr:colOff>
      <xdr:row>61</xdr:row>
      <xdr:rowOff>97194</xdr:rowOff>
    </xdr:to>
    <xdr:sp macro="" textlink="">
      <xdr:nvSpPr>
        <xdr:cNvPr id="546" name="Flowchart: Predefined Process 545">
          <a:extLst>
            <a:ext uri="{FF2B5EF4-FFF2-40B4-BE49-F238E27FC236}">
              <a16:creationId xmlns:a16="http://schemas.microsoft.com/office/drawing/2014/main" id="{00000000-0008-0000-0A00-000022020000}"/>
            </a:ext>
          </a:extLst>
        </xdr:cNvPr>
        <xdr:cNvSpPr/>
      </xdr:nvSpPr>
      <xdr:spPr>
        <a:xfrm>
          <a:off x="2224405" y="1029589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123113</xdr:colOff>
      <xdr:row>59</xdr:row>
      <xdr:rowOff>45356</xdr:rowOff>
    </xdr:from>
    <xdr:to>
      <xdr:col>7</xdr:col>
      <xdr:colOff>336939</xdr:colOff>
      <xdr:row>60</xdr:row>
      <xdr:rowOff>161988</xdr:rowOff>
    </xdr:to>
    <xdr:sp macro="" textlink="">
      <xdr:nvSpPr>
        <xdr:cNvPr id="547" name="Flowchart: Predefined Process 546">
          <a:extLst>
            <a:ext uri="{FF2B5EF4-FFF2-40B4-BE49-F238E27FC236}">
              <a16:creationId xmlns:a16="http://schemas.microsoft.com/office/drawing/2014/main" id="{00000000-0008-0000-0A00-000023020000}"/>
            </a:ext>
          </a:extLst>
        </xdr:cNvPr>
        <xdr:cNvSpPr/>
      </xdr:nvSpPr>
      <xdr:spPr>
        <a:xfrm>
          <a:off x="4148455" y="10192385"/>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  </a:t>
          </a:r>
        </a:p>
      </xdr:txBody>
    </xdr:sp>
    <xdr:clientData/>
  </xdr:twoCellAnchor>
  <xdr:twoCellAnchor>
    <xdr:from>
      <xdr:col>11</xdr:col>
      <xdr:colOff>149031</xdr:colOff>
      <xdr:row>59</xdr:row>
      <xdr:rowOff>58317</xdr:rowOff>
    </xdr:from>
    <xdr:to>
      <xdr:col>11</xdr:col>
      <xdr:colOff>362857</xdr:colOff>
      <xdr:row>61</xdr:row>
      <xdr:rowOff>6480</xdr:rowOff>
    </xdr:to>
    <xdr:sp macro="" textlink="">
      <xdr:nvSpPr>
        <xdr:cNvPr id="548" name="Flowchart: Predefined Process 547">
          <a:extLst>
            <a:ext uri="{FF2B5EF4-FFF2-40B4-BE49-F238E27FC236}">
              <a16:creationId xmlns:a16="http://schemas.microsoft.com/office/drawing/2014/main" id="{00000000-0008-0000-0A00-000024020000}"/>
            </a:ext>
          </a:extLst>
        </xdr:cNvPr>
        <xdr:cNvSpPr/>
      </xdr:nvSpPr>
      <xdr:spPr>
        <a:xfrm>
          <a:off x="6181090" y="1020508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213826</xdr:colOff>
      <xdr:row>59</xdr:row>
      <xdr:rowOff>149031</xdr:rowOff>
    </xdr:from>
    <xdr:to>
      <xdr:col>13</xdr:col>
      <xdr:colOff>427652</xdr:colOff>
      <xdr:row>61</xdr:row>
      <xdr:rowOff>97194</xdr:rowOff>
    </xdr:to>
    <xdr:sp macro="" textlink="">
      <xdr:nvSpPr>
        <xdr:cNvPr id="549" name="Flowchart: Predefined Process 548">
          <a:extLst>
            <a:ext uri="{FF2B5EF4-FFF2-40B4-BE49-F238E27FC236}">
              <a16:creationId xmlns:a16="http://schemas.microsoft.com/office/drawing/2014/main" id="{00000000-0008-0000-0A00-000025020000}"/>
            </a:ext>
          </a:extLst>
        </xdr:cNvPr>
        <xdr:cNvSpPr/>
      </xdr:nvSpPr>
      <xdr:spPr>
        <a:xfrm>
          <a:off x="7249160" y="1029589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0</xdr:colOff>
      <xdr:row>59</xdr:row>
      <xdr:rowOff>0</xdr:rowOff>
    </xdr:from>
    <xdr:to>
      <xdr:col>17</xdr:col>
      <xdr:colOff>266700</xdr:colOff>
      <xdr:row>60</xdr:row>
      <xdr:rowOff>144657</xdr:rowOff>
    </xdr:to>
    <xdr:sp macro="" textlink="">
      <xdr:nvSpPr>
        <xdr:cNvPr id="550" name="Line 327">
          <a:extLst>
            <a:ext uri="{FF2B5EF4-FFF2-40B4-BE49-F238E27FC236}">
              <a16:creationId xmlns:a16="http://schemas.microsoft.com/office/drawing/2014/main" id="{00000000-0008-0000-0A00-000026020000}"/>
            </a:ext>
          </a:extLst>
        </xdr:cNvPr>
        <xdr:cNvSpPr>
          <a:spLocks noChangeShapeType="1"/>
        </xdr:cNvSpPr>
      </xdr:nvSpPr>
      <xdr:spPr>
        <a:xfrm flipH="1">
          <a:off x="9042400" y="101473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0</xdr:colOff>
      <xdr:row>59</xdr:row>
      <xdr:rowOff>0</xdr:rowOff>
    </xdr:from>
    <xdr:to>
      <xdr:col>19</xdr:col>
      <xdr:colOff>266700</xdr:colOff>
      <xdr:row>60</xdr:row>
      <xdr:rowOff>144657</xdr:rowOff>
    </xdr:to>
    <xdr:sp macro="" textlink="">
      <xdr:nvSpPr>
        <xdr:cNvPr id="551" name="Line 327">
          <a:extLst>
            <a:ext uri="{FF2B5EF4-FFF2-40B4-BE49-F238E27FC236}">
              <a16:creationId xmlns:a16="http://schemas.microsoft.com/office/drawing/2014/main" id="{00000000-0008-0000-0A00-000027020000}"/>
            </a:ext>
          </a:extLst>
        </xdr:cNvPr>
        <xdr:cNvSpPr>
          <a:spLocks noChangeShapeType="1"/>
        </xdr:cNvSpPr>
      </xdr:nvSpPr>
      <xdr:spPr>
        <a:xfrm flipH="1">
          <a:off x="10045700" y="101473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233265</xdr:colOff>
      <xdr:row>60</xdr:row>
      <xdr:rowOff>32398</xdr:rowOff>
    </xdr:from>
    <xdr:to>
      <xdr:col>19</xdr:col>
      <xdr:colOff>447091</xdr:colOff>
      <xdr:row>61</xdr:row>
      <xdr:rowOff>149031</xdr:rowOff>
    </xdr:to>
    <xdr:sp macro="" textlink="">
      <xdr:nvSpPr>
        <xdr:cNvPr id="552" name="Flowchart: Predefined Process 551">
          <a:extLst>
            <a:ext uri="{FF2B5EF4-FFF2-40B4-BE49-F238E27FC236}">
              <a16:creationId xmlns:a16="http://schemas.microsoft.com/office/drawing/2014/main" id="{00000000-0008-0000-0A00-000028020000}"/>
            </a:ext>
          </a:extLst>
        </xdr:cNvPr>
        <xdr:cNvSpPr/>
      </xdr:nvSpPr>
      <xdr:spPr>
        <a:xfrm>
          <a:off x="10278745" y="103574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453571</xdr:colOff>
      <xdr:row>69</xdr:row>
      <xdr:rowOff>58317</xdr:rowOff>
    </xdr:from>
    <xdr:to>
      <xdr:col>3</xdr:col>
      <xdr:colOff>667397</xdr:colOff>
      <xdr:row>71</xdr:row>
      <xdr:rowOff>6480</xdr:rowOff>
    </xdr:to>
    <xdr:sp macro="" textlink="">
      <xdr:nvSpPr>
        <xdr:cNvPr id="553" name="Flowchart: Predefined Process 552">
          <a:extLst>
            <a:ext uri="{FF2B5EF4-FFF2-40B4-BE49-F238E27FC236}">
              <a16:creationId xmlns:a16="http://schemas.microsoft.com/office/drawing/2014/main" id="{00000000-0008-0000-0A00-000029020000}"/>
            </a:ext>
          </a:extLst>
        </xdr:cNvPr>
        <xdr:cNvSpPr/>
      </xdr:nvSpPr>
      <xdr:spPr>
        <a:xfrm>
          <a:off x="2237740" y="1188148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3</xdr:col>
      <xdr:colOff>200867</xdr:colOff>
      <xdr:row>68</xdr:row>
      <xdr:rowOff>19440</xdr:rowOff>
    </xdr:from>
    <xdr:to>
      <xdr:col>3</xdr:col>
      <xdr:colOff>467567</xdr:colOff>
      <xdr:row>69</xdr:row>
      <xdr:rowOff>164097</xdr:rowOff>
    </xdr:to>
    <xdr:sp macro="" textlink="">
      <xdr:nvSpPr>
        <xdr:cNvPr id="554" name="Line 327">
          <a:extLst>
            <a:ext uri="{FF2B5EF4-FFF2-40B4-BE49-F238E27FC236}">
              <a16:creationId xmlns:a16="http://schemas.microsoft.com/office/drawing/2014/main" id="{00000000-0008-0000-0A00-00002A020000}"/>
            </a:ext>
          </a:extLst>
        </xdr:cNvPr>
        <xdr:cNvSpPr>
          <a:spLocks noChangeShapeType="1"/>
        </xdr:cNvSpPr>
      </xdr:nvSpPr>
      <xdr:spPr>
        <a:xfrm flipH="1">
          <a:off x="1985010" y="1166495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233265</xdr:colOff>
      <xdr:row>69</xdr:row>
      <xdr:rowOff>25919</xdr:rowOff>
    </xdr:from>
    <xdr:to>
      <xdr:col>5</xdr:col>
      <xdr:colOff>447091</xdr:colOff>
      <xdr:row>70</xdr:row>
      <xdr:rowOff>142552</xdr:rowOff>
    </xdr:to>
    <xdr:sp macro="" textlink="">
      <xdr:nvSpPr>
        <xdr:cNvPr id="555" name="Flowchart: Predefined Process 554">
          <a:extLst>
            <a:ext uri="{FF2B5EF4-FFF2-40B4-BE49-F238E27FC236}">
              <a16:creationId xmlns:a16="http://schemas.microsoft.com/office/drawing/2014/main" id="{00000000-0008-0000-0A00-00002B020000}"/>
            </a:ext>
          </a:extLst>
        </xdr:cNvPr>
        <xdr:cNvSpPr/>
      </xdr:nvSpPr>
      <xdr:spPr>
        <a:xfrm>
          <a:off x="3255645" y="118491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editAs="oneCell">
    <xdr:from>
      <xdr:col>9</xdr:col>
      <xdr:colOff>38877</xdr:colOff>
      <xdr:row>69</xdr:row>
      <xdr:rowOff>19439</xdr:rowOff>
    </xdr:from>
    <xdr:to>
      <xdr:col>10</xdr:col>
      <xdr:colOff>29352</xdr:colOff>
      <xdr:row>69</xdr:row>
      <xdr:rowOff>106343</xdr:rowOff>
    </xdr:to>
    <xdr:pic>
      <xdr:nvPicPr>
        <xdr:cNvPr id="556" name="Picture 13">
          <a:extLst>
            <a:ext uri="{FF2B5EF4-FFF2-40B4-BE49-F238E27FC236}">
              <a16:creationId xmlns:a16="http://schemas.microsoft.com/office/drawing/2014/main" id="{00000000-0008-0000-0A00-00002C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70500" y="11640185"/>
          <a:ext cx="8699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11</xdr:col>
      <xdr:colOff>207347</xdr:colOff>
      <xdr:row>69</xdr:row>
      <xdr:rowOff>25919</xdr:rowOff>
    </xdr:from>
    <xdr:to>
      <xdr:col>11</xdr:col>
      <xdr:colOff>421173</xdr:colOff>
      <xdr:row>70</xdr:row>
      <xdr:rowOff>142552</xdr:rowOff>
    </xdr:to>
    <xdr:sp macro="" textlink="">
      <xdr:nvSpPr>
        <xdr:cNvPr id="557" name="Flowchart: Predefined Process 556">
          <a:extLst>
            <a:ext uri="{FF2B5EF4-FFF2-40B4-BE49-F238E27FC236}">
              <a16:creationId xmlns:a16="http://schemas.microsoft.com/office/drawing/2014/main" id="{00000000-0008-0000-0A00-00002D020000}"/>
            </a:ext>
          </a:extLst>
        </xdr:cNvPr>
        <xdr:cNvSpPr/>
      </xdr:nvSpPr>
      <xdr:spPr>
        <a:xfrm>
          <a:off x="6239510" y="118491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19440</xdr:colOff>
      <xdr:row>67</xdr:row>
      <xdr:rowOff>129591</xdr:rowOff>
    </xdr:from>
    <xdr:to>
      <xdr:col>15</xdr:col>
      <xdr:colOff>286140</xdr:colOff>
      <xdr:row>69</xdr:row>
      <xdr:rowOff>112258</xdr:rowOff>
    </xdr:to>
    <xdr:sp macro="" textlink="">
      <xdr:nvSpPr>
        <xdr:cNvPr id="558" name="Line 327">
          <a:extLst>
            <a:ext uri="{FF2B5EF4-FFF2-40B4-BE49-F238E27FC236}">
              <a16:creationId xmlns:a16="http://schemas.microsoft.com/office/drawing/2014/main" id="{00000000-0008-0000-0A00-00002E020000}"/>
            </a:ext>
          </a:extLst>
        </xdr:cNvPr>
        <xdr:cNvSpPr>
          <a:spLocks noChangeShapeType="1"/>
        </xdr:cNvSpPr>
      </xdr:nvSpPr>
      <xdr:spPr>
        <a:xfrm flipH="1">
          <a:off x="8058150" y="11607165"/>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editAs="oneCell">
    <xdr:from>
      <xdr:col>15</xdr:col>
      <xdr:colOff>32398</xdr:colOff>
      <xdr:row>69</xdr:row>
      <xdr:rowOff>6481</xdr:rowOff>
    </xdr:from>
    <xdr:to>
      <xdr:col>16</xdr:col>
      <xdr:colOff>22874</xdr:colOff>
      <xdr:row>69</xdr:row>
      <xdr:rowOff>93385</xdr:rowOff>
    </xdr:to>
    <xdr:pic>
      <xdr:nvPicPr>
        <xdr:cNvPr id="559" name="Picture 13">
          <a:extLst>
            <a:ext uri="{FF2B5EF4-FFF2-40B4-BE49-F238E27FC236}">
              <a16:creationId xmlns:a16="http://schemas.microsoft.com/office/drawing/2014/main" id="{00000000-0008-0000-0A00-00002F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74050" y="11627485"/>
          <a:ext cx="8636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19</xdr:col>
      <xdr:colOff>71276</xdr:colOff>
      <xdr:row>68</xdr:row>
      <xdr:rowOff>58317</xdr:rowOff>
    </xdr:from>
    <xdr:to>
      <xdr:col>19</xdr:col>
      <xdr:colOff>285102</xdr:colOff>
      <xdr:row>70</xdr:row>
      <xdr:rowOff>6480</xdr:rowOff>
    </xdr:to>
    <xdr:sp macro="" textlink="">
      <xdr:nvSpPr>
        <xdr:cNvPr id="560" name="Flowchart: Predefined Process 559">
          <a:extLst>
            <a:ext uri="{FF2B5EF4-FFF2-40B4-BE49-F238E27FC236}">
              <a16:creationId xmlns:a16="http://schemas.microsoft.com/office/drawing/2014/main" id="{00000000-0008-0000-0A00-000030020000}"/>
            </a:ext>
          </a:extLst>
        </xdr:cNvPr>
        <xdr:cNvSpPr/>
      </xdr:nvSpPr>
      <xdr:spPr>
        <a:xfrm>
          <a:off x="10116820" y="11703685"/>
          <a:ext cx="213360"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51836</xdr:colOff>
      <xdr:row>68</xdr:row>
      <xdr:rowOff>45357</xdr:rowOff>
    </xdr:from>
    <xdr:to>
      <xdr:col>21</xdr:col>
      <xdr:colOff>318536</xdr:colOff>
      <xdr:row>70</xdr:row>
      <xdr:rowOff>21544</xdr:rowOff>
    </xdr:to>
    <xdr:sp macro="" textlink="">
      <xdr:nvSpPr>
        <xdr:cNvPr id="561" name="Line 327">
          <a:extLst>
            <a:ext uri="{FF2B5EF4-FFF2-40B4-BE49-F238E27FC236}">
              <a16:creationId xmlns:a16="http://schemas.microsoft.com/office/drawing/2014/main" id="{00000000-0008-0000-0A00-000031020000}"/>
            </a:ext>
          </a:extLst>
        </xdr:cNvPr>
        <xdr:cNvSpPr>
          <a:spLocks noChangeShapeType="1"/>
        </xdr:cNvSpPr>
      </xdr:nvSpPr>
      <xdr:spPr>
        <a:xfrm flipH="1">
          <a:off x="11100435" y="116909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4</xdr:col>
      <xdr:colOff>473011</xdr:colOff>
      <xdr:row>76</xdr:row>
      <xdr:rowOff>123111</xdr:rowOff>
    </xdr:from>
    <xdr:to>
      <xdr:col>5</xdr:col>
      <xdr:colOff>240782</xdr:colOff>
      <xdr:row>78</xdr:row>
      <xdr:rowOff>105778</xdr:rowOff>
    </xdr:to>
    <xdr:sp macro="" textlink="">
      <xdr:nvSpPr>
        <xdr:cNvPr id="562" name="Line 327">
          <a:extLst>
            <a:ext uri="{FF2B5EF4-FFF2-40B4-BE49-F238E27FC236}">
              <a16:creationId xmlns:a16="http://schemas.microsoft.com/office/drawing/2014/main" id="{00000000-0008-0000-0A00-000032020000}"/>
            </a:ext>
          </a:extLst>
        </xdr:cNvPr>
        <xdr:cNvSpPr>
          <a:spLocks noChangeShapeType="1"/>
        </xdr:cNvSpPr>
      </xdr:nvSpPr>
      <xdr:spPr>
        <a:xfrm flipH="1">
          <a:off x="2993390" y="13098780"/>
          <a:ext cx="269875"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200867</xdr:colOff>
      <xdr:row>78</xdr:row>
      <xdr:rowOff>12959</xdr:rowOff>
    </xdr:from>
    <xdr:to>
      <xdr:col>5</xdr:col>
      <xdr:colOff>414693</xdr:colOff>
      <xdr:row>79</xdr:row>
      <xdr:rowOff>129592</xdr:rowOff>
    </xdr:to>
    <xdr:sp macro="" textlink="">
      <xdr:nvSpPr>
        <xdr:cNvPr id="563" name="Flowchart: Predefined Process 562">
          <a:extLst>
            <a:ext uri="{FF2B5EF4-FFF2-40B4-BE49-F238E27FC236}">
              <a16:creationId xmlns:a16="http://schemas.microsoft.com/office/drawing/2014/main" id="{00000000-0008-0000-0A00-000033020000}"/>
            </a:ext>
          </a:extLst>
        </xdr:cNvPr>
        <xdr:cNvSpPr/>
      </xdr:nvSpPr>
      <xdr:spPr>
        <a:xfrm>
          <a:off x="3223260" y="13335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42523</xdr:colOff>
      <xdr:row>77</xdr:row>
      <xdr:rowOff>29239</xdr:rowOff>
    </xdr:from>
    <xdr:to>
      <xdr:col>9</xdr:col>
      <xdr:colOff>309223</xdr:colOff>
      <xdr:row>79</xdr:row>
      <xdr:rowOff>5426</xdr:rowOff>
    </xdr:to>
    <xdr:sp macro="" textlink="">
      <xdr:nvSpPr>
        <xdr:cNvPr id="564" name="Line 327">
          <a:extLst>
            <a:ext uri="{FF2B5EF4-FFF2-40B4-BE49-F238E27FC236}">
              <a16:creationId xmlns:a16="http://schemas.microsoft.com/office/drawing/2014/main" id="{00000000-0008-0000-0A00-000034020000}"/>
            </a:ext>
          </a:extLst>
        </xdr:cNvPr>
        <xdr:cNvSpPr>
          <a:spLocks noChangeShapeType="1"/>
        </xdr:cNvSpPr>
      </xdr:nvSpPr>
      <xdr:spPr>
        <a:xfrm flipH="1">
          <a:off x="5071110" y="1317371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0</xdr:colOff>
      <xdr:row>77</xdr:row>
      <xdr:rowOff>0</xdr:rowOff>
    </xdr:from>
    <xdr:to>
      <xdr:col>9</xdr:col>
      <xdr:colOff>266700</xdr:colOff>
      <xdr:row>78</xdr:row>
      <xdr:rowOff>144656</xdr:rowOff>
    </xdr:to>
    <xdr:sp macro="" textlink="">
      <xdr:nvSpPr>
        <xdr:cNvPr id="565" name="Line 327">
          <a:extLst>
            <a:ext uri="{FF2B5EF4-FFF2-40B4-BE49-F238E27FC236}">
              <a16:creationId xmlns:a16="http://schemas.microsoft.com/office/drawing/2014/main" id="{00000000-0008-0000-0A00-000035020000}"/>
            </a:ext>
          </a:extLst>
        </xdr:cNvPr>
        <xdr:cNvSpPr>
          <a:spLocks noChangeShapeType="1"/>
        </xdr:cNvSpPr>
      </xdr:nvSpPr>
      <xdr:spPr>
        <a:xfrm flipH="1">
          <a:off x="50292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84235</xdr:colOff>
      <xdr:row>77</xdr:row>
      <xdr:rowOff>12959</xdr:rowOff>
    </xdr:from>
    <xdr:to>
      <xdr:col>11</xdr:col>
      <xdr:colOff>350935</xdr:colOff>
      <xdr:row>78</xdr:row>
      <xdr:rowOff>157615</xdr:rowOff>
    </xdr:to>
    <xdr:sp macro="" textlink="">
      <xdr:nvSpPr>
        <xdr:cNvPr id="566" name="Line 327">
          <a:extLst>
            <a:ext uri="{FF2B5EF4-FFF2-40B4-BE49-F238E27FC236}">
              <a16:creationId xmlns:a16="http://schemas.microsoft.com/office/drawing/2014/main" id="{00000000-0008-0000-0A00-000036020000}"/>
            </a:ext>
          </a:extLst>
        </xdr:cNvPr>
        <xdr:cNvSpPr>
          <a:spLocks noChangeShapeType="1"/>
        </xdr:cNvSpPr>
      </xdr:nvSpPr>
      <xdr:spPr>
        <a:xfrm flipH="1">
          <a:off x="6116320" y="1315720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129592</xdr:colOff>
      <xdr:row>77</xdr:row>
      <xdr:rowOff>45356</xdr:rowOff>
    </xdr:from>
    <xdr:to>
      <xdr:col>11</xdr:col>
      <xdr:colOff>396292</xdr:colOff>
      <xdr:row>79</xdr:row>
      <xdr:rowOff>21543</xdr:rowOff>
    </xdr:to>
    <xdr:sp macro="" textlink="">
      <xdr:nvSpPr>
        <xdr:cNvPr id="567" name="Line 327">
          <a:extLst>
            <a:ext uri="{FF2B5EF4-FFF2-40B4-BE49-F238E27FC236}">
              <a16:creationId xmlns:a16="http://schemas.microsoft.com/office/drawing/2014/main" id="{00000000-0008-0000-0A00-000037020000}"/>
            </a:ext>
          </a:extLst>
        </xdr:cNvPr>
        <xdr:cNvSpPr>
          <a:spLocks noChangeShapeType="1"/>
        </xdr:cNvSpPr>
      </xdr:nvSpPr>
      <xdr:spPr>
        <a:xfrm flipH="1">
          <a:off x="6162040" y="131895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246224</xdr:colOff>
      <xdr:row>78</xdr:row>
      <xdr:rowOff>110153</xdr:rowOff>
    </xdr:from>
    <xdr:to>
      <xdr:col>11</xdr:col>
      <xdr:colOff>460050</xdr:colOff>
      <xdr:row>80</xdr:row>
      <xdr:rowOff>58316</xdr:rowOff>
    </xdr:to>
    <xdr:sp macro="" textlink="">
      <xdr:nvSpPr>
        <xdr:cNvPr id="568" name="Flowchart: Predefined Process 567">
          <a:extLst>
            <a:ext uri="{FF2B5EF4-FFF2-40B4-BE49-F238E27FC236}">
              <a16:creationId xmlns:a16="http://schemas.microsoft.com/office/drawing/2014/main" id="{00000000-0008-0000-0A00-000038020000}"/>
            </a:ext>
          </a:extLst>
        </xdr:cNvPr>
        <xdr:cNvSpPr/>
      </xdr:nvSpPr>
      <xdr:spPr>
        <a:xfrm>
          <a:off x="6278245" y="1343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213826</xdr:colOff>
      <xdr:row>78</xdr:row>
      <xdr:rowOff>6480</xdr:rowOff>
    </xdr:from>
    <xdr:to>
      <xdr:col>15</xdr:col>
      <xdr:colOff>427652</xdr:colOff>
      <xdr:row>79</xdr:row>
      <xdr:rowOff>123113</xdr:rowOff>
    </xdr:to>
    <xdr:sp macro="" textlink="">
      <xdr:nvSpPr>
        <xdr:cNvPr id="569" name="Flowchart: Predefined Process 568">
          <a:extLst>
            <a:ext uri="{FF2B5EF4-FFF2-40B4-BE49-F238E27FC236}">
              <a16:creationId xmlns:a16="http://schemas.microsoft.com/office/drawing/2014/main" id="{00000000-0008-0000-0A00-000039020000}"/>
            </a:ext>
          </a:extLst>
        </xdr:cNvPr>
        <xdr:cNvSpPr/>
      </xdr:nvSpPr>
      <xdr:spPr>
        <a:xfrm>
          <a:off x="8252460" y="1332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0</xdr:colOff>
      <xdr:row>77</xdr:row>
      <xdr:rowOff>0</xdr:rowOff>
    </xdr:from>
    <xdr:to>
      <xdr:col>15</xdr:col>
      <xdr:colOff>266700</xdr:colOff>
      <xdr:row>78</xdr:row>
      <xdr:rowOff>144656</xdr:rowOff>
    </xdr:to>
    <xdr:sp macro="" textlink="">
      <xdr:nvSpPr>
        <xdr:cNvPr id="570" name="Line 327">
          <a:extLst>
            <a:ext uri="{FF2B5EF4-FFF2-40B4-BE49-F238E27FC236}">
              <a16:creationId xmlns:a16="http://schemas.microsoft.com/office/drawing/2014/main" id="{00000000-0008-0000-0A00-00003A020000}"/>
            </a:ext>
          </a:extLst>
        </xdr:cNvPr>
        <xdr:cNvSpPr>
          <a:spLocks noChangeShapeType="1"/>
        </xdr:cNvSpPr>
      </xdr:nvSpPr>
      <xdr:spPr>
        <a:xfrm flipH="1">
          <a:off x="80391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0</xdr:colOff>
      <xdr:row>77</xdr:row>
      <xdr:rowOff>0</xdr:rowOff>
    </xdr:from>
    <xdr:to>
      <xdr:col>19</xdr:col>
      <xdr:colOff>266700</xdr:colOff>
      <xdr:row>78</xdr:row>
      <xdr:rowOff>144656</xdr:rowOff>
    </xdr:to>
    <xdr:sp macro="" textlink="">
      <xdr:nvSpPr>
        <xdr:cNvPr id="571" name="Line 327">
          <a:extLst>
            <a:ext uri="{FF2B5EF4-FFF2-40B4-BE49-F238E27FC236}">
              <a16:creationId xmlns:a16="http://schemas.microsoft.com/office/drawing/2014/main" id="{00000000-0008-0000-0A00-00003B020000}"/>
            </a:ext>
          </a:extLst>
        </xdr:cNvPr>
        <xdr:cNvSpPr>
          <a:spLocks noChangeShapeType="1"/>
        </xdr:cNvSpPr>
      </xdr:nvSpPr>
      <xdr:spPr>
        <a:xfrm flipH="1">
          <a:off x="100457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233265</xdr:colOff>
      <xdr:row>78</xdr:row>
      <xdr:rowOff>0</xdr:rowOff>
    </xdr:from>
    <xdr:to>
      <xdr:col>21</xdr:col>
      <xdr:colOff>447091</xdr:colOff>
      <xdr:row>79</xdr:row>
      <xdr:rowOff>116633</xdr:rowOff>
    </xdr:to>
    <xdr:sp macro="" textlink="">
      <xdr:nvSpPr>
        <xdr:cNvPr id="572" name="Flowchart: Predefined Process 571">
          <a:extLst>
            <a:ext uri="{FF2B5EF4-FFF2-40B4-BE49-F238E27FC236}">
              <a16:creationId xmlns:a16="http://schemas.microsoft.com/office/drawing/2014/main" id="{00000000-0008-0000-0A00-00003C020000}"/>
            </a:ext>
          </a:extLst>
        </xdr:cNvPr>
        <xdr:cNvSpPr/>
      </xdr:nvSpPr>
      <xdr:spPr>
        <a:xfrm>
          <a:off x="11282045" y="1332230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3</xdr:col>
      <xdr:colOff>84234</xdr:colOff>
      <xdr:row>86</xdr:row>
      <xdr:rowOff>38877</xdr:rowOff>
    </xdr:from>
    <xdr:to>
      <xdr:col>3</xdr:col>
      <xdr:colOff>350934</xdr:colOff>
      <xdr:row>88</xdr:row>
      <xdr:rowOff>15064</xdr:rowOff>
    </xdr:to>
    <xdr:sp macro="" textlink="">
      <xdr:nvSpPr>
        <xdr:cNvPr id="573" name="Line 327">
          <a:extLst>
            <a:ext uri="{FF2B5EF4-FFF2-40B4-BE49-F238E27FC236}">
              <a16:creationId xmlns:a16="http://schemas.microsoft.com/office/drawing/2014/main" id="{00000000-0008-0000-0A00-00003D020000}"/>
            </a:ext>
          </a:extLst>
        </xdr:cNvPr>
        <xdr:cNvSpPr>
          <a:spLocks noChangeShapeType="1"/>
        </xdr:cNvSpPr>
      </xdr:nvSpPr>
      <xdr:spPr>
        <a:xfrm flipH="1">
          <a:off x="1868170" y="146881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317500</xdr:colOff>
      <xdr:row>86</xdr:row>
      <xdr:rowOff>77755</xdr:rowOff>
    </xdr:from>
    <xdr:to>
      <xdr:col>3</xdr:col>
      <xdr:colOff>584200</xdr:colOff>
      <xdr:row>88</xdr:row>
      <xdr:rowOff>53943</xdr:rowOff>
    </xdr:to>
    <xdr:sp macro="" textlink="">
      <xdr:nvSpPr>
        <xdr:cNvPr id="574" name="Line 327">
          <a:extLst>
            <a:ext uri="{FF2B5EF4-FFF2-40B4-BE49-F238E27FC236}">
              <a16:creationId xmlns:a16="http://schemas.microsoft.com/office/drawing/2014/main" id="{00000000-0008-0000-0A00-00003E020000}"/>
            </a:ext>
          </a:extLst>
        </xdr:cNvPr>
        <xdr:cNvSpPr>
          <a:spLocks noChangeShapeType="1"/>
        </xdr:cNvSpPr>
      </xdr:nvSpPr>
      <xdr:spPr>
        <a:xfrm flipH="1">
          <a:off x="2101850" y="1472692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129592</xdr:colOff>
      <xdr:row>86</xdr:row>
      <xdr:rowOff>97195</xdr:rowOff>
    </xdr:from>
    <xdr:to>
      <xdr:col>5</xdr:col>
      <xdr:colOff>343418</xdr:colOff>
      <xdr:row>88</xdr:row>
      <xdr:rowOff>45358</xdr:rowOff>
    </xdr:to>
    <xdr:sp macro="" textlink="">
      <xdr:nvSpPr>
        <xdr:cNvPr id="575" name="Flowchart: Predefined Process 574">
          <a:extLst>
            <a:ext uri="{FF2B5EF4-FFF2-40B4-BE49-F238E27FC236}">
              <a16:creationId xmlns:a16="http://schemas.microsoft.com/office/drawing/2014/main" id="{00000000-0008-0000-0A00-00003F020000}"/>
            </a:ext>
          </a:extLst>
        </xdr:cNvPr>
        <xdr:cNvSpPr/>
      </xdr:nvSpPr>
      <xdr:spPr>
        <a:xfrm>
          <a:off x="3152140" y="1474660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0</xdr:colOff>
      <xdr:row>86</xdr:row>
      <xdr:rowOff>0</xdr:rowOff>
    </xdr:from>
    <xdr:to>
      <xdr:col>7</xdr:col>
      <xdr:colOff>266700</xdr:colOff>
      <xdr:row>87</xdr:row>
      <xdr:rowOff>144656</xdr:rowOff>
    </xdr:to>
    <xdr:sp macro="" textlink="">
      <xdr:nvSpPr>
        <xdr:cNvPr id="576" name="Line 327">
          <a:extLst>
            <a:ext uri="{FF2B5EF4-FFF2-40B4-BE49-F238E27FC236}">
              <a16:creationId xmlns:a16="http://schemas.microsoft.com/office/drawing/2014/main" id="{00000000-0008-0000-0A00-000040020000}"/>
            </a:ext>
          </a:extLst>
        </xdr:cNvPr>
        <xdr:cNvSpPr>
          <a:spLocks noChangeShapeType="1"/>
        </xdr:cNvSpPr>
      </xdr:nvSpPr>
      <xdr:spPr>
        <a:xfrm flipH="1">
          <a:off x="4025900" y="146494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editAs="oneCell">
    <xdr:from>
      <xdr:col>7</xdr:col>
      <xdr:colOff>0</xdr:colOff>
      <xdr:row>87</xdr:row>
      <xdr:rowOff>0</xdr:rowOff>
    </xdr:from>
    <xdr:to>
      <xdr:col>7</xdr:col>
      <xdr:colOff>489404</xdr:colOff>
      <xdr:row>87</xdr:row>
      <xdr:rowOff>86904</xdr:rowOff>
    </xdr:to>
    <xdr:pic>
      <xdr:nvPicPr>
        <xdr:cNvPr id="577" name="Picture 13">
          <a:extLst>
            <a:ext uri="{FF2B5EF4-FFF2-40B4-BE49-F238E27FC236}">
              <a16:creationId xmlns:a16="http://schemas.microsoft.com/office/drawing/2014/main" id="{00000000-0008-0000-0A00-000041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6560" y="146259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453573</xdr:colOff>
      <xdr:row>86</xdr:row>
      <xdr:rowOff>116634</xdr:rowOff>
    </xdr:from>
    <xdr:to>
      <xdr:col>15</xdr:col>
      <xdr:colOff>475798</xdr:colOff>
      <xdr:row>87</xdr:row>
      <xdr:rowOff>22368</xdr:rowOff>
    </xdr:to>
    <xdr:pic>
      <xdr:nvPicPr>
        <xdr:cNvPr id="578" name="Picture 13">
          <a:extLst>
            <a:ext uri="{FF2B5EF4-FFF2-40B4-BE49-F238E27FC236}">
              <a16:creationId xmlns:a16="http://schemas.microsoft.com/office/drawing/2014/main" id="{00000000-0008-0000-0A00-000042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11185" y="1454531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38877</xdr:colOff>
      <xdr:row>87</xdr:row>
      <xdr:rowOff>51836</xdr:rowOff>
    </xdr:from>
    <xdr:to>
      <xdr:col>16</xdr:col>
      <xdr:colOff>29353</xdr:colOff>
      <xdr:row>87</xdr:row>
      <xdr:rowOff>138740</xdr:rowOff>
    </xdr:to>
    <xdr:pic>
      <xdr:nvPicPr>
        <xdr:cNvPr id="579" name="Picture 13">
          <a:extLst>
            <a:ext uri="{FF2B5EF4-FFF2-40B4-BE49-F238E27FC236}">
              <a16:creationId xmlns:a16="http://schemas.microsoft.com/office/drawing/2014/main" id="{00000000-0008-0000-0A00-000043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80400" y="14676120"/>
          <a:ext cx="8699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17</xdr:col>
      <xdr:colOff>19439</xdr:colOff>
      <xdr:row>85</xdr:row>
      <xdr:rowOff>149030</xdr:rowOff>
    </xdr:from>
    <xdr:to>
      <xdr:col>17</xdr:col>
      <xdr:colOff>286139</xdr:colOff>
      <xdr:row>87</xdr:row>
      <xdr:rowOff>131696</xdr:rowOff>
    </xdr:to>
    <xdr:sp macro="" textlink="">
      <xdr:nvSpPr>
        <xdr:cNvPr id="580" name="Line 327">
          <a:extLst>
            <a:ext uri="{FF2B5EF4-FFF2-40B4-BE49-F238E27FC236}">
              <a16:creationId xmlns:a16="http://schemas.microsoft.com/office/drawing/2014/main" id="{00000000-0008-0000-0A00-000044020000}"/>
            </a:ext>
          </a:extLst>
        </xdr:cNvPr>
        <xdr:cNvSpPr>
          <a:spLocks noChangeShapeType="1"/>
        </xdr:cNvSpPr>
      </xdr:nvSpPr>
      <xdr:spPr>
        <a:xfrm flipH="1">
          <a:off x="9061450" y="146297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110153</xdr:colOff>
      <xdr:row>86</xdr:row>
      <xdr:rowOff>45357</xdr:rowOff>
    </xdr:from>
    <xdr:to>
      <xdr:col>17</xdr:col>
      <xdr:colOff>376853</xdr:colOff>
      <xdr:row>88</xdr:row>
      <xdr:rowOff>21544</xdr:rowOff>
    </xdr:to>
    <xdr:sp macro="" textlink="">
      <xdr:nvSpPr>
        <xdr:cNvPr id="581" name="Line 327">
          <a:extLst>
            <a:ext uri="{FF2B5EF4-FFF2-40B4-BE49-F238E27FC236}">
              <a16:creationId xmlns:a16="http://schemas.microsoft.com/office/drawing/2014/main" id="{00000000-0008-0000-0A00-000045020000}"/>
            </a:ext>
          </a:extLst>
        </xdr:cNvPr>
        <xdr:cNvSpPr>
          <a:spLocks noChangeShapeType="1"/>
        </xdr:cNvSpPr>
      </xdr:nvSpPr>
      <xdr:spPr>
        <a:xfrm flipH="1">
          <a:off x="9152255" y="1469453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136072</xdr:colOff>
      <xdr:row>86</xdr:row>
      <xdr:rowOff>45358</xdr:rowOff>
    </xdr:from>
    <xdr:to>
      <xdr:col>19</xdr:col>
      <xdr:colOff>349898</xdr:colOff>
      <xdr:row>87</xdr:row>
      <xdr:rowOff>161990</xdr:rowOff>
    </xdr:to>
    <xdr:sp macro="" textlink="">
      <xdr:nvSpPr>
        <xdr:cNvPr id="582" name="Flowchart: Predefined Process 581">
          <a:extLst>
            <a:ext uri="{FF2B5EF4-FFF2-40B4-BE49-F238E27FC236}">
              <a16:creationId xmlns:a16="http://schemas.microsoft.com/office/drawing/2014/main" id="{00000000-0008-0000-0A00-000046020000}"/>
            </a:ext>
          </a:extLst>
        </xdr:cNvPr>
        <xdr:cNvSpPr/>
      </xdr:nvSpPr>
      <xdr:spPr>
        <a:xfrm>
          <a:off x="10181590" y="14694535"/>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21</xdr:col>
      <xdr:colOff>19439</xdr:colOff>
      <xdr:row>85</xdr:row>
      <xdr:rowOff>149031</xdr:rowOff>
    </xdr:from>
    <xdr:to>
      <xdr:col>21</xdr:col>
      <xdr:colOff>286139</xdr:colOff>
      <xdr:row>87</xdr:row>
      <xdr:rowOff>131697</xdr:rowOff>
    </xdr:to>
    <xdr:sp macro="" textlink="">
      <xdr:nvSpPr>
        <xdr:cNvPr id="583" name="Line 327">
          <a:extLst>
            <a:ext uri="{FF2B5EF4-FFF2-40B4-BE49-F238E27FC236}">
              <a16:creationId xmlns:a16="http://schemas.microsoft.com/office/drawing/2014/main" id="{00000000-0008-0000-0A00-000047020000}"/>
            </a:ext>
          </a:extLst>
        </xdr:cNvPr>
        <xdr:cNvSpPr>
          <a:spLocks noChangeShapeType="1"/>
        </xdr:cNvSpPr>
      </xdr:nvSpPr>
      <xdr:spPr>
        <a:xfrm flipH="1">
          <a:off x="11068050" y="146297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132961</xdr:colOff>
      <xdr:row>86</xdr:row>
      <xdr:rowOff>3369</xdr:rowOff>
    </xdr:from>
    <xdr:to>
      <xdr:col>21</xdr:col>
      <xdr:colOff>399661</xdr:colOff>
      <xdr:row>87</xdr:row>
      <xdr:rowOff>148025</xdr:rowOff>
    </xdr:to>
    <xdr:sp macro="" textlink="">
      <xdr:nvSpPr>
        <xdr:cNvPr id="584" name="Line 327">
          <a:extLst>
            <a:ext uri="{FF2B5EF4-FFF2-40B4-BE49-F238E27FC236}">
              <a16:creationId xmlns:a16="http://schemas.microsoft.com/office/drawing/2014/main" id="{00000000-0008-0000-0A00-000048020000}"/>
            </a:ext>
          </a:extLst>
        </xdr:cNvPr>
        <xdr:cNvSpPr>
          <a:spLocks noChangeShapeType="1"/>
        </xdr:cNvSpPr>
      </xdr:nvSpPr>
      <xdr:spPr>
        <a:xfrm flipH="1">
          <a:off x="11181715" y="14652625"/>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25918</xdr:colOff>
      <xdr:row>95</xdr:row>
      <xdr:rowOff>0</xdr:rowOff>
    </xdr:from>
    <xdr:to>
      <xdr:col>3</xdr:col>
      <xdr:colOff>292618</xdr:colOff>
      <xdr:row>96</xdr:row>
      <xdr:rowOff>144656</xdr:rowOff>
    </xdr:to>
    <xdr:sp macro="" textlink="">
      <xdr:nvSpPr>
        <xdr:cNvPr id="585" name="Line 327">
          <a:extLst>
            <a:ext uri="{FF2B5EF4-FFF2-40B4-BE49-F238E27FC236}">
              <a16:creationId xmlns:a16="http://schemas.microsoft.com/office/drawing/2014/main" id="{00000000-0008-0000-0A00-000049020000}"/>
            </a:ext>
          </a:extLst>
        </xdr:cNvPr>
        <xdr:cNvSpPr>
          <a:spLocks noChangeShapeType="1"/>
        </xdr:cNvSpPr>
      </xdr:nvSpPr>
      <xdr:spPr>
        <a:xfrm flipH="1">
          <a:off x="180975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6</xdr:col>
      <xdr:colOff>427653</xdr:colOff>
      <xdr:row>94</xdr:row>
      <xdr:rowOff>149031</xdr:rowOff>
    </xdr:from>
    <xdr:to>
      <xdr:col>7</xdr:col>
      <xdr:colOff>195424</xdr:colOff>
      <xdr:row>96</xdr:row>
      <xdr:rowOff>131697</xdr:rowOff>
    </xdr:to>
    <xdr:sp macro="" textlink="">
      <xdr:nvSpPr>
        <xdr:cNvPr id="586" name="Line 327">
          <a:extLst>
            <a:ext uri="{FF2B5EF4-FFF2-40B4-BE49-F238E27FC236}">
              <a16:creationId xmlns:a16="http://schemas.microsoft.com/office/drawing/2014/main" id="{00000000-0008-0000-0A00-00004A020000}"/>
            </a:ext>
          </a:extLst>
        </xdr:cNvPr>
        <xdr:cNvSpPr>
          <a:spLocks noChangeShapeType="1"/>
        </xdr:cNvSpPr>
      </xdr:nvSpPr>
      <xdr:spPr>
        <a:xfrm flipH="1">
          <a:off x="3951605" y="16128365"/>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0</xdr:colOff>
      <xdr:row>95</xdr:row>
      <xdr:rowOff>0</xdr:rowOff>
    </xdr:from>
    <xdr:to>
      <xdr:col>11</xdr:col>
      <xdr:colOff>266700</xdr:colOff>
      <xdr:row>96</xdr:row>
      <xdr:rowOff>144656</xdr:rowOff>
    </xdr:to>
    <xdr:sp macro="" textlink="">
      <xdr:nvSpPr>
        <xdr:cNvPr id="587" name="Line 327">
          <a:extLst>
            <a:ext uri="{FF2B5EF4-FFF2-40B4-BE49-F238E27FC236}">
              <a16:creationId xmlns:a16="http://schemas.microsoft.com/office/drawing/2014/main" id="{00000000-0008-0000-0A00-00004B020000}"/>
            </a:ext>
          </a:extLst>
        </xdr:cNvPr>
        <xdr:cNvSpPr>
          <a:spLocks noChangeShapeType="1"/>
        </xdr:cNvSpPr>
      </xdr:nvSpPr>
      <xdr:spPr>
        <a:xfrm flipH="1">
          <a:off x="603250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13</xdr:col>
      <xdr:colOff>0</xdr:colOff>
      <xdr:row>95</xdr:row>
      <xdr:rowOff>0</xdr:rowOff>
    </xdr:from>
    <xdr:to>
      <xdr:col>13</xdr:col>
      <xdr:colOff>266700</xdr:colOff>
      <xdr:row>96</xdr:row>
      <xdr:rowOff>144657</xdr:rowOff>
    </xdr:to>
    <xdr:sp macro="" textlink="">
      <xdr:nvSpPr>
        <xdr:cNvPr id="588" name="Line 327">
          <a:extLst>
            <a:ext uri="{FF2B5EF4-FFF2-40B4-BE49-F238E27FC236}">
              <a16:creationId xmlns:a16="http://schemas.microsoft.com/office/drawing/2014/main" id="{00000000-0008-0000-0A00-00004C020000}"/>
            </a:ext>
          </a:extLst>
        </xdr:cNvPr>
        <xdr:cNvSpPr>
          <a:spLocks noChangeShapeType="1"/>
        </xdr:cNvSpPr>
      </xdr:nvSpPr>
      <xdr:spPr>
        <a:xfrm flipH="1">
          <a:off x="7035800" y="161480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0</xdr:colOff>
      <xdr:row>95</xdr:row>
      <xdr:rowOff>0</xdr:rowOff>
    </xdr:from>
    <xdr:to>
      <xdr:col>17</xdr:col>
      <xdr:colOff>266700</xdr:colOff>
      <xdr:row>96</xdr:row>
      <xdr:rowOff>144656</xdr:rowOff>
    </xdr:to>
    <xdr:sp macro="" textlink="">
      <xdr:nvSpPr>
        <xdr:cNvPr id="589" name="Line 327">
          <a:extLst>
            <a:ext uri="{FF2B5EF4-FFF2-40B4-BE49-F238E27FC236}">
              <a16:creationId xmlns:a16="http://schemas.microsoft.com/office/drawing/2014/main" id="{00000000-0008-0000-0A00-00004D020000}"/>
            </a:ext>
          </a:extLst>
        </xdr:cNvPr>
        <xdr:cNvSpPr>
          <a:spLocks noChangeShapeType="1"/>
        </xdr:cNvSpPr>
      </xdr:nvSpPr>
      <xdr:spPr>
        <a:xfrm flipH="1">
          <a:off x="904240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161990</xdr:colOff>
      <xdr:row>95</xdr:row>
      <xdr:rowOff>161991</xdr:rowOff>
    </xdr:from>
    <xdr:to>
      <xdr:col>17</xdr:col>
      <xdr:colOff>375816</xdr:colOff>
      <xdr:row>97</xdr:row>
      <xdr:rowOff>110154</xdr:rowOff>
    </xdr:to>
    <xdr:sp macro="" textlink="">
      <xdr:nvSpPr>
        <xdr:cNvPr id="590" name="Flowchart: Predefined Process 589">
          <a:extLst>
            <a:ext uri="{FF2B5EF4-FFF2-40B4-BE49-F238E27FC236}">
              <a16:creationId xmlns:a16="http://schemas.microsoft.com/office/drawing/2014/main" id="{00000000-0008-0000-0A00-00004E020000}"/>
            </a:ext>
          </a:extLst>
        </xdr:cNvPr>
        <xdr:cNvSpPr/>
      </xdr:nvSpPr>
      <xdr:spPr>
        <a:xfrm>
          <a:off x="9204325" y="1630997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195991</xdr:colOff>
      <xdr:row>95</xdr:row>
      <xdr:rowOff>148821</xdr:rowOff>
    </xdr:from>
    <xdr:to>
      <xdr:col>19</xdr:col>
      <xdr:colOff>462691</xdr:colOff>
      <xdr:row>97</xdr:row>
      <xdr:rowOff>125008</xdr:rowOff>
    </xdr:to>
    <xdr:sp macro="" textlink="">
      <xdr:nvSpPr>
        <xdr:cNvPr id="591" name="Line 327">
          <a:extLst>
            <a:ext uri="{FF2B5EF4-FFF2-40B4-BE49-F238E27FC236}">
              <a16:creationId xmlns:a16="http://schemas.microsoft.com/office/drawing/2014/main" id="{00000000-0008-0000-0A00-00004F020000}"/>
            </a:ext>
          </a:extLst>
        </xdr:cNvPr>
        <xdr:cNvSpPr>
          <a:spLocks noChangeShapeType="1"/>
        </xdr:cNvSpPr>
      </xdr:nvSpPr>
      <xdr:spPr>
        <a:xfrm flipH="1">
          <a:off x="10241280" y="1629664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212320</xdr:colOff>
      <xdr:row>96</xdr:row>
      <xdr:rowOff>93874</xdr:rowOff>
    </xdr:from>
    <xdr:to>
      <xdr:col>19</xdr:col>
      <xdr:colOff>479020</xdr:colOff>
      <xdr:row>98</xdr:row>
      <xdr:rowOff>70062</xdr:rowOff>
    </xdr:to>
    <xdr:sp macro="" textlink="">
      <xdr:nvSpPr>
        <xdr:cNvPr id="592" name="Line 327">
          <a:extLst>
            <a:ext uri="{FF2B5EF4-FFF2-40B4-BE49-F238E27FC236}">
              <a16:creationId xmlns:a16="http://schemas.microsoft.com/office/drawing/2014/main" id="{00000000-0008-0000-0A00-000050020000}"/>
            </a:ext>
          </a:extLst>
        </xdr:cNvPr>
        <xdr:cNvSpPr>
          <a:spLocks noChangeShapeType="1"/>
        </xdr:cNvSpPr>
      </xdr:nvSpPr>
      <xdr:spPr>
        <a:xfrm flipH="1">
          <a:off x="10257790" y="1641919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110153</xdr:colOff>
      <xdr:row>95</xdr:row>
      <xdr:rowOff>51837</xdr:rowOff>
    </xdr:from>
    <xdr:to>
      <xdr:col>21</xdr:col>
      <xdr:colOff>323979</xdr:colOff>
      <xdr:row>97</xdr:row>
      <xdr:rowOff>0</xdr:rowOff>
    </xdr:to>
    <xdr:sp macro="" textlink="">
      <xdr:nvSpPr>
        <xdr:cNvPr id="593" name="Flowchart: Predefined Process 592">
          <a:extLst>
            <a:ext uri="{FF2B5EF4-FFF2-40B4-BE49-F238E27FC236}">
              <a16:creationId xmlns:a16="http://schemas.microsoft.com/office/drawing/2014/main" id="{00000000-0008-0000-0A00-000051020000}"/>
            </a:ext>
          </a:extLst>
        </xdr:cNvPr>
        <xdr:cNvSpPr/>
      </xdr:nvSpPr>
      <xdr:spPr>
        <a:xfrm>
          <a:off x="11158855" y="1619948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136072</xdr:colOff>
      <xdr:row>104</xdr:row>
      <xdr:rowOff>64796</xdr:rowOff>
    </xdr:from>
    <xdr:to>
      <xdr:col>5</xdr:col>
      <xdr:colOff>349898</xdr:colOff>
      <xdr:row>106</xdr:row>
      <xdr:rowOff>12959</xdr:rowOff>
    </xdr:to>
    <xdr:sp macro="" textlink="">
      <xdr:nvSpPr>
        <xdr:cNvPr id="594" name="Flowchart: Predefined Process 593">
          <a:extLst>
            <a:ext uri="{FF2B5EF4-FFF2-40B4-BE49-F238E27FC236}">
              <a16:creationId xmlns:a16="http://schemas.microsoft.com/office/drawing/2014/main" id="{00000000-0008-0000-0A00-000052020000}"/>
            </a:ext>
          </a:extLst>
        </xdr:cNvPr>
        <xdr:cNvSpPr/>
      </xdr:nvSpPr>
      <xdr:spPr>
        <a:xfrm>
          <a:off x="3158490" y="1771777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51837</xdr:colOff>
      <xdr:row>104</xdr:row>
      <xdr:rowOff>1</xdr:rowOff>
    </xdr:from>
    <xdr:to>
      <xdr:col>7</xdr:col>
      <xdr:colOff>318537</xdr:colOff>
      <xdr:row>105</xdr:row>
      <xdr:rowOff>144657</xdr:rowOff>
    </xdr:to>
    <xdr:sp macro="" textlink="">
      <xdr:nvSpPr>
        <xdr:cNvPr id="595" name="Line 327">
          <a:extLst>
            <a:ext uri="{FF2B5EF4-FFF2-40B4-BE49-F238E27FC236}">
              <a16:creationId xmlns:a16="http://schemas.microsoft.com/office/drawing/2014/main" id="{00000000-0008-0000-0A00-000053020000}"/>
            </a:ext>
          </a:extLst>
        </xdr:cNvPr>
        <xdr:cNvSpPr>
          <a:spLocks noChangeShapeType="1"/>
        </xdr:cNvSpPr>
      </xdr:nvSpPr>
      <xdr:spPr>
        <a:xfrm flipH="1">
          <a:off x="4077335" y="176530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74645</xdr:colOff>
      <xdr:row>104</xdr:row>
      <xdr:rowOff>35768</xdr:rowOff>
    </xdr:from>
    <xdr:to>
      <xdr:col>7</xdr:col>
      <xdr:colOff>341345</xdr:colOff>
      <xdr:row>106</xdr:row>
      <xdr:rowOff>11955</xdr:rowOff>
    </xdr:to>
    <xdr:sp macro="" textlink="">
      <xdr:nvSpPr>
        <xdr:cNvPr id="596" name="Line 327">
          <a:extLst>
            <a:ext uri="{FF2B5EF4-FFF2-40B4-BE49-F238E27FC236}">
              <a16:creationId xmlns:a16="http://schemas.microsoft.com/office/drawing/2014/main" id="{00000000-0008-0000-0A00-000054020000}"/>
            </a:ext>
          </a:extLst>
        </xdr:cNvPr>
        <xdr:cNvSpPr>
          <a:spLocks noChangeShapeType="1"/>
        </xdr:cNvSpPr>
      </xdr:nvSpPr>
      <xdr:spPr>
        <a:xfrm flipH="1">
          <a:off x="4100195" y="1768856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246225</xdr:colOff>
      <xdr:row>105</xdr:row>
      <xdr:rowOff>32398</xdr:rowOff>
    </xdr:from>
    <xdr:to>
      <xdr:col>7</xdr:col>
      <xdr:colOff>460051</xdr:colOff>
      <xdr:row>106</xdr:row>
      <xdr:rowOff>149031</xdr:rowOff>
    </xdr:to>
    <xdr:sp macro="" textlink="">
      <xdr:nvSpPr>
        <xdr:cNvPr id="597" name="Flowchart: Predefined Process 596">
          <a:extLst>
            <a:ext uri="{FF2B5EF4-FFF2-40B4-BE49-F238E27FC236}">
              <a16:creationId xmlns:a16="http://schemas.microsoft.com/office/drawing/2014/main" id="{00000000-0008-0000-0A00-000055020000}"/>
            </a:ext>
          </a:extLst>
        </xdr:cNvPr>
        <xdr:cNvSpPr/>
      </xdr:nvSpPr>
      <xdr:spPr>
        <a:xfrm>
          <a:off x="4271645" y="178631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174949</xdr:colOff>
      <xdr:row>105</xdr:row>
      <xdr:rowOff>12959</xdr:rowOff>
    </xdr:from>
    <xdr:to>
      <xdr:col>9</xdr:col>
      <xdr:colOff>388775</xdr:colOff>
      <xdr:row>106</xdr:row>
      <xdr:rowOff>129592</xdr:rowOff>
    </xdr:to>
    <xdr:sp macro="" textlink="">
      <xdr:nvSpPr>
        <xdr:cNvPr id="598" name="Flowchart: Predefined Process 597">
          <a:extLst>
            <a:ext uri="{FF2B5EF4-FFF2-40B4-BE49-F238E27FC236}">
              <a16:creationId xmlns:a16="http://schemas.microsoft.com/office/drawing/2014/main" id="{00000000-0008-0000-0A00-000056020000}"/>
            </a:ext>
          </a:extLst>
        </xdr:cNvPr>
        <xdr:cNvSpPr/>
      </xdr:nvSpPr>
      <xdr:spPr>
        <a:xfrm>
          <a:off x="5203825" y="178435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19439</xdr:colOff>
      <xdr:row>103</xdr:row>
      <xdr:rowOff>155511</xdr:rowOff>
    </xdr:from>
    <xdr:to>
      <xdr:col>17</xdr:col>
      <xdr:colOff>286139</xdr:colOff>
      <xdr:row>105</xdr:row>
      <xdr:rowOff>138177</xdr:rowOff>
    </xdr:to>
    <xdr:sp macro="" textlink="">
      <xdr:nvSpPr>
        <xdr:cNvPr id="599" name="Line 327">
          <a:extLst>
            <a:ext uri="{FF2B5EF4-FFF2-40B4-BE49-F238E27FC236}">
              <a16:creationId xmlns:a16="http://schemas.microsoft.com/office/drawing/2014/main" id="{00000000-0008-0000-0A00-000057020000}"/>
            </a:ext>
          </a:extLst>
        </xdr:cNvPr>
        <xdr:cNvSpPr>
          <a:spLocks noChangeShapeType="1"/>
        </xdr:cNvSpPr>
      </xdr:nvSpPr>
      <xdr:spPr>
        <a:xfrm flipH="1">
          <a:off x="9061450" y="176396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18</xdr:col>
      <xdr:colOff>479489</xdr:colOff>
      <xdr:row>103</xdr:row>
      <xdr:rowOff>142551</xdr:rowOff>
    </xdr:from>
    <xdr:to>
      <xdr:col>19</xdr:col>
      <xdr:colOff>247260</xdr:colOff>
      <xdr:row>105</xdr:row>
      <xdr:rowOff>125217</xdr:rowOff>
    </xdr:to>
    <xdr:sp macro="" textlink="">
      <xdr:nvSpPr>
        <xdr:cNvPr id="600" name="Line 327">
          <a:extLst>
            <a:ext uri="{FF2B5EF4-FFF2-40B4-BE49-F238E27FC236}">
              <a16:creationId xmlns:a16="http://schemas.microsoft.com/office/drawing/2014/main" id="{00000000-0008-0000-0A00-000058020000}"/>
            </a:ext>
          </a:extLst>
        </xdr:cNvPr>
        <xdr:cNvSpPr>
          <a:spLocks noChangeShapeType="1"/>
        </xdr:cNvSpPr>
      </xdr:nvSpPr>
      <xdr:spPr>
        <a:xfrm flipH="1">
          <a:off x="10023475" y="17626965"/>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174949</xdr:colOff>
      <xdr:row>113</xdr:row>
      <xdr:rowOff>51836</xdr:rowOff>
    </xdr:from>
    <xdr:to>
      <xdr:col>7</xdr:col>
      <xdr:colOff>388775</xdr:colOff>
      <xdr:row>115</xdr:row>
      <xdr:rowOff>0</xdr:rowOff>
    </xdr:to>
    <xdr:sp macro="" textlink="">
      <xdr:nvSpPr>
        <xdr:cNvPr id="601" name="Flowchart: Predefined Process 600">
          <a:extLst>
            <a:ext uri="{FF2B5EF4-FFF2-40B4-BE49-F238E27FC236}">
              <a16:creationId xmlns:a16="http://schemas.microsoft.com/office/drawing/2014/main" id="{00000000-0008-0000-0A00-000059020000}"/>
            </a:ext>
          </a:extLst>
        </xdr:cNvPr>
        <xdr:cNvSpPr/>
      </xdr:nvSpPr>
      <xdr:spPr>
        <a:xfrm>
          <a:off x="4200525" y="1920303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9</xdr:col>
      <xdr:colOff>174949</xdr:colOff>
      <xdr:row>113</xdr:row>
      <xdr:rowOff>25919</xdr:rowOff>
    </xdr:from>
    <xdr:to>
      <xdr:col>9</xdr:col>
      <xdr:colOff>388775</xdr:colOff>
      <xdr:row>114</xdr:row>
      <xdr:rowOff>142552</xdr:rowOff>
    </xdr:to>
    <xdr:sp macro="" textlink="">
      <xdr:nvSpPr>
        <xdr:cNvPr id="602" name="Flowchart: Predefined Process 601">
          <a:extLst>
            <a:ext uri="{FF2B5EF4-FFF2-40B4-BE49-F238E27FC236}">
              <a16:creationId xmlns:a16="http://schemas.microsoft.com/office/drawing/2014/main" id="{00000000-0008-0000-0A00-00005A020000}"/>
            </a:ext>
          </a:extLst>
        </xdr:cNvPr>
        <xdr:cNvSpPr/>
      </xdr:nvSpPr>
      <xdr:spPr>
        <a:xfrm>
          <a:off x="5203825" y="19177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11</xdr:col>
      <xdr:colOff>58315</xdr:colOff>
      <xdr:row>113</xdr:row>
      <xdr:rowOff>0</xdr:rowOff>
    </xdr:from>
    <xdr:to>
      <xdr:col>11</xdr:col>
      <xdr:colOff>356377</xdr:colOff>
      <xdr:row>114</xdr:row>
      <xdr:rowOff>131697</xdr:rowOff>
    </xdr:to>
    <xdr:sp macro="" textlink="">
      <xdr:nvSpPr>
        <xdr:cNvPr id="603" name="Line 327">
          <a:extLst>
            <a:ext uri="{FF2B5EF4-FFF2-40B4-BE49-F238E27FC236}">
              <a16:creationId xmlns:a16="http://schemas.microsoft.com/office/drawing/2014/main" id="{00000000-0008-0000-0A00-00005B020000}"/>
            </a:ext>
          </a:extLst>
        </xdr:cNvPr>
        <xdr:cNvSpPr>
          <a:spLocks noChangeShapeType="1"/>
        </xdr:cNvSpPr>
      </xdr:nvSpPr>
      <xdr:spPr>
        <a:xfrm flipH="1">
          <a:off x="6090285" y="19151600"/>
          <a:ext cx="298450" cy="3092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139442</xdr:colOff>
      <xdr:row>113</xdr:row>
      <xdr:rowOff>16327</xdr:rowOff>
    </xdr:from>
    <xdr:to>
      <xdr:col>11</xdr:col>
      <xdr:colOff>406142</xdr:colOff>
      <xdr:row>114</xdr:row>
      <xdr:rowOff>160984</xdr:rowOff>
    </xdr:to>
    <xdr:sp macro="" textlink="">
      <xdr:nvSpPr>
        <xdr:cNvPr id="604" name="Line 327">
          <a:extLst>
            <a:ext uri="{FF2B5EF4-FFF2-40B4-BE49-F238E27FC236}">
              <a16:creationId xmlns:a16="http://schemas.microsoft.com/office/drawing/2014/main" id="{00000000-0008-0000-0A00-00005C020000}"/>
            </a:ext>
          </a:extLst>
        </xdr:cNvPr>
        <xdr:cNvSpPr>
          <a:spLocks noChangeShapeType="1"/>
        </xdr:cNvSpPr>
      </xdr:nvSpPr>
      <xdr:spPr>
        <a:xfrm flipH="1">
          <a:off x="6171565" y="1916747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64796</xdr:colOff>
      <xdr:row>113</xdr:row>
      <xdr:rowOff>12959</xdr:rowOff>
    </xdr:from>
    <xdr:to>
      <xdr:col>15</xdr:col>
      <xdr:colOff>331496</xdr:colOff>
      <xdr:row>114</xdr:row>
      <xdr:rowOff>157616</xdr:rowOff>
    </xdr:to>
    <xdr:sp macro="" textlink="">
      <xdr:nvSpPr>
        <xdr:cNvPr id="605" name="Line 327">
          <a:extLst>
            <a:ext uri="{FF2B5EF4-FFF2-40B4-BE49-F238E27FC236}">
              <a16:creationId xmlns:a16="http://schemas.microsoft.com/office/drawing/2014/main" id="{00000000-0008-0000-0A00-00005D020000}"/>
            </a:ext>
          </a:extLst>
        </xdr:cNvPr>
        <xdr:cNvSpPr>
          <a:spLocks noChangeShapeType="1"/>
        </xdr:cNvSpPr>
      </xdr:nvSpPr>
      <xdr:spPr>
        <a:xfrm flipH="1">
          <a:off x="8103870" y="1916430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15</xdr:col>
      <xdr:colOff>136071</xdr:colOff>
      <xdr:row>113</xdr:row>
      <xdr:rowOff>32398</xdr:rowOff>
    </xdr:from>
    <xdr:to>
      <xdr:col>15</xdr:col>
      <xdr:colOff>402771</xdr:colOff>
      <xdr:row>115</xdr:row>
      <xdr:rowOff>8586</xdr:rowOff>
    </xdr:to>
    <xdr:sp macro="" textlink="">
      <xdr:nvSpPr>
        <xdr:cNvPr id="606" name="Line 327">
          <a:extLst>
            <a:ext uri="{FF2B5EF4-FFF2-40B4-BE49-F238E27FC236}">
              <a16:creationId xmlns:a16="http://schemas.microsoft.com/office/drawing/2014/main" id="{00000000-0008-0000-0A00-00005E020000}"/>
            </a:ext>
          </a:extLst>
        </xdr:cNvPr>
        <xdr:cNvSpPr>
          <a:spLocks noChangeShapeType="1"/>
        </xdr:cNvSpPr>
      </xdr:nvSpPr>
      <xdr:spPr>
        <a:xfrm flipH="1">
          <a:off x="8174990" y="191839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220306</xdr:colOff>
      <xdr:row>114</xdr:row>
      <xdr:rowOff>6479</xdr:rowOff>
    </xdr:from>
    <xdr:to>
      <xdr:col>17</xdr:col>
      <xdr:colOff>434132</xdr:colOff>
      <xdr:row>115</xdr:row>
      <xdr:rowOff>123112</xdr:rowOff>
    </xdr:to>
    <xdr:sp macro="" textlink="">
      <xdr:nvSpPr>
        <xdr:cNvPr id="607" name="Flowchart: Predefined Process 606">
          <a:extLst>
            <a:ext uri="{FF2B5EF4-FFF2-40B4-BE49-F238E27FC236}">
              <a16:creationId xmlns:a16="http://schemas.microsoft.com/office/drawing/2014/main" id="{00000000-0008-0000-0A00-00005F020000}"/>
            </a:ext>
          </a:extLst>
        </xdr:cNvPr>
        <xdr:cNvSpPr/>
      </xdr:nvSpPr>
      <xdr:spPr>
        <a:xfrm>
          <a:off x="9262110" y="193357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110153</xdr:colOff>
      <xdr:row>122</xdr:row>
      <xdr:rowOff>12960</xdr:rowOff>
    </xdr:from>
    <xdr:to>
      <xdr:col>3</xdr:col>
      <xdr:colOff>376853</xdr:colOff>
      <xdr:row>123</xdr:row>
      <xdr:rowOff>167741</xdr:rowOff>
    </xdr:to>
    <xdr:sp macro="" textlink="">
      <xdr:nvSpPr>
        <xdr:cNvPr id="608" name="Line 327">
          <a:extLst>
            <a:ext uri="{FF2B5EF4-FFF2-40B4-BE49-F238E27FC236}">
              <a16:creationId xmlns:a16="http://schemas.microsoft.com/office/drawing/2014/main" id="{00000000-0008-0000-0A00-000060020000}"/>
            </a:ext>
          </a:extLst>
        </xdr:cNvPr>
        <xdr:cNvSpPr>
          <a:spLocks noChangeShapeType="1"/>
        </xdr:cNvSpPr>
      </xdr:nvSpPr>
      <xdr:spPr>
        <a:xfrm flipH="1">
          <a:off x="1894205" y="20662900"/>
          <a:ext cx="266700" cy="33274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168469</xdr:colOff>
      <xdr:row>122</xdr:row>
      <xdr:rowOff>45358</xdr:rowOff>
    </xdr:from>
    <xdr:to>
      <xdr:col>3</xdr:col>
      <xdr:colOff>435169</xdr:colOff>
      <xdr:row>124</xdr:row>
      <xdr:rowOff>21545</xdr:rowOff>
    </xdr:to>
    <xdr:sp macro="" textlink="">
      <xdr:nvSpPr>
        <xdr:cNvPr id="609" name="Line 327">
          <a:extLst>
            <a:ext uri="{FF2B5EF4-FFF2-40B4-BE49-F238E27FC236}">
              <a16:creationId xmlns:a16="http://schemas.microsoft.com/office/drawing/2014/main" id="{00000000-0008-0000-0A00-000061020000}"/>
            </a:ext>
          </a:extLst>
        </xdr:cNvPr>
        <xdr:cNvSpPr>
          <a:spLocks noChangeShapeType="1"/>
        </xdr:cNvSpPr>
      </xdr:nvSpPr>
      <xdr:spPr>
        <a:xfrm flipH="1">
          <a:off x="1952625" y="206952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213827</xdr:colOff>
      <xdr:row>122</xdr:row>
      <xdr:rowOff>64797</xdr:rowOff>
    </xdr:from>
    <xdr:to>
      <xdr:col>3</xdr:col>
      <xdr:colOff>480527</xdr:colOff>
      <xdr:row>124</xdr:row>
      <xdr:rowOff>40984</xdr:rowOff>
    </xdr:to>
    <xdr:sp macro="" textlink="">
      <xdr:nvSpPr>
        <xdr:cNvPr id="610" name="Line 327">
          <a:extLst>
            <a:ext uri="{FF2B5EF4-FFF2-40B4-BE49-F238E27FC236}">
              <a16:creationId xmlns:a16="http://schemas.microsoft.com/office/drawing/2014/main" id="{00000000-0008-0000-0A00-000062020000}"/>
            </a:ext>
          </a:extLst>
        </xdr:cNvPr>
        <xdr:cNvSpPr>
          <a:spLocks noChangeShapeType="1"/>
        </xdr:cNvSpPr>
      </xdr:nvSpPr>
      <xdr:spPr>
        <a:xfrm flipH="1">
          <a:off x="1997710" y="2071497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395255</xdr:colOff>
      <xdr:row>123</xdr:row>
      <xdr:rowOff>25918</xdr:rowOff>
    </xdr:from>
    <xdr:to>
      <xdr:col>3</xdr:col>
      <xdr:colOff>609081</xdr:colOff>
      <xdr:row>124</xdr:row>
      <xdr:rowOff>142551</xdr:rowOff>
    </xdr:to>
    <xdr:sp macro="" textlink="">
      <xdr:nvSpPr>
        <xdr:cNvPr id="611" name="Flowchart: Predefined Process 610">
          <a:extLst>
            <a:ext uri="{FF2B5EF4-FFF2-40B4-BE49-F238E27FC236}">
              <a16:creationId xmlns:a16="http://schemas.microsoft.com/office/drawing/2014/main" id="{00000000-0008-0000-0A00-000063020000}"/>
            </a:ext>
          </a:extLst>
        </xdr:cNvPr>
        <xdr:cNvSpPr/>
      </xdr:nvSpPr>
      <xdr:spPr>
        <a:xfrm>
          <a:off x="2179320" y="208534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77755</xdr:colOff>
      <xdr:row>122</xdr:row>
      <xdr:rowOff>25919</xdr:rowOff>
    </xdr:from>
    <xdr:to>
      <xdr:col>5</xdr:col>
      <xdr:colOff>344455</xdr:colOff>
      <xdr:row>124</xdr:row>
      <xdr:rowOff>12231</xdr:rowOff>
    </xdr:to>
    <xdr:sp macro="" textlink="">
      <xdr:nvSpPr>
        <xdr:cNvPr id="612" name="Line 327">
          <a:extLst>
            <a:ext uri="{FF2B5EF4-FFF2-40B4-BE49-F238E27FC236}">
              <a16:creationId xmlns:a16="http://schemas.microsoft.com/office/drawing/2014/main" id="{00000000-0008-0000-0A00-000064020000}"/>
            </a:ext>
          </a:extLst>
        </xdr:cNvPr>
        <xdr:cNvSpPr>
          <a:spLocks noChangeShapeType="1"/>
        </xdr:cNvSpPr>
      </xdr:nvSpPr>
      <xdr:spPr>
        <a:xfrm flipH="1">
          <a:off x="3100070" y="20675600"/>
          <a:ext cx="266700" cy="34226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187908</xdr:colOff>
      <xdr:row>122</xdr:row>
      <xdr:rowOff>45357</xdr:rowOff>
    </xdr:from>
    <xdr:to>
      <xdr:col>5</xdr:col>
      <xdr:colOff>454608</xdr:colOff>
      <xdr:row>124</xdr:row>
      <xdr:rowOff>21544</xdr:rowOff>
    </xdr:to>
    <xdr:sp macro="" textlink="">
      <xdr:nvSpPr>
        <xdr:cNvPr id="613" name="Line 327">
          <a:extLst>
            <a:ext uri="{FF2B5EF4-FFF2-40B4-BE49-F238E27FC236}">
              <a16:creationId xmlns:a16="http://schemas.microsoft.com/office/drawing/2014/main" id="{00000000-0008-0000-0A00-000065020000}"/>
            </a:ext>
          </a:extLst>
        </xdr:cNvPr>
        <xdr:cNvSpPr>
          <a:spLocks noChangeShapeType="1"/>
        </xdr:cNvSpPr>
      </xdr:nvSpPr>
      <xdr:spPr>
        <a:xfrm flipH="1">
          <a:off x="3209925" y="206952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58317</xdr:colOff>
      <xdr:row>121</xdr:row>
      <xdr:rowOff>155510</xdr:rowOff>
    </xdr:from>
    <xdr:to>
      <xdr:col>9</xdr:col>
      <xdr:colOff>325017</xdr:colOff>
      <xdr:row>123</xdr:row>
      <xdr:rowOff>138176</xdr:rowOff>
    </xdr:to>
    <xdr:sp macro="" textlink="">
      <xdr:nvSpPr>
        <xdr:cNvPr id="614" name="Line 327">
          <a:extLst>
            <a:ext uri="{FF2B5EF4-FFF2-40B4-BE49-F238E27FC236}">
              <a16:creationId xmlns:a16="http://schemas.microsoft.com/office/drawing/2014/main" id="{00000000-0008-0000-0A00-000066020000}"/>
            </a:ext>
          </a:extLst>
        </xdr:cNvPr>
        <xdr:cNvSpPr>
          <a:spLocks noChangeShapeType="1"/>
        </xdr:cNvSpPr>
      </xdr:nvSpPr>
      <xdr:spPr>
        <a:xfrm flipH="1">
          <a:off x="5086985" y="206368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13</xdr:col>
      <xdr:colOff>278622</xdr:colOff>
      <xdr:row>123</xdr:row>
      <xdr:rowOff>51836</xdr:rowOff>
    </xdr:from>
    <xdr:to>
      <xdr:col>13</xdr:col>
      <xdr:colOff>492448</xdr:colOff>
      <xdr:row>125</xdr:row>
      <xdr:rowOff>0</xdr:rowOff>
    </xdr:to>
    <xdr:sp macro="" textlink="">
      <xdr:nvSpPr>
        <xdr:cNvPr id="615" name="Flowchart: Predefined Process 614">
          <a:extLst>
            <a:ext uri="{FF2B5EF4-FFF2-40B4-BE49-F238E27FC236}">
              <a16:creationId xmlns:a16="http://schemas.microsoft.com/office/drawing/2014/main" id="{00000000-0008-0000-0A00-000067020000}"/>
            </a:ext>
          </a:extLst>
        </xdr:cNvPr>
        <xdr:cNvSpPr/>
      </xdr:nvSpPr>
      <xdr:spPr>
        <a:xfrm>
          <a:off x="7313930" y="20879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272143</xdr:colOff>
      <xdr:row>122</xdr:row>
      <xdr:rowOff>103673</xdr:rowOff>
    </xdr:from>
    <xdr:to>
      <xdr:col>15</xdr:col>
      <xdr:colOff>485969</xdr:colOff>
      <xdr:row>124</xdr:row>
      <xdr:rowOff>51836</xdr:rowOff>
    </xdr:to>
    <xdr:sp macro="" textlink="">
      <xdr:nvSpPr>
        <xdr:cNvPr id="616" name="Flowchart: Predefined Process 615">
          <a:extLst>
            <a:ext uri="{FF2B5EF4-FFF2-40B4-BE49-F238E27FC236}">
              <a16:creationId xmlns:a16="http://schemas.microsoft.com/office/drawing/2014/main" id="{00000000-0008-0000-0A00-000068020000}"/>
            </a:ext>
          </a:extLst>
        </xdr:cNvPr>
        <xdr:cNvSpPr/>
      </xdr:nvSpPr>
      <xdr:spPr>
        <a:xfrm>
          <a:off x="8310880" y="2075370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editAs="oneCell">
    <xdr:from>
      <xdr:col>17</xdr:col>
      <xdr:colOff>0</xdr:colOff>
      <xdr:row>123</xdr:row>
      <xdr:rowOff>0</xdr:rowOff>
    </xdr:from>
    <xdr:to>
      <xdr:col>17</xdr:col>
      <xdr:colOff>489404</xdr:colOff>
      <xdr:row>123</xdr:row>
      <xdr:rowOff>86904</xdr:rowOff>
    </xdr:to>
    <xdr:pic>
      <xdr:nvPicPr>
        <xdr:cNvPr id="617" name="Picture 13">
          <a:extLst>
            <a:ext uri="{FF2B5EF4-FFF2-40B4-BE49-F238E27FC236}">
              <a16:creationId xmlns:a16="http://schemas.microsoft.com/office/drawing/2014/main" id="{00000000-0008-0000-0A00-000069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43060" y="2062670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17</xdr:col>
      <xdr:colOff>246224</xdr:colOff>
      <xdr:row>123</xdr:row>
      <xdr:rowOff>51837</xdr:rowOff>
    </xdr:from>
    <xdr:to>
      <xdr:col>17</xdr:col>
      <xdr:colOff>460050</xdr:colOff>
      <xdr:row>125</xdr:row>
      <xdr:rowOff>1</xdr:rowOff>
    </xdr:to>
    <xdr:sp macro="" textlink="">
      <xdr:nvSpPr>
        <xdr:cNvPr id="618" name="Flowchart: Predefined Process 617">
          <a:extLst>
            <a:ext uri="{FF2B5EF4-FFF2-40B4-BE49-F238E27FC236}">
              <a16:creationId xmlns:a16="http://schemas.microsoft.com/office/drawing/2014/main" id="{00000000-0008-0000-0A00-00006A020000}"/>
            </a:ext>
          </a:extLst>
        </xdr:cNvPr>
        <xdr:cNvSpPr/>
      </xdr:nvSpPr>
      <xdr:spPr>
        <a:xfrm>
          <a:off x="9288145" y="20879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0</xdr:colOff>
      <xdr:row>122</xdr:row>
      <xdr:rowOff>0</xdr:rowOff>
    </xdr:from>
    <xdr:to>
      <xdr:col>17</xdr:col>
      <xdr:colOff>266700</xdr:colOff>
      <xdr:row>123</xdr:row>
      <xdr:rowOff>144656</xdr:rowOff>
    </xdr:to>
    <xdr:sp macro="" textlink="">
      <xdr:nvSpPr>
        <xdr:cNvPr id="619" name="Line 327">
          <a:extLst>
            <a:ext uri="{FF2B5EF4-FFF2-40B4-BE49-F238E27FC236}">
              <a16:creationId xmlns:a16="http://schemas.microsoft.com/office/drawing/2014/main" id="{00000000-0008-0000-0A00-00006B020000}"/>
            </a:ext>
          </a:extLst>
        </xdr:cNvPr>
        <xdr:cNvSpPr>
          <a:spLocks noChangeShapeType="1"/>
        </xdr:cNvSpPr>
      </xdr:nvSpPr>
      <xdr:spPr>
        <a:xfrm flipH="1">
          <a:off x="9042400" y="206502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152400</xdr:colOff>
      <xdr:row>122</xdr:row>
      <xdr:rowOff>152400</xdr:rowOff>
    </xdr:from>
    <xdr:to>
      <xdr:col>17</xdr:col>
      <xdr:colOff>419100</xdr:colOff>
      <xdr:row>124</xdr:row>
      <xdr:rowOff>128587</xdr:rowOff>
    </xdr:to>
    <xdr:sp macro="" textlink="">
      <xdr:nvSpPr>
        <xdr:cNvPr id="620" name="Line 327">
          <a:extLst>
            <a:ext uri="{FF2B5EF4-FFF2-40B4-BE49-F238E27FC236}">
              <a16:creationId xmlns:a16="http://schemas.microsoft.com/office/drawing/2014/main" id="{00000000-0008-0000-0A00-00006C020000}"/>
            </a:ext>
          </a:extLst>
        </xdr:cNvPr>
        <xdr:cNvSpPr>
          <a:spLocks noChangeShapeType="1"/>
        </xdr:cNvSpPr>
      </xdr:nvSpPr>
      <xdr:spPr>
        <a:xfrm flipH="1">
          <a:off x="9194800" y="2080260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25919</xdr:colOff>
      <xdr:row>122</xdr:row>
      <xdr:rowOff>38878</xdr:rowOff>
    </xdr:from>
    <xdr:to>
      <xdr:col>19</xdr:col>
      <xdr:colOff>292619</xdr:colOff>
      <xdr:row>124</xdr:row>
      <xdr:rowOff>15066</xdr:rowOff>
    </xdr:to>
    <xdr:sp macro="" textlink="">
      <xdr:nvSpPr>
        <xdr:cNvPr id="621" name="Line 327">
          <a:extLst>
            <a:ext uri="{FF2B5EF4-FFF2-40B4-BE49-F238E27FC236}">
              <a16:creationId xmlns:a16="http://schemas.microsoft.com/office/drawing/2014/main" id="{00000000-0008-0000-0A00-00006D020000}"/>
            </a:ext>
          </a:extLst>
        </xdr:cNvPr>
        <xdr:cNvSpPr>
          <a:spLocks noChangeShapeType="1"/>
        </xdr:cNvSpPr>
      </xdr:nvSpPr>
      <xdr:spPr>
        <a:xfrm flipH="1">
          <a:off x="10071100" y="2068893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45358</xdr:colOff>
      <xdr:row>122</xdr:row>
      <xdr:rowOff>77755</xdr:rowOff>
    </xdr:from>
    <xdr:to>
      <xdr:col>19</xdr:col>
      <xdr:colOff>312058</xdr:colOff>
      <xdr:row>124</xdr:row>
      <xdr:rowOff>53943</xdr:rowOff>
    </xdr:to>
    <xdr:sp macro="" textlink="">
      <xdr:nvSpPr>
        <xdr:cNvPr id="622" name="Line 327">
          <a:extLst>
            <a:ext uri="{FF2B5EF4-FFF2-40B4-BE49-F238E27FC236}">
              <a16:creationId xmlns:a16="http://schemas.microsoft.com/office/drawing/2014/main" id="{00000000-0008-0000-0A00-00006E020000}"/>
            </a:ext>
          </a:extLst>
        </xdr:cNvPr>
        <xdr:cNvSpPr>
          <a:spLocks noChangeShapeType="1"/>
        </xdr:cNvSpPr>
      </xdr:nvSpPr>
      <xdr:spPr>
        <a:xfrm flipH="1">
          <a:off x="10090785" y="2072767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213827</xdr:colOff>
      <xdr:row>132</xdr:row>
      <xdr:rowOff>64796</xdr:rowOff>
    </xdr:from>
    <xdr:to>
      <xdr:col>3</xdr:col>
      <xdr:colOff>427653</xdr:colOff>
      <xdr:row>134</xdr:row>
      <xdr:rowOff>12959</xdr:rowOff>
    </xdr:to>
    <xdr:sp macro="" textlink="">
      <xdr:nvSpPr>
        <xdr:cNvPr id="623" name="Flowchart: Predefined Process 622">
          <a:extLst>
            <a:ext uri="{FF2B5EF4-FFF2-40B4-BE49-F238E27FC236}">
              <a16:creationId xmlns:a16="http://schemas.microsoft.com/office/drawing/2014/main" id="{00000000-0008-0000-0A00-00006F020000}"/>
            </a:ext>
          </a:extLst>
        </xdr:cNvPr>
        <xdr:cNvSpPr/>
      </xdr:nvSpPr>
      <xdr:spPr>
        <a:xfrm>
          <a:off x="1997710" y="22391370"/>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220306</xdr:colOff>
      <xdr:row>132</xdr:row>
      <xdr:rowOff>25918</xdr:rowOff>
    </xdr:from>
    <xdr:to>
      <xdr:col>5</xdr:col>
      <xdr:colOff>434132</xdr:colOff>
      <xdr:row>133</xdr:row>
      <xdr:rowOff>142550</xdr:rowOff>
    </xdr:to>
    <xdr:sp macro="" textlink="">
      <xdr:nvSpPr>
        <xdr:cNvPr id="624" name="Flowchart: Predefined Process 623">
          <a:extLst>
            <a:ext uri="{FF2B5EF4-FFF2-40B4-BE49-F238E27FC236}">
              <a16:creationId xmlns:a16="http://schemas.microsoft.com/office/drawing/2014/main" id="{00000000-0008-0000-0A00-000070020000}"/>
            </a:ext>
          </a:extLst>
        </xdr:cNvPr>
        <xdr:cNvSpPr/>
      </xdr:nvSpPr>
      <xdr:spPr>
        <a:xfrm>
          <a:off x="3242310" y="22352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97194</xdr:colOff>
      <xdr:row>132</xdr:row>
      <xdr:rowOff>58317</xdr:rowOff>
    </xdr:from>
    <xdr:to>
      <xdr:col>7</xdr:col>
      <xdr:colOff>311020</xdr:colOff>
      <xdr:row>134</xdr:row>
      <xdr:rowOff>6480</xdr:rowOff>
    </xdr:to>
    <xdr:sp macro="" textlink="">
      <xdr:nvSpPr>
        <xdr:cNvPr id="625" name="Flowchart: Predefined Process 624">
          <a:extLst>
            <a:ext uri="{FF2B5EF4-FFF2-40B4-BE49-F238E27FC236}">
              <a16:creationId xmlns:a16="http://schemas.microsoft.com/office/drawing/2014/main" id="{00000000-0008-0000-0A00-000071020000}"/>
            </a:ext>
          </a:extLst>
        </xdr:cNvPr>
        <xdr:cNvSpPr/>
      </xdr:nvSpPr>
      <xdr:spPr>
        <a:xfrm>
          <a:off x="4123055" y="2238438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246225</xdr:colOff>
      <xdr:row>132</xdr:row>
      <xdr:rowOff>19439</xdr:rowOff>
    </xdr:from>
    <xdr:to>
      <xdr:col>13</xdr:col>
      <xdr:colOff>460051</xdr:colOff>
      <xdr:row>133</xdr:row>
      <xdr:rowOff>136071</xdr:rowOff>
    </xdr:to>
    <xdr:sp macro="" textlink="">
      <xdr:nvSpPr>
        <xdr:cNvPr id="626" name="Flowchart: Predefined Process 625">
          <a:extLst>
            <a:ext uri="{FF2B5EF4-FFF2-40B4-BE49-F238E27FC236}">
              <a16:creationId xmlns:a16="http://schemas.microsoft.com/office/drawing/2014/main" id="{00000000-0008-0000-0A00-000072020000}"/>
            </a:ext>
          </a:extLst>
        </xdr:cNvPr>
        <xdr:cNvSpPr/>
      </xdr:nvSpPr>
      <xdr:spPr>
        <a:xfrm>
          <a:off x="7281545" y="2234565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3</a:t>
          </a:r>
        </a:p>
      </xdr:txBody>
    </xdr:sp>
    <xdr:clientData/>
  </xdr:twoCellAnchor>
  <xdr:twoCellAnchor>
    <xdr:from>
      <xdr:col>13</xdr:col>
      <xdr:colOff>0</xdr:colOff>
      <xdr:row>131</xdr:row>
      <xdr:rowOff>0</xdr:rowOff>
    </xdr:from>
    <xdr:to>
      <xdr:col>13</xdr:col>
      <xdr:colOff>266700</xdr:colOff>
      <xdr:row>132</xdr:row>
      <xdr:rowOff>154193</xdr:rowOff>
    </xdr:to>
    <xdr:sp macro="" textlink="">
      <xdr:nvSpPr>
        <xdr:cNvPr id="627" name="Line 327">
          <a:extLst>
            <a:ext uri="{FF2B5EF4-FFF2-40B4-BE49-F238E27FC236}">
              <a16:creationId xmlns:a16="http://schemas.microsoft.com/office/drawing/2014/main" id="{00000000-0008-0000-0A00-000073020000}"/>
            </a:ext>
          </a:extLst>
        </xdr:cNvPr>
        <xdr:cNvSpPr>
          <a:spLocks noChangeShapeType="1"/>
        </xdr:cNvSpPr>
      </xdr:nvSpPr>
      <xdr:spPr>
        <a:xfrm flipH="1">
          <a:off x="7035800" y="2214880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64796</xdr:colOff>
      <xdr:row>139</xdr:row>
      <xdr:rowOff>6479</xdr:rowOff>
    </xdr:from>
    <xdr:to>
      <xdr:col>3</xdr:col>
      <xdr:colOff>331496</xdr:colOff>
      <xdr:row>140</xdr:row>
      <xdr:rowOff>160672</xdr:rowOff>
    </xdr:to>
    <xdr:sp macro="" textlink="">
      <xdr:nvSpPr>
        <xdr:cNvPr id="628" name="Line 327">
          <a:extLst>
            <a:ext uri="{FF2B5EF4-FFF2-40B4-BE49-F238E27FC236}">
              <a16:creationId xmlns:a16="http://schemas.microsoft.com/office/drawing/2014/main" id="{00000000-0008-0000-0A00-000074020000}"/>
            </a:ext>
          </a:extLst>
        </xdr:cNvPr>
        <xdr:cNvSpPr>
          <a:spLocks noChangeShapeType="1"/>
        </xdr:cNvSpPr>
      </xdr:nvSpPr>
      <xdr:spPr>
        <a:xfrm flipH="1">
          <a:off x="1849120" y="234950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100562</xdr:colOff>
      <xdr:row>139</xdr:row>
      <xdr:rowOff>64796</xdr:rowOff>
    </xdr:from>
    <xdr:to>
      <xdr:col>3</xdr:col>
      <xdr:colOff>375815</xdr:colOff>
      <xdr:row>141</xdr:row>
      <xdr:rowOff>27969</xdr:rowOff>
    </xdr:to>
    <xdr:sp macro="" textlink="">
      <xdr:nvSpPr>
        <xdr:cNvPr id="629" name="Line 327">
          <a:extLst>
            <a:ext uri="{FF2B5EF4-FFF2-40B4-BE49-F238E27FC236}">
              <a16:creationId xmlns:a16="http://schemas.microsoft.com/office/drawing/2014/main" id="{00000000-0008-0000-0A00-000075020000}"/>
            </a:ext>
          </a:extLst>
        </xdr:cNvPr>
        <xdr:cNvSpPr>
          <a:spLocks noChangeShapeType="1"/>
        </xdr:cNvSpPr>
      </xdr:nvSpPr>
      <xdr:spPr>
        <a:xfrm flipH="1">
          <a:off x="1884680" y="23553420"/>
          <a:ext cx="274955" cy="3187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187908</xdr:colOff>
      <xdr:row>139</xdr:row>
      <xdr:rowOff>110152</xdr:rowOff>
    </xdr:from>
    <xdr:to>
      <xdr:col>3</xdr:col>
      <xdr:colOff>454608</xdr:colOff>
      <xdr:row>141</xdr:row>
      <xdr:rowOff>86340</xdr:rowOff>
    </xdr:to>
    <xdr:sp macro="" textlink="">
      <xdr:nvSpPr>
        <xdr:cNvPr id="630" name="Line 327">
          <a:extLst>
            <a:ext uri="{FF2B5EF4-FFF2-40B4-BE49-F238E27FC236}">
              <a16:creationId xmlns:a16="http://schemas.microsoft.com/office/drawing/2014/main" id="{00000000-0008-0000-0A00-000076020000}"/>
            </a:ext>
          </a:extLst>
        </xdr:cNvPr>
        <xdr:cNvSpPr>
          <a:spLocks noChangeShapeType="1"/>
        </xdr:cNvSpPr>
      </xdr:nvSpPr>
      <xdr:spPr>
        <a:xfrm flipH="1">
          <a:off x="1971675" y="2359850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421174</xdr:colOff>
      <xdr:row>140</xdr:row>
      <xdr:rowOff>38878</xdr:rowOff>
    </xdr:from>
    <xdr:to>
      <xdr:col>3</xdr:col>
      <xdr:colOff>635000</xdr:colOff>
      <xdr:row>141</xdr:row>
      <xdr:rowOff>155510</xdr:rowOff>
    </xdr:to>
    <xdr:sp macro="" textlink="">
      <xdr:nvSpPr>
        <xdr:cNvPr id="631" name="Flowchart: Predefined Process 630">
          <a:extLst>
            <a:ext uri="{FF2B5EF4-FFF2-40B4-BE49-F238E27FC236}">
              <a16:creationId xmlns:a16="http://schemas.microsoft.com/office/drawing/2014/main" id="{00000000-0008-0000-0A00-000077020000}"/>
            </a:ext>
          </a:extLst>
        </xdr:cNvPr>
        <xdr:cNvSpPr/>
      </xdr:nvSpPr>
      <xdr:spPr>
        <a:xfrm>
          <a:off x="2205355" y="237051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38878</xdr:colOff>
      <xdr:row>139</xdr:row>
      <xdr:rowOff>25918</xdr:rowOff>
    </xdr:from>
    <xdr:to>
      <xdr:col>5</xdr:col>
      <xdr:colOff>305578</xdr:colOff>
      <xdr:row>141</xdr:row>
      <xdr:rowOff>2106</xdr:rowOff>
    </xdr:to>
    <xdr:sp macro="" textlink="">
      <xdr:nvSpPr>
        <xdr:cNvPr id="632" name="Line 327">
          <a:extLst>
            <a:ext uri="{FF2B5EF4-FFF2-40B4-BE49-F238E27FC236}">
              <a16:creationId xmlns:a16="http://schemas.microsoft.com/office/drawing/2014/main" id="{00000000-0008-0000-0A00-000078020000}"/>
            </a:ext>
          </a:extLst>
        </xdr:cNvPr>
        <xdr:cNvSpPr>
          <a:spLocks noChangeShapeType="1"/>
        </xdr:cNvSpPr>
      </xdr:nvSpPr>
      <xdr:spPr>
        <a:xfrm flipH="1">
          <a:off x="3061335" y="2351405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35768</xdr:colOff>
      <xdr:row>139</xdr:row>
      <xdr:rowOff>74644</xdr:rowOff>
    </xdr:from>
    <xdr:to>
      <xdr:col>5</xdr:col>
      <xdr:colOff>302468</xdr:colOff>
      <xdr:row>141</xdr:row>
      <xdr:rowOff>50832</xdr:rowOff>
    </xdr:to>
    <xdr:sp macro="" textlink="">
      <xdr:nvSpPr>
        <xdr:cNvPr id="633" name="Line 327">
          <a:extLst>
            <a:ext uri="{FF2B5EF4-FFF2-40B4-BE49-F238E27FC236}">
              <a16:creationId xmlns:a16="http://schemas.microsoft.com/office/drawing/2014/main" id="{00000000-0008-0000-0A00-000079020000}"/>
            </a:ext>
          </a:extLst>
        </xdr:cNvPr>
        <xdr:cNvSpPr>
          <a:spLocks noChangeShapeType="1"/>
        </xdr:cNvSpPr>
      </xdr:nvSpPr>
      <xdr:spPr>
        <a:xfrm flipH="1">
          <a:off x="3058160" y="2356294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149030</xdr:colOff>
      <xdr:row>140</xdr:row>
      <xdr:rowOff>0</xdr:rowOff>
    </xdr:from>
    <xdr:to>
      <xdr:col>9</xdr:col>
      <xdr:colOff>415730</xdr:colOff>
      <xdr:row>141</xdr:row>
      <xdr:rowOff>144657</xdr:rowOff>
    </xdr:to>
    <xdr:sp macro="" textlink="">
      <xdr:nvSpPr>
        <xdr:cNvPr id="634" name="Line 327">
          <a:extLst>
            <a:ext uri="{FF2B5EF4-FFF2-40B4-BE49-F238E27FC236}">
              <a16:creationId xmlns:a16="http://schemas.microsoft.com/office/drawing/2014/main" id="{00000000-0008-0000-0A00-00007A020000}"/>
            </a:ext>
          </a:extLst>
        </xdr:cNvPr>
        <xdr:cNvSpPr>
          <a:spLocks noChangeShapeType="1"/>
        </xdr:cNvSpPr>
      </xdr:nvSpPr>
      <xdr:spPr>
        <a:xfrm flipH="1">
          <a:off x="5177790" y="236664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12959</xdr:colOff>
      <xdr:row>138</xdr:row>
      <xdr:rowOff>149031</xdr:rowOff>
    </xdr:from>
    <xdr:to>
      <xdr:col>15</xdr:col>
      <xdr:colOff>279659</xdr:colOff>
      <xdr:row>140</xdr:row>
      <xdr:rowOff>131699</xdr:rowOff>
    </xdr:to>
    <xdr:sp macro="" textlink="">
      <xdr:nvSpPr>
        <xdr:cNvPr id="635" name="Line 327">
          <a:extLst>
            <a:ext uri="{FF2B5EF4-FFF2-40B4-BE49-F238E27FC236}">
              <a16:creationId xmlns:a16="http://schemas.microsoft.com/office/drawing/2014/main" id="{00000000-0008-0000-0A00-00007B020000}"/>
            </a:ext>
          </a:extLst>
        </xdr:cNvPr>
        <xdr:cNvSpPr>
          <a:spLocks noChangeShapeType="1"/>
        </xdr:cNvSpPr>
      </xdr:nvSpPr>
      <xdr:spPr>
        <a:xfrm flipH="1">
          <a:off x="8051800" y="2346896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265663</xdr:colOff>
      <xdr:row>140</xdr:row>
      <xdr:rowOff>12959</xdr:rowOff>
    </xdr:from>
    <xdr:to>
      <xdr:col>15</xdr:col>
      <xdr:colOff>479489</xdr:colOff>
      <xdr:row>141</xdr:row>
      <xdr:rowOff>129591</xdr:rowOff>
    </xdr:to>
    <xdr:sp macro="" textlink="">
      <xdr:nvSpPr>
        <xdr:cNvPr id="636" name="Flowchart: Predefined Process 635">
          <a:extLst>
            <a:ext uri="{FF2B5EF4-FFF2-40B4-BE49-F238E27FC236}">
              <a16:creationId xmlns:a16="http://schemas.microsoft.com/office/drawing/2014/main" id="{00000000-0008-0000-0A00-00007C020000}"/>
            </a:ext>
          </a:extLst>
        </xdr:cNvPr>
        <xdr:cNvSpPr/>
      </xdr:nvSpPr>
      <xdr:spPr>
        <a:xfrm>
          <a:off x="8304530" y="2367915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213826</xdr:colOff>
      <xdr:row>140</xdr:row>
      <xdr:rowOff>51837</xdr:rowOff>
    </xdr:from>
    <xdr:to>
      <xdr:col>17</xdr:col>
      <xdr:colOff>427652</xdr:colOff>
      <xdr:row>142</xdr:row>
      <xdr:rowOff>0</xdr:rowOff>
    </xdr:to>
    <xdr:sp macro="" textlink="">
      <xdr:nvSpPr>
        <xdr:cNvPr id="637" name="Flowchart: Predefined Process 636">
          <a:extLst>
            <a:ext uri="{FF2B5EF4-FFF2-40B4-BE49-F238E27FC236}">
              <a16:creationId xmlns:a16="http://schemas.microsoft.com/office/drawing/2014/main" id="{00000000-0008-0000-0A00-00007D020000}"/>
            </a:ext>
          </a:extLst>
        </xdr:cNvPr>
        <xdr:cNvSpPr/>
      </xdr:nvSpPr>
      <xdr:spPr>
        <a:xfrm>
          <a:off x="9255760" y="2371788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246224</xdr:colOff>
      <xdr:row>147</xdr:row>
      <xdr:rowOff>97194</xdr:rowOff>
    </xdr:from>
    <xdr:to>
      <xdr:col>5</xdr:col>
      <xdr:colOff>460050</xdr:colOff>
      <xdr:row>149</xdr:row>
      <xdr:rowOff>45357</xdr:rowOff>
    </xdr:to>
    <xdr:sp macro="" textlink="">
      <xdr:nvSpPr>
        <xdr:cNvPr id="638" name="Flowchart: Predefined Process 637">
          <a:extLst>
            <a:ext uri="{FF2B5EF4-FFF2-40B4-BE49-F238E27FC236}">
              <a16:creationId xmlns:a16="http://schemas.microsoft.com/office/drawing/2014/main" id="{00000000-0008-0000-0A00-00007E020000}"/>
            </a:ext>
          </a:extLst>
        </xdr:cNvPr>
        <xdr:cNvSpPr/>
      </xdr:nvSpPr>
      <xdr:spPr>
        <a:xfrm>
          <a:off x="3268345" y="2492565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32398</xdr:colOff>
      <xdr:row>139</xdr:row>
      <xdr:rowOff>6479</xdr:rowOff>
    </xdr:from>
    <xdr:to>
      <xdr:col>21</xdr:col>
      <xdr:colOff>299098</xdr:colOff>
      <xdr:row>140</xdr:row>
      <xdr:rowOff>160671</xdr:rowOff>
    </xdr:to>
    <xdr:sp macro="" textlink="">
      <xdr:nvSpPr>
        <xdr:cNvPr id="639" name="Line 327">
          <a:extLst>
            <a:ext uri="{FF2B5EF4-FFF2-40B4-BE49-F238E27FC236}">
              <a16:creationId xmlns:a16="http://schemas.microsoft.com/office/drawing/2014/main" id="{00000000-0008-0000-0A00-00007F020000}"/>
            </a:ext>
          </a:extLst>
        </xdr:cNvPr>
        <xdr:cNvSpPr>
          <a:spLocks noChangeShapeType="1"/>
        </xdr:cNvSpPr>
      </xdr:nvSpPr>
      <xdr:spPr>
        <a:xfrm flipH="1">
          <a:off x="11081385" y="234950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142551</xdr:colOff>
      <xdr:row>147</xdr:row>
      <xdr:rowOff>38877</xdr:rowOff>
    </xdr:from>
    <xdr:to>
      <xdr:col>9</xdr:col>
      <xdr:colOff>356377</xdr:colOff>
      <xdr:row>148</xdr:row>
      <xdr:rowOff>155510</xdr:rowOff>
    </xdr:to>
    <xdr:sp macro="" textlink="">
      <xdr:nvSpPr>
        <xdr:cNvPr id="640" name="Flowchart: Predefined Process 639">
          <a:extLst>
            <a:ext uri="{FF2B5EF4-FFF2-40B4-BE49-F238E27FC236}">
              <a16:creationId xmlns:a16="http://schemas.microsoft.com/office/drawing/2014/main" id="{00000000-0008-0000-0A00-000080020000}"/>
            </a:ext>
          </a:extLst>
        </xdr:cNvPr>
        <xdr:cNvSpPr/>
      </xdr:nvSpPr>
      <xdr:spPr>
        <a:xfrm>
          <a:off x="5171440" y="2486723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84235</xdr:colOff>
      <xdr:row>155</xdr:row>
      <xdr:rowOff>84235</xdr:rowOff>
    </xdr:from>
    <xdr:to>
      <xdr:col>7</xdr:col>
      <xdr:colOff>298061</xdr:colOff>
      <xdr:row>157</xdr:row>
      <xdr:rowOff>32398</xdr:rowOff>
    </xdr:to>
    <xdr:sp macro="" textlink="">
      <xdr:nvSpPr>
        <xdr:cNvPr id="641" name="Flowchart: Predefined Process 640">
          <a:extLst>
            <a:ext uri="{FF2B5EF4-FFF2-40B4-BE49-F238E27FC236}">
              <a16:creationId xmlns:a16="http://schemas.microsoft.com/office/drawing/2014/main" id="{00000000-0008-0000-0A00-000081020000}"/>
            </a:ext>
          </a:extLst>
        </xdr:cNvPr>
        <xdr:cNvSpPr/>
      </xdr:nvSpPr>
      <xdr:spPr>
        <a:xfrm>
          <a:off x="4109720" y="2625217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265663</xdr:colOff>
      <xdr:row>78</xdr:row>
      <xdr:rowOff>32398</xdr:rowOff>
    </xdr:from>
    <xdr:to>
      <xdr:col>9</xdr:col>
      <xdr:colOff>434132</xdr:colOff>
      <xdr:row>79</xdr:row>
      <xdr:rowOff>19439</xdr:rowOff>
    </xdr:to>
    <xdr:sp macro="" textlink="">
      <xdr:nvSpPr>
        <xdr:cNvPr id="685" name="Rectangle: Top Corners Snipped 684">
          <a:extLst>
            <a:ext uri="{FF2B5EF4-FFF2-40B4-BE49-F238E27FC236}">
              <a16:creationId xmlns:a16="http://schemas.microsoft.com/office/drawing/2014/main" id="{00000000-0008-0000-0A00-0000AD020000}"/>
            </a:ext>
          </a:extLst>
        </xdr:cNvPr>
        <xdr:cNvSpPr/>
      </xdr:nvSpPr>
      <xdr:spPr>
        <a:xfrm>
          <a:off x="5294630" y="13354685"/>
          <a:ext cx="168275"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427653</xdr:colOff>
      <xdr:row>87</xdr:row>
      <xdr:rowOff>32398</xdr:rowOff>
    </xdr:from>
    <xdr:to>
      <xdr:col>21</xdr:col>
      <xdr:colOff>596122</xdr:colOff>
      <xdr:row>88</xdr:row>
      <xdr:rowOff>19439</xdr:rowOff>
    </xdr:to>
    <xdr:sp macro="" textlink="">
      <xdr:nvSpPr>
        <xdr:cNvPr id="686" name="Rectangle: Top Corners Snipped 685">
          <a:extLst>
            <a:ext uri="{FF2B5EF4-FFF2-40B4-BE49-F238E27FC236}">
              <a16:creationId xmlns:a16="http://schemas.microsoft.com/office/drawing/2014/main" id="{00000000-0008-0000-0A00-0000AE020000}"/>
            </a:ext>
          </a:extLst>
        </xdr:cNvPr>
        <xdr:cNvSpPr/>
      </xdr:nvSpPr>
      <xdr:spPr>
        <a:xfrm>
          <a:off x="11476355" y="14859635"/>
          <a:ext cx="168275"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2</a:t>
          </a:r>
        </a:p>
      </xdr:txBody>
    </xdr:sp>
    <xdr:clientData/>
  </xdr:twoCellAnchor>
  <xdr:twoCellAnchor>
    <xdr:from>
      <xdr:col>7</xdr:col>
      <xdr:colOff>311021</xdr:colOff>
      <xdr:row>96</xdr:row>
      <xdr:rowOff>36439</xdr:rowOff>
    </xdr:from>
    <xdr:to>
      <xdr:col>7</xdr:col>
      <xdr:colOff>479490</xdr:colOff>
      <xdr:row>97</xdr:row>
      <xdr:rowOff>23480</xdr:rowOff>
    </xdr:to>
    <xdr:sp macro="" textlink="">
      <xdr:nvSpPr>
        <xdr:cNvPr id="687" name="Rectangle: Top Corners Snipped 686">
          <a:extLst>
            <a:ext uri="{FF2B5EF4-FFF2-40B4-BE49-F238E27FC236}">
              <a16:creationId xmlns:a16="http://schemas.microsoft.com/office/drawing/2014/main" id="{00000000-0008-0000-0A00-0000AF020000}"/>
            </a:ext>
          </a:extLst>
        </xdr:cNvPr>
        <xdr:cNvSpPr/>
      </xdr:nvSpPr>
      <xdr:spPr>
        <a:xfrm>
          <a:off x="4336415" y="16362045"/>
          <a:ext cx="168910"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285102</xdr:colOff>
      <xdr:row>140</xdr:row>
      <xdr:rowOff>71276</xdr:rowOff>
    </xdr:from>
    <xdr:to>
      <xdr:col>5</xdr:col>
      <xdr:colOff>453571</xdr:colOff>
      <xdr:row>141</xdr:row>
      <xdr:rowOff>58316</xdr:rowOff>
    </xdr:to>
    <xdr:sp macro="" textlink="">
      <xdr:nvSpPr>
        <xdr:cNvPr id="688" name="Rectangle: Top Corners Snipped 687">
          <a:extLst>
            <a:ext uri="{FF2B5EF4-FFF2-40B4-BE49-F238E27FC236}">
              <a16:creationId xmlns:a16="http://schemas.microsoft.com/office/drawing/2014/main" id="{00000000-0008-0000-0A00-0000B0020000}"/>
            </a:ext>
          </a:extLst>
        </xdr:cNvPr>
        <xdr:cNvSpPr/>
      </xdr:nvSpPr>
      <xdr:spPr>
        <a:xfrm>
          <a:off x="3307080" y="23737570"/>
          <a:ext cx="168910"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220306</xdr:colOff>
      <xdr:row>441</xdr:row>
      <xdr:rowOff>0</xdr:rowOff>
    </xdr:from>
    <xdr:to>
      <xdr:col>1</xdr:col>
      <xdr:colOff>388775</xdr:colOff>
      <xdr:row>441</xdr:row>
      <xdr:rowOff>155510</xdr:rowOff>
    </xdr:to>
    <xdr:sp macro="" textlink="">
      <xdr:nvSpPr>
        <xdr:cNvPr id="689" name="Rectangle: Top Corners Snipped 688">
          <a:extLst>
            <a:ext uri="{FF2B5EF4-FFF2-40B4-BE49-F238E27FC236}">
              <a16:creationId xmlns:a16="http://schemas.microsoft.com/office/drawing/2014/main" id="{00000000-0008-0000-0A00-0000B1020000}"/>
            </a:ext>
          </a:extLst>
        </xdr:cNvPr>
        <xdr:cNvSpPr/>
      </xdr:nvSpPr>
      <xdr:spPr>
        <a:xfrm>
          <a:off x="861060" y="7412037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239745</xdr:colOff>
      <xdr:row>442</xdr:row>
      <xdr:rowOff>129592</xdr:rowOff>
    </xdr:from>
    <xdr:to>
      <xdr:col>1</xdr:col>
      <xdr:colOff>356378</xdr:colOff>
      <xdr:row>444</xdr:row>
      <xdr:rowOff>19439</xdr:rowOff>
    </xdr:to>
    <xdr:sp macro="" textlink="">
      <xdr:nvSpPr>
        <xdr:cNvPr id="690" name="Isosceles Triangle 689">
          <a:extLst>
            <a:ext uri="{FF2B5EF4-FFF2-40B4-BE49-F238E27FC236}">
              <a16:creationId xmlns:a16="http://schemas.microsoft.com/office/drawing/2014/main" id="{00000000-0008-0000-0A00-0000B2020000}"/>
            </a:ext>
          </a:extLst>
        </xdr:cNvPr>
        <xdr:cNvSpPr/>
      </xdr:nvSpPr>
      <xdr:spPr>
        <a:xfrm>
          <a:off x="880745" y="74427715"/>
          <a:ext cx="116840" cy="216535"/>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145911</xdr:colOff>
      <xdr:row>19</xdr:row>
      <xdr:rowOff>22807</xdr:rowOff>
    </xdr:from>
    <xdr:to>
      <xdr:col>3</xdr:col>
      <xdr:colOff>412611</xdr:colOff>
      <xdr:row>21</xdr:row>
      <xdr:rowOff>9848</xdr:rowOff>
    </xdr:to>
    <xdr:sp macro="" textlink="">
      <xdr:nvSpPr>
        <xdr:cNvPr id="691" name="Line 327">
          <a:extLst>
            <a:ext uri="{FF2B5EF4-FFF2-40B4-BE49-F238E27FC236}">
              <a16:creationId xmlns:a16="http://schemas.microsoft.com/office/drawing/2014/main" id="{00000000-0008-0000-0A00-0000B3020000}"/>
            </a:ext>
          </a:extLst>
        </xdr:cNvPr>
        <xdr:cNvSpPr>
          <a:spLocks noChangeShapeType="1"/>
        </xdr:cNvSpPr>
      </xdr:nvSpPr>
      <xdr:spPr>
        <a:xfrm flipH="1">
          <a:off x="1929765" y="345440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19</xdr:col>
      <xdr:colOff>58316</xdr:colOff>
      <xdr:row>43</xdr:row>
      <xdr:rowOff>25919</xdr:rowOff>
    </xdr:from>
    <xdr:to>
      <xdr:col>19</xdr:col>
      <xdr:colOff>325016</xdr:colOff>
      <xdr:row>45</xdr:row>
      <xdr:rowOff>12960</xdr:rowOff>
    </xdr:to>
    <xdr:sp macro="" textlink="">
      <xdr:nvSpPr>
        <xdr:cNvPr id="692" name="Line 327">
          <a:extLst>
            <a:ext uri="{FF2B5EF4-FFF2-40B4-BE49-F238E27FC236}">
              <a16:creationId xmlns:a16="http://schemas.microsoft.com/office/drawing/2014/main" id="{00000000-0008-0000-0A00-0000B4020000}"/>
            </a:ext>
          </a:extLst>
        </xdr:cNvPr>
        <xdr:cNvSpPr>
          <a:spLocks noChangeShapeType="1"/>
        </xdr:cNvSpPr>
      </xdr:nvSpPr>
      <xdr:spPr>
        <a:xfrm flipH="1">
          <a:off x="10103485" y="748347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21</xdr:col>
      <xdr:colOff>71276</xdr:colOff>
      <xdr:row>43</xdr:row>
      <xdr:rowOff>0</xdr:rowOff>
    </xdr:from>
    <xdr:to>
      <xdr:col>21</xdr:col>
      <xdr:colOff>337976</xdr:colOff>
      <xdr:row>44</xdr:row>
      <xdr:rowOff>155510</xdr:rowOff>
    </xdr:to>
    <xdr:sp macro="" textlink="">
      <xdr:nvSpPr>
        <xdr:cNvPr id="693" name="Line 327">
          <a:extLst>
            <a:ext uri="{FF2B5EF4-FFF2-40B4-BE49-F238E27FC236}">
              <a16:creationId xmlns:a16="http://schemas.microsoft.com/office/drawing/2014/main" id="{00000000-0008-0000-0A00-0000B5020000}"/>
            </a:ext>
          </a:extLst>
        </xdr:cNvPr>
        <xdr:cNvSpPr>
          <a:spLocks noChangeShapeType="1"/>
        </xdr:cNvSpPr>
      </xdr:nvSpPr>
      <xdr:spPr>
        <a:xfrm flipH="1">
          <a:off x="11120120" y="7458075"/>
          <a:ext cx="266700" cy="33274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editAs="oneCell">
    <xdr:from>
      <xdr:col>21</xdr:col>
      <xdr:colOff>116632</xdr:colOff>
      <xdr:row>43</xdr:row>
      <xdr:rowOff>155511</xdr:rowOff>
    </xdr:from>
    <xdr:to>
      <xdr:col>21</xdr:col>
      <xdr:colOff>606036</xdr:colOff>
      <xdr:row>44</xdr:row>
      <xdr:rowOff>61243</xdr:rowOff>
    </xdr:to>
    <xdr:pic>
      <xdr:nvPicPr>
        <xdr:cNvPr id="694" name="Picture 13">
          <a:extLst>
            <a:ext uri="{FF2B5EF4-FFF2-40B4-BE49-F238E27FC236}">
              <a16:creationId xmlns:a16="http://schemas.microsoft.com/office/drawing/2014/main" id="{00000000-0008-0000-0A00-0000B6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1368405" y="7410450"/>
          <a:ext cx="83185" cy="4895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134079</xdr:colOff>
      <xdr:row>51</xdr:row>
      <xdr:rowOff>109959</xdr:rowOff>
    </xdr:from>
    <xdr:to>
      <xdr:col>5</xdr:col>
      <xdr:colOff>400779</xdr:colOff>
      <xdr:row>53</xdr:row>
      <xdr:rowOff>97000</xdr:rowOff>
    </xdr:to>
    <xdr:sp macro="" textlink="">
      <xdr:nvSpPr>
        <xdr:cNvPr id="695" name="Line 327">
          <a:extLst>
            <a:ext uri="{FF2B5EF4-FFF2-40B4-BE49-F238E27FC236}">
              <a16:creationId xmlns:a16="http://schemas.microsoft.com/office/drawing/2014/main" id="{00000000-0008-0000-0A00-0000B7020000}"/>
            </a:ext>
          </a:extLst>
        </xdr:cNvPr>
        <xdr:cNvSpPr>
          <a:spLocks noChangeShapeType="1"/>
        </xdr:cNvSpPr>
      </xdr:nvSpPr>
      <xdr:spPr>
        <a:xfrm flipH="1">
          <a:off x="3156585" y="8907780"/>
          <a:ext cx="266700" cy="34226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5</xdr:col>
      <xdr:colOff>66173</xdr:colOff>
      <xdr:row>51</xdr:row>
      <xdr:rowOff>35573</xdr:rowOff>
    </xdr:from>
    <xdr:to>
      <xdr:col>5</xdr:col>
      <xdr:colOff>332873</xdr:colOff>
      <xdr:row>53</xdr:row>
      <xdr:rowOff>22614</xdr:rowOff>
    </xdr:to>
    <xdr:sp macro="" textlink="">
      <xdr:nvSpPr>
        <xdr:cNvPr id="696" name="Line 327">
          <a:extLst>
            <a:ext uri="{FF2B5EF4-FFF2-40B4-BE49-F238E27FC236}">
              <a16:creationId xmlns:a16="http://schemas.microsoft.com/office/drawing/2014/main" id="{00000000-0008-0000-0A00-0000B8020000}"/>
            </a:ext>
          </a:extLst>
        </xdr:cNvPr>
        <xdr:cNvSpPr>
          <a:spLocks noChangeShapeType="1"/>
        </xdr:cNvSpPr>
      </xdr:nvSpPr>
      <xdr:spPr>
        <a:xfrm flipH="1">
          <a:off x="3088640" y="8833485"/>
          <a:ext cx="266700" cy="34226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7</xdr:col>
      <xdr:colOff>97193</xdr:colOff>
      <xdr:row>51</xdr:row>
      <xdr:rowOff>19439</xdr:rowOff>
    </xdr:from>
    <xdr:to>
      <xdr:col>7</xdr:col>
      <xdr:colOff>363893</xdr:colOff>
      <xdr:row>53</xdr:row>
      <xdr:rowOff>6480</xdr:rowOff>
    </xdr:to>
    <xdr:sp macro="" textlink="">
      <xdr:nvSpPr>
        <xdr:cNvPr id="697" name="Line 327">
          <a:extLst>
            <a:ext uri="{FF2B5EF4-FFF2-40B4-BE49-F238E27FC236}">
              <a16:creationId xmlns:a16="http://schemas.microsoft.com/office/drawing/2014/main" id="{00000000-0008-0000-0A00-0000B9020000}"/>
            </a:ext>
          </a:extLst>
        </xdr:cNvPr>
        <xdr:cNvSpPr>
          <a:spLocks noChangeShapeType="1"/>
        </xdr:cNvSpPr>
      </xdr:nvSpPr>
      <xdr:spPr>
        <a:xfrm flipH="1">
          <a:off x="4123055" y="881697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9</xdr:col>
      <xdr:colOff>56535</xdr:colOff>
      <xdr:row>51</xdr:row>
      <xdr:rowOff>23812</xdr:rowOff>
    </xdr:from>
    <xdr:to>
      <xdr:col>9</xdr:col>
      <xdr:colOff>323235</xdr:colOff>
      <xdr:row>53</xdr:row>
      <xdr:rowOff>10853</xdr:rowOff>
    </xdr:to>
    <xdr:sp macro="" textlink="">
      <xdr:nvSpPr>
        <xdr:cNvPr id="698" name="Line 327">
          <a:extLst>
            <a:ext uri="{FF2B5EF4-FFF2-40B4-BE49-F238E27FC236}">
              <a16:creationId xmlns:a16="http://schemas.microsoft.com/office/drawing/2014/main" id="{00000000-0008-0000-0A00-0000BA020000}"/>
            </a:ext>
          </a:extLst>
        </xdr:cNvPr>
        <xdr:cNvSpPr>
          <a:spLocks noChangeShapeType="1"/>
        </xdr:cNvSpPr>
      </xdr:nvSpPr>
      <xdr:spPr>
        <a:xfrm flipH="1">
          <a:off x="5085715" y="882142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11</xdr:col>
      <xdr:colOff>77755</xdr:colOff>
      <xdr:row>51</xdr:row>
      <xdr:rowOff>25918</xdr:rowOff>
    </xdr:from>
    <xdr:to>
      <xdr:col>11</xdr:col>
      <xdr:colOff>344455</xdr:colOff>
      <xdr:row>53</xdr:row>
      <xdr:rowOff>12959</xdr:rowOff>
    </xdr:to>
    <xdr:sp macro="" textlink="">
      <xdr:nvSpPr>
        <xdr:cNvPr id="699" name="Line 327">
          <a:extLst>
            <a:ext uri="{FF2B5EF4-FFF2-40B4-BE49-F238E27FC236}">
              <a16:creationId xmlns:a16="http://schemas.microsoft.com/office/drawing/2014/main" id="{00000000-0008-0000-0A00-0000BB020000}"/>
            </a:ext>
          </a:extLst>
        </xdr:cNvPr>
        <xdr:cNvSpPr>
          <a:spLocks noChangeShapeType="1"/>
        </xdr:cNvSpPr>
      </xdr:nvSpPr>
      <xdr:spPr>
        <a:xfrm flipH="1">
          <a:off x="6109970" y="882332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19</xdr:col>
      <xdr:colOff>144980</xdr:colOff>
      <xdr:row>51</xdr:row>
      <xdr:rowOff>37825</xdr:rowOff>
    </xdr:from>
    <xdr:to>
      <xdr:col>19</xdr:col>
      <xdr:colOff>411680</xdr:colOff>
      <xdr:row>53</xdr:row>
      <xdr:rowOff>24866</xdr:rowOff>
    </xdr:to>
    <xdr:sp macro="" textlink="">
      <xdr:nvSpPr>
        <xdr:cNvPr id="700" name="Line 327">
          <a:extLst>
            <a:ext uri="{FF2B5EF4-FFF2-40B4-BE49-F238E27FC236}">
              <a16:creationId xmlns:a16="http://schemas.microsoft.com/office/drawing/2014/main" id="{00000000-0008-0000-0A00-0000BC020000}"/>
            </a:ext>
          </a:extLst>
        </xdr:cNvPr>
        <xdr:cNvSpPr>
          <a:spLocks noChangeShapeType="1"/>
        </xdr:cNvSpPr>
      </xdr:nvSpPr>
      <xdr:spPr>
        <a:xfrm flipH="1">
          <a:off x="10190480" y="883539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3</xdr:col>
      <xdr:colOff>0</xdr:colOff>
      <xdr:row>59</xdr:row>
      <xdr:rowOff>0</xdr:rowOff>
    </xdr:from>
    <xdr:to>
      <xdr:col>3</xdr:col>
      <xdr:colOff>266700</xdr:colOff>
      <xdr:row>60</xdr:row>
      <xdr:rowOff>155510</xdr:rowOff>
    </xdr:to>
    <xdr:sp macro="" textlink="">
      <xdr:nvSpPr>
        <xdr:cNvPr id="701" name="Line 327">
          <a:extLst>
            <a:ext uri="{FF2B5EF4-FFF2-40B4-BE49-F238E27FC236}">
              <a16:creationId xmlns:a16="http://schemas.microsoft.com/office/drawing/2014/main" id="{00000000-0008-0000-0A00-0000BD020000}"/>
            </a:ext>
          </a:extLst>
        </xdr:cNvPr>
        <xdr:cNvSpPr>
          <a:spLocks noChangeShapeType="1"/>
        </xdr:cNvSpPr>
      </xdr:nvSpPr>
      <xdr:spPr>
        <a:xfrm flipH="1">
          <a:off x="1784350" y="10147300"/>
          <a:ext cx="266700" cy="33274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3</xdr:col>
      <xdr:colOff>414696</xdr:colOff>
      <xdr:row>52</xdr:row>
      <xdr:rowOff>19440</xdr:rowOff>
    </xdr:from>
    <xdr:to>
      <xdr:col>3</xdr:col>
      <xdr:colOff>609082</xdr:colOff>
      <xdr:row>52</xdr:row>
      <xdr:rowOff>123112</xdr:rowOff>
    </xdr:to>
    <xdr:sp macro="" textlink="">
      <xdr:nvSpPr>
        <xdr:cNvPr id="702" name="Flowchart: Decision 701">
          <a:extLst>
            <a:ext uri="{FF2B5EF4-FFF2-40B4-BE49-F238E27FC236}">
              <a16:creationId xmlns:a16="http://schemas.microsoft.com/office/drawing/2014/main" id="{00000000-0008-0000-0A00-0000BE020000}"/>
            </a:ext>
          </a:extLst>
        </xdr:cNvPr>
        <xdr:cNvSpPr/>
      </xdr:nvSpPr>
      <xdr:spPr>
        <a:xfrm>
          <a:off x="2199005" y="899477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220306</xdr:colOff>
      <xdr:row>445</xdr:row>
      <xdr:rowOff>38877</xdr:rowOff>
    </xdr:from>
    <xdr:to>
      <xdr:col>1</xdr:col>
      <xdr:colOff>414692</xdr:colOff>
      <xdr:row>445</xdr:row>
      <xdr:rowOff>142549</xdr:rowOff>
    </xdr:to>
    <xdr:sp macro="" textlink="">
      <xdr:nvSpPr>
        <xdr:cNvPr id="705" name="Flowchart: Decision 704">
          <a:extLst>
            <a:ext uri="{FF2B5EF4-FFF2-40B4-BE49-F238E27FC236}">
              <a16:creationId xmlns:a16="http://schemas.microsoft.com/office/drawing/2014/main" id="{00000000-0008-0000-0A00-0000C1020000}"/>
            </a:ext>
          </a:extLst>
        </xdr:cNvPr>
        <xdr:cNvSpPr/>
      </xdr:nvSpPr>
      <xdr:spPr>
        <a:xfrm>
          <a:off x="861060" y="74822685"/>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259183</xdr:colOff>
      <xdr:row>447</xdr:row>
      <xdr:rowOff>32398</xdr:rowOff>
    </xdr:from>
    <xdr:to>
      <xdr:col>1</xdr:col>
      <xdr:colOff>414694</xdr:colOff>
      <xdr:row>447</xdr:row>
      <xdr:rowOff>155511</xdr:rowOff>
    </xdr:to>
    <xdr:sp macro="" textlink="">
      <xdr:nvSpPr>
        <xdr:cNvPr id="706" name="Oval 705">
          <a:extLst>
            <a:ext uri="{FF2B5EF4-FFF2-40B4-BE49-F238E27FC236}">
              <a16:creationId xmlns:a16="http://schemas.microsoft.com/office/drawing/2014/main" id="{00000000-0008-0000-0A00-0000C2020000}"/>
            </a:ext>
          </a:extLst>
        </xdr:cNvPr>
        <xdr:cNvSpPr/>
      </xdr:nvSpPr>
      <xdr:spPr>
        <a:xfrm>
          <a:off x="900430" y="75133835"/>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45358</xdr:colOff>
      <xdr:row>133</xdr:row>
      <xdr:rowOff>0</xdr:rowOff>
    </xdr:from>
    <xdr:to>
      <xdr:col>13</xdr:col>
      <xdr:colOff>200869</xdr:colOff>
      <xdr:row>133</xdr:row>
      <xdr:rowOff>123113</xdr:rowOff>
    </xdr:to>
    <xdr:sp macro="" textlink="">
      <xdr:nvSpPr>
        <xdr:cNvPr id="708" name="Oval 707">
          <a:extLst>
            <a:ext uri="{FF2B5EF4-FFF2-40B4-BE49-F238E27FC236}">
              <a16:creationId xmlns:a16="http://schemas.microsoft.com/office/drawing/2014/main" id="{00000000-0008-0000-0A00-0000C4020000}"/>
            </a:ext>
          </a:extLst>
        </xdr:cNvPr>
        <xdr:cNvSpPr/>
      </xdr:nvSpPr>
      <xdr:spPr>
        <a:xfrm>
          <a:off x="7080885" y="2250440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32398</xdr:colOff>
      <xdr:row>85</xdr:row>
      <xdr:rowOff>155510</xdr:rowOff>
    </xdr:from>
    <xdr:to>
      <xdr:col>21</xdr:col>
      <xdr:colOff>187909</xdr:colOff>
      <xdr:row>86</xdr:row>
      <xdr:rowOff>116633</xdr:rowOff>
    </xdr:to>
    <xdr:sp macro="" textlink="">
      <xdr:nvSpPr>
        <xdr:cNvPr id="709" name="Oval 708">
          <a:extLst>
            <a:ext uri="{FF2B5EF4-FFF2-40B4-BE49-F238E27FC236}">
              <a16:creationId xmlns:a16="http://schemas.microsoft.com/office/drawing/2014/main" id="{00000000-0008-0000-0A00-0000C5020000}"/>
            </a:ext>
          </a:extLst>
        </xdr:cNvPr>
        <xdr:cNvSpPr/>
      </xdr:nvSpPr>
      <xdr:spPr>
        <a:xfrm>
          <a:off x="11081385" y="14636115"/>
          <a:ext cx="154940" cy="129540"/>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268102</xdr:colOff>
      <xdr:row>105</xdr:row>
      <xdr:rowOff>148124</xdr:rowOff>
    </xdr:from>
    <xdr:to>
      <xdr:col>19</xdr:col>
      <xdr:colOff>488408</xdr:colOff>
      <xdr:row>106</xdr:row>
      <xdr:rowOff>135165</xdr:rowOff>
    </xdr:to>
    <xdr:sp macro="" textlink="">
      <xdr:nvSpPr>
        <xdr:cNvPr id="710" name="Arrow: Left-Right-Up 709">
          <a:extLst>
            <a:ext uri="{FF2B5EF4-FFF2-40B4-BE49-F238E27FC236}">
              <a16:creationId xmlns:a16="http://schemas.microsoft.com/office/drawing/2014/main" id="{00000000-0008-0000-0A00-0000C6020000}"/>
            </a:ext>
          </a:extLst>
        </xdr:cNvPr>
        <xdr:cNvSpPr/>
      </xdr:nvSpPr>
      <xdr:spPr>
        <a:xfrm>
          <a:off x="10313670" y="17978755"/>
          <a:ext cx="220345" cy="164465"/>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110153</xdr:colOff>
      <xdr:row>131</xdr:row>
      <xdr:rowOff>84235</xdr:rowOff>
    </xdr:from>
    <xdr:to>
      <xdr:col>19</xdr:col>
      <xdr:colOff>330459</xdr:colOff>
      <xdr:row>132</xdr:row>
      <xdr:rowOff>71276</xdr:rowOff>
    </xdr:to>
    <xdr:sp macro="" textlink="">
      <xdr:nvSpPr>
        <xdr:cNvPr id="711" name="Arrow: Left-Right-Up 710">
          <a:extLst>
            <a:ext uri="{FF2B5EF4-FFF2-40B4-BE49-F238E27FC236}">
              <a16:creationId xmlns:a16="http://schemas.microsoft.com/office/drawing/2014/main" id="{00000000-0008-0000-0A00-0000C7020000}"/>
            </a:ext>
          </a:extLst>
        </xdr:cNvPr>
        <xdr:cNvSpPr/>
      </xdr:nvSpPr>
      <xdr:spPr>
        <a:xfrm>
          <a:off x="10155555" y="22232620"/>
          <a:ext cx="220345" cy="1651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252704</xdr:colOff>
      <xdr:row>448</xdr:row>
      <xdr:rowOff>149031</xdr:rowOff>
    </xdr:from>
    <xdr:to>
      <xdr:col>1</xdr:col>
      <xdr:colOff>473010</xdr:colOff>
      <xdr:row>449</xdr:row>
      <xdr:rowOff>142551</xdr:rowOff>
    </xdr:to>
    <xdr:sp macro="" textlink="">
      <xdr:nvSpPr>
        <xdr:cNvPr id="712" name="Arrow: Left-Right-Up 711">
          <a:extLst>
            <a:ext uri="{FF2B5EF4-FFF2-40B4-BE49-F238E27FC236}">
              <a16:creationId xmlns:a16="http://schemas.microsoft.com/office/drawing/2014/main" id="{00000000-0008-0000-0A00-0000C8020000}"/>
            </a:ext>
          </a:extLst>
        </xdr:cNvPr>
        <xdr:cNvSpPr/>
      </xdr:nvSpPr>
      <xdr:spPr>
        <a:xfrm>
          <a:off x="893445" y="75408790"/>
          <a:ext cx="220345" cy="1524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8</xdr:col>
      <xdr:colOff>103674</xdr:colOff>
      <xdr:row>444</xdr:row>
      <xdr:rowOff>58316</xdr:rowOff>
    </xdr:from>
    <xdr:to>
      <xdr:col>8</xdr:col>
      <xdr:colOff>370374</xdr:colOff>
      <xdr:row>446</xdr:row>
      <xdr:rowOff>58317</xdr:rowOff>
    </xdr:to>
    <xdr:sp macro="" textlink="">
      <xdr:nvSpPr>
        <xdr:cNvPr id="713" name="Line 327">
          <a:extLst>
            <a:ext uri="{FF2B5EF4-FFF2-40B4-BE49-F238E27FC236}">
              <a16:creationId xmlns:a16="http://schemas.microsoft.com/office/drawing/2014/main" id="{00000000-0008-0000-0A00-0000C9020000}"/>
            </a:ext>
          </a:extLst>
        </xdr:cNvPr>
        <xdr:cNvSpPr>
          <a:spLocks noChangeShapeType="1"/>
        </xdr:cNvSpPr>
      </xdr:nvSpPr>
      <xdr:spPr>
        <a:xfrm flipH="1">
          <a:off x="4631055" y="74682985"/>
          <a:ext cx="266700" cy="3175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8</xdr:col>
      <xdr:colOff>129592</xdr:colOff>
      <xdr:row>445</xdr:row>
      <xdr:rowOff>58317</xdr:rowOff>
    </xdr:from>
    <xdr:to>
      <xdr:col>8</xdr:col>
      <xdr:colOff>395255</xdr:colOff>
      <xdr:row>447</xdr:row>
      <xdr:rowOff>64796</xdr:rowOff>
    </xdr:to>
    <xdr:sp macro="" textlink="">
      <xdr:nvSpPr>
        <xdr:cNvPr id="714" name="Line 327">
          <a:extLst>
            <a:ext uri="{FF2B5EF4-FFF2-40B4-BE49-F238E27FC236}">
              <a16:creationId xmlns:a16="http://schemas.microsoft.com/office/drawing/2014/main" id="{00000000-0008-0000-0A00-0000CA020000}"/>
            </a:ext>
          </a:extLst>
        </xdr:cNvPr>
        <xdr:cNvSpPr>
          <a:spLocks noChangeShapeType="1"/>
        </xdr:cNvSpPr>
      </xdr:nvSpPr>
      <xdr:spPr>
        <a:xfrm flipH="1">
          <a:off x="4657090" y="74841735"/>
          <a:ext cx="265430" cy="3244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9</xdr:col>
      <xdr:colOff>157025</xdr:colOff>
      <xdr:row>11</xdr:row>
      <xdr:rowOff>22344</xdr:rowOff>
    </xdr:from>
    <xdr:to>
      <xdr:col>9</xdr:col>
      <xdr:colOff>422688</xdr:colOff>
      <xdr:row>13</xdr:row>
      <xdr:rowOff>1511</xdr:rowOff>
    </xdr:to>
    <xdr:sp macro="" textlink="">
      <xdr:nvSpPr>
        <xdr:cNvPr id="715" name="Line 327">
          <a:extLst>
            <a:ext uri="{FF2B5EF4-FFF2-40B4-BE49-F238E27FC236}">
              <a16:creationId xmlns:a16="http://schemas.microsoft.com/office/drawing/2014/main" id="{00000000-0008-0000-0A00-0000CB020000}"/>
            </a:ext>
          </a:extLst>
        </xdr:cNvPr>
        <xdr:cNvSpPr>
          <a:spLocks noChangeShapeType="1"/>
        </xdr:cNvSpPr>
      </xdr:nvSpPr>
      <xdr:spPr>
        <a:xfrm flipH="1">
          <a:off x="5186045" y="211455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9</xdr:col>
      <xdr:colOff>43135</xdr:colOff>
      <xdr:row>10</xdr:row>
      <xdr:rowOff>147432</xdr:rowOff>
    </xdr:from>
    <xdr:to>
      <xdr:col>9</xdr:col>
      <xdr:colOff>308798</xdr:colOff>
      <xdr:row>12</xdr:row>
      <xdr:rowOff>133427</xdr:rowOff>
    </xdr:to>
    <xdr:sp macro="" textlink="">
      <xdr:nvSpPr>
        <xdr:cNvPr id="716" name="Line 327">
          <a:extLst>
            <a:ext uri="{FF2B5EF4-FFF2-40B4-BE49-F238E27FC236}">
              <a16:creationId xmlns:a16="http://schemas.microsoft.com/office/drawing/2014/main" id="{00000000-0008-0000-0A00-0000CC020000}"/>
            </a:ext>
          </a:extLst>
        </xdr:cNvPr>
        <xdr:cNvSpPr>
          <a:spLocks noChangeShapeType="1"/>
        </xdr:cNvSpPr>
      </xdr:nvSpPr>
      <xdr:spPr>
        <a:xfrm flipH="1">
          <a:off x="5071745" y="2071370"/>
          <a:ext cx="266065" cy="33210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3</xdr:col>
      <xdr:colOff>348226</xdr:colOff>
      <xdr:row>19</xdr:row>
      <xdr:rowOff>61451</xdr:rowOff>
    </xdr:from>
    <xdr:to>
      <xdr:col>3</xdr:col>
      <xdr:colOff>613889</xdr:colOff>
      <xdr:row>21</xdr:row>
      <xdr:rowOff>40619</xdr:rowOff>
    </xdr:to>
    <xdr:sp macro="" textlink="">
      <xdr:nvSpPr>
        <xdr:cNvPr id="717" name="Line 327">
          <a:extLst>
            <a:ext uri="{FF2B5EF4-FFF2-40B4-BE49-F238E27FC236}">
              <a16:creationId xmlns:a16="http://schemas.microsoft.com/office/drawing/2014/main" id="{00000000-0008-0000-0A00-0000CD020000}"/>
            </a:ext>
          </a:extLst>
        </xdr:cNvPr>
        <xdr:cNvSpPr>
          <a:spLocks noChangeShapeType="1"/>
        </xdr:cNvSpPr>
      </xdr:nvSpPr>
      <xdr:spPr>
        <a:xfrm flipH="1">
          <a:off x="2132330" y="349313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211667</xdr:colOff>
      <xdr:row>51</xdr:row>
      <xdr:rowOff>95591</xdr:rowOff>
    </xdr:from>
    <xdr:to>
      <xdr:col>19</xdr:col>
      <xdr:colOff>477330</xdr:colOff>
      <xdr:row>53</xdr:row>
      <xdr:rowOff>74759</xdr:rowOff>
    </xdr:to>
    <xdr:sp macro="" textlink="">
      <xdr:nvSpPr>
        <xdr:cNvPr id="718" name="Line 327">
          <a:extLst>
            <a:ext uri="{FF2B5EF4-FFF2-40B4-BE49-F238E27FC236}">
              <a16:creationId xmlns:a16="http://schemas.microsoft.com/office/drawing/2014/main" id="{00000000-0008-0000-0A00-0000CE020000}"/>
            </a:ext>
          </a:extLst>
        </xdr:cNvPr>
        <xdr:cNvSpPr>
          <a:spLocks noChangeShapeType="1"/>
        </xdr:cNvSpPr>
      </xdr:nvSpPr>
      <xdr:spPr>
        <a:xfrm flipH="1">
          <a:off x="10257155" y="889317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150215</xdr:colOff>
      <xdr:row>77</xdr:row>
      <xdr:rowOff>122903</xdr:rowOff>
    </xdr:from>
    <xdr:to>
      <xdr:col>11</xdr:col>
      <xdr:colOff>415878</xdr:colOff>
      <xdr:row>79</xdr:row>
      <xdr:rowOff>102070</xdr:rowOff>
    </xdr:to>
    <xdr:sp macro="" textlink="">
      <xdr:nvSpPr>
        <xdr:cNvPr id="719" name="Line 327">
          <a:extLst>
            <a:ext uri="{FF2B5EF4-FFF2-40B4-BE49-F238E27FC236}">
              <a16:creationId xmlns:a16="http://schemas.microsoft.com/office/drawing/2014/main" id="{00000000-0008-0000-0A00-0000CF020000}"/>
            </a:ext>
          </a:extLst>
        </xdr:cNvPr>
        <xdr:cNvSpPr>
          <a:spLocks noChangeShapeType="1"/>
        </xdr:cNvSpPr>
      </xdr:nvSpPr>
      <xdr:spPr>
        <a:xfrm flipH="1">
          <a:off x="6182360" y="1326705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7</xdr:col>
      <xdr:colOff>47796</xdr:colOff>
      <xdr:row>96</xdr:row>
      <xdr:rowOff>102420</xdr:rowOff>
    </xdr:from>
    <xdr:to>
      <xdr:col>7</xdr:col>
      <xdr:colOff>313459</xdr:colOff>
      <xdr:row>98</xdr:row>
      <xdr:rowOff>81587</xdr:rowOff>
    </xdr:to>
    <xdr:sp macro="" textlink="">
      <xdr:nvSpPr>
        <xdr:cNvPr id="720" name="Line 327">
          <a:extLst>
            <a:ext uri="{FF2B5EF4-FFF2-40B4-BE49-F238E27FC236}">
              <a16:creationId xmlns:a16="http://schemas.microsoft.com/office/drawing/2014/main" id="{00000000-0008-0000-0A00-0000D0020000}"/>
            </a:ext>
          </a:extLst>
        </xdr:cNvPr>
        <xdr:cNvSpPr>
          <a:spLocks noChangeShapeType="1"/>
        </xdr:cNvSpPr>
      </xdr:nvSpPr>
      <xdr:spPr>
        <a:xfrm flipH="1">
          <a:off x="4073525" y="16428085"/>
          <a:ext cx="265430" cy="33147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102420</xdr:colOff>
      <xdr:row>104</xdr:row>
      <xdr:rowOff>102420</xdr:rowOff>
    </xdr:from>
    <xdr:to>
      <xdr:col>19</xdr:col>
      <xdr:colOff>368083</xdr:colOff>
      <xdr:row>106</xdr:row>
      <xdr:rowOff>81587</xdr:rowOff>
    </xdr:to>
    <xdr:sp macro="" textlink="">
      <xdr:nvSpPr>
        <xdr:cNvPr id="721" name="Line 327">
          <a:extLst>
            <a:ext uri="{FF2B5EF4-FFF2-40B4-BE49-F238E27FC236}">
              <a16:creationId xmlns:a16="http://schemas.microsoft.com/office/drawing/2014/main" id="{00000000-0008-0000-0A00-0000D1020000}"/>
            </a:ext>
          </a:extLst>
        </xdr:cNvPr>
        <xdr:cNvSpPr>
          <a:spLocks noChangeShapeType="1"/>
        </xdr:cNvSpPr>
      </xdr:nvSpPr>
      <xdr:spPr>
        <a:xfrm flipH="1">
          <a:off x="10147935" y="1775523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166056</xdr:colOff>
      <xdr:row>104</xdr:row>
      <xdr:rowOff>159228</xdr:rowOff>
    </xdr:from>
    <xdr:to>
      <xdr:col>19</xdr:col>
      <xdr:colOff>431719</xdr:colOff>
      <xdr:row>106</xdr:row>
      <xdr:rowOff>138395</xdr:rowOff>
    </xdr:to>
    <xdr:sp macro="" textlink="">
      <xdr:nvSpPr>
        <xdr:cNvPr id="722" name="Line 327">
          <a:extLst>
            <a:ext uri="{FF2B5EF4-FFF2-40B4-BE49-F238E27FC236}">
              <a16:creationId xmlns:a16="http://schemas.microsoft.com/office/drawing/2014/main" id="{00000000-0008-0000-0A00-0000D2020000}"/>
            </a:ext>
          </a:extLst>
        </xdr:cNvPr>
        <xdr:cNvSpPr>
          <a:spLocks noChangeShapeType="1"/>
        </xdr:cNvSpPr>
      </xdr:nvSpPr>
      <xdr:spPr>
        <a:xfrm flipH="1">
          <a:off x="10211435" y="1781175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34140</xdr:colOff>
      <xdr:row>123</xdr:row>
      <xdr:rowOff>20484</xdr:rowOff>
    </xdr:from>
    <xdr:to>
      <xdr:col>19</xdr:col>
      <xdr:colOff>299803</xdr:colOff>
      <xdr:row>124</xdr:row>
      <xdr:rowOff>170350</xdr:rowOff>
    </xdr:to>
    <xdr:sp macro="" textlink="">
      <xdr:nvSpPr>
        <xdr:cNvPr id="723" name="Line 327">
          <a:extLst>
            <a:ext uri="{FF2B5EF4-FFF2-40B4-BE49-F238E27FC236}">
              <a16:creationId xmlns:a16="http://schemas.microsoft.com/office/drawing/2014/main" id="{00000000-0008-0000-0A00-0000D3020000}"/>
            </a:ext>
          </a:extLst>
        </xdr:cNvPr>
        <xdr:cNvSpPr>
          <a:spLocks noChangeShapeType="1"/>
        </xdr:cNvSpPr>
      </xdr:nvSpPr>
      <xdr:spPr>
        <a:xfrm flipH="1">
          <a:off x="10079355" y="20848320"/>
          <a:ext cx="266065" cy="32766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150215</xdr:colOff>
      <xdr:row>124</xdr:row>
      <xdr:rowOff>13656</xdr:rowOff>
    </xdr:from>
    <xdr:to>
      <xdr:col>19</xdr:col>
      <xdr:colOff>370521</xdr:colOff>
      <xdr:row>125</xdr:row>
      <xdr:rowOff>697</xdr:rowOff>
    </xdr:to>
    <xdr:sp macro="" textlink="">
      <xdr:nvSpPr>
        <xdr:cNvPr id="724" name="Arrow: Left-Right-Up 723">
          <a:extLst>
            <a:ext uri="{FF2B5EF4-FFF2-40B4-BE49-F238E27FC236}">
              <a16:creationId xmlns:a16="http://schemas.microsoft.com/office/drawing/2014/main" id="{00000000-0008-0000-0A00-0000D4020000}"/>
            </a:ext>
          </a:extLst>
        </xdr:cNvPr>
        <xdr:cNvSpPr/>
      </xdr:nvSpPr>
      <xdr:spPr>
        <a:xfrm>
          <a:off x="10195560" y="21019135"/>
          <a:ext cx="220345" cy="161925"/>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163871</xdr:colOff>
      <xdr:row>147</xdr:row>
      <xdr:rowOff>129730</xdr:rowOff>
    </xdr:from>
    <xdr:to>
      <xdr:col>15</xdr:col>
      <xdr:colOff>429534</xdr:colOff>
      <xdr:row>149</xdr:row>
      <xdr:rowOff>108898</xdr:rowOff>
    </xdr:to>
    <xdr:sp macro="" textlink="">
      <xdr:nvSpPr>
        <xdr:cNvPr id="725" name="Line 327">
          <a:extLst>
            <a:ext uri="{FF2B5EF4-FFF2-40B4-BE49-F238E27FC236}">
              <a16:creationId xmlns:a16="http://schemas.microsoft.com/office/drawing/2014/main" id="{00000000-0008-0000-0A00-0000D5020000}"/>
            </a:ext>
          </a:extLst>
        </xdr:cNvPr>
        <xdr:cNvSpPr>
          <a:spLocks noChangeShapeType="1"/>
        </xdr:cNvSpPr>
      </xdr:nvSpPr>
      <xdr:spPr>
        <a:xfrm flipH="1">
          <a:off x="8202930" y="2495804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15</xdr:col>
      <xdr:colOff>152400</xdr:colOff>
      <xdr:row>149</xdr:row>
      <xdr:rowOff>152400</xdr:rowOff>
    </xdr:from>
    <xdr:to>
      <xdr:col>15</xdr:col>
      <xdr:colOff>418063</xdr:colOff>
      <xdr:row>151</xdr:row>
      <xdr:rowOff>138395</xdr:rowOff>
    </xdr:to>
    <xdr:sp macro="" textlink="">
      <xdr:nvSpPr>
        <xdr:cNvPr id="726" name="Line 327">
          <a:extLst>
            <a:ext uri="{FF2B5EF4-FFF2-40B4-BE49-F238E27FC236}">
              <a16:creationId xmlns:a16="http://schemas.microsoft.com/office/drawing/2014/main" id="{00000000-0008-0000-0A00-0000D6020000}"/>
            </a:ext>
          </a:extLst>
        </xdr:cNvPr>
        <xdr:cNvSpPr>
          <a:spLocks noChangeShapeType="1"/>
        </xdr:cNvSpPr>
      </xdr:nvSpPr>
      <xdr:spPr>
        <a:xfrm flipH="1">
          <a:off x="8191500" y="25336500"/>
          <a:ext cx="265430" cy="32512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12</xdr:col>
      <xdr:colOff>127000</xdr:colOff>
      <xdr:row>444</xdr:row>
      <xdr:rowOff>12700</xdr:rowOff>
    </xdr:from>
    <xdr:to>
      <xdr:col>12</xdr:col>
      <xdr:colOff>393700</xdr:colOff>
      <xdr:row>446</xdr:row>
      <xdr:rowOff>31750</xdr:rowOff>
    </xdr:to>
    <xdr:sp macro="" textlink="">
      <xdr:nvSpPr>
        <xdr:cNvPr id="729" name="Line 328">
          <a:extLst>
            <a:ext uri="{FF2B5EF4-FFF2-40B4-BE49-F238E27FC236}">
              <a16:creationId xmlns:a16="http://schemas.microsoft.com/office/drawing/2014/main" id="{00000000-0008-0000-0A00-0000D9020000}"/>
            </a:ext>
          </a:extLst>
        </xdr:cNvPr>
        <xdr:cNvSpPr>
          <a:spLocks noChangeShapeType="1"/>
        </xdr:cNvSpPr>
      </xdr:nvSpPr>
      <xdr:spPr>
        <a:xfrm flipH="1">
          <a:off x="6661150" y="74637900"/>
          <a:ext cx="266700" cy="3365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12</xdr:col>
      <xdr:colOff>47625</xdr:colOff>
      <xdr:row>444</xdr:row>
      <xdr:rowOff>0</xdr:rowOff>
    </xdr:from>
    <xdr:to>
      <xdr:col>12</xdr:col>
      <xdr:colOff>314325</xdr:colOff>
      <xdr:row>445</xdr:row>
      <xdr:rowOff>155575</xdr:rowOff>
    </xdr:to>
    <xdr:sp macro="" textlink="">
      <xdr:nvSpPr>
        <xdr:cNvPr id="730" name="Line 328">
          <a:extLst>
            <a:ext uri="{FF2B5EF4-FFF2-40B4-BE49-F238E27FC236}">
              <a16:creationId xmlns:a16="http://schemas.microsoft.com/office/drawing/2014/main" id="{00000000-0008-0000-0A00-0000DA020000}"/>
            </a:ext>
          </a:extLst>
        </xdr:cNvPr>
        <xdr:cNvSpPr>
          <a:spLocks noChangeShapeType="1"/>
        </xdr:cNvSpPr>
      </xdr:nvSpPr>
      <xdr:spPr>
        <a:xfrm flipH="1">
          <a:off x="6581775" y="74625200"/>
          <a:ext cx="266700" cy="3143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17</xdr:col>
      <xdr:colOff>167968</xdr:colOff>
      <xdr:row>19</xdr:row>
      <xdr:rowOff>80978</xdr:rowOff>
    </xdr:from>
    <xdr:to>
      <xdr:col>17</xdr:col>
      <xdr:colOff>434668</xdr:colOff>
      <xdr:row>21</xdr:row>
      <xdr:rowOff>93201</xdr:rowOff>
    </xdr:to>
    <xdr:sp macro="" textlink="">
      <xdr:nvSpPr>
        <xdr:cNvPr id="733" name="Line 328">
          <a:extLst>
            <a:ext uri="{FF2B5EF4-FFF2-40B4-BE49-F238E27FC236}">
              <a16:creationId xmlns:a16="http://schemas.microsoft.com/office/drawing/2014/main" id="{00000000-0008-0000-0A00-0000DD020000}"/>
            </a:ext>
          </a:extLst>
        </xdr:cNvPr>
        <xdr:cNvSpPr>
          <a:spLocks noChangeShapeType="1"/>
        </xdr:cNvSpPr>
      </xdr:nvSpPr>
      <xdr:spPr>
        <a:xfrm flipH="1">
          <a:off x="9210040" y="3512820"/>
          <a:ext cx="266700" cy="36766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17</xdr:col>
      <xdr:colOff>81765</xdr:colOff>
      <xdr:row>19</xdr:row>
      <xdr:rowOff>54623</xdr:rowOff>
    </xdr:from>
    <xdr:to>
      <xdr:col>17</xdr:col>
      <xdr:colOff>348465</xdr:colOff>
      <xdr:row>21</xdr:row>
      <xdr:rowOff>39500</xdr:rowOff>
    </xdr:to>
    <xdr:sp macro="" textlink="">
      <xdr:nvSpPr>
        <xdr:cNvPr id="734" name="Line 328">
          <a:extLst>
            <a:ext uri="{FF2B5EF4-FFF2-40B4-BE49-F238E27FC236}">
              <a16:creationId xmlns:a16="http://schemas.microsoft.com/office/drawing/2014/main" id="{00000000-0008-0000-0A00-0000DE020000}"/>
            </a:ext>
          </a:extLst>
        </xdr:cNvPr>
        <xdr:cNvSpPr>
          <a:spLocks noChangeShapeType="1"/>
        </xdr:cNvSpPr>
      </xdr:nvSpPr>
      <xdr:spPr>
        <a:xfrm flipH="1">
          <a:off x="9123680" y="3486785"/>
          <a:ext cx="266700" cy="34036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154312</xdr:colOff>
      <xdr:row>95</xdr:row>
      <xdr:rowOff>80980</xdr:rowOff>
    </xdr:from>
    <xdr:to>
      <xdr:col>5</xdr:col>
      <xdr:colOff>421012</xdr:colOff>
      <xdr:row>97</xdr:row>
      <xdr:rowOff>93202</xdr:rowOff>
    </xdr:to>
    <xdr:sp macro="" textlink="">
      <xdr:nvSpPr>
        <xdr:cNvPr id="735" name="Line 328">
          <a:extLst>
            <a:ext uri="{FF2B5EF4-FFF2-40B4-BE49-F238E27FC236}">
              <a16:creationId xmlns:a16="http://schemas.microsoft.com/office/drawing/2014/main" id="{00000000-0008-0000-0A00-0000DF020000}"/>
            </a:ext>
          </a:extLst>
        </xdr:cNvPr>
        <xdr:cNvSpPr>
          <a:spLocks noChangeShapeType="1"/>
        </xdr:cNvSpPr>
      </xdr:nvSpPr>
      <xdr:spPr>
        <a:xfrm flipH="1">
          <a:off x="3176905" y="16228695"/>
          <a:ext cx="266700" cy="36766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68109</xdr:colOff>
      <xdr:row>95</xdr:row>
      <xdr:rowOff>81936</xdr:rowOff>
    </xdr:from>
    <xdr:to>
      <xdr:col>5</xdr:col>
      <xdr:colOff>334809</xdr:colOff>
      <xdr:row>97</xdr:row>
      <xdr:rowOff>66812</xdr:rowOff>
    </xdr:to>
    <xdr:sp macro="" textlink="">
      <xdr:nvSpPr>
        <xdr:cNvPr id="736" name="Line 328">
          <a:extLst>
            <a:ext uri="{FF2B5EF4-FFF2-40B4-BE49-F238E27FC236}">
              <a16:creationId xmlns:a16="http://schemas.microsoft.com/office/drawing/2014/main" id="{00000000-0008-0000-0A00-0000E0020000}"/>
            </a:ext>
          </a:extLst>
        </xdr:cNvPr>
        <xdr:cNvSpPr>
          <a:spLocks noChangeShapeType="1"/>
        </xdr:cNvSpPr>
      </xdr:nvSpPr>
      <xdr:spPr>
        <a:xfrm flipH="1">
          <a:off x="3090545" y="16229965"/>
          <a:ext cx="266700" cy="34036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3</xdr:col>
      <xdr:colOff>229420</xdr:colOff>
      <xdr:row>95</xdr:row>
      <xdr:rowOff>87808</xdr:rowOff>
    </xdr:from>
    <xdr:to>
      <xdr:col>3</xdr:col>
      <xdr:colOff>496120</xdr:colOff>
      <xdr:row>97</xdr:row>
      <xdr:rowOff>106858</xdr:rowOff>
    </xdr:to>
    <xdr:sp macro="" textlink="">
      <xdr:nvSpPr>
        <xdr:cNvPr id="737" name="Line 328">
          <a:extLst>
            <a:ext uri="{FF2B5EF4-FFF2-40B4-BE49-F238E27FC236}">
              <a16:creationId xmlns:a16="http://schemas.microsoft.com/office/drawing/2014/main" id="{00000000-0008-0000-0A00-0000E1020000}"/>
            </a:ext>
          </a:extLst>
        </xdr:cNvPr>
        <xdr:cNvSpPr>
          <a:spLocks noChangeShapeType="1"/>
        </xdr:cNvSpPr>
      </xdr:nvSpPr>
      <xdr:spPr>
        <a:xfrm flipH="1">
          <a:off x="2013585" y="16235680"/>
          <a:ext cx="266700" cy="374650"/>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184184</xdr:colOff>
      <xdr:row>95</xdr:row>
      <xdr:rowOff>34140</xdr:rowOff>
    </xdr:from>
    <xdr:to>
      <xdr:col>3</xdr:col>
      <xdr:colOff>450884</xdr:colOff>
      <xdr:row>97</xdr:row>
      <xdr:rowOff>31716</xdr:rowOff>
    </xdr:to>
    <xdr:sp macro="" textlink="">
      <xdr:nvSpPr>
        <xdr:cNvPr id="738" name="Line 328">
          <a:extLst>
            <a:ext uri="{FF2B5EF4-FFF2-40B4-BE49-F238E27FC236}">
              <a16:creationId xmlns:a16="http://schemas.microsoft.com/office/drawing/2014/main" id="{00000000-0008-0000-0A00-0000E2020000}"/>
            </a:ext>
          </a:extLst>
        </xdr:cNvPr>
        <xdr:cNvSpPr>
          <a:spLocks noChangeShapeType="1"/>
        </xdr:cNvSpPr>
      </xdr:nvSpPr>
      <xdr:spPr>
        <a:xfrm flipH="1">
          <a:off x="1968500" y="16181705"/>
          <a:ext cx="266700" cy="353060"/>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4572</xdr:colOff>
      <xdr:row>279</xdr:row>
      <xdr:rowOff>78147</xdr:rowOff>
    </xdr:from>
    <xdr:to>
      <xdr:col>3</xdr:col>
      <xdr:colOff>0</xdr:colOff>
      <xdr:row>280</xdr:row>
      <xdr:rowOff>192447</xdr:rowOff>
    </xdr:to>
    <xdr:sp macro="" textlink="">
      <xdr:nvSpPr>
        <xdr:cNvPr id="829" name="Isosceles Triangle 828">
          <a:extLst>
            <a:ext uri="{FF2B5EF4-FFF2-40B4-BE49-F238E27FC236}">
              <a16:creationId xmlns:a16="http://schemas.microsoft.com/office/drawing/2014/main" id="{00000000-0008-0000-0A00-00003D030000}"/>
            </a:ext>
          </a:extLst>
        </xdr:cNvPr>
        <xdr:cNvSpPr/>
      </xdr:nvSpPr>
      <xdr:spPr>
        <a:xfrm>
          <a:off x="1287145" y="471697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279</xdr:row>
      <xdr:rowOff>78147</xdr:rowOff>
    </xdr:from>
    <xdr:to>
      <xdr:col>7</xdr:col>
      <xdr:colOff>0</xdr:colOff>
      <xdr:row>281</xdr:row>
      <xdr:rowOff>5057</xdr:rowOff>
    </xdr:to>
    <xdr:sp macro="" textlink="">
      <xdr:nvSpPr>
        <xdr:cNvPr id="830" name="Isosceles Triangle 829">
          <a:extLst>
            <a:ext uri="{FF2B5EF4-FFF2-40B4-BE49-F238E27FC236}">
              <a16:creationId xmlns:a16="http://schemas.microsoft.com/office/drawing/2014/main" id="{00000000-0008-0000-0A00-00003E030000}"/>
            </a:ext>
          </a:extLst>
        </xdr:cNvPr>
        <xdr:cNvSpPr/>
      </xdr:nvSpPr>
      <xdr:spPr>
        <a:xfrm>
          <a:off x="35286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279</xdr:row>
      <xdr:rowOff>78147</xdr:rowOff>
    </xdr:from>
    <xdr:to>
      <xdr:col>9</xdr:col>
      <xdr:colOff>0</xdr:colOff>
      <xdr:row>281</xdr:row>
      <xdr:rowOff>5057</xdr:rowOff>
    </xdr:to>
    <xdr:sp macro="" textlink="">
      <xdr:nvSpPr>
        <xdr:cNvPr id="831" name="Isosceles Triangle 830">
          <a:extLst>
            <a:ext uri="{FF2B5EF4-FFF2-40B4-BE49-F238E27FC236}">
              <a16:creationId xmlns:a16="http://schemas.microsoft.com/office/drawing/2014/main" id="{00000000-0008-0000-0A00-00003F030000}"/>
            </a:ext>
          </a:extLst>
        </xdr:cNvPr>
        <xdr:cNvSpPr/>
      </xdr:nvSpPr>
      <xdr:spPr>
        <a:xfrm>
          <a:off x="45319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279</xdr:row>
      <xdr:rowOff>78147</xdr:rowOff>
    </xdr:from>
    <xdr:to>
      <xdr:col>11</xdr:col>
      <xdr:colOff>0</xdr:colOff>
      <xdr:row>280</xdr:row>
      <xdr:rowOff>192447</xdr:rowOff>
    </xdr:to>
    <xdr:sp macro="" textlink="">
      <xdr:nvSpPr>
        <xdr:cNvPr id="832" name="Isosceles Triangle 831">
          <a:extLst>
            <a:ext uri="{FF2B5EF4-FFF2-40B4-BE49-F238E27FC236}">
              <a16:creationId xmlns:a16="http://schemas.microsoft.com/office/drawing/2014/main" id="{00000000-0008-0000-0A00-000040030000}"/>
            </a:ext>
          </a:extLst>
        </xdr:cNvPr>
        <xdr:cNvSpPr/>
      </xdr:nvSpPr>
      <xdr:spPr>
        <a:xfrm>
          <a:off x="55352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279</xdr:row>
      <xdr:rowOff>78147</xdr:rowOff>
    </xdr:from>
    <xdr:to>
      <xdr:col>13</xdr:col>
      <xdr:colOff>0</xdr:colOff>
      <xdr:row>281</xdr:row>
      <xdr:rowOff>5057</xdr:rowOff>
    </xdr:to>
    <xdr:sp macro="" textlink="">
      <xdr:nvSpPr>
        <xdr:cNvPr id="833" name="Isosceles Triangle 832">
          <a:extLst>
            <a:ext uri="{FF2B5EF4-FFF2-40B4-BE49-F238E27FC236}">
              <a16:creationId xmlns:a16="http://schemas.microsoft.com/office/drawing/2014/main" id="{00000000-0008-0000-0A00-000041030000}"/>
            </a:ext>
          </a:extLst>
        </xdr:cNvPr>
        <xdr:cNvSpPr/>
      </xdr:nvSpPr>
      <xdr:spPr>
        <a:xfrm>
          <a:off x="65385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279</xdr:row>
      <xdr:rowOff>78147</xdr:rowOff>
    </xdr:from>
    <xdr:to>
      <xdr:col>15</xdr:col>
      <xdr:colOff>0</xdr:colOff>
      <xdr:row>280</xdr:row>
      <xdr:rowOff>192447</xdr:rowOff>
    </xdr:to>
    <xdr:sp macro="" textlink="">
      <xdr:nvSpPr>
        <xdr:cNvPr id="834" name="Isosceles Triangle 833">
          <a:extLst>
            <a:ext uri="{FF2B5EF4-FFF2-40B4-BE49-F238E27FC236}">
              <a16:creationId xmlns:a16="http://schemas.microsoft.com/office/drawing/2014/main" id="{00000000-0008-0000-0A00-000042030000}"/>
            </a:ext>
          </a:extLst>
        </xdr:cNvPr>
        <xdr:cNvSpPr/>
      </xdr:nvSpPr>
      <xdr:spPr>
        <a:xfrm>
          <a:off x="75418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279</xdr:row>
      <xdr:rowOff>78147</xdr:rowOff>
    </xdr:from>
    <xdr:to>
      <xdr:col>17</xdr:col>
      <xdr:colOff>0</xdr:colOff>
      <xdr:row>280</xdr:row>
      <xdr:rowOff>192447</xdr:rowOff>
    </xdr:to>
    <xdr:sp macro="" textlink="">
      <xdr:nvSpPr>
        <xdr:cNvPr id="835" name="Isosceles Triangle 834">
          <a:extLst>
            <a:ext uri="{FF2B5EF4-FFF2-40B4-BE49-F238E27FC236}">
              <a16:creationId xmlns:a16="http://schemas.microsoft.com/office/drawing/2014/main" id="{00000000-0008-0000-0A00-000043030000}"/>
            </a:ext>
          </a:extLst>
        </xdr:cNvPr>
        <xdr:cNvSpPr/>
      </xdr:nvSpPr>
      <xdr:spPr>
        <a:xfrm>
          <a:off x="8545195" y="471697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279</xdr:row>
      <xdr:rowOff>78147</xdr:rowOff>
    </xdr:from>
    <xdr:to>
      <xdr:col>19</xdr:col>
      <xdr:colOff>0</xdr:colOff>
      <xdr:row>280</xdr:row>
      <xdr:rowOff>192447</xdr:rowOff>
    </xdr:to>
    <xdr:sp macro="" textlink="">
      <xdr:nvSpPr>
        <xdr:cNvPr id="836" name="Isosceles Triangle 835">
          <a:extLst>
            <a:ext uri="{FF2B5EF4-FFF2-40B4-BE49-F238E27FC236}">
              <a16:creationId xmlns:a16="http://schemas.microsoft.com/office/drawing/2014/main" id="{00000000-0008-0000-0A00-000044030000}"/>
            </a:ext>
          </a:extLst>
        </xdr:cNvPr>
        <xdr:cNvSpPr/>
      </xdr:nvSpPr>
      <xdr:spPr>
        <a:xfrm>
          <a:off x="95484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279</xdr:row>
      <xdr:rowOff>78147</xdr:rowOff>
    </xdr:from>
    <xdr:to>
      <xdr:col>21</xdr:col>
      <xdr:colOff>0</xdr:colOff>
      <xdr:row>280</xdr:row>
      <xdr:rowOff>192447</xdr:rowOff>
    </xdr:to>
    <xdr:sp macro="" textlink="">
      <xdr:nvSpPr>
        <xdr:cNvPr id="837" name="Isosceles Triangle 836">
          <a:extLst>
            <a:ext uri="{FF2B5EF4-FFF2-40B4-BE49-F238E27FC236}">
              <a16:creationId xmlns:a16="http://schemas.microsoft.com/office/drawing/2014/main" id="{00000000-0008-0000-0A00-000045030000}"/>
            </a:ext>
          </a:extLst>
        </xdr:cNvPr>
        <xdr:cNvSpPr/>
      </xdr:nvSpPr>
      <xdr:spPr>
        <a:xfrm>
          <a:off x="105517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279</xdr:row>
      <xdr:rowOff>78147</xdr:rowOff>
    </xdr:from>
    <xdr:to>
      <xdr:col>5</xdr:col>
      <xdr:colOff>0</xdr:colOff>
      <xdr:row>280</xdr:row>
      <xdr:rowOff>192447</xdr:rowOff>
    </xdr:to>
    <xdr:sp macro="" textlink="">
      <xdr:nvSpPr>
        <xdr:cNvPr id="838" name="Isosceles Triangle 837">
          <a:extLst>
            <a:ext uri="{FF2B5EF4-FFF2-40B4-BE49-F238E27FC236}">
              <a16:creationId xmlns:a16="http://schemas.microsoft.com/office/drawing/2014/main" id="{00000000-0008-0000-0A00-000046030000}"/>
            </a:ext>
          </a:extLst>
        </xdr:cNvPr>
        <xdr:cNvSpPr/>
      </xdr:nvSpPr>
      <xdr:spPr>
        <a:xfrm>
          <a:off x="25253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279</xdr:row>
      <xdr:rowOff>78147</xdr:rowOff>
    </xdr:from>
    <xdr:to>
      <xdr:col>3</xdr:col>
      <xdr:colOff>0</xdr:colOff>
      <xdr:row>280</xdr:row>
      <xdr:rowOff>192447</xdr:rowOff>
    </xdr:to>
    <xdr:sp macro="" textlink="">
      <xdr:nvSpPr>
        <xdr:cNvPr id="839" name="Isosceles Triangle 838">
          <a:extLst>
            <a:ext uri="{FF2B5EF4-FFF2-40B4-BE49-F238E27FC236}">
              <a16:creationId xmlns:a16="http://schemas.microsoft.com/office/drawing/2014/main" id="{00000000-0008-0000-0A00-000047030000}"/>
            </a:ext>
          </a:extLst>
        </xdr:cNvPr>
        <xdr:cNvSpPr/>
      </xdr:nvSpPr>
      <xdr:spPr>
        <a:xfrm>
          <a:off x="128714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279</xdr:row>
      <xdr:rowOff>78147</xdr:rowOff>
    </xdr:from>
    <xdr:to>
      <xdr:col>17</xdr:col>
      <xdr:colOff>0</xdr:colOff>
      <xdr:row>280</xdr:row>
      <xdr:rowOff>192447</xdr:rowOff>
    </xdr:to>
    <xdr:sp macro="" textlink="">
      <xdr:nvSpPr>
        <xdr:cNvPr id="840" name="Isosceles Triangle 839">
          <a:extLst>
            <a:ext uri="{FF2B5EF4-FFF2-40B4-BE49-F238E27FC236}">
              <a16:creationId xmlns:a16="http://schemas.microsoft.com/office/drawing/2014/main" id="{00000000-0008-0000-0A00-000048030000}"/>
            </a:ext>
          </a:extLst>
        </xdr:cNvPr>
        <xdr:cNvSpPr/>
      </xdr:nvSpPr>
      <xdr:spPr>
        <a:xfrm>
          <a:off x="85451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279</xdr:row>
      <xdr:rowOff>78147</xdr:rowOff>
    </xdr:from>
    <xdr:to>
      <xdr:col>19</xdr:col>
      <xdr:colOff>0</xdr:colOff>
      <xdr:row>280</xdr:row>
      <xdr:rowOff>192447</xdr:rowOff>
    </xdr:to>
    <xdr:sp macro="" textlink="">
      <xdr:nvSpPr>
        <xdr:cNvPr id="841" name="Isosceles Triangle 840">
          <a:extLst>
            <a:ext uri="{FF2B5EF4-FFF2-40B4-BE49-F238E27FC236}">
              <a16:creationId xmlns:a16="http://schemas.microsoft.com/office/drawing/2014/main" id="{00000000-0008-0000-0A00-000049030000}"/>
            </a:ext>
          </a:extLst>
        </xdr:cNvPr>
        <xdr:cNvSpPr/>
      </xdr:nvSpPr>
      <xdr:spPr>
        <a:xfrm>
          <a:off x="95484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287</xdr:row>
      <xdr:rowOff>78147</xdr:rowOff>
    </xdr:from>
    <xdr:to>
      <xdr:col>3</xdr:col>
      <xdr:colOff>0</xdr:colOff>
      <xdr:row>288</xdr:row>
      <xdr:rowOff>192447</xdr:rowOff>
    </xdr:to>
    <xdr:sp macro="" textlink="">
      <xdr:nvSpPr>
        <xdr:cNvPr id="843" name="Isosceles Triangle 842">
          <a:extLst>
            <a:ext uri="{FF2B5EF4-FFF2-40B4-BE49-F238E27FC236}">
              <a16:creationId xmlns:a16="http://schemas.microsoft.com/office/drawing/2014/main" id="{00000000-0008-0000-0A00-00004B030000}"/>
            </a:ext>
          </a:extLst>
        </xdr:cNvPr>
        <xdr:cNvSpPr/>
      </xdr:nvSpPr>
      <xdr:spPr>
        <a:xfrm>
          <a:off x="1287145" y="485159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287</xdr:row>
      <xdr:rowOff>78147</xdr:rowOff>
    </xdr:from>
    <xdr:to>
      <xdr:col>5</xdr:col>
      <xdr:colOff>0</xdr:colOff>
      <xdr:row>288</xdr:row>
      <xdr:rowOff>192447</xdr:rowOff>
    </xdr:to>
    <xdr:sp macro="" textlink="">
      <xdr:nvSpPr>
        <xdr:cNvPr id="844" name="Isosceles Triangle 843">
          <a:extLst>
            <a:ext uri="{FF2B5EF4-FFF2-40B4-BE49-F238E27FC236}">
              <a16:creationId xmlns:a16="http://schemas.microsoft.com/office/drawing/2014/main" id="{00000000-0008-0000-0A00-00004C030000}"/>
            </a:ext>
          </a:extLst>
        </xdr:cNvPr>
        <xdr:cNvSpPr/>
      </xdr:nvSpPr>
      <xdr:spPr>
        <a:xfrm>
          <a:off x="2525395" y="485159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287</xdr:row>
      <xdr:rowOff>78147</xdr:rowOff>
    </xdr:from>
    <xdr:to>
      <xdr:col>7</xdr:col>
      <xdr:colOff>0</xdr:colOff>
      <xdr:row>289</xdr:row>
      <xdr:rowOff>3177</xdr:rowOff>
    </xdr:to>
    <xdr:sp macro="" textlink="">
      <xdr:nvSpPr>
        <xdr:cNvPr id="845" name="Isosceles Triangle 844">
          <a:extLst>
            <a:ext uri="{FF2B5EF4-FFF2-40B4-BE49-F238E27FC236}">
              <a16:creationId xmlns:a16="http://schemas.microsoft.com/office/drawing/2014/main" id="{00000000-0008-0000-0A00-00004D030000}"/>
            </a:ext>
          </a:extLst>
        </xdr:cNvPr>
        <xdr:cNvSpPr/>
      </xdr:nvSpPr>
      <xdr:spPr>
        <a:xfrm>
          <a:off x="3528695" y="4851590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287</xdr:row>
      <xdr:rowOff>78147</xdr:rowOff>
    </xdr:from>
    <xdr:to>
      <xdr:col>9</xdr:col>
      <xdr:colOff>0</xdr:colOff>
      <xdr:row>288</xdr:row>
      <xdr:rowOff>192447</xdr:rowOff>
    </xdr:to>
    <xdr:sp macro="" textlink="">
      <xdr:nvSpPr>
        <xdr:cNvPr id="846" name="Isosceles Triangle 845">
          <a:extLst>
            <a:ext uri="{FF2B5EF4-FFF2-40B4-BE49-F238E27FC236}">
              <a16:creationId xmlns:a16="http://schemas.microsoft.com/office/drawing/2014/main" id="{00000000-0008-0000-0A00-00004E030000}"/>
            </a:ext>
          </a:extLst>
        </xdr:cNvPr>
        <xdr:cNvSpPr/>
      </xdr:nvSpPr>
      <xdr:spPr>
        <a:xfrm>
          <a:off x="45319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287</xdr:row>
      <xdr:rowOff>78147</xdr:rowOff>
    </xdr:from>
    <xdr:to>
      <xdr:col>11</xdr:col>
      <xdr:colOff>0</xdr:colOff>
      <xdr:row>289</xdr:row>
      <xdr:rowOff>5058</xdr:rowOff>
    </xdr:to>
    <xdr:sp macro="" textlink="">
      <xdr:nvSpPr>
        <xdr:cNvPr id="847" name="Isosceles Triangle 846">
          <a:extLst>
            <a:ext uri="{FF2B5EF4-FFF2-40B4-BE49-F238E27FC236}">
              <a16:creationId xmlns:a16="http://schemas.microsoft.com/office/drawing/2014/main" id="{00000000-0008-0000-0A00-00004F030000}"/>
            </a:ext>
          </a:extLst>
        </xdr:cNvPr>
        <xdr:cNvSpPr/>
      </xdr:nvSpPr>
      <xdr:spPr>
        <a:xfrm>
          <a:off x="5535295" y="485159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287</xdr:row>
      <xdr:rowOff>78147</xdr:rowOff>
    </xdr:from>
    <xdr:to>
      <xdr:col>15</xdr:col>
      <xdr:colOff>0</xdr:colOff>
      <xdr:row>288</xdr:row>
      <xdr:rowOff>192447</xdr:rowOff>
    </xdr:to>
    <xdr:sp macro="" textlink="">
      <xdr:nvSpPr>
        <xdr:cNvPr id="848" name="Isosceles Triangle 847">
          <a:extLst>
            <a:ext uri="{FF2B5EF4-FFF2-40B4-BE49-F238E27FC236}">
              <a16:creationId xmlns:a16="http://schemas.microsoft.com/office/drawing/2014/main" id="{00000000-0008-0000-0A00-000050030000}"/>
            </a:ext>
          </a:extLst>
        </xdr:cNvPr>
        <xdr:cNvSpPr/>
      </xdr:nvSpPr>
      <xdr:spPr>
        <a:xfrm>
          <a:off x="75418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287</xdr:row>
      <xdr:rowOff>78147</xdr:rowOff>
    </xdr:from>
    <xdr:to>
      <xdr:col>17</xdr:col>
      <xdr:colOff>0</xdr:colOff>
      <xdr:row>288</xdr:row>
      <xdr:rowOff>192447</xdr:rowOff>
    </xdr:to>
    <xdr:sp macro="" textlink="">
      <xdr:nvSpPr>
        <xdr:cNvPr id="849" name="Isosceles Triangle 848">
          <a:extLst>
            <a:ext uri="{FF2B5EF4-FFF2-40B4-BE49-F238E27FC236}">
              <a16:creationId xmlns:a16="http://schemas.microsoft.com/office/drawing/2014/main" id="{00000000-0008-0000-0A00-000051030000}"/>
            </a:ext>
          </a:extLst>
        </xdr:cNvPr>
        <xdr:cNvSpPr/>
      </xdr:nvSpPr>
      <xdr:spPr>
        <a:xfrm>
          <a:off x="85451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287</xdr:row>
      <xdr:rowOff>78147</xdr:rowOff>
    </xdr:from>
    <xdr:to>
      <xdr:col>21</xdr:col>
      <xdr:colOff>0</xdr:colOff>
      <xdr:row>288</xdr:row>
      <xdr:rowOff>192447</xdr:rowOff>
    </xdr:to>
    <xdr:sp macro="" textlink="">
      <xdr:nvSpPr>
        <xdr:cNvPr id="850" name="Isosceles Triangle 849">
          <a:extLst>
            <a:ext uri="{FF2B5EF4-FFF2-40B4-BE49-F238E27FC236}">
              <a16:creationId xmlns:a16="http://schemas.microsoft.com/office/drawing/2014/main" id="{00000000-0008-0000-0A00-000052030000}"/>
            </a:ext>
          </a:extLst>
        </xdr:cNvPr>
        <xdr:cNvSpPr/>
      </xdr:nvSpPr>
      <xdr:spPr>
        <a:xfrm>
          <a:off x="105517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287</xdr:row>
      <xdr:rowOff>78147</xdr:rowOff>
    </xdr:from>
    <xdr:to>
      <xdr:col>5</xdr:col>
      <xdr:colOff>0</xdr:colOff>
      <xdr:row>288</xdr:row>
      <xdr:rowOff>192447</xdr:rowOff>
    </xdr:to>
    <xdr:sp macro="" textlink="">
      <xdr:nvSpPr>
        <xdr:cNvPr id="851" name="Isosceles Triangle 850">
          <a:extLst>
            <a:ext uri="{FF2B5EF4-FFF2-40B4-BE49-F238E27FC236}">
              <a16:creationId xmlns:a16="http://schemas.microsoft.com/office/drawing/2014/main" id="{00000000-0008-0000-0A00-000053030000}"/>
            </a:ext>
          </a:extLst>
        </xdr:cNvPr>
        <xdr:cNvSpPr/>
      </xdr:nvSpPr>
      <xdr:spPr>
        <a:xfrm>
          <a:off x="25253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287</xdr:row>
      <xdr:rowOff>78147</xdr:rowOff>
    </xdr:from>
    <xdr:to>
      <xdr:col>19</xdr:col>
      <xdr:colOff>0</xdr:colOff>
      <xdr:row>288</xdr:row>
      <xdr:rowOff>192447</xdr:rowOff>
    </xdr:to>
    <xdr:sp macro="" textlink="">
      <xdr:nvSpPr>
        <xdr:cNvPr id="852" name="Isosceles Triangle 851">
          <a:extLst>
            <a:ext uri="{FF2B5EF4-FFF2-40B4-BE49-F238E27FC236}">
              <a16:creationId xmlns:a16="http://schemas.microsoft.com/office/drawing/2014/main" id="{00000000-0008-0000-0A00-000054030000}"/>
            </a:ext>
          </a:extLst>
        </xdr:cNvPr>
        <xdr:cNvSpPr/>
      </xdr:nvSpPr>
      <xdr:spPr>
        <a:xfrm>
          <a:off x="95484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295</xdr:row>
      <xdr:rowOff>78147</xdr:rowOff>
    </xdr:from>
    <xdr:to>
      <xdr:col>3</xdr:col>
      <xdr:colOff>0</xdr:colOff>
      <xdr:row>296</xdr:row>
      <xdr:rowOff>192447</xdr:rowOff>
    </xdr:to>
    <xdr:sp macro="" textlink="">
      <xdr:nvSpPr>
        <xdr:cNvPr id="853" name="Isosceles Triangle 852">
          <a:extLst>
            <a:ext uri="{FF2B5EF4-FFF2-40B4-BE49-F238E27FC236}">
              <a16:creationId xmlns:a16="http://schemas.microsoft.com/office/drawing/2014/main" id="{00000000-0008-0000-0A00-000055030000}"/>
            </a:ext>
          </a:extLst>
        </xdr:cNvPr>
        <xdr:cNvSpPr/>
      </xdr:nvSpPr>
      <xdr:spPr>
        <a:xfrm>
          <a:off x="1287145" y="49855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295</xdr:row>
      <xdr:rowOff>78147</xdr:rowOff>
    </xdr:from>
    <xdr:to>
      <xdr:col>7</xdr:col>
      <xdr:colOff>0</xdr:colOff>
      <xdr:row>297</xdr:row>
      <xdr:rowOff>5057</xdr:rowOff>
    </xdr:to>
    <xdr:sp macro="" textlink="">
      <xdr:nvSpPr>
        <xdr:cNvPr id="854" name="Isosceles Triangle 853">
          <a:extLst>
            <a:ext uri="{FF2B5EF4-FFF2-40B4-BE49-F238E27FC236}">
              <a16:creationId xmlns:a16="http://schemas.microsoft.com/office/drawing/2014/main" id="{00000000-0008-0000-0A00-000056030000}"/>
            </a:ext>
          </a:extLst>
        </xdr:cNvPr>
        <xdr:cNvSpPr/>
      </xdr:nvSpPr>
      <xdr:spPr>
        <a:xfrm>
          <a:off x="35286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295</xdr:row>
      <xdr:rowOff>78147</xdr:rowOff>
    </xdr:from>
    <xdr:to>
      <xdr:col>9</xdr:col>
      <xdr:colOff>0</xdr:colOff>
      <xdr:row>297</xdr:row>
      <xdr:rowOff>5057</xdr:rowOff>
    </xdr:to>
    <xdr:sp macro="" textlink="">
      <xdr:nvSpPr>
        <xdr:cNvPr id="855" name="Isosceles Triangle 854">
          <a:extLst>
            <a:ext uri="{FF2B5EF4-FFF2-40B4-BE49-F238E27FC236}">
              <a16:creationId xmlns:a16="http://schemas.microsoft.com/office/drawing/2014/main" id="{00000000-0008-0000-0A00-000057030000}"/>
            </a:ext>
          </a:extLst>
        </xdr:cNvPr>
        <xdr:cNvSpPr/>
      </xdr:nvSpPr>
      <xdr:spPr>
        <a:xfrm>
          <a:off x="45319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295</xdr:row>
      <xdr:rowOff>78147</xdr:rowOff>
    </xdr:from>
    <xdr:to>
      <xdr:col>11</xdr:col>
      <xdr:colOff>0</xdr:colOff>
      <xdr:row>296</xdr:row>
      <xdr:rowOff>192447</xdr:rowOff>
    </xdr:to>
    <xdr:sp macro="" textlink="">
      <xdr:nvSpPr>
        <xdr:cNvPr id="856" name="Isosceles Triangle 855">
          <a:extLst>
            <a:ext uri="{FF2B5EF4-FFF2-40B4-BE49-F238E27FC236}">
              <a16:creationId xmlns:a16="http://schemas.microsoft.com/office/drawing/2014/main" id="{00000000-0008-0000-0A00-000058030000}"/>
            </a:ext>
          </a:extLst>
        </xdr:cNvPr>
        <xdr:cNvSpPr/>
      </xdr:nvSpPr>
      <xdr:spPr>
        <a:xfrm>
          <a:off x="55352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295</xdr:row>
      <xdr:rowOff>78147</xdr:rowOff>
    </xdr:from>
    <xdr:to>
      <xdr:col>13</xdr:col>
      <xdr:colOff>0</xdr:colOff>
      <xdr:row>297</xdr:row>
      <xdr:rowOff>5057</xdr:rowOff>
    </xdr:to>
    <xdr:sp macro="" textlink="">
      <xdr:nvSpPr>
        <xdr:cNvPr id="857" name="Isosceles Triangle 856">
          <a:extLst>
            <a:ext uri="{FF2B5EF4-FFF2-40B4-BE49-F238E27FC236}">
              <a16:creationId xmlns:a16="http://schemas.microsoft.com/office/drawing/2014/main" id="{00000000-0008-0000-0A00-000059030000}"/>
            </a:ext>
          </a:extLst>
        </xdr:cNvPr>
        <xdr:cNvSpPr/>
      </xdr:nvSpPr>
      <xdr:spPr>
        <a:xfrm>
          <a:off x="65385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295</xdr:row>
      <xdr:rowOff>78147</xdr:rowOff>
    </xdr:from>
    <xdr:to>
      <xdr:col>15</xdr:col>
      <xdr:colOff>0</xdr:colOff>
      <xdr:row>296</xdr:row>
      <xdr:rowOff>192447</xdr:rowOff>
    </xdr:to>
    <xdr:sp macro="" textlink="">
      <xdr:nvSpPr>
        <xdr:cNvPr id="858" name="Isosceles Triangle 857">
          <a:extLst>
            <a:ext uri="{FF2B5EF4-FFF2-40B4-BE49-F238E27FC236}">
              <a16:creationId xmlns:a16="http://schemas.microsoft.com/office/drawing/2014/main" id="{00000000-0008-0000-0A00-00005A030000}"/>
            </a:ext>
          </a:extLst>
        </xdr:cNvPr>
        <xdr:cNvSpPr/>
      </xdr:nvSpPr>
      <xdr:spPr>
        <a:xfrm>
          <a:off x="75418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295</xdr:row>
      <xdr:rowOff>78147</xdr:rowOff>
    </xdr:from>
    <xdr:to>
      <xdr:col>17</xdr:col>
      <xdr:colOff>0</xdr:colOff>
      <xdr:row>296</xdr:row>
      <xdr:rowOff>192447</xdr:rowOff>
    </xdr:to>
    <xdr:sp macro="" textlink="">
      <xdr:nvSpPr>
        <xdr:cNvPr id="859" name="Isosceles Triangle 858">
          <a:extLst>
            <a:ext uri="{FF2B5EF4-FFF2-40B4-BE49-F238E27FC236}">
              <a16:creationId xmlns:a16="http://schemas.microsoft.com/office/drawing/2014/main" id="{00000000-0008-0000-0A00-00005B030000}"/>
            </a:ext>
          </a:extLst>
        </xdr:cNvPr>
        <xdr:cNvSpPr/>
      </xdr:nvSpPr>
      <xdr:spPr>
        <a:xfrm>
          <a:off x="8545195" y="49855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295</xdr:row>
      <xdr:rowOff>78147</xdr:rowOff>
    </xdr:from>
    <xdr:to>
      <xdr:col>19</xdr:col>
      <xdr:colOff>0</xdr:colOff>
      <xdr:row>296</xdr:row>
      <xdr:rowOff>192447</xdr:rowOff>
    </xdr:to>
    <xdr:sp macro="" textlink="">
      <xdr:nvSpPr>
        <xdr:cNvPr id="860" name="Isosceles Triangle 859">
          <a:extLst>
            <a:ext uri="{FF2B5EF4-FFF2-40B4-BE49-F238E27FC236}">
              <a16:creationId xmlns:a16="http://schemas.microsoft.com/office/drawing/2014/main" id="{00000000-0008-0000-0A00-00005C030000}"/>
            </a:ext>
          </a:extLst>
        </xdr:cNvPr>
        <xdr:cNvSpPr/>
      </xdr:nvSpPr>
      <xdr:spPr>
        <a:xfrm>
          <a:off x="95484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295</xdr:row>
      <xdr:rowOff>78147</xdr:rowOff>
    </xdr:from>
    <xdr:to>
      <xdr:col>21</xdr:col>
      <xdr:colOff>0</xdr:colOff>
      <xdr:row>296</xdr:row>
      <xdr:rowOff>192447</xdr:rowOff>
    </xdr:to>
    <xdr:sp macro="" textlink="">
      <xdr:nvSpPr>
        <xdr:cNvPr id="861" name="Isosceles Triangle 860">
          <a:extLst>
            <a:ext uri="{FF2B5EF4-FFF2-40B4-BE49-F238E27FC236}">
              <a16:creationId xmlns:a16="http://schemas.microsoft.com/office/drawing/2014/main" id="{00000000-0008-0000-0A00-00005D030000}"/>
            </a:ext>
          </a:extLst>
        </xdr:cNvPr>
        <xdr:cNvSpPr/>
      </xdr:nvSpPr>
      <xdr:spPr>
        <a:xfrm>
          <a:off x="105517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295</xdr:row>
      <xdr:rowOff>78147</xdr:rowOff>
    </xdr:from>
    <xdr:to>
      <xdr:col>5</xdr:col>
      <xdr:colOff>0</xdr:colOff>
      <xdr:row>296</xdr:row>
      <xdr:rowOff>192447</xdr:rowOff>
    </xdr:to>
    <xdr:sp macro="" textlink="">
      <xdr:nvSpPr>
        <xdr:cNvPr id="862" name="Isosceles Triangle 861">
          <a:extLst>
            <a:ext uri="{FF2B5EF4-FFF2-40B4-BE49-F238E27FC236}">
              <a16:creationId xmlns:a16="http://schemas.microsoft.com/office/drawing/2014/main" id="{00000000-0008-0000-0A00-00005E030000}"/>
            </a:ext>
          </a:extLst>
        </xdr:cNvPr>
        <xdr:cNvSpPr/>
      </xdr:nvSpPr>
      <xdr:spPr>
        <a:xfrm>
          <a:off x="25253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295</xdr:row>
      <xdr:rowOff>78147</xdr:rowOff>
    </xdr:from>
    <xdr:to>
      <xdr:col>3</xdr:col>
      <xdr:colOff>0</xdr:colOff>
      <xdr:row>296</xdr:row>
      <xdr:rowOff>192447</xdr:rowOff>
    </xdr:to>
    <xdr:sp macro="" textlink="">
      <xdr:nvSpPr>
        <xdr:cNvPr id="863" name="Isosceles Triangle 862">
          <a:extLst>
            <a:ext uri="{FF2B5EF4-FFF2-40B4-BE49-F238E27FC236}">
              <a16:creationId xmlns:a16="http://schemas.microsoft.com/office/drawing/2014/main" id="{00000000-0008-0000-0A00-00005F030000}"/>
            </a:ext>
          </a:extLst>
        </xdr:cNvPr>
        <xdr:cNvSpPr/>
      </xdr:nvSpPr>
      <xdr:spPr>
        <a:xfrm>
          <a:off x="128714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295</xdr:row>
      <xdr:rowOff>78147</xdr:rowOff>
    </xdr:from>
    <xdr:to>
      <xdr:col>17</xdr:col>
      <xdr:colOff>0</xdr:colOff>
      <xdr:row>296</xdr:row>
      <xdr:rowOff>192447</xdr:rowOff>
    </xdr:to>
    <xdr:sp macro="" textlink="">
      <xdr:nvSpPr>
        <xdr:cNvPr id="864" name="Isosceles Triangle 863">
          <a:extLst>
            <a:ext uri="{FF2B5EF4-FFF2-40B4-BE49-F238E27FC236}">
              <a16:creationId xmlns:a16="http://schemas.microsoft.com/office/drawing/2014/main" id="{00000000-0008-0000-0A00-000060030000}"/>
            </a:ext>
          </a:extLst>
        </xdr:cNvPr>
        <xdr:cNvSpPr/>
      </xdr:nvSpPr>
      <xdr:spPr>
        <a:xfrm>
          <a:off x="85451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295</xdr:row>
      <xdr:rowOff>78147</xdr:rowOff>
    </xdr:from>
    <xdr:to>
      <xdr:col>19</xdr:col>
      <xdr:colOff>0</xdr:colOff>
      <xdr:row>297</xdr:row>
      <xdr:rowOff>3176</xdr:rowOff>
    </xdr:to>
    <xdr:sp macro="" textlink="">
      <xdr:nvSpPr>
        <xdr:cNvPr id="865" name="Isosceles Triangle 864">
          <a:extLst>
            <a:ext uri="{FF2B5EF4-FFF2-40B4-BE49-F238E27FC236}">
              <a16:creationId xmlns:a16="http://schemas.microsoft.com/office/drawing/2014/main" id="{00000000-0008-0000-0A00-000061030000}"/>
            </a:ext>
          </a:extLst>
        </xdr:cNvPr>
        <xdr:cNvSpPr/>
      </xdr:nvSpPr>
      <xdr:spPr>
        <a:xfrm>
          <a:off x="9548495" y="4985575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287</xdr:row>
      <xdr:rowOff>64796</xdr:rowOff>
    </xdr:from>
    <xdr:to>
      <xdr:col>13</xdr:col>
      <xdr:colOff>1909</xdr:colOff>
      <xdr:row>288</xdr:row>
      <xdr:rowOff>153696</xdr:rowOff>
    </xdr:to>
    <xdr:sp macro="" textlink="">
      <xdr:nvSpPr>
        <xdr:cNvPr id="866" name="Isosceles Triangle 865">
          <a:extLst>
            <a:ext uri="{FF2B5EF4-FFF2-40B4-BE49-F238E27FC236}">
              <a16:creationId xmlns:a16="http://schemas.microsoft.com/office/drawing/2014/main" id="{00000000-0008-0000-0A00-000062030000}"/>
            </a:ext>
          </a:extLst>
        </xdr:cNvPr>
        <xdr:cNvSpPr/>
      </xdr:nvSpPr>
      <xdr:spPr>
        <a:xfrm>
          <a:off x="6540500" y="485025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67" name="Isosceles Triangle 866">
          <a:extLst>
            <a:ext uri="{FF2B5EF4-FFF2-40B4-BE49-F238E27FC236}">
              <a16:creationId xmlns:a16="http://schemas.microsoft.com/office/drawing/2014/main" id="{00000000-0008-0000-0A00-000063030000}"/>
            </a:ext>
          </a:extLst>
        </xdr:cNvPr>
        <xdr:cNvSpPr/>
      </xdr:nvSpPr>
      <xdr:spPr>
        <a:xfrm>
          <a:off x="128714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303</xdr:row>
      <xdr:rowOff>78147</xdr:rowOff>
    </xdr:from>
    <xdr:to>
      <xdr:col>5</xdr:col>
      <xdr:colOff>0</xdr:colOff>
      <xdr:row>304</xdr:row>
      <xdr:rowOff>192447</xdr:rowOff>
    </xdr:to>
    <xdr:sp macro="" textlink="">
      <xdr:nvSpPr>
        <xdr:cNvPr id="868" name="Isosceles Triangle 867">
          <a:extLst>
            <a:ext uri="{FF2B5EF4-FFF2-40B4-BE49-F238E27FC236}">
              <a16:creationId xmlns:a16="http://schemas.microsoft.com/office/drawing/2014/main" id="{00000000-0008-0000-0A00-000064030000}"/>
            </a:ext>
          </a:extLst>
        </xdr:cNvPr>
        <xdr:cNvSpPr/>
      </xdr:nvSpPr>
      <xdr:spPr>
        <a:xfrm>
          <a:off x="252539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303</xdr:row>
      <xdr:rowOff>78147</xdr:rowOff>
    </xdr:from>
    <xdr:to>
      <xdr:col>7</xdr:col>
      <xdr:colOff>0</xdr:colOff>
      <xdr:row>304</xdr:row>
      <xdr:rowOff>192447</xdr:rowOff>
    </xdr:to>
    <xdr:sp macro="" textlink="">
      <xdr:nvSpPr>
        <xdr:cNvPr id="869" name="Isosceles Triangle 868">
          <a:extLst>
            <a:ext uri="{FF2B5EF4-FFF2-40B4-BE49-F238E27FC236}">
              <a16:creationId xmlns:a16="http://schemas.microsoft.com/office/drawing/2014/main" id="{00000000-0008-0000-0A00-000065030000}"/>
            </a:ext>
          </a:extLst>
        </xdr:cNvPr>
        <xdr:cNvSpPr/>
      </xdr:nvSpPr>
      <xdr:spPr>
        <a:xfrm>
          <a:off x="35286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303</xdr:row>
      <xdr:rowOff>78147</xdr:rowOff>
    </xdr:from>
    <xdr:to>
      <xdr:col>9</xdr:col>
      <xdr:colOff>0</xdr:colOff>
      <xdr:row>304</xdr:row>
      <xdr:rowOff>192447</xdr:rowOff>
    </xdr:to>
    <xdr:sp macro="" textlink="">
      <xdr:nvSpPr>
        <xdr:cNvPr id="870" name="Isosceles Triangle 869">
          <a:extLst>
            <a:ext uri="{FF2B5EF4-FFF2-40B4-BE49-F238E27FC236}">
              <a16:creationId xmlns:a16="http://schemas.microsoft.com/office/drawing/2014/main" id="{00000000-0008-0000-0A00-000066030000}"/>
            </a:ext>
          </a:extLst>
        </xdr:cNvPr>
        <xdr:cNvSpPr/>
      </xdr:nvSpPr>
      <xdr:spPr>
        <a:xfrm>
          <a:off x="45319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303</xdr:row>
      <xdr:rowOff>78147</xdr:rowOff>
    </xdr:from>
    <xdr:to>
      <xdr:col>11</xdr:col>
      <xdr:colOff>0</xdr:colOff>
      <xdr:row>305</xdr:row>
      <xdr:rowOff>5058</xdr:rowOff>
    </xdr:to>
    <xdr:sp macro="" textlink="">
      <xdr:nvSpPr>
        <xdr:cNvPr id="871" name="Isosceles Triangle 870">
          <a:extLst>
            <a:ext uri="{FF2B5EF4-FFF2-40B4-BE49-F238E27FC236}">
              <a16:creationId xmlns:a16="http://schemas.microsoft.com/office/drawing/2014/main" id="{00000000-0008-0000-0A00-000067030000}"/>
            </a:ext>
          </a:extLst>
        </xdr:cNvPr>
        <xdr:cNvSpPr/>
      </xdr:nvSpPr>
      <xdr:spPr>
        <a:xfrm>
          <a:off x="5535295" y="512019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303</xdr:row>
      <xdr:rowOff>78147</xdr:rowOff>
    </xdr:from>
    <xdr:to>
      <xdr:col>15</xdr:col>
      <xdr:colOff>0</xdr:colOff>
      <xdr:row>304</xdr:row>
      <xdr:rowOff>192447</xdr:rowOff>
    </xdr:to>
    <xdr:sp macro="" textlink="">
      <xdr:nvSpPr>
        <xdr:cNvPr id="872" name="Isosceles Triangle 871">
          <a:extLst>
            <a:ext uri="{FF2B5EF4-FFF2-40B4-BE49-F238E27FC236}">
              <a16:creationId xmlns:a16="http://schemas.microsoft.com/office/drawing/2014/main" id="{00000000-0008-0000-0A00-000068030000}"/>
            </a:ext>
          </a:extLst>
        </xdr:cNvPr>
        <xdr:cNvSpPr/>
      </xdr:nvSpPr>
      <xdr:spPr>
        <a:xfrm>
          <a:off x="75418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303</xdr:row>
      <xdr:rowOff>78147</xdr:rowOff>
    </xdr:from>
    <xdr:to>
      <xdr:col>17</xdr:col>
      <xdr:colOff>0</xdr:colOff>
      <xdr:row>304</xdr:row>
      <xdr:rowOff>192447</xdr:rowOff>
    </xdr:to>
    <xdr:sp macro="" textlink="">
      <xdr:nvSpPr>
        <xdr:cNvPr id="873" name="Isosceles Triangle 872">
          <a:extLst>
            <a:ext uri="{FF2B5EF4-FFF2-40B4-BE49-F238E27FC236}">
              <a16:creationId xmlns:a16="http://schemas.microsoft.com/office/drawing/2014/main" id="{00000000-0008-0000-0A00-000069030000}"/>
            </a:ext>
          </a:extLst>
        </xdr:cNvPr>
        <xdr:cNvSpPr/>
      </xdr:nvSpPr>
      <xdr:spPr>
        <a:xfrm>
          <a:off x="85451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303</xdr:row>
      <xdr:rowOff>78147</xdr:rowOff>
    </xdr:from>
    <xdr:to>
      <xdr:col>21</xdr:col>
      <xdr:colOff>0</xdr:colOff>
      <xdr:row>304</xdr:row>
      <xdr:rowOff>192447</xdr:rowOff>
    </xdr:to>
    <xdr:sp macro="" textlink="">
      <xdr:nvSpPr>
        <xdr:cNvPr id="874" name="Isosceles Triangle 873">
          <a:extLst>
            <a:ext uri="{FF2B5EF4-FFF2-40B4-BE49-F238E27FC236}">
              <a16:creationId xmlns:a16="http://schemas.microsoft.com/office/drawing/2014/main" id="{00000000-0008-0000-0A00-00006A030000}"/>
            </a:ext>
          </a:extLst>
        </xdr:cNvPr>
        <xdr:cNvSpPr/>
      </xdr:nvSpPr>
      <xdr:spPr>
        <a:xfrm>
          <a:off x="105517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75" name="Isosceles Triangle 874">
          <a:extLst>
            <a:ext uri="{FF2B5EF4-FFF2-40B4-BE49-F238E27FC236}">
              <a16:creationId xmlns:a16="http://schemas.microsoft.com/office/drawing/2014/main" id="{00000000-0008-0000-0A00-00006B030000}"/>
            </a:ext>
          </a:extLst>
        </xdr:cNvPr>
        <xdr:cNvSpPr/>
      </xdr:nvSpPr>
      <xdr:spPr>
        <a:xfrm>
          <a:off x="128714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303</xdr:row>
      <xdr:rowOff>78147</xdr:rowOff>
    </xdr:from>
    <xdr:to>
      <xdr:col>5</xdr:col>
      <xdr:colOff>0</xdr:colOff>
      <xdr:row>304</xdr:row>
      <xdr:rowOff>192447</xdr:rowOff>
    </xdr:to>
    <xdr:sp macro="" textlink="">
      <xdr:nvSpPr>
        <xdr:cNvPr id="876" name="Isosceles Triangle 875">
          <a:extLst>
            <a:ext uri="{FF2B5EF4-FFF2-40B4-BE49-F238E27FC236}">
              <a16:creationId xmlns:a16="http://schemas.microsoft.com/office/drawing/2014/main" id="{00000000-0008-0000-0A00-00006C030000}"/>
            </a:ext>
          </a:extLst>
        </xdr:cNvPr>
        <xdr:cNvSpPr/>
      </xdr:nvSpPr>
      <xdr:spPr>
        <a:xfrm>
          <a:off x="25253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77" name="Isosceles Triangle 876">
          <a:extLst>
            <a:ext uri="{FF2B5EF4-FFF2-40B4-BE49-F238E27FC236}">
              <a16:creationId xmlns:a16="http://schemas.microsoft.com/office/drawing/2014/main" id="{00000000-0008-0000-0A00-00006D030000}"/>
            </a:ext>
          </a:extLst>
        </xdr:cNvPr>
        <xdr:cNvSpPr/>
      </xdr:nvSpPr>
      <xdr:spPr>
        <a:xfrm>
          <a:off x="128714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303</xdr:row>
      <xdr:rowOff>78147</xdr:rowOff>
    </xdr:from>
    <xdr:to>
      <xdr:col>19</xdr:col>
      <xdr:colOff>0</xdr:colOff>
      <xdr:row>304</xdr:row>
      <xdr:rowOff>192447</xdr:rowOff>
    </xdr:to>
    <xdr:sp macro="" textlink="">
      <xdr:nvSpPr>
        <xdr:cNvPr id="878" name="Isosceles Triangle 877">
          <a:extLst>
            <a:ext uri="{FF2B5EF4-FFF2-40B4-BE49-F238E27FC236}">
              <a16:creationId xmlns:a16="http://schemas.microsoft.com/office/drawing/2014/main" id="{00000000-0008-0000-0A00-00006E030000}"/>
            </a:ext>
          </a:extLst>
        </xdr:cNvPr>
        <xdr:cNvSpPr/>
      </xdr:nvSpPr>
      <xdr:spPr>
        <a:xfrm>
          <a:off x="95484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311</xdr:row>
      <xdr:rowOff>78147</xdr:rowOff>
    </xdr:from>
    <xdr:to>
      <xdr:col>3</xdr:col>
      <xdr:colOff>0</xdr:colOff>
      <xdr:row>312</xdr:row>
      <xdr:rowOff>192447</xdr:rowOff>
    </xdr:to>
    <xdr:sp macro="" textlink="">
      <xdr:nvSpPr>
        <xdr:cNvPr id="879" name="Isosceles Triangle 878">
          <a:extLst>
            <a:ext uri="{FF2B5EF4-FFF2-40B4-BE49-F238E27FC236}">
              <a16:creationId xmlns:a16="http://schemas.microsoft.com/office/drawing/2014/main" id="{00000000-0008-0000-0A00-00006F030000}"/>
            </a:ext>
          </a:extLst>
        </xdr:cNvPr>
        <xdr:cNvSpPr/>
      </xdr:nvSpPr>
      <xdr:spPr>
        <a:xfrm>
          <a:off x="1287145" y="52541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311</xdr:row>
      <xdr:rowOff>78147</xdr:rowOff>
    </xdr:from>
    <xdr:to>
      <xdr:col>7</xdr:col>
      <xdr:colOff>0</xdr:colOff>
      <xdr:row>313</xdr:row>
      <xdr:rowOff>5057</xdr:rowOff>
    </xdr:to>
    <xdr:sp macro="" textlink="">
      <xdr:nvSpPr>
        <xdr:cNvPr id="880" name="Isosceles Triangle 879">
          <a:extLst>
            <a:ext uri="{FF2B5EF4-FFF2-40B4-BE49-F238E27FC236}">
              <a16:creationId xmlns:a16="http://schemas.microsoft.com/office/drawing/2014/main" id="{00000000-0008-0000-0A00-000070030000}"/>
            </a:ext>
          </a:extLst>
        </xdr:cNvPr>
        <xdr:cNvSpPr/>
      </xdr:nvSpPr>
      <xdr:spPr>
        <a:xfrm>
          <a:off x="35286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311</xdr:row>
      <xdr:rowOff>78147</xdr:rowOff>
    </xdr:from>
    <xdr:to>
      <xdr:col>9</xdr:col>
      <xdr:colOff>0</xdr:colOff>
      <xdr:row>313</xdr:row>
      <xdr:rowOff>5057</xdr:rowOff>
    </xdr:to>
    <xdr:sp macro="" textlink="">
      <xdr:nvSpPr>
        <xdr:cNvPr id="881" name="Isosceles Triangle 880">
          <a:extLst>
            <a:ext uri="{FF2B5EF4-FFF2-40B4-BE49-F238E27FC236}">
              <a16:creationId xmlns:a16="http://schemas.microsoft.com/office/drawing/2014/main" id="{00000000-0008-0000-0A00-000071030000}"/>
            </a:ext>
          </a:extLst>
        </xdr:cNvPr>
        <xdr:cNvSpPr/>
      </xdr:nvSpPr>
      <xdr:spPr>
        <a:xfrm>
          <a:off x="45319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311</xdr:row>
      <xdr:rowOff>78147</xdr:rowOff>
    </xdr:from>
    <xdr:to>
      <xdr:col>11</xdr:col>
      <xdr:colOff>0</xdr:colOff>
      <xdr:row>312</xdr:row>
      <xdr:rowOff>192447</xdr:rowOff>
    </xdr:to>
    <xdr:sp macro="" textlink="">
      <xdr:nvSpPr>
        <xdr:cNvPr id="882" name="Isosceles Triangle 881">
          <a:extLst>
            <a:ext uri="{FF2B5EF4-FFF2-40B4-BE49-F238E27FC236}">
              <a16:creationId xmlns:a16="http://schemas.microsoft.com/office/drawing/2014/main" id="{00000000-0008-0000-0A00-000072030000}"/>
            </a:ext>
          </a:extLst>
        </xdr:cNvPr>
        <xdr:cNvSpPr/>
      </xdr:nvSpPr>
      <xdr:spPr>
        <a:xfrm>
          <a:off x="55352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311</xdr:row>
      <xdr:rowOff>78147</xdr:rowOff>
    </xdr:from>
    <xdr:to>
      <xdr:col>13</xdr:col>
      <xdr:colOff>0</xdr:colOff>
      <xdr:row>313</xdr:row>
      <xdr:rowOff>5057</xdr:rowOff>
    </xdr:to>
    <xdr:sp macro="" textlink="">
      <xdr:nvSpPr>
        <xdr:cNvPr id="883" name="Isosceles Triangle 882">
          <a:extLst>
            <a:ext uri="{FF2B5EF4-FFF2-40B4-BE49-F238E27FC236}">
              <a16:creationId xmlns:a16="http://schemas.microsoft.com/office/drawing/2014/main" id="{00000000-0008-0000-0A00-000073030000}"/>
            </a:ext>
          </a:extLst>
        </xdr:cNvPr>
        <xdr:cNvSpPr/>
      </xdr:nvSpPr>
      <xdr:spPr>
        <a:xfrm>
          <a:off x="65385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311</xdr:row>
      <xdr:rowOff>78147</xdr:rowOff>
    </xdr:from>
    <xdr:to>
      <xdr:col>15</xdr:col>
      <xdr:colOff>0</xdr:colOff>
      <xdr:row>312</xdr:row>
      <xdr:rowOff>192447</xdr:rowOff>
    </xdr:to>
    <xdr:sp macro="" textlink="">
      <xdr:nvSpPr>
        <xdr:cNvPr id="884" name="Isosceles Triangle 883">
          <a:extLst>
            <a:ext uri="{FF2B5EF4-FFF2-40B4-BE49-F238E27FC236}">
              <a16:creationId xmlns:a16="http://schemas.microsoft.com/office/drawing/2014/main" id="{00000000-0008-0000-0A00-000074030000}"/>
            </a:ext>
          </a:extLst>
        </xdr:cNvPr>
        <xdr:cNvSpPr/>
      </xdr:nvSpPr>
      <xdr:spPr>
        <a:xfrm>
          <a:off x="75418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311</xdr:row>
      <xdr:rowOff>78147</xdr:rowOff>
    </xdr:from>
    <xdr:to>
      <xdr:col>17</xdr:col>
      <xdr:colOff>0</xdr:colOff>
      <xdr:row>312</xdr:row>
      <xdr:rowOff>192447</xdr:rowOff>
    </xdr:to>
    <xdr:sp macro="" textlink="">
      <xdr:nvSpPr>
        <xdr:cNvPr id="885" name="Isosceles Triangle 884">
          <a:extLst>
            <a:ext uri="{FF2B5EF4-FFF2-40B4-BE49-F238E27FC236}">
              <a16:creationId xmlns:a16="http://schemas.microsoft.com/office/drawing/2014/main" id="{00000000-0008-0000-0A00-000075030000}"/>
            </a:ext>
          </a:extLst>
        </xdr:cNvPr>
        <xdr:cNvSpPr/>
      </xdr:nvSpPr>
      <xdr:spPr>
        <a:xfrm>
          <a:off x="8545195" y="52541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311</xdr:row>
      <xdr:rowOff>78147</xdr:rowOff>
    </xdr:from>
    <xdr:to>
      <xdr:col>19</xdr:col>
      <xdr:colOff>0</xdr:colOff>
      <xdr:row>312</xdr:row>
      <xdr:rowOff>192447</xdr:rowOff>
    </xdr:to>
    <xdr:sp macro="" textlink="">
      <xdr:nvSpPr>
        <xdr:cNvPr id="886" name="Isosceles Triangle 885">
          <a:extLst>
            <a:ext uri="{FF2B5EF4-FFF2-40B4-BE49-F238E27FC236}">
              <a16:creationId xmlns:a16="http://schemas.microsoft.com/office/drawing/2014/main" id="{00000000-0008-0000-0A00-000076030000}"/>
            </a:ext>
          </a:extLst>
        </xdr:cNvPr>
        <xdr:cNvSpPr/>
      </xdr:nvSpPr>
      <xdr:spPr>
        <a:xfrm>
          <a:off x="95484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311</xdr:row>
      <xdr:rowOff>78147</xdr:rowOff>
    </xdr:from>
    <xdr:to>
      <xdr:col>21</xdr:col>
      <xdr:colOff>0</xdr:colOff>
      <xdr:row>312</xdr:row>
      <xdr:rowOff>192447</xdr:rowOff>
    </xdr:to>
    <xdr:sp macro="" textlink="">
      <xdr:nvSpPr>
        <xdr:cNvPr id="887" name="Isosceles Triangle 886">
          <a:extLst>
            <a:ext uri="{FF2B5EF4-FFF2-40B4-BE49-F238E27FC236}">
              <a16:creationId xmlns:a16="http://schemas.microsoft.com/office/drawing/2014/main" id="{00000000-0008-0000-0A00-000077030000}"/>
            </a:ext>
          </a:extLst>
        </xdr:cNvPr>
        <xdr:cNvSpPr/>
      </xdr:nvSpPr>
      <xdr:spPr>
        <a:xfrm>
          <a:off x="105517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311</xdr:row>
      <xdr:rowOff>78147</xdr:rowOff>
    </xdr:from>
    <xdr:to>
      <xdr:col>5</xdr:col>
      <xdr:colOff>0</xdr:colOff>
      <xdr:row>312</xdr:row>
      <xdr:rowOff>192447</xdr:rowOff>
    </xdr:to>
    <xdr:sp macro="" textlink="">
      <xdr:nvSpPr>
        <xdr:cNvPr id="888" name="Isosceles Triangle 887">
          <a:extLst>
            <a:ext uri="{FF2B5EF4-FFF2-40B4-BE49-F238E27FC236}">
              <a16:creationId xmlns:a16="http://schemas.microsoft.com/office/drawing/2014/main" id="{00000000-0008-0000-0A00-000078030000}"/>
            </a:ext>
          </a:extLst>
        </xdr:cNvPr>
        <xdr:cNvSpPr/>
      </xdr:nvSpPr>
      <xdr:spPr>
        <a:xfrm>
          <a:off x="25253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311</xdr:row>
      <xdr:rowOff>78147</xdr:rowOff>
    </xdr:from>
    <xdr:to>
      <xdr:col>3</xdr:col>
      <xdr:colOff>0</xdr:colOff>
      <xdr:row>312</xdr:row>
      <xdr:rowOff>192447</xdr:rowOff>
    </xdr:to>
    <xdr:sp macro="" textlink="">
      <xdr:nvSpPr>
        <xdr:cNvPr id="889" name="Isosceles Triangle 888">
          <a:extLst>
            <a:ext uri="{FF2B5EF4-FFF2-40B4-BE49-F238E27FC236}">
              <a16:creationId xmlns:a16="http://schemas.microsoft.com/office/drawing/2014/main" id="{00000000-0008-0000-0A00-000079030000}"/>
            </a:ext>
          </a:extLst>
        </xdr:cNvPr>
        <xdr:cNvSpPr/>
      </xdr:nvSpPr>
      <xdr:spPr>
        <a:xfrm>
          <a:off x="128714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311</xdr:row>
      <xdr:rowOff>78147</xdr:rowOff>
    </xdr:from>
    <xdr:to>
      <xdr:col>17</xdr:col>
      <xdr:colOff>0</xdr:colOff>
      <xdr:row>312</xdr:row>
      <xdr:rowOff>192447</xdr:rowOff>
    </xdr:to>
    <xdr:sp macro="" textlink="">
      <xdr:nvSpPr>
        <xdr:cNvPr id="890" name="Isosceles Triangle 889">
          <a:extLst>
            <a:ext uri="{FF2B5EF4-FFF2-40B4-BE49-F238E27FC236}">
              <a16:creationId xmlns:a16="http://schemas.microsoft.com/office/drawing/2014/main" id="{00000000-0008-0000-0A00-00007A030000}"/>
            </a:ext>
          </a:extLst>
        </xdr:cNvPr>
        <xdr:cNvSpPr/>
      </xdr:nvSpPr>
      <xdr:spPr>
        <a:xfrm>
          <a:off x="85451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311</xdr:row>
      <xdr:rowOff>78147</xdr:rowOff>
    </xdr:from>
    <xdr:to>
      <xdr:col>19</xdr:col>
      <xdr:colOff>0</xdr:colOff>
      <xdr:row>312</xdr:row>
      <xdr:rowOff>192447</xdr:rowOff>
    </xdr:to>
    <xdr:sp macro="" textlink="">
      <xdr:nvSpPr>
        <xdr:cNvPr id="891" name="Isosceles Triangle 890">
          <a:extLst>
            <a:ext uri="{FF2B5EF4-FFF2-40B4-BE49-F238E27FC236}">
              <a16:creationId xmlns:a16="http://schemas.microsoft.com/office/drawing/2014/main" id="{00000000-0008-0000-0A00-00007B030000}"/>
            </a:ext>
          </a:extLst>
        </xdr:cNvPr>
        <xdr:cNvSpPr/>
      </xdr:nvSpPr>
      <xdr:spPr>
        <a:xfrm>
          <a:off x="95484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303</xdr:row>
      <xdr:rowOff>64796</xdr:rowOff>
    </xdr:from>
    <xdr:to>
      <xdr:col>13</xdr:col>
      <xdr:colOff>1909</xdr:colOff>
      <xdr:row>304</xdr:row>
      <xdr:rowOff>153696</xdr:rowOff>
    </xdr:to>
    <xdr:sp macro="" textlink="">
      <xdr:nvSpPr>
        <xdr:cNvPr id="892" name="Isosceles Triangle 891">
          <a:extLst>
            <a:ext uri="{FF2B5EF4-FFF2-40B4-BE49-F238E27FC236}">
              <a16:creationId xmlns:a16="http://schemas.microsoft.com/office/drawing/2014/main" id="{00000000-0008-0000-0A00-00007C030000}"/>
            </a:ext>
          </a:extLst>
        </xdr:cNvPr>
        <xdr:cNvSpPr/>
      </xdr:nvSpPr>
      <xdr:spPr>
        <a:xfrm>
          <a:off x="6540500" y="511886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311021</xdr:colOff>
      <xdr:row>314</xdr:row>
      <xdr:rowOff>110153</xdr:rowOff>
    </xdr:from>
    <xdr:to>
      <xdr:col>19</xdr:col>
      <xdr:colOff>479490</xdr:colOff>
      <xdr:row>315</xdr:row>
      <xdr:rowOff>97193</xdr:rowOff>
    </xdr:to>
    <xdr:sp macro="" textlink="">
      <xdr:nvSpPr>
        <xdr:cNvPr id="893" name="Rectangle: Top Corners Snipped 892">
          <a:extLst>
            <a:ext uri="{FF2B5EF4-FFF2-40B4-BE49-F238E27FC236}">
              <a16:creationId xmlns:a16="http://schemas.microsoft.com/office/drawing/2014/main" id="{00000000-0008-0000-0A00-00007D030000}"/>
            </a:ext>
          </a:extLst>
        </xdr:cNvPr>
        <xdr:cNvSpPr/>
      </xdr:nvSpPr>
      <xdr:spPr>
        <a:xfrm>
          <a:off x="10356215" y="53078380"/>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894" name="Isosceles Triangle 893">
          <a:extLst>
            <a:ext uri="{FF2B5EF4-FFF2-40B4-BE49-F238E27FC236}">
              <a16:creationId xmlns:a16="http://schemas.microsoft.com/office/drawing/2014/main" id="{00000000-0008-0000-0A00-00007E030000}"/>
            </a:ext>
          </a:extLst>
        </xdr:cNvPr>
        <xdr:cNvSpPr/>
      </xdr:nvSpPr>
      <xdr:spPr>
        <a:xfrm>
          <a:off x="128714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319</xdr:row>
      <xdr:rowOff>78147</xdr:rowOff>
    </xdr:from>
    <xdr:to>
      <xdr:col>5</xdr:col>
      <xdr:colOff>0</xdr:colOff>
      <xdr:row>320</xdr:row>
      <xdr:rowOff>192447</xdr:rowOff>
    </xdr:to>
    <xdr:sp macro="" textlink="">
      <xdr:nvSpPr>
        <xdr:cNvPr id="895" name="Isosceles Triangle 894">
          <a:extLst>
            <a:ext uri="{FF2B5EF4-FFF2-40B4-BE49-F238E27FC236}">
              <a16:creationId xmlns:a16="http://schemas.microsoft.com/office/drawing/2014/main" id="{00000000-0008-0000-0A00-00007F030000}"/>
            </a:ext>
          </a:extLst>
        </xdr:cNvPr>
        <xdr:cNvSpPr/>
      </xdr:nvSpPr>
      <xdr:spPr>
        <a:xfrm>
          <a:off x="252539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319</xdr:row>
      <xdr:rowOff>78147</xdr:rowOff>
    </xdr:from>
    <xdr:to>
      <xdr:col>7</xdr:col>
      <xdr:colOff>0</xdr:colOff>
      <xdr:row>320</xdr:row>
      <xdr:rowOff>192447</xdr:rowOff>
    </xdr:to>
    <xdr:sp macro="" textlink="">
      <xdr:nvSpPr>
        <xdr:cNvPr id="896" name="Isosceles Triangle 895">
          <a:extLst>
            <a:ext uri="{FF2B5EF4-FFF2-40B4-BE49-F238E27FC236}">
              <a16:creationId xmlns:a16="http://schemas.microsoft.com/office/drawing/2014/main" id="{00000000-0008-0000-0A00-000080030000}"/>
            </a:ext>
          </a:extLst>
        </xdr:cNvPr>
        <xdr:cNvSpPr/>
      </xdr:nvSpPr>
      <xdr:spPr>
        <a:xfrm>
          <a:off x="35286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319</xdr:row>
      <xdr:rowOff>78147</xdr:rowOff>
    </xdr:from>
    <xdr:to>
      <xdr:col>9</xdr:col>
      <xdr:colOff>0</xdr:colOff>
      <xdr:row>321</xdr:row>
      <xdr:rowOff>3176</xdr:rowOff>
    </xdr:to>
    <xdr:sp macro="" textlink="">
      <xdr:nvSpPr>
        <xdr:cNvPr id="897" name="Isosceles Triangle 896">
          <a:extLst>
            <a:ext uri="{FF2B5EF4-FFF2-40B4-BE49-F238E27FC236}">
              <a16:creationId xmlns:a16="http://schemas.microsoft.com/office/drawing/2014/main" id="{00000000-0008-0000-0A00-000081030000}"/>
            </a:ext>
          </a:extLst>
        </xdr:cNvPr>
        <xdr:cNvSpPr/>
      </xdr:nvSpPr>
      <xdr:spPr>
        <a:xfrm>
          <a:off x="4531995" y="5388800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319</xdr:row>
      <xdr:rowOff>78147</xdr:rowOff>
    </xdr:from>
    <xdr:to>
      <xdr:col>11</xdr:col>
      <xdr:colOff>0</xdr:colOff>
      <xdr:row>321</xdr:row>
      <xdr:rowOff>5058</xdr:rowOff>
    </xdr:to>
    <xdr:sp macro="" textlink="">
      <xdr:nvSpPr>
        <xdr:cNvPr id="898" name="Isosceles Triangle 897">
          <a:extLst>
            <a:ext uri="{FF2B5EF4-FFF2-40B4-BE49-F238E27FC236}">
              <a16:creationId xmlns:a16="http://schemas.microsoft.com/office/drawing/2014/main" id="{00000000-0008-0000-0A00-000082030000}"/>
            </a:ext>
          </a:extLst>
        </xdr:cNvPr>
        <xdr:cNvSpPr/>
      </xdr:nvSpPr>
      <xdr:spPr>
        <a:xfrm>
          <a:off x="5535295" y="53888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319</xdr:row>
      <xdr:rowOff>78147</xdr:rowOff>
    </xdr:from>
    <xdr:to>
      <xdr:col>15</xdr:col>
      <xdr:colOff>0</xdr:colOff>
      <xdr:row>320</xdr:row>
      <xdr:rowOff>192447</xdr:rowOff>
    </xdr:to>
    <xdr:sp macro="" textlink="">
      <xdr:nvSpPr>
        <xdr:cNvPr id="899" name="Isosceles Triangle 898">
          <a:extLst>
            <a:ext uri="{FF2B5EF4-FFF2-40B4-BE49-F238E27FC236}">
              <a16:creationId xmlns:a16="http://schemas.microsoft.com/office/drawing/2014/main" id="{00000000-0008-0000-0A00-000083030000}"/>
            </a:ext>
          </a:extLst>
        </xdr:cNvPr>
        <xdr:cNvSpPr/>
      </xdr:nvSpPr>
      <xdr:spPr>
        <a:xfrm>
          <a:off x="75418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319</xdr:row>
      <xdr:rowOff>78147</xdr:rowOff>
    </xdr:from>
    <xdr:to>
      <xdr:col>17</xdr:col>
      <xdr:colOff>0</xdr:colOff>
      <xdr:row>320</xdr:row>
      <xdr:rowOff>192447</xdr:rowOff>
    </xdr:to>
    <xdr:sp macro="" textlink="">
      <xdr:nvSpPr>
        <xdr:cNvPr id="900" name="Isosceles Triangle 899">
          <a:extLst>
            <a:ext uri="{FF2B5EF4-FFF2-40B4-BE49-F238E27FC236}">
              <a16:creationId xmlns:a16="http://schemas.microsoft.com/office/drawing/2014/main" id="{00000000-0008-0000-0A00-000084030000}"/>
            </a:ext>
          </a:extLst>
        </xdr:cNvPr>
        <xdr:cNvSpPr/>
      </xdr:nvSpPr>
      <xdr:spPr>
        <a:xfrm>
          <a:off x="85451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319</xdr:row>
      <xdr:rowOff>78147</xdr:rowOff>
    </xdr:from>
    <xdr:to>
      <xdr:col>21</xdr:col>
      <xdr:colOff>0</xdr:colOff>
      <xdr:row>320</xdr:row>
      <xdr:rowOff>192447</xdr:rowOff>
    </xdr:to>
    <xdr:sp macro="" textlink="">
      <xdr:nvSpPr>
        <xdr:cNvPr id="901" name="Isosceles Triangle 900">
          <a:extLst>
            <a:ext uri="{FF2B5EF4-FFF2-40B4-BE49-F238E27FC236}">
              <a16:creationId xmlns:a16="http://schemas.microsoft.com/office/drawing/2014/main" id="{00000000-0008-0000-0A00-000085030000}"/>
            </a:ext>
          </a:extLst>
        </xdr:cNvPr>
        <xdr:cNvSpPr/>
      </xdr:nvSpPr>
      <xdr:spPr>
        <a:xfrm>
          <a:off x="105517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902" name="Isosceles Triangle 901">
          <a:extLst>
            <a:ext uri="{FF2B5EF4-FFF2-40B4-BE49-F238E27FC236}">
              <a16:creationId xmlns:a16="http://schemas.microsoft.com/office/drawing/2014/main" id="{00000000-0008-0000-0A00-000086030000}"/>
            </a:ext>
          </a:extLst>
        </xdr:cNvPr>
        <xdr:cNvSpPr/>
      </xdr:nvSpPr>
      <xdr:spPr>
        <a:xfrm>
          <a:off x="128714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319</xdr:row>
      <xdr:rowOff>78147</xdr:rowOff>
    </xdr:from>
    <xdr:to>
      <xdr:col>5</xdr:col>
      <xdr:colOff>0</xdr:colOff>
      <xdr:row>320</xdr:row>
      <xdr:rowOff>192447</xdr:rowOff>
    </xdr:to>
    <xdr:sp macro="" textlink="">
      <xdr:nvSpPr>
        <xdr:cNvPr id="903" name="Isosceles Triangle 902">
          <a:extLst>
            <a:ext uri="{FF2B5EF4-FFF2-40B4-BE49-F238E27FC236}">
              <a16:creationId xmlns:a16="http://schemas.microsoft.com/office/drawing/2014/main" id="{00000000-0008-0000-0A00-000087030000}"/>
            </a:ext>
          </a:extLst>
        </xdr:cNvPr>
        <xdr:cNvSpPr/>
      </xdr:nvSpPr>
      <xdr:spPr>
        <a:xfrm>
          <a:off x="25253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904" name="Isosceles Triangle 903">
          <a:extLst>
            <a:ext uri="{FF2B5EF4-FFF2-40B4-BE49-F238E27FC236}">
              <a16:creationId xmlns:a16="http://schemas.microsoft.com/office/drawing/2014/main" id="{00000000-0008-0000-0A00-000088030000}"/>
            </a:ext>
          </a:extLst>
        </xdr:cNvPr>
        <xdr:cNvSpPr/>
      </xdr:nvSpPr>
      <xdr:spPr>
        <a:xfrm>
          <a:off x="128714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319</xdr:row>
      <xdr:rowOff>78147</xdr:rowOff>
    </xdr:from>
    <xdr:to>
      <xdr:col>19</xdr:col>
      <xdr:colOff>0</xdr:colOff>
      <xdr:row>320</xdr:row>
      <xdr:rowOff>192447</xdr:rowOff>
    </xdr:to>
    <xdr:sp macro="" textlink="">
      <xdr:nvSpPr>
        <xdr:cNvPr id="905" name="Isosceles Triangle 904">
          <a:extLst>
            <a:ext uri="{FF2B5EF4-FFF2-40B4-BE49-F238E27FC236}">
              <a16:creationId xmlns:a16="http://schemas.microsoft.com/office/drawing/2014/main" id="{00000000-0008-0000-0A00-000089030000}"/>
            </a:ext>
          </a:extLst>
        </xdr:cNvPr>
        <xdr:cNvSpPr/>
      </xdr:nvSpPr>
      <xdr:spPr>
        <a:xfrm>
          <a:off x="95484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327</xdr:row>
      <xdr:rowOff>78147</xdr:rowOff>
    </xdr:from>
    <xdr:to>
      <xdr:col>3</xdr:col>
      <xdr:colOff>0</xdr:colOff>
      <xdr:row>328</xdr:row>
      <xdr:rowOff>192447</xdr:rowOff>
    </xdr:to>
    <xdr:sp macro="" textlink="">
      <xdr:nvSpPr>
        <xdr:cNvPr id="906" name="Isosceles Triangle 905">
          <a:extLst>
            <a:ext uri="{FF2B5EF4-FFF2-40B4-BE49-F238E27FC236}">
              <a16:creationId xmlns:a16="http://schemas.microsoft.com/office/drawing/2014/main" id="{00000000-0008-0000-0A00-00008A030000}"/>
            </a:ext>
          </a:extLst>
        </xdr:cNvPr>
        <xdr:cNvSpPr/>
      </xdr:nvSpPr>
      <xdr:spPr>
        <a:xfrm>
          <a:off x="1287145" y="552278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327</xdr:row>
      <xdr:rowOff>78147</xdr:rowOff>
    </xdr:from>
    <xdr:to>
      <xdr:col>7</xdr:col>
      <xdr:colOff>0</xdr:colOff>
      <xdr:row>329</xdr:row>
      <xdr:rowOff>5057</xdr:rowOff>
    </xdr:to>
    <xdr:sp macro="" textlink="">
      <xdr:nvSpPr>
        <xdr:cNvPr id="907" name="Isosceles Triangle 906">
          <a:extLst>
            <a:ext uri="{FF2B5EF4-FFF2-40B4-BE49-F238E27FC236}">
              <a16:creationId xmlns:a16="http://schemas.microsoft.com/office/drawing/2014/main" id="{00000000-0008-0000-0A00-00008B030000}"/>
            </a:ext>
          </a:extLst>
        </xdr:cNvPr>
        <xdr:cNvSpPr/>
      </xdr:nvSpPr>
      <xdr:spPr>
        <a:xfrm>
          <a:off x="35286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327</xdr:row>
      <xdr:rowOff>78147</xdr:rowOff>
    </xdr:from>
    <xdr:to>
      <xdr:col>9</xdr:col>
      <xdr:colOff>0</xdr:colOff>
      <xdr:row>329</xdr:row>
      <xdr:rowOff>5057</xdr:rowOff>
    </xdr:to>
    <xdr:sp macro="" textlink="">
      <xdr:nvSpPr>
        <xdr:cNvPr id="908" name="Isosceles Triangle 907">
          <a:extLst>
            <a:ext uri="{FF2B5EF4-FFF2-40B4-BE49-F238E27FC236}">
              <a16:creationId xmlns:a16="http://schemas.microsoft.com/office/drawing/2014/main" id="{00000000-0008-0000-0A00-00008C030000}"/>
            </a:ext>
          </a:extLst>
        </xdr:cNvPr>
        <xdr:cNvSpPr/>
      </xdr:nvSpPr>
      <xdr:spPr>
        <a:xfrm>
          <a:off x="45319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327</xdr:row>
      <xdr:rowOff>78147</xdr:rowOff>
    </xdr:from>
    <xdr:to>
      <xdr:col>11</xdr:col>
      <xdr:colOff>0</xdr:colOff>
      <xdr:row>328</xdr:row>
      <xdr:rowOff>192447</xdr:rowOff>
    </xdr:to>
    <xdr:sp macro="" textlink="">
      <xdr:nvSpPr>
        <xdr:cNvPr id="909" name="Isosceles Triangle 908">
          <a:extLst>
            <a:ext uri="{FF2B5EF4-FFF2-40B4-BE49-F238E27FC236}">
              <a16:creationId xmlns:a16="http://schemas.microsoft.com/office/drawing/2014/main" id="{00000000-0008-0000-0A00-00008D030000}"/>
            </a:ext>
          </a:extLst>
        </xdr:cNvPr>
        <xdr:cNvSpPr/>
      </xdr:nvSpPr>
      <xdr:spPr>
        <a:xfrm>
          <a:off x="55352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327</xdr:row>
      <xdr:rowOff>78147</xdr:rowOff>
    </xdr:from>
    <xdr:to>
      <xdr:col>13</xdr:col>
      <xdr:colOff>0</xdr:colOff>
      <xdr:row>329</xdr:row>
      <xdr:rowOff>5057</xdr:rowOff>
    </xdr:to>
    <xdr:sp macro="" textlink="">
      <xdr:nvSpPr>
        <xdr:cNvPr id="910" name="Isosceles Triangle 909">
          <a:extLst>
            <a:ext uri="{FF2B5EF4-FFF2-40B4-BE49-F238E27FC236}">
              <a16:creationId xmlns:a16="http://schemas.microsoft.com/office/drawing/2014/main" id="{00000000-0008-0000-0A00-00008E030000}"/>
            </a:ext>
          </a:extLst>
        </xdr:cNvPr>
        <xdr:cNvSpPr/>
      </xdr:nvSpPr>
      <xdr:spPr>
        <a:xfrm>
          <a:off x="65385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327</xdr:row>
      <xdr:rowOff>78147</xdr:rowOff>
    </xdr:from>
    <xdr:to>
      <xdr:col>15</xdr:col>
      <xdr:colOff>0</xdr:colOff>
      <xdr:row>328</xdr:row>
      <xdr:rowOff>192447</xdr:rowOff>
    </xdr:to>
    <xdr:sp macro="" textlink="">
      <xdr:nvSpPr>
        <xdr:cNvPr id="911" name="Isosceles Triangle 910">
          <a:extLst>
            <a:ext uri="{FF2B5EF4-FFF2-40B4-BE49-F238E27FC236}">
              <a16:creationId xmlns:a16="http://schemas.microsoft.com/office/drawing/2014/main" id="{00000000-0008-0000-0A00-00008F030000}"/>
            </a:ext>
          </a:extLst>
        </xdr:cNvPr>
        <xdr:cNvSpPr/>
      </xdr:nvSpPr>
      <xdr:spPr>
        <a:xfrm>
          <a:off x="75418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327</xdr:row>
      <xdr:rowOff>78147</xdr:rowOff>
    </xdr:from>
    <xdr:to>
      <xdr:col>17</xdr:col>
      <xdr:colOff>0</xdr:colOff>
      <xdr:row>328</xdr:row>
      <xdr:rowOff>192447</xdr:rowOff>
    </xdr:to>
    <xdr:sp macro="" textlink="">
      <xdr:nvSpPr>
        <xdr:cNvPr id="912" name="Isosceles Triangle 911">
          <a:extLst>
            <a:ext uri="{FF2B5EF4-FFF2-40B4-BE49-F238E27FC236}">
              <a16:creationId xmlns:a16="http://schemas.microsoft.com/office/drawing/2014/main" id="{00000000-0008-0000-0A00-000090030000}"/>
            </a:ext>
          </a:extLst>
        </xdr:cNvPr>
        <xdr:cNvSpPr/>
      </xdr:nvSpPr>
      <xdr:spPr>
        <a:xfrm>
          <a:off x="8545195" y="552278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327</xdr:row>
      <xdr:rowOff>78147</xdr:rowOff>
    </xdr:from>
    <xdr:to>
      <xdr:col>19</xdr:col>
      <xdr:colOff>0</xdr:colOff>
      <xdr:row>328</xdr:row>
      <xdr:rowOff>192447</xdr:rowOff>
    </xdr:to>
    <xdr:sp macro="" textlink="">
      <xdr:nvSpPr>
        <xdr:cNvPr id="913" name="Isosceles Triangle 912">
          <a:extLst>
            <a:ext uri="{FF2B5EF4-FFF2-40B4-BE49-F238E27FC236}">
              <a16:creationId xmlns:a16="http://schemas.microsoft.com/office/drawing/2014/main" id="{00000000-0008-0000-0A00-000091030000}"/>
            </a:ext>
          </a:extLst>
        </xdr:cNvPr>
        <xdr:cNvSpPr/>
      </xdr:nvSpPr>
      <xdr:spPr>
        <a:xfrm>
          <a:off x="95484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327</xdr:row>
      <xdr:rowOff>78147</xdr:rowOff>
    </xdr:from>
    <xdr:to>
      <xdr:col>21</xdr:col>
      <xdr:colOff>0</xdr:colOff>
      <xdr:row>328</xdr:row>
      <xdr:rowOff>192447</xdr:rowOff>
    </xdr:to>
    <xdr:sp macro="" textlink="">
      <xdr:nvSpPr>
        <xdr:cNvPr id="914" name="Isosceles Triangle 913">
          <a:extLst>
            <a:ext uri="{FF2B5EF4-FFF2-40B4-BE49-F238E27FC236}">
              <a16:creationId xmlns:a16="http://schemas.microsoft.com/office/drawing/2014/main" id="{00000000-0008-0000-0A00-000092030000}"/>
            </a:ext>
          </a:extLst>
        </xdr:cNvPr>
        <xdr:cNvSpPr/>
      </xdr:nvSpPr>
      <xdr:spPr>
        <a:xfrm>
          <a:off x="105517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327</xdr:row>
      <xdr:rowOff>78147</xdr:rowOff>
    </xdr:from>
    <xdr:to>
      <xdr:col>5</xdr:col>
      <xdr:colOff>0</xdr:colOff>
      <xdr:row>328</xdr:row>
      <xdr:rowOff>192447</xdr:rowOff>
    </xdr:to>
    <xdr:sp macro="" textlink="">
      <xdr:nvSpPr>
        <xdr:cNvPr id="915" name="Isosceles Triangle 914">
          <a:extLst>
            <a:ext uri="{FF2B5EF4-FFF2-40B4-BE49-F238E27FC236}">
              <a16:creationId xmlns:a16="http://schemas.microsoft.com/office/drawing/2014/main" id="{00000000-0008-0000-0A00-000093030000}"/>
            </a:ext>
          </a:extLst>
        </xdr:cNvPr>
        <xdr:cNvSpPr/>
      </xdr:nvSpPr>
      <xdr:spPr>
        <a:xfrm>
          <a:off x="25253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327</xdr:row>
      <xdr:rowOff>78147</xdr:rowOff>
    </xdr:from>
    <xdr:to>
      <xdr:col>3</xdr:col>
      <xdr:colOff>0</xdr:colOff>
      <xdr:row>328</xdr:row>
      <xdr:rowOff>192447</xdr:rowOff>
    </xdr:to>
    <xdr:sp macro="" textlink="">
      <xdr:nvSpPr>
        <xdr:cNvPr id="916" name="Isosceles Triangle 915">
          <a:extLst>
            <a:ext uri="{FF2B5EF4-FFF2-40B4-BE49-F238E27FC236}">
              <a16:creationId xmlns:a16="http://schemas.microsoft.com/office/drawing/2014/main" id="{00000000-0008-0000-0A00-000094030000}"/>
            </a:ext>
          </a:extLst>
        </xdr:cNvPr>
        <xdr:cNvSpPr/>
      </xdr:nvSpPr>
      <xdr:spPr>
        <a:xfrm>
          <a:off x="128714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327</xdr:row>
      <xdr:rowOff>78147</xdr:rowOff>
    </xdr:from>
    <xdr:to>
      <xdr:col>17</xdr:col>
      <xdr:colOff>0</xdr:colOff>
      <xdr:row>328</xdr:row>
      <xdr:rowOff>192447</xdr:rowOff>
    </xdr:to>
    <xdr:sp macro="" textlink="">
      <xdr:nvSpPr>
        <xdr:cNvPr id="917" name="Isosceles Triangle 916">
          <a:extLst>
            <a:ext uri="{FF2B5EF4-FFF2-40B4-BE49-F238E27FC236}">
              <a16:creationId xmlns:a16="http://schemas.microsoft.com/office/drawing/2014/main" id="{00000000-0008-0000-0A00-000095030000}"/>
            </a:ext>
          </a:extLst>
        </xdr:cNvPr>
        <xdr:cNvSpPr/>
      </xdr:nvSpPr>
      <xdr:spPr>
        <a:xfrm>
          <a:off x="85451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327</xdr:row>
      <xdr:rowOff>78147</xdr:rowOff>
    </xdr:from>
    <xdr:to>
      <xdr:col>19</xdr:col>
      <xdr:colOff>0</xdr:colOff>
      <xdr:row>328</xdr:row>
      <xdr:rowOff>192447</xdr:rowOff>
    </xdr:to>
    <xdr:sp macro="" textlink="">
      <xdr:nvSpPr>
        <xdr:cNvPr id="918" name="Isosceles Triangle 917">
          <a:extLst>
            <a:ext uri="{FF2B5EF4-FFF2-40B4-BE49-F238E27FC236}">
              <a16:creationId xmlns:a16="http://schemas.microsoft.com/office/drawing/2014/main" id="{00000000-0008-0000-0A00-000096030000}"/>
            </a:ext>
          </a:extLst>
        </xdr:cNvPr>
        <xdr:cNvSpPr/>
      </xdr:nvSpPr>
      <xdr:spPr>
        <a:xfrm>
          <a:off x="95484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319</xdr:row>
      <xdr:rowOff>64796</xdr:rowOff>
    </xdr:from>
    <xdr:to>
      <xdr:col>13</xdr:col>
      <xdr:colOff>1909</xdr:colOff>
      <xdr:row>320</xdr:row>
      <xdr:rowOff>153696</xdr:rowOff>
    </xdr:to>
    <xdr:sp macro="" textlink="">
      <xdr:nvSpPr>
        <xdr:cNvPr id="919" name="Isosceles Triangle 918">
          <a:extLst>
            <a:ext uri="{FF2B5EF4-FFF2-40B4-BE49-F238E27FC236}">
              <a16:creationId xmlns:a16="http://schemas.microsoft.com/office/drawing/2014/main" id="{00000000-0008-0000-0A00-000097030000}"/>
            </a:ext>
          </a:extLst>
        </xdr:cNvPr>
        <xdr:cNvSpPr/>
      </xdr:nvSpPr>
      <xdr:spPr>
        <a:xfrm>
          <a:off x="6540500" y="538746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20" name="Isosceles Triangle 919">
          <a:extLst>
            <a:ext uri="{FF2B5EF4-FFF2-40B4-BE49-F238E27FC236}">
              <a16:creationId xmlns:a16="http://schemas.microsoft.com/office/drawing/2014/main" id="{00000000-0008-0000-0A00-000098030000}"/>
            </a:ext>
          </a:extLst>
        </xdr:cNvPr>
        <xdr:cNvSpPr/>
      </xdr:nvSpPr>
      <xdr:spPr>
        <a:xfrm>
          <a:off x="128714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336</xdr:row>
      <xdr:rowOff>78147</xdr:rowOff>
    </xdr:from>
    <xdr:to>
      <xdr:col>5</xdr:col>
      <xdr:colOff>0</xdr:colOff>
      <xdr:row>337</xdr:row>
      <xdr:rowOff>192447</xdr:rowOff>
    </xdr:to>
    <xdr:sp macro="" textlink="">
      <xdr:nvSpPr>
        <xdr:cNvPr id="921" name="Isosceles Triangle 920">
          <a:extLst>
            <a:ext uri="{FF2B5EF4-FFF2-40B4-BE49-F238E27FC236}">
              <a16:creationId xmlns:a16="http://schemas.microsoft.com/office/drawing/2014/main" id="{00000000-0008-0000-0A00-000099030000}"/>
            </a:ext>
          </a:extLst>
        </xdr:cNvPr>
        <xdr:cNvSpPr/>
      </xdr:nvSpPr>
      <xdr:spPr>
        <a:xfrm>
          <a:off x="252539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336</xdr:row>
      <xdr:rowOff>78147</xdr:rowOff>
    </xdr:from>
    <xdr:to>
      <xdr:col>7</xdr:col>
      <xdr:colOff>0</xdr:colOff>
      <xdr:row>337</xdr:row>
      <xdr:rowOff>192447</xdr:rowOff>
    </xdr:to>
    <xdr:sp macro="" textlink="">
      <xdr:nvSpPr>
        <xdr:cNvPr id="922" name="Isosceles Triangle 921">
          <a:extLst>
            <a:ext uri="{FF2B5EF4-FFF2-40B4-BE49-F238E27FC236}">
              <a16:creationId xmlns:a16="http://schemas.microsoft.com/office/drawing/2014/main" id="{00000000-0008-0000-0A00-00009A030000}"/>
            </a:ext>
          </a:extLst>
        </xdr:cNvPr>
        <xdr:cNvSpPr/>
      </xdr:nvSpPr>
      <xdr:spPr>
        <a:xfrm>
          <a:off x="35286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336</xdr:row>
      <xdr:rowOff>78147</xdr:rowOff>
    </xdr:from>
    <xdr:to>
      <xdr:col>9</xdr:col>
      <xdr:colOff>0</xdr:colOff>
      <xdr:row>337</xdr:row>
      <xdr:rowOff>192447</xdr:rowOff>
    </xdr:to>
    <xdr:sp macro="" textlink="">
      <xdr:nvSpPr>
        <xdr:cNvPr id="923" name="Isosceles Triangle 922">
          <a:extLst>
            <a:ext uri="{FF2B5EF4-FFF2-40B4-BE49-F238E27FC236}">
              <a16:creationId xmlns:a16="http://schemas.microsoft.com/office/drawing/2014/main" id="{00000000-0008-0000-0A00-00009B030000}"/>
            </a:ext>
          </a:extLst>
        </xdr:cNvPr>
        <xdr:cNvSpPr/>
      </xdr:nvSpPr>
      <xdr:spPr>
        <a:xfrm>
          <a:off x="45319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336</xdr:row>
      <xdr:rowOff>78147</xdr:rowOff>
    </xdr:from>
    <xdr:to>
      <xdr:col>11</xdr:col>
      <xdr:colOff>0</xdr:colOff>
      <xdr:row>338</xdr:row>
      <xdr:rowOff>5058</xdr:rowOff>
    </xdr:to>
    <xdr:sp macro="" textlink="">
      <xdr:nvSpPr>
        <xdr:cNvPr id="924" name="Isosceles Triangle 923">
          <a:extLst>
            <a:ext uri="{FF2B5EF4-FFF2-40B4-BE49-F238E27FC236}">
              <a16:creationId xmlns:a16="http://schemas.microsoft.com/office/drawing/2014/main" id="{00000000-0008-0000-0A00-00009C030000}"/>
            </a:ext>
          </a:extLst>
        </xdr:cNvPr>
        <xdr:cNvSpPr/>
      </xdr:nvSpPr>
      <xdr:spPr>
        <a:xfrm>
          <a:off x="5535295" y="56739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336</xdr:row>
      <xdr:rowOff>78147</xdr:rowOff>
    </xdr:from>
    <xdr:to>
      <xdr:col>15</xdr:col>
      <xdr:colOff>0</xdr:colOff>
      <xdr:row>337</xdr:row>
      <xdr:rowOff>192447</xdr:rowOff>
    </xdr:to>
    <xdr:sp macro="" textlink="">
      <xdr:nvSpPr>
        <xdr:cNvPr id="925" name="Isosceles Triangle 924">
          <a:extLst>
            <a:ext uri="{FF2B5EF4-FFF2-40B4-BE49-F238E27FC236}">
              <a16:creationId xmlns:a16="http://schemas.microsoft.com/office/drawing/2014/main" id="{00000000-0008-0000-0A00-00009D030000}"/>
            </a:ext>
          </a:extLst>
        </xdr:cNvPr>
        <xdr:cNvSpPr/>
      </xdr:nvSpPr>
      <xdr:spPr>
        <a:xfrm>
          <a:off x="75418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336</xdr:row>
      <xdr:rowOff>78147</xdr:rowOff>
    </xdr:from>
    <xdr:to>
      <xdr:col>17</xdr:col>
      <xdr:colOff>0</xdr:colOff>
      <xdr:row>337</xdr:row>
      <xdr:rowOff>192447</xdr:rowOff>
    </xdr:to>
    <xdr:sp macro="" textlink="">
      <xdr:nvSpPr>
        <xdr:cNvPr id="926" name="Isosceles Triangle 925">
          <a:extLst>
            <a:ext uri="{FF2B5EF4-FFF2-40B4-BE49-F238E27FC236}">
              <a16:creationId xmlns:a16="http://schemas.microsoft.com/office/drawing/2014/main" id="{00000000-0008-0000-0A00-00009E030000}"/>
            </a:ext>
          </a:extLst>
        </xdr:cNvPr>
        <xdr:cNvSpPr/>
      </xdr:nvSpPr>
      <xdr:spPr>
        <a:xfrm>
          <a:off x="85451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336</xdr:row>
      <xdr:rowOff>78147</xdr:rowOff>
    </xdr:from>
    <xdr:to>
      <xdr:col>21</xdr:col>
      <xdr:colOff>0</xdr:colOff>
      <xdr:row>337</xdr:row>
      <xdr:rowOff>192447</xdr:rowOff>
    </xdr:to>
    <xdr:sp macro="" textlink="">
      <xdr:nvSpPr>
        <xdr:cNvPr id="927" name="Isosceles Triangle 926">
          <a:extLst>
            <a:ext uri="{FF2B5EF4-FFF2-40B4-BE49-F238E27FC236}">
              <a16:creationId xmlns:a16="http://schemas.microsoft.com/office/drawing/2014/main" id="{00000000-0008-0000-0A00-00009F030000}"/>
            </a:ext>
          </a:extLst>
        </xdr:cNvPr>
        <xdr:cNvSpPr/>
      </xdr:nvSpPr>
      <xdr:spPr>
        <a:xfrm>
          <a:off x="105517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28" name="Isosceles Triangle 927">
          <a:extLst>
            <a:ext uri="{FF2B5EF4-FFF2-40B4-BE49-F238E27FC236}">
              <a16:creationId xmlns:a16="http://schemas.microsoft.com/office/drawing/2014/main" id="{00000000-0008-0000-0A00-0000A0030000}"/>
            </a:ext>
          </a:extLst>
        </xdr:cNvPr>
        <xdr:cNvSpPr/>
      </xdr:nvSpPr>
      <xdr:spPr>
        <a:xfrm>
          <a:off x="128714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336</xdr:row>
      <xdr:rowOff>78147</xdr:rowOff>
    </xdr:from>
    <xdr:to>
      <xdr:col>5</xdr:col>
      <xdr:colOff>0</xdr:colOff>
      <xdr:row>337</xdr:row>
      <xdr:rowOff>192447</xdr:rowOff>
    </xdr:to>
    <xdr:sp macro="" textlink="">
      <xdr:nvSpPr>
        <xdr:cNvPr id="929" name="Isosceles Triangle 928">
          <a:extLst>
            <a:ext uri="{FF2B5EF4-FFF2-40B4-BE49-F238E27FC236}">
              <a16:creationId xmlns:a16="http://schemas.microsoft.com/office/drawing/2014/main" id="{00000000-0008-0000-0A00-0000A1030000}"/>
            </a:ext>
          </a:extLst>
        </xdr:cNvPr>
        <xdr:cNvSpPr/>
      </xdr:nvSpPr>
      <xdr:spPr>
        <a:xfrm>
          <a:off x="25253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30" name="Isosceles Triangle 929">
          <a:extLst>
            <a:ext uri="{FF2B5EF4-FFF2-40B4-BE49-F238E27FC236}">
              <a16:creationId xmlns:a16="http://schemas.microsoft.com/office/drawing/2014/main" id="{00000000-0008-0000-0A00-0000A2030000}"/>
            </a:ext>
          </a:extLst>
        </xdr:cNvPr>
        <xdr:cNvSpPr/>
      </xdr:nvSpPr>
      <xdr:spPr>
        <a:xfrm>
          <a:off x="128714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336</xdr:row>
      <xdr:rowOff>78147</xdr:rowOff>
    </xdr:from>
    <xdr:to>
      <xdr:col>19</xdr:col>
      <xdr:colOff>0</xdr:colOff>
      <xdr:row>337</xdr:row>
      <xdr:rowOff>192447</xdr:rowOff>
    </xdr:to>
    <xdr:sp macro="" textlink="">
      <xdr:nvSpPr>
        <xdr:cNvPr id="931" name="Isosceles Triangle 930">
          <a:extLst>
            <a:ext uri="{FF2B5EF4-FFF2-40B4-BE49-F238E27FC236}">
              <a16:creationId xmlns:a16="http://schemas.microsoft.com/office/drawing/2014/main" id="{00000000-0008-0000-0A00-0000A3030000}"/>
            </a:ext>
          </a:extLst>
        </xdr:cNvPr>
        <xdr:cNvSpPr/>
      </xdr:nvSpPr>
      <xdr:spPr>
        <a:xfrm>
          <a:off x="95484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344</xdr:row>
      <xdr:rowOff>78147</xdr:rowOff>
    </xdr:from>
    <xdr:to>
      <xdr:col>3</xdr:col>
      <xdr:colOff>0</xdr:colOff>
      <xdr:row>345</xdr:row>
      <xdr:rowOff>192447</xdr:rowOff>
    </xdr:to>
    <xdr:sp macro="" textlink="">
      <xdr:nvSpPr>
        <xdr:cNvPr id="932" name="Isosceles Triangle 931">
          <a:extLst>
            <a:ext uri="{FF2B5EF4-FFF2-40B4-BE49-F238E27FC236}">
              <a16:creationId xmlns:a16="http://schemas.microsoft.com/office/drawing/2014/main" id="{00000000-0008-0000-0A00-0000A4030000}"/>
            </a:ext>
          </a:extLst>
        </xdr:cNvPr>
        <xdr:cNvSpPr/>
      </xdr:nvSpPr>
      <xdr:spPr>
        <a:xfrm>
          <a:off x="1287145" y="5807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344</xdr:row>
      <xdr:rowOff>78147</xdr:rowOff>
    </xdr:from>
    <xdr:to>
      <xdr:col>7</xdr:col>
      <xdr:colOff>0</xdr:colOff>
      <xdr:row>346</xdr:row>
      <xdr:rowOff>5057</xdr:rowOff>
    </xdr:to>
    <xdr:sp macro="" textlink="">
      <xdr:nvSpPr>
        <xdr:cNvPr id="933" name="Isosceles Triangle 932">
          <a:extLst>
            <a:ext uri="{FF2B5EF4-FFF2-40B4-BE49-F238E27FC236}">
              <a16:creationId xmlns:a16="http://schemas.microsoft.com/office/drawing/2014/main" id="{00000000-0008-0000-0A00-0000A5030000}"/>
            </a:ext>
          </a:extLst>
        </xdr:cNvPr>
        <xdr:cNvSpPr/>
      </xdr:nvSpPr>
      <xdr:spPr>
        <a:xfrm>
          <a:off x="35286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344</xdr:row>
      <xdr:rowOff>78147</xdr:rowOff>
    </xdr:from>
    <xdr:to>
      <xdr:col>9</xdr:col>
      <xdr:colOff>0</xdr:colOff>
      <xdr:row>346</xdr:row>
      <xdr:rowOff>5057</xdr:rowOff>
    </xdr:to>
    <xdr:sp macro="" textlink="">
      <xdr:nvSpPr>
        <xdr:cNvPr id="934" name="Isosceles Triangle 933">
          <a:extLst>
            <a:ext uri="{FF2B5EF4-FFF2-40B4-BE49-F238E27FC236}">
              <a16:creationId xmlns:a16="http://schemas.microsoft.com/office/drawing/2014/main" id="{00000000-0008-0000-0A00-0000A6030000}"/>
            </a:ext>
          </a:extLst>
        </xdr:cNvPr>
        <xdr:cNvSpPr/>
      </xdr:nvSpPr>
      <xdr:spPr>
        <a:xfrm>
          <a:off x="45319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344</xdr:row>
      <xdr:rowOff>78147</xdr:rowOff>
    </xdr:from>
    <xdr:to>
      <xdr:col>11</xdr:col>
      <xdr:colOff>0</xdr:colOff>
      <xdr:row>345</xdr:row>
      <xdr:rowOff>192447</xdr:rowOff>
    </xdr:to>
    <xdr:sp macro="" textlink="">
      <xdr:nvSpPr>
        <xdr:cNvPr id="935" name="Isosceles Triangle 934">
          <a:extLst>
            <a:ext uri="{FF2B5EF4-FFF2-40B4-BE49-F238E27FC236}">
              <a16:creationId xmlns:a16="http://schemas.microsoft.com/office/drawing/2014/main" id="{00000000-0008-0000-0A00-0000A7030000}"/>
            </a:ext>
          </a:extLst>
        </xdr:cNvPr>
        <xdr:cNvSpPr/>
      </xdr:nvSpPr>
      <xdr:spPr>
        <a:xfrm>
          <a:off x="55352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344</xdr:row>
      <xdr:rowOff>78147</xdr:rowOff>
    </xdr:from>
    <xdr:to>
      <xdr:col>13</xdr:col>
      <xdr:colOff>0</xdr:colOff>
      <xdr:row>346</xdr:row>
      <xdr:rowOff>5057</xdr:rowOff>
    </xdr:to>
    <xdr:sp macro="" textlink="">
      <xdr:nvSpPr>
        <xdr:cNvPr id="936" name="Isosceles Triangle 935">
          <a:extLst>
            <a:ext uri="{FF2B5EF4-FFF2-40B4-BE49-F238E27FC236}">
              <a16:creationId xmlns:a16="http://schemas.microsoft.com/office/drawing/2014/main" id="{00000000-0008-0000-0A00-0000A8030000}"/>
            </a:ext>
          </a:extLst>
        </xdr:cNvPr>
        <xdr:cNvSpPr/>
      </xdr:nvSpPr>
      <xdr:spPr>
        <a:xfrm>
          <a:off x="65385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344</xdr:row>
      <xdr:rowOff>78147</xdr:rowOff>
    </xdr:from>
    <xdr:to>
      <xdr:col>15</xdr:col>
      <xdr:colOff>0</xdr:colOff>
      <xdr:row>345</xdr:row>
      <xdr:rowOff>192447</xdr:rowOff>
    </xdr:to>
    <xdr:sp macro="" textlink="">
      <xdr:nvSpPr>
        <xdr:cNvPr id="937" name="Isosceles Triangle 936">
          <a:extLst>
            <a:ext uri="{FF2B5EF4-FFF2-40B4-BE49-F238E27FC236}">
              <a16:creationId xmlns:a16="http://schemas.microsoft.com/office/drawing/2014/main" id="{00000000-0008-0000-0A00-0000A9030000}"/>
            </a:ext>
          </a:extLst>
        </xdr:cNvPr>
        <xdr:cNvSpPr/>
      </xdr:nvSpPr>
      <xdr:spPr>
        <a:xfrm>
          <a:off x="75418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344</xdr:row>
      <xdr:rowOff>78147</xdr:rowOff>
    </xdr:from>
    <xdr:to>
      <xdr:col>17</xdr:col>
      <xdr:colOff>0</xdr:colOff>
      <xdr:row>345</xdr:row>
      <xdr:rowOff>192447</xdr:rowOff>
    </xdr:to>
    <xdr:sp macro="" textlink="">
      <xdr:nvSpPr>
        <xdr:cNvPr id="938" name="Isosceles Triangle 937">
          <a:extLst>
            <a:ext uri="{FF2B5EF4-FFF2-40B4-BE49-F238E27FC236}">
              <a16:creationId xmlns:a16="http://schemas.microsoft.com/office/drawing/2014/main" id="{00000000-0008-0000-0A00-0000AA030000}"/>
            </a:ext>
          </a:extLst>
        </xdr:cNvPr>
        <xdr:cNvSpPr/>
      </xdr:nvSpPr>
      <xdr:spPr>
        <a:xfrm>
          <a:off x="8545195" y="5807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344</xdr:row>
      <xdr:rowOff>78147</xdr:rowOff>
    </xdr:from>
    <xdr:to>
      <xdr:col>19</xdr:col>
      <xdr:colOff>0</xdr:colOff>
      <xdr:row>345</xdr:row>
      <xdr:rowOff>192447</xdr:rowOff>
    </xdr:to>
    <xdr:sp macro="" textlink="">
      <xdr:nvSpPr>
        <xdr:cNvPr id="939" name="Isosceles Triangle 938">
          <a:extLst>
            <a:ext uri="{FF2B5EF4-FFF2-40B4-BE49-F238E27FC236}">
              <a16:creationId xmlns:a16="http://schemas.microsoft.com/office/drawing/2014/main" id="{00000000-0008-0000-0A00-0000AB030000}"/>
            </a:ext>
          </a:extLst>
        </xdr:cNvPr>
        <xdr:cNvSpPr/>
      </xdr:nvSpPr>
      <xdr:spPr>
        <a:xfrm>
          <a:off x="95484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344</xdr:row>
      <xdr:rowOff>78147</xdr:rowOff>
    </xdr:from>
    <xdr:to>
      <xdr:col>21</xdr:col>
      <xdr:colOff>0</xdr:colOff>
      <xdr:row>345</xdr:row>
      <xdr:rowOff>192447</xdr:rowOff>
    </xdr:to>
    <xdr:sp macro="" textlink="">
      <xdr:nvSpPr>
        <xdr:cNvPr id="940" name="Isosceles Triangle 939">
          <a:extLst>
            <a:ext uri="{FF2B5EF4-FFF2-40B4-BE49-F238E27FC236}">
              <a16:creationId xmlns:a16="http://schemas.microsoft.com/office/drawing/2014/main" id="{00000000-0008-0000-0A00-0000AC030000}"/>
            </a:ext>
          </a:extLst>
        </xdr:cNvPr>
        <xdr:cNvSpPr/>
      </xdr:nvSpPr>
      <xdr:spPr>
        <a:xfrm>
          <a:off x="105517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344</xdr:row>
      <xdr:rowOff>78147</xdr:rowOff>
    </xdr:from>
    <xdr:to>
      <xdr:col>5</xdr:col>
      <xdr:colOff>0</xdr:colOff>
      <xdr:row>345</xdr:row>
      <xdr:rowOff>192447</xdr:rowOff>
    </xdr:to>
    <xdr:sp macro="" textlink="">
      <xdr:nvSpPr>
        <xdr:cNvPr id="941" name="Isosceles Triangle 940">
          <a:extLst>
            <a:ext uri="{FF2B5EF4-FFF2-40B4-BE49-F238E27FC236}">
              <a16:creationId xmlns:a16="http://schemas.microsoft.com/office/drawing/2014/main" id="{00000000-0008-0000-0A00-0000AD030000}"/>
            </a:ext>
          </a:extLst>
        </xdr:cNvPr>
        <xdr:cNvSpPr/>
      </xdr:nvSpPr>
      <xdr:spPr>
        <a:xfrm>
          <a:off x="25253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344</xdr:row>
      <xdr:rowOff>78147</xdr:rowOff>
    </xdr:from>
    <xdr:to>
      <xdr:col>3</xdr:col>
      <xdr:colOff>0</xdr:colOff>
      <xdr:row>345</xdr:row>
      <xdr:rowOff>192447</xdr:rowOff>
    </xdr:to>
    <xdr:sp macro="" textlink="">
      <xdr:nvSpPr>
        <xdr:cNvPr id="942" name="Isosceles Triangle 941">
          <a:extLst>
            <a:ext uri="{FF2B5EF4-FFF2-40B4-BE49-F238E27FC236}">
              <a16:creationId xmlns:a16="http://schemas.microsoft.com/office/drawing/2014/main" id="{00000000-0008-0000-0A00-0000AE030000}"/>
            </a:ext>
          </a:extLst>
        </xdr:cNvPr>
        <xdr:cNvSpPr/>
      </xdr:nvSpPr>
      <xdr:spPr>
        <a:xfrm>
          <a:off x="128714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344</xdr:row>
      <xdr:rowOff>78147</xdr:rowOff>
    </xdr:from>
    <xdr:to>
      <xdr:col>17</xdr:col>
      <xdr:colOff>0</xdr:colOff>
      <xdr:row>345</xdr:row>
      <xdr:rowOff>192447</xdr:rowOff>
    </xdr:to>
    <xdr:sp macro="" textlink="">
      <xdr:nvSpPr>
        <xdr:cNvPr id="943" name="Isosceles Triangle 942">
          <a:extLst>
            <a:ext uri="{FF2B5EF4-FFF2-40B4-BE49-F238E27FC236}">
              <a16:creationId xmlns:a16="http://schemas.microsoft.com/office/drawing/2014/main" id="{00000000-0008-0000-0A00-0000AF030000}"/>
            </a:ext>
          </a:extLst>
        </xdr:cNvPr>
        <xdr:cNvSpPr/>
      </xdr:nvSpPr>
      <xdr:spPr>
        <a:xfrm>
          <a:off x="85451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344</xdr:row>
      <xdr:rowOff>78147</xdr:rowOff>
    </xdr:from>
    <xdr:to>
      <xdr:col>19</xdr:col>
      <xdr:colOff>0</xdr:colOff>
      <xdr:row>345</xdr:row>
      <xdr:rowOff>192447</xdr:rowOff>
    </xdr:to>
    <xdr:sp macro="" textlink="">
      <xdr:nvSpPr>
        <xdr:cNvPr id="944" name="Isosceles Triangle 943">
          <a:extLst>
            <a:ext uri="{FF2B5EF4-FFF2-40B4-BE49-F238E27FC236}">
              <a16:creationId xmlns:a16="http://schemas.microsoft.com/office/drawing/2014/main" id="{00000000-0008-0000-0A00-0000B0030000}"/>
            </a:ext>
          </a:extLst>
        </xdr:cNvPr>
        <xdr:cNvSpPr/>
      </xdr:nvSpPr>
      <xdr:spPr>
        <a:xfrm>
          <a:off x="95484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336</xdr:row>
      <xdr:rowOff>64796</xdr:rowOff>
    </xdr:from>
    <xdr:to>
      <xdr:col>13</xdr:col>
      <xdr:colOff>1909</xdr:colOff>
      <xdr:row>337</xdr:row>
      <xdr:rowOff>153696</xdr:rowOff>
    </xdr:to>
    <xdr:sp macro="" textlink="">
      <xdr:nvSpPr>
        <xdr:cNvPr id="945" name="Isosceles Triangle 944">
          <a:extLst>
            <a:ext uri="{FF2B5EF4-FFF2-40B4-BE49-F238E27FC236}">
              <a16:creationId xmlns:a16="http://schemas.microsoft.com/office/drawing/2014/main" id="{00000000-0008-0000-0A00-0000B1030000}"/>
            </a:ext>
          </a:extLst>
        </xdr:cNvPr>
        <xdr:cNvSpPr/>
      </xdr:nvSpPr>
      <xdr:spPr>
        <a:xfrm>
          <a:off x="6540500" y="567258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46" name="Isosceles Triangle 945">
          <a:extLst>
            <a:ext uri="{FF2B5EF4-FFF2-40B4-BE49-F238E27FC236}">
              <a16:creationId xmlns:a16="http://schemas.microsoft.com/office/drawing/2014/main" id="{00000000-0008-0000-0A00-0000B2030000}"/>
            </a:ext>
          </a:extLst>
        </xdr:cNvPr>
        <xdr:cNvSpPr/>
      </xdr:nvSpPr>
      <xdr:spPr>
        <a:xfrm>
          <a:off x="128714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352</xdr:row>
      <xdr:rowOff>78147</xdr:rowOff>
    </xdr:from>
    <xdr:to>
      <xdr:col>5</xdr:col>
      <xdr:colOff>0</xdr:colOff>
      <xdr:row>353</xdr:row>
      <xdr:rowOff>192447</xdr:rowOff>
    </xdr:to>
    <xdr:sp macro="" textlink="">
      <xdr:nvSpPr>
        <xdr:cNvPr id="947" name="Isosceles Triangle 946">
          <a:extLst>
            <a:ext uri="{FF2B5EF4-FFF2-40B4-BE49-F238E27FC236}">
              <a16:creationId xmlns:a16="http://schemas.microsoft.com/office/drawing/2014/main" id="{00000000-0008-0000-0A00-0000B3030000}"/>
            </a:ext>
          </a:extLst>
        </xdr:cNvPr>
        <xdr:cNvSpPr/>
      </xdr:nvSpPr>
      <xdr:spPr>
        <a:xfrm>
          <a:off x="252539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352</xdr:row>
      <xdr:rowOff>78147</xdr:rowOff>
    </xdr:from>
    <xdr:to>
      <xdr:col>7</xdr:col>
      <xdr:colOff>0</xdr:colOff>
      <xdr:row>353</xdr:row>
      <xdr:rowOff>192447</xdr:rowOff>
    </xdr:to>
    <xdr:sp macro="" textlink="">
      <xdr:nvSpPr>
        <xdr:cNvPr id="948" name="Isosceles Triangle 947">
          <a:extLst>
            <a:ext uri="{FF2B5EF4-FFF2-40B4-BE49-F238E27FC236}">
              <a16:creationId xmlns:a16="http://schemas.microsoft.com/office/drawing/2014/main" id="{00000000-0008-0000-0A00-0000B4030000}"/>
            </a:ext>
          </a:extLst>
        </xdr:cNvPr>
        <xdr:cNvSpPr/>
      </xdr:nvSpPr>
      <xdr:spPr>
        <a:xfrm>
          <a:off x="35286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352</xdr:row>
      <xdr:rowOff>78147</xdr:rowOff>
    </xdr:from>
    <xdr:to>
      <xdr:col>9</xdr:col>
      <xdr:colOff>0</xdr:colOff>
      <xdr:row>353</xdr:row>
      <xdr:rowOff>192447</xdr:rowOff>
    </xdr:to>
    <xdr:sp macro="" textlink="">
      <xdr:nvSpPr>
        <xdr:cNvPr id="949" name="Isosceles Triangle 948">
          <a:extLst>
            <a:ext uri="{FF2B5EF4-FFF2-40B4-BE49-F238E27FC236}">
              <a16:creationId xmlns:a16="http://schemas.microsoft.com/office/drawing/2014/main" id="{00000000-0008-0000-0A00-0000B5030000}"/>
            </a:ext>
          </a:extLst>
        </xdr:cNvPr>
        <xdr:cNvSpPr/>
      </xdr:nvSpPr>
      <xdr:spPr>
        <a:xfrm>
          <a:off x="45319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352</xdr:row>
      <xdr:rowOff>78147</xdr:rowOff>
    </xdr:from>
    <xdr:to>
      <xdr:col>11</xdr:col>
      <xdr:colOff>0</xdr:colOff>
      <xdr:row>354</xdr:row>
      <xdr:rowOff>5058</xdr:rowOff>
    </xdr:to>
    <xdr:sp macro="" textlink="">
      <xdr:nvSpPr>
        <xdr:cNvPr id="950" name="Isosceles Triangle 949">
          <a:extLst>
            <a:ext uri="{FF2B5EF4-FFF2-40B4-BE49-F238E27FC236}">
              <a16:creationId xmlns:a16="http://schemas.microsoft.com/office/drawing/2014/main" id="{00000000-0008-0000-0A00-0000B6030000}"/>
            </a:ext>
          </a:extLst>
        </xdr:cNvPr>
        <xdr:cNvSpPr/>
      </xdr:nvSpPr>
      <xdr:spPr>
        <a:xfrm>
          <a:off x="5535295" y="59425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352</xdr:row>
      <xdr:rowOff>78147</xdr:rowOff>
    </xdr:from>
    <xdr:to>
      <xdr:col>15</xdr:col>
      <xdr:colOff>0</xdr:colOff>
      <xdr:row>353</xdr:row>
      <xdr:rowOff>192447</xdr:rowOff>
    </xdr:to>
    <xdr:sp macro="" textlink="">
      <xdr:nvSpPr>
        <xdr:cNvPr id="951" name="Isosceles Triangle 950">
          <a:extLst>
            <a:ext uri="{FF2B5EF4-FFF2-40B4-BE49-F238E27FC236}">
              <a16:creationId xmlns:a16="http://schemas.microsoft.com/office/drawing/2014/main" id="{00000000-0008-0000-0A00-0000B7030000}"/>
            </a:ext>
          </a:extLst>
        </xdr:cNvPr>
        <xdr:cNvSpPr/>
      </xdr:nvSpPr>
      <xdr:spPr>
        <a:xfrm>
          <a:off x="75418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352</xdr:row>
      <xdr:rowOff>78147</xdr:rowOff>
    </xdr:from>
    <xdr:to>
      <xdr:col>17</xdr:col>
      <xdr:colOff>0</xdr:colOff>
      <xdr:row>353</xdr:row>
      <xdr:rowOff>192447</xdr:rowOff>
    </xdr:to>
    <xdr:sp macro="" textlink="">
      <xdr:nvSpPr>
        <xdr:cNvPr id="952" name="Isosceles Triangle 951">
          <a:extLst>
            <a:ext uri="{FF2B5EF4-FFF2-40B4-BE49-F238E27FC236}">
              <a16:creationId xmlns:a16="http://schemas.microsoft.com/office/drawing/2014/main" id="{00000000-0008-0000-0A00-0000B8030000}"/>
            </a:ext>
          </a:extLst>
        </xdr:cNvPr>
        <xdr:cNvSpPr/>
      </xdr:nvSpPr>
      <xdr:spPr>
        <a:xfrm>
          <a:off x="85451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352</xdr:row>
      <xdr:rowOff>78147</xdr:rowOff>
    </xdr:from>
    <xdr:to>
      <xdr:col>21</xdr:col>
      <xdr:colOff>0</xdr:colOff>
      <xdr:row>353</xdr:row>
      <xdr:rowOff>192447</xdr:rowOff>
    </xdr:to>
    <xdr:sp macro="" textlink="">
      <xdr:nvSpPr>
        <xdr:cNvPr id="953" name="Isosceles Triangle 952">
          <a:extLst>
            <a:ext uri="{FF2B5EF4-FFF2-40B4-BE49-F238E27FC236}">
              <a16:creationId xmlns:a16="http://schemas.microsoft.com/office/drawing/2014/main" id="{00000000-0008-0000-0A00-0000B9030000}"/>
            </a:ext>
          </a:extLst>
        </xdr:cNvPr>
        <xdr:cNvSpPr/>
      </xdr:nvSpPr>
      <xdr:spPr>
        <a:xfrm>
          <a:off x="105517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54" name="Isosceles Triangle 953">
          <a:extLst>
            <a:ext uri="{FF2B5EF4-FFF2-40B4-BE49-F238E27FC236}">
              <a16:creationId xmlns:a16="http://schemas.microsoft.com/office/drawing/2014/main" id="{00000000-0008-0000-0A00-0000BA030000}"/>
            </a:ext>
          </a:extLst>
        </xdr:cNvPr>
        <xdr:cNvSpPr/>
      </xdr:nvSpPr>
      <xdr:spPr>
        <a:xfrm>
          <a:off x="128714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352</xdr:row>
      <xdr:rowOff>78147</xdr:rowOff>
    </xdr:from>
    <xdr:to>
      <xdr:col>5</xdr:col>
      <xdr:colOff>0</xdr:colOff>
      <xdr:row>353</xdr:row>
      <xdr:rowOff>192447</xdr:rowOff>
    </xdr:to>
    <xdr:sp macro="" textlink="">
      <xdr:nvSpPr>
        <xdr:cNvPr id="955" name="Isosceles Triangle 954">
          <a:extLst>
            <a:ext uri="{FF2B5EF4-FFF2-40B4-BE49-F238E27FC236}">
              <a16:creationId xmlns:a16="http://schemas.microsoft.com/office/drawing/2014/main" id="{00000000-0008-0000-0A00-0000BB030000}"/>
            </a:ext>
          </a:extLst>
        </xdr:cNvPr>
        <xdr:cNvSpPr/>
      </xdr:nvSpPr>
      <xdr:spPr>
        <a:xfrm>
          <a:off x="25253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56" name="Isosceles Triangle 955">
          <a:extLst>
            <a:ext uri="{FF2B5EF4-FFF2-40B4-BE49-F238E27FC236}">
              <a16:creationId xmlns:a16="http://schemas.microsoft.com/office/drawing/2014/main" id="{00000000-0008-0000-0A00-0000BC030000}"/>
            </a:ext>
          </a:extLst>
        </xdr:cNvPr>
        <xdr:cNvSpPr/>
      </xdr:nvSpPr>
      <xdr:spPr>
        <a:xfrm>
          <a:off x="128714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352</xdr:row>
      <xdr:rowOff>78147</xdr:rowOff>
    </xdr:from>
    <xdr:to>
      <xdr:col>19</xdr:col>
      <xdr:colOff>0</xdr:colOff>
      <xdr:row>353</xdr:row>
      <xdr:rowOff>192447</xdr:rowOff>
    </xdr:to>
    <xdr:sp macro="" textlink="">
      <xdr:nvSpPr>
        <xdr:cNvPr id="957" name="Isosceles Triangle 956">
          <a:extLst>
            <a:ext uri="{FF2B5EF4-FFF2-40B4-BE49-F238E27FC236}">
              <a16:creationId xmlns:a16="http://schemas.microsoft.com/office/drawing/2014/main" id="{00000000-0008-0000-0A00-0000BD030000}"/>
            </a:ext>
          </a:extLst>
        </xdr:cNvPr>
        <xdr:cNvSpPr/>
      </xdr:nvSpPr>
      <xdr:spPr>
        <a:xfrm>
          <a:off x="95484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360</xdr:row>
      <xdr:rowOff>78147</xdr:rowOff>
    </xdr:from>
    <xdr:to>
      <xdr:col>3</xdr:col>
      <xdr:colOff>0</xdr:colOff>
      <xdr:row>361</xdr:row>
      <xdr:rowOff>192447</xdr:rowOff>
    </xdr:to>
    <xdr:sp macro="" textlink="">
      <xdr:nvSpPr>
        <xdr:cNvPr id="958" name="Isosceles Triangle 957">
          <a:extLst>
            <a:ext uri="{FF2B5EF4-FFF2-40B4-BE49-F238E27FC236}">
              <a16:creationId xmlns:a16="http://schemas.microsoft.com/office/drawing/2014/main" id="{00000000-0008-0000-0A00-0000BE030000}"/>
            </a:ext>
          </a:extLst>
        </xdr:cNvPr>
        <xdr:cNvSpPr/>
      </xdr:nvSpPr>
      <xdr:spPr>
        <a:xfrm>
          <a:off x="1287145" y="607650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360</xdr:row>
      <xdr:rowOff>78147</xdr:rowOff>
    </xdr:from>
    <xdr:to>
      <xdr:col>7</xdr:col>
      <xdr:colOff>0</xdr:colOff>
      <xdr:row>362</xdr:row>
      <xdr:rowOff>5057</xdr:rowOff>
    </xdr:to>
    <xdr:sp macro="" textlink="">
      <xdr:nvSpPr>
        <xdr:cNvPr id="959" name="Isosceles Triangle 958">
          <a:extLst>
            <a:ext uri="{FF2B5EF4-FFF2-40B4-BE49-F238E27FC236}">
              <a16:creationId xmlns:a16="http://schemas.microsoft.com/office/drawing/2014/main" id="{00000000-0008-0000-0A00-0000BF030000}"/>
            </a:ext>
          </a:extLst>
        </xdr:cNvPr>
        <xdr:cNvSpPr/>
      </xdr:nvSpPr>
      <xdr:spPr>
        <a:xfrm>
          <a:off x="35286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360</xdr:row>
      <xdr:rowOff>78147</xdr:rowOff>
    </xdr:from>
    <xdr:to>
      <xdr:col>9</xdr:col>
      <xdr:colOff>0</xdr:colOff>
      <xdr:row>362</xdr:row>
      <xdr:rowOff>5057</xdr:rowOff>
    </xdr:to>
    <xdr:sp macro="" textlink="">
      <xdr:nvSpPr>
        <xdr:cNvPr id="960" name="Isosceles Triangle 959">
          <a:extLst>
            <a:ext uri="{FF2B5EF4-FFF2-40B4-BE49-F238E27FC236}">
              <a16:creationId xmlns:a16="http://schemas.microsoft.com/office/drawing/2014/main" id="{00000000-0008-0000-0A00-0000C0030000}"/>
            </a:ext>
          </a:extLst>
        </xdr:cNvPr>
        <xdr:cNvSpPr/>
      </xdr:nvSpPr>
      <xdr:spPr>
        <a:xfrm>
          <a:off x="45319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360</xdr:row>
      <xdr:rowOff>78147</xdr:rowOff>
    </xdr:from>
    <xdr:to>
      <xdr:col>11</xdr:col>
      <xdr:colOff>0</xdr:colOff>
      <xdr:row>361</xdr:row>
      <xdr:rowOff>192447</xdr:rowOff>
    </xdr:to>
    <xdr:sp macro="" textlink="">
      <xdr:nvSpPr>
        <xdr:cNvPr id="961" name="Isosceles Triangle 960">
          <a:extLst>
            <a:ext uri="{FF2B5EF4-FFF2-40B4-BE49-F238E27FC236}">
              <a16:creationId xmlns:a16="http://schemas.microsoft.com/office/drawing/2014/main" id="{00000000-0008-0000-0A00-0000C1030000}"/>
            </a:ext>
          </a:extLst>
        </xdr:cNvPr>
        <xdr:cNvSpPr/>
      </xdr:nvSpPr>
      <xdr:spPr>
        <a:xfrm>
          <a:off x="55352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360</xdr:row>
      <xdr:rowOff>78147</xdr:rowOff>
    </xdr:from>
    <xdr:to>
      <xdr:col>13</xdr:col>
      <xdr:colOff>0</xdr:colOff>
      <xdr:row>362</xdr:row>
      <xdr:rowOff>5057</xdr:rowOff>
    </xdr:to>
    <xdr:sp macro="" textlink="">
      <xdr:nvSpPr>
        <xdr:cNvPr id="962" name="Isosceles Triangle 961">
          <a:extLst>
            <a:ext uri="{FF2B5EF4-FFF2-40B4-BE49-F238E27FC236}">
              <a16:creationId xmlns:a16="http://schemas.microsoft.com/office/drawing/2014/main" id="{00000000-0008-0000-0A00-0000C2030000}"/>
            </a:ext>
          </a:extLst>
        </xdr:cNvPr>
        <xdr:cNvSpPr/>
      </xdr:nvSpPr>
      <xdr:spPr>
        <a:xfrm>
          <a:off x="65385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360</xdr:row>
      <xdr:rowOff>78147</xdr:rowOff>
    </xdr:from>
    <xdr:to>
      <xdr:col>15</xdr:col>
      <xdr:colOff>0</xdr:colOff>
      <xdr:row>361</xdr:row>
      <xdr:rowOff>192447</xdr:rowOff>
    </xdr:to>
    <xdr:sp macro="" textlink="">
      <xdr:nvSpPr>
        <xdr:cNvPr id="963" name="Isosceles Triangle 962">
          <a:extLst>
            <a:ext uri="{FF2B5EF4-FFF2-40B4-BE49-F238E27FC236}">
              <a16:creationId xmlns:a16="http://schemas.microsoft.com/office/drawing/2014/main" id="{00000000-0008-0000-0A00-0000C3030000}"/>
            </a:ext>
          </a:extLst>
        </xdr:cNvPr>
        <xdr:cNvSpPr/>
      </xdr:nvSpPr>
      <xdr:spPr>
        <a:xfrm>
          <a:off x="75418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360</xdr:row>
      <xdr:rowOff>78147</xdr:rowOff>
    </xdr:from>
    <xdr:to>
      <xdr:col>17</xdr:col>
      <xdr:colOff>0</xdr:colOff>
      <xdr:row>361</xdr:row>
      <xdr:rowOff>192447</xdr:rowOff>
    </xdr:to>
    <xdr:sp macro="" textlink="">
      <xdr:nvSpPr>
        <xdr:cNvPr id="964" name="Isosceles Triangle 963">
          <a:extLst>
            <a:ext uri="{FF2B5EF4-FFF2-40B4-BE49-F238E27FC236}">
              <a16:creationId xmlns:a16="http://schemas.microsoft.com/office/drawing/2014/main" id="{00000000-0008-0000-0A00-0000C4030000}"/>
            </a:ext>
          </a:extLst>
        </xdr:cNvPr>
        <xdr:cNvSpPr/>
      </xdr:nvSpPr>
      <xdr:spPr>
        <a:xfrm>
          <a:off x="8545195" y="607650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360</xdr:row>
      <xdr:rowOff>78147</xdr:rowOff>
    </xdr:from>
    <xdr:to>
      <xdr:col>19</xdr:col>
      <xdr:colOff>0</xdr:colOff>
      <xdr:row>361</xdr:row>
      <xdr:rowOff>192447</xdr:rowOff>
    </xdr:to>
    <xdr:sp macro="" textlink="">
      <xdr:nvSpPr>
        <xdr:cNvPr id="965" name="Isosceles Triangle 964">
          <a:extLst>
            <a:ext uri="{FF2B5EF4-FFF2-40B4-BE49-F238E27FC236}">
              <a16:creationId xmlns:a16="http://schemas.microsoft.com/office/drawing/2014/main" id="{00000000-0008-0000-0A00-0000C5030000}"/>
            </a:ext>
          </a:extLst>
        </xdr:cNvPr>
        <xdr:cNvSpPr/>
      </xdr:nvSpPr>
      <xdr:spPr>
        <a:xfrm>
          <a:off x="95484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360</xdr:row>
      <xdr:rowOff>78147</xdr:rowOff>
    </xdr:from>
    <xdr:to>
      <xdr:col>21</xdr:col>
      <xdr:colOff>0</xdr:colOff>
      <xdr:row>361</xdr:row>
      <xdr:rowOff>192447</xdr:rowOff>
    </xdr:to>
    <xdr:sp macro="" textlink="">
      <xdr:nvSpPr>
        <xdr:cNvPr id="966" name="Isosceles Triangle 965">
          <a:extLst>
            <a:ext uri="{FF2B5EF4-FFF2-40B4-BE49-F238E27FC236}">
              <a16:creationId xmlns:a16="http://schemas.microsoft.com/office/drawing/2014/main" id="{00000000-0008-0000-0A00-0000C6030000}"/>
            </a:ext>
          </a:extLst>
        </xdr:cNvPr>
        <xdr:cNvSpPr/>
      </xdr:nvSpPr>
      <xdr:spPr>
        <a:xfrm>
          <a:off x="105517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360</xdr:row>
      <xdr:rowOff>78147</xdr:rowOff>
    </xdr:from>
    <xdr:to>
      <xdr:col>5</xdr:col>
      <xdr:colOff>0</xdr:colOff>
      <xdr:row>361</xdr:row>
      <xdr:rowOff>192447</xdr:rowOff>
    </xdr:to>
    <xdr:sp macro="" textlink="">
      <xdr:nvSpPr>
        <xdr:cNvPr id="967" name="Isosceles Triangle 966">
          <a:extLst>
            <a:ext uri="{FF2B5EF4-FFF2-40B4-BE49-F238E27FC236}">
              <a16:creationId xmlns:a16="http://schemas.microsoft.com/office/drawing/2014/main" id="{00000000-0008-0000-0A00-0000C7030000}"/>
            </a:ext>
          </a:extLst>
        </xdr:cNvPr>
        <xdr:cNvSpPr/>
      </xdr:nvSpPr>
      <xdr:spPr>
        <a:xfrm>
          <a:off x="25253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360</xdr:row>
      <xdr:rowOff>78147</xdr:rowOff>
    </xdr:from>
    <xdr:to>
      <xdr:col>3</xdr:col>
      <xdr:colOff>0</xdr:colOff>
      <xdr:row>361</xdr:row>
      <xdr:rowOff>192447</xdr:rowOff>
    </xdr:to>
    <xdr:sp macro="" textlink="">
      <xdr:nvSpPr>
        <xdr:cNvPr id="968" name="Isosceles Triangle 967">
          <a:extLst>
            <a:ext uri="{FF2B5EF4-FFF2-40B4-BE49-F238E27FC236}">
              <a16:creationId xmlns:a16="http://schemas.microsoft.com/office/drawing/2014/main" id="{00000000-0008-0000-0A00-0000C8030000}"/>
            </a:ext>
          </a:extLst>
        </xdr:cNvPr>
        <xdr:cNvSpPr/>
      </xdr:nvSpPr>
      <xdr:spPr>
        <a:xfrm>
          <a:off x="128714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360</xdr:row>
      <xdr:rowOff>78147</xdr:rowOff>
    </xdr:from>
    <xdr:to>
      <xdr:col>17</xdr:col>
      <xdr:colOff>0</xdr:colOff>
      <xdr:row>361</xdr:row>
      <xdr:rowOff>192447</xdr:rowOff>
    </xdr:to>
    <xdr:sp macro="" textlink="">
      <xdr:nvSpPr>
        <xdr:cNvPr id="969" name="Isosceles Triangle 968">
          <a:extLst>
            <a:ext uri="{FF2B5EF4-FFF2-40B4-BE49-F238E27FC236}">
              <a16:creationId xmlns:a16="http://schemas.microsoft.com/office/drawing/2014/main" id="{00000000-0008-0000-0A00-0000C9030000}"/>
            </a:ext>
          </a:extLst>
        </xdr:cNvPr>
        <xdr:cNvSpPr/>
      </xdr:nvSpPr>
      <xdr:spPr>
        <a:xfrm>
          <a:off x="85451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360</xdr:row>
      <xdr:rowOff>78147</xdr:rowOff>
    </xdr:from>
    <xdr:to>
      <xdr:col>19</xdr:col>
      <xdr:colOff>0</xdr:colOff>
      <xdr:row>361</xdr:row>
      <xdr:rowOff>192447</xdr:rowOff>
    </xdr:to>
    <xdr:sp macro="" textlink="">
      <xdr:nvSpPr>
        <xdr:cNvPr id="970" name="Isosceles Triangle 969">
          <a:extLst>
            <a:ext uri="{FF2B5EF4-FFF2-40B4-BE49-F238E27FC236}">
              <a16:creationId xmlns:a16="http://schemas.microsoft.com/office/drawing/2014/main" id="{00000000-0008-0000-0A00-0000CA030000}"/>
            </a:ext>
          </a:extLst>
        </xdr:cNvPr>
        <xdr:cNvSpPr/>
      </xdr:nvSpPr>
      <xdr:spPr>
        <a:xfrm>
          <a:off x="95484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352</xdr:row>
      <xdr:rowOff>64796</xdr:rowOff>
    </xdr:from>
    <xdr:to>
      <xdr:col>13</xdr:col>
      <xdr:colOff>1909</xdr:colOff>
      <xdr:row>353</xdr:row>
      <xdr:rowOff>153696</xdr:rowOff>
    </xdr:to>
    <xdr:sp macro="" textlink="">
      <xdr:nvSpPr>
        <xdr:cNvPr id="971" name="Isosceles Triangle 970">
          <a:extLst>
            <a:ext uri="{FF2B5EF4-FFF2-40B4-BE49-F238E27FC236}">
              <a16:creationId xmlns:a16="http://schemas.microsoft.com/office/drawing/2014/main" id="{00000000-0008-0000-0A00-0000CB030000}"/>
            </a:ext>
          </a:extLst>
        </xdr:cNvPr>
        <xdr:cNvSpPr/>
      </xdr:nvSpPr>
      <xdr:spPr>
        <a:xfrm>
          <a:off x="6540500" y="594118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72" name="Isosceles Triangle 971">
          <a:extLst>
            <a:ext uri="{FF2B5EF4-FFF2-40B4-BE49-F238E27FC236}">
              <a16:creationId xmlns:a16="http://schemas.microsoft.com/office/drawing/2014/main" id="{00000000-0008-0000-0A00-0000CC030000}"/>
            </a:ext>
          </a:extLst>
        </xdr:cNvPr>
        <xdr:cNvSpPr/>
      </xdr:nvSpPr>
      <xdr:spPr>
        <a:xfrm>
          <a:off x="128714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369</xdr:row>
      <xdr:rowOff>78147</xdr:rowOff>
    </xdr:from>
    <xdr:to>
      <xdr:col>5</xdr:col>
      <xdr:colOff>0</xdr:colOff>
      <xdr:row>370</xdr:row>
      <xdr:rowOff>192447</xdr:rowOff>
    </xdr:to>
    <xdr:sp macro="" textlink="">
      <xdr:nvSpPr>
        <xdr:cNvPr id="973" name="Isosceles Triangle 972">
          <a:extLst>
            <a:ext uri="{FF2B5EF4-FFF2-40B4-BE49-F238E27FC236}">
              <a16:creationId xmlns:a16="http://schemas.microsoft.com/office/drawing/2014/main" id="{00000000-0008-0000-0A00-0000CD030000}"/>
            </a:ext>
          </a:extLst>
        </xdr:cNvPr>
        <xdr:cNvSpPr/>
      </xdr:nvSpPr>
      <xdr:spPr>
        <a:xfrm>
          <a:off x="252539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369</xdr:row>
      <xdr:rowOff>78147</xdr:rowOff>
    </xdr:from>
    <xdr:to>
      <xdr:col>7</xdr:col>
      <xdr:colOff>0</xdr:colOff>
      <xdr:row>370</xdr:row>
      <xdr:rowOff>192447</xdr:rowOff>
    </xdr:to>
    <xdr:sp macro="" textlink="">
      <xdr:nvSpPr>
        <xdr:cNvPr id="974" name="Isosceles Triangle 973">
          <a:extLst>
            <a:ext uri="{FF2B5EF4-FFF2-40B4-BE49-F238E27FC236}">
              <a16:creationId xmlns:a16="http://schemas.microsoft.com/office/drawing/2014/main" id="{00000000-0008-0000-0A00-0000CE030000}"/>
            </a:ext>
          </a:extLst>
        </xdr:cNvPr>
        <xdr:cNvSpPr/>
      </xdr:nvSpPr>
      <xdr:spPr>
        <a:xfrm>
          <a:off x="35286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369</xdr:row>
      <xdr:rowOff>78147</xdr:rowOff>
    </xdr:from>
    <xdr:to>
      <xdr:col>9</xdr:col>
      <xdr:colOff>0</xdr:colOff>
      <xdr:row>370</xdr:row>
      <xdr:rowOff>192447</xdr:rowOff>
    </xdr:to>
    <xdr:sp macro="" textlink="">
      <xdr:nvSpPr>
        <xdr:cNvPr id="975" name="Isosceles Triangle 974">
          <a:extLst>
            <a:ext uri="{FF2B5EF4-FFF2-40B4-BE49-F238E27FC236}">
              <a16:creationId xmlns:a16="http://schemas.microsoft.com/office/drawing/2014/main" id="{00000000-0008-0000-0A00-0000CF030000}"/>
            </a:ext>
          </a:extLst>
        </xdr:cNvPr>
        <xdr:cNvSpPr/>
      </xdr:nvSpPr>
      <xdr:spPr>
        <a:xfrm>
          <a:off x="45319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369</xdr:row>
      <xdr:rowOff>78147</xdr:rowOff>
    </xdr:from>
    <xdr:to>
      <xdr:col>11</xdr:col>
      <xdr:colOff>0</xdr:colOff>
      <xdr:row>371</xdr:row>
      <xdr:rowOff>5058</xdr:rowOff>
    </xdr:to>
    <xdr:sp macro="" textlink="">
      <xdr:nvSpPr>
        <xdr:cNvPr id="976" name="Isosceles Triangle 975">
          <a:extLst>
            <a:ext uri="{FF2B5EF4-FFF2-40B4-BE49-F238E27FC236}">
              <a16:creationId xmlns:a16="http://schemas.microsoft.com/office/drawing/2014/main" id="{00000000-0008-0000-0A00-0000D0030000}"/>
            </a:ext>
          </a:extLst>
        </xdr:cNvPr>
        <xdr:cNvSpPr/>
      </xdr:nvSpPr>
      <xdr:spPr>
        <a:xfrm>
          <a:off x="5535295" y="62276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369</xdr:row>
      <xdr:rowOff>78147</xdr:rowOff>
    </xdr:from>
    <xdr:to>
      <xdr:col>15</xdr:col>
      <xdr:colOff>0</xdr:colOff>
      <xdr:row>370</xdr:row>
      <xdr:rowOff>192447</xdr:rowOff>
    </xdr:to>
    <xdr:sp macro="" textlink="">
      <xdr:nvSpPr>
        <xdr:cNvPr id="977" name="Isosceles Triangle 976">
          <a:extLst>
            <a:ext uri="{FF2B5EF4-FFF2-40B4-BE49-F238E27FC236}">
              <a16:creationId xmlns:a16="http://schemas.microsoft.com/office/drawing/2014/main" id="{00000000-0008-0000-0A00-0000D1030000}"/>
            </a:ext>
          </a:extLst>
        </xdr:cNvPr>
        <xdr:cNvSpPr/>
      </xdr:nvSpPr>
      <xdr:spPr>
        <a:xfrm>
          <a:off x="75418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369</xdr:row>
      <xdr:rowOff>78147</xdr:rowOff>
    </xdr:from>
    <xdr:to>
      <xdr:col>17</xdr:col>
      <xdr:colOff>0</xdr:colOff>
      <xdr:row>370</xdr:row>
      <xdr:rowOff>192447</xdr:rowOff>
    </xdr:to>
    <xdr:sp macro="" textlink="">
      <xdr:nvSpPr>
        <xdr:cNvPr id="978" name="Isosceles Triangle 977">
          <a:extLst>
            <a:ext uri="{FF2B5EF4-FFF2-40B4-BE49-F238E27FC236}">
              <a16:creationId xmlns:a16="http://schemas.microsoft.com/office/drawing/2014/main" id="{00000000-0008-0000-0A00-0000D2030000}"/>
            </a:ext>
          </a:extLst>
        </xdr:cNvPr>
        <xdr:cNvSpPr/>
      </xdr:nvSpPr>
      <xdr:spPr>
        <a:xfrm>
          <a:off x="85451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369</xdr:row>
      <xdr:rowOff>78147</xdr:rowOff>
    </xdr:from>
    <xdr:to>
      <xdr:col>21</xdr:col>
      <xdr:colOff>0</xdr:colOff>
      <xdr:row>370</xdr:row>
      <xdr:rowOff>192447</xdr:rowOff>
    </xdr:to>
    <xdr:sp macro="" textlink="">
      <xdr:nvSpPr>
        <xdr:cNvPr id="979" name="Isosceles Triangle 978">
          <a:extLst>
            <a:ext uri="{FF2B5EF4-FFF2-40B4-BE49-F238E27FC236}">
              <a16:creationId xmlns:a16="http://schemas.microsoft.com/office/drawing/2014/main" id="{00000000-0008-0000-0A00-0000D3030000}"/>
            </a:ext>
          </a:extLst>
        </xdr:cNvPr>
        <xdr:cNvSpPr/>
      </xdr:nvSpPr>
      <xdr:spPr>
        <a:xfrm>
          <a:off x="105517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80" name="Isosceles Triangle 979">
          <a:extLst>
            <a:ext uri="{FF2B5EF4-FFF2-40B4-BE49-F238E27FC236}">
              <a16:creationId xmlns:a16="http://schemas.microsoft.com/office/drawing/2014/main" id="{00000000-0008-0000-0A00-0000D4030000}"/>
            </a:ext>
          </a:extLst>
        </xdr:cNvPr>
        <xdr:cNvSpPr/>
      </xdr:nvSpPr>
      <xdr:spPr>
        <a:xfrm>
          <a:off x="128714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369</xdr:row>
      <xdr:rowOff>78147</xdr:rowOff>
    </xdr:from>
    <xdr:to>
      <xdr:col>5</xdr:col>
      <xdr:colOff>0</xdr:colOff>
      <xdr:row>370</xdr:row>
      <xdr:rowOff>192447</xdr:rowOff>
    </xdr:to>
    <xdr:sp macro="" textlink="">
      <xdr:nvSpPr>
        <xdr:cNvPr id="981" name="Isosceles Triangle 980">
          <a:extLst>
            <a:ext uri="{FF2B5EF4-FFF2-40B4-BE49-F238E27FC236}">
              <a16:creationId xmlns:a16="http://schemas.microsoft.com/office/drawing/2014/main" id="{00000000-0008-0000-0A00-0000D5030000}"/>
            </a:ext>
          </a:extLst>
        </xdr:cNvPr>
        <xdr:cNvSpPr/>
      </xdr:nvSpPr>
      <xdr:spPr>
        <a:xfrm>
          <a:off x="25253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82" name="Isosceles Triangle 981">
          <a:extLst>
            <a:ext uri="{FF2B5EF4-FFF2-40B4-BE49-F238E27FC236}">
              <a16:creationId xmlns:a16="http://schemas.microsoft.com/office/drawing/2014/main" id="{00000000-0008-0000-0A00-0000D6030000}"/>
            </a:ext>
          </a:extLst>
        </xdr:cNvPr>
        <xdr:cNvSpPr/>
      </xdr:nvSpPr>
      <xdr:spPr>
        <a:xfrm>
          <a:off x="128714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369</xdr:row>
      <xdr:rowOff>78147</xdr:rowOff>
    </xdr:from>
    <xdr:to>
      <xdr:col>19</xdr:col>
      <xdr:colOff>0</xdr:colOff>
      <xdr:row>370</xdr:row>
      <xdr:rowOff>192447</xdr:rowOff>
    </xdr:to>
    <xdr:sp macro="" textlink="">
      <xdr:nvSpPr>
        <xdr:cNvPr id="983" name="Isosceles Triangle 982">
          <a:extLst>
            <a:ext uri="{FF2B5EF4-FFF2-40B4-BE49-F238E27FC236}">
              <a16:creationId xmlns:a16="http://schemas.microsoft.com/office/drawing/2014/main" id="{00000000-0008-0000-0A00-0000D7030000}"/>
            </a:ext>
          </a:extLst>
        </xdr:cNvPr>
        <xdr:cNvSpPr/>
      </xdr:nvSpPr>
      <xdr:spPr>
        <a:xfrm>
          <a:off x="95484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377</xdr:row>
      <xdr:rowOff>78147</xdr:rowOff>
    </xdr:from>
    <xdr:to>
      <xdr:col>3</xdr:col>
      <xdr:colOff>0</xdr:colOff>
      <xdr:row>378</xdr:row>
      <xdr:rowOff>192447</xdr:rowOff>
    </xdr:to>
    <xdr:sp macro="" textlink="">
      <xdr:nvSpPr>
        <xdr:cNvPr id="984" name="Isosceles Triangle 983">
          <a:extLst>
            <a:ext uri="{FF2B5EF4-FFF2-40B4-BE49-F238E27FC236}">
              <a16:creationId xmlns:a16="http://schemas.microsoft.com/office/drawing/2014/main" id="{00000000-0008-0000-0A00-0000D8030000}"/>
            </a:ext>
          </a:extLst>
        </xdr:cNvPr>
        <xdr:cNvSpPr/>
      </xdr:nvSpPr>
      <xdr:spPr>
        <a:xfrm>
          <a:off x="1287145" y="63616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377</xdr:row>
      <xdr:rowOff>78147</xdr:rowOff>
    </xdr:from>
    <xdr:to>
      <xdr:col>7</xdr:col>
      <xdr:colOff>0</xdr:colOff>
      <xdr:row>379</xdr:row>
      <xdr:rowOff>5057</xdr:rowOff>
    </xdr:to>
    <xdr:sp macro="" textlink="">
      <xdr:nvSpPr>
        <xdr:cNvPr id="985" name="Isosceles Triangle 984">
          <a:extLst>
            <a:ext uri="{FF2B5EF4-FFF2-40B4-BE49-F238E27FC236}">
              <a16:creationId xmlns:a16="http://schemas.microsoft.com/office/drawing/2014/main" id="{00000000-0008-0000-0A00-0000D9030000}"/>
            </a:ext>
          </a:extLst>
        </xdr:cNvPr>
        <xdr:cNvSpPr/>
      </xdr:nvSpPr>
      <xdr:spPr>
        <a:xfrm>
          <a:off x="35286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377</xdr:row>
      <xdr:rowOff>78147</xdr:rowOff>
    </xdr:from>
    <xdr:to>
      <xdr:col>9</xdr:col>
      <xdr:colOff>0</xdr:colOff>
      <xdr:row>379</xdr:row>
      <xdr:rowOff>5057</xdr:rowOff>
    </xdr:to>
    <xdr:sp macro="" textlink="">
      <xdr:nvSpPr>
        <xdr:cNvPr id="986" name="Isosceles Triangle 985">
          <a:extLst>
            <a:ext uri="{FF2B5EF4-FFF2-40B4-BE49-F238E27FC236}">
              <a16:creationId xmlns:a16="http://schemas.microsoft.com/office/drawing/2014/main" id="{00000000-0008-0000-0A00-0000DA030000}"/>
            </a:ext>
          </a:extLst>
        </xdr:cNvPr>
        <xdr:cNvSpPr/>
      </xdr:nvSpPr>
      <xdr:spPr>
        <a:xfrm>
          <a:off x="45319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377</xdr:row>
      <xdr:rowOff>78147</xdr:rowOff>
    </xdr:from>
    <xdr:to>
      <xdr:col>11</xdr:col>
      <xdr:colOff>0</xdr:colOff>
      <xdr:row>378</xdr:row>
      <xdr:rowOff>192447</xdr:rowOff>
    </xdr:to>
    <xdr:sp macro="" textlink="">
      <xdr:nvSpPr>
        <xdr:cNvPr id="987" name="Isosceles Triangle 986">
          <a:extLst>
            <a:ext uri="{FF2B5EF4-FFF2-40B4-BE49-F238E27FC236}">
              <a16:creationId xmlns:a16="http://schemas.microsoft.com/office/drawing/2014/main" id="{00000000-0008-0000-0A00-0000DB030000}"/>
            </a:ext>
          </a:extLst>
        </xdr:cNvPr>
        <xdr:cNvSpPr/>
      </xdr:nvSpPr>
      <xdr:spPr>
        <a:xfrm>
          <a:off x="55352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377</xdr:row>
      <xdr:rowOff>78147</xdr:rowOff>
    </xdr:from>
    <xdr:to>
      <xdr:col>13</xdr:col>
      <xdr:colOff>0</xdr:colOff>
      <xdr:row>379</xdr:row>
      <xdr:rowOff>5057</xdr:rowOff>
    </xdr:to>
    <xdr:sp macro="" textlink="">
      <xdr:nvSpPr>
        <xdr:cNvPr id="988" name="Isosceles Triangle 987">
          <a:extLst>
            <a:ext uri="{FF2B5EF4-FFF2-40B4-BE49-F238E27FC236}">
              <a16:creationId xmlns:a16="http://schemas.microsoft.com/office/drawing/2014/main" id="{00000000-0008-0000-0A00-0000DC030000}"/>
            </a:ext>
          </a:extLst>
        </xdr:cNvPr>
        <xdr:cNvSpPr/>
      </xdr:nvSpPr>
      <xdr:spPr>
        <a:xfrm>
          <a:off x="65385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377</xdr:row>
      <xdr:rowOff>78147</xdr:rowOff>
    </xdr:from>
    <xdr:to>
      <xdr:col>15</xdr:col>
      <xdr:colOff>0</xdr:colOff>
      <xdr:row>378</xdr:row>
      <xdr:rowOff>192447</xdr:rowOff>
    </xdr:to>
    <xdr:sp macro="" textlink="">
      <xdr:nvSpPr>
        <xdr:cNvPr id="989" name="Isosceles Triangle 988">
          <a:extLst>
            <a:ext uri="{FF2B5EF4-FFF2-40B4-BE49-F238E27FC236}">
              <a16:creationId xmlns:a16="http://schemas.microsoft.com/office/drawing/2014/main" id="{00000000-0008-0000-0A00-0000DD030000}"/>
            </a:ext>
          </a:extLst>
        </xdr:cNvPr>
        <xdr:cNvSpPr/>
      </xdr:nvSpPr>
      <xdr:spPr>
        <a:xfrm>
          <a:off x="75418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377</xdr:row>
      <xdr:rowOff>78147</xdr:rowOff>
    </xdr:from>
    <xdr:to>
      <xdr:col>17</xdr:col>
      <xdr:colOff>0</xdr:colOff>
      <xdr:row>378</xdr:row>
      <xdr:rowOff>192447</xdr:rowOff>
    </xdr:to>
    <xdr:sp macro="" textlink="">
      <xdr:nvSpPr>
        <xdr:cNvPr id="990" name="Isosceles Triangle 989">
          <a:extLst>
            <a:ext uri="{FF2B5EF4-FFF2-40B4-BE49-F238E27FC236}">
              <a16:creationId xmlns:a16="http://schemas.microsoft.com/office/drawing/2014/main" id="{00000000-0008-0000-0A00-0000DE030000}"/>
            </a:ext>
          </a:extLst>
        </xdr:cNvPr>
        <xdr:cNvSpPr/>
      </xdr:nvSpPr>
      <xdr:spPr>
        <a:xfrm>
          <a:off x="8545195" y="63616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377</xdr:row>
      <xdr:rowOff>78147</xdr:rowOff>
    </xdr:from>
    <xdr:to>
      <xdr:col>19</xdr:col>
      <xdr:colOff>0</xdr:colOff>
      <xdr:row>378</xdr:row>
      <xdr:rowOff>192447</xdr:rowOff>
    </xdr:to>
    <xdr:sp macro="" textlink="">
      <xdr:nvSpPr>
        <xdr:cNvPr id="991" name="Isosceles Triangle 990">
          <a:extLst>
            <a:ext uri="{FF2B5EF4-FFF2-40B4-BE49-F238E27FC236}">
              <a16:creationId xmlns:a16="http://schemas.microsoft.com/office/drawing/2014/main" id="{00000000-0008-0000-0A00-0000DF030000}"/>
            </a:ext>
          </a:extLst>
        </xdr:cNvPr>
        <xdr:cNvSpPr/>
      </xdr:nvSpPr>
      <xdr:spPr>
        <a:xfrm>
          <a:off x="95484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377</xdr:row>
      <xdr:rowOff>78147</xdr:rowOff>
    </xdr:from>
    <xdr:to>
      <xdr:col>21</xdr:col>
      <xdr:colOff>0</xdr:colOff>
      <xdr:row>378</xdr:row>
      <xdr:rowOff>192447</xdr:rowOff>
    </xdr:to>
    <xdr:sp macro="" textlink="">
      <xdr:nvSpPr>
        <xdr:cNvPr id="992" name="Isosceles Triangle 991">
          <a:extLst>
            <a:ext uri="{FF2B5EF4-FFF2-40B4-BE49-F238E27FC236}">
              <a16:creationId xmlns:a16="http://schemas.microsoft.com/office/drawing/2014/main" id="{00000000-0008-0000-0A00-0000E0030000}"/>
            </a:ext>
          </a:extLst>
        </xdr:cNvPr>
        <xdr:cNvSpPr/>
      </xdr:nvSpPr>
      <xdr:spPr>
        <a:xfrm>
          <a:off x="105517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377</xdr:row>
      <xdr:rowOff>78147</xdr:rowOff>
    </xdr:from>
    <xdr:to>
      <xdr:col>5</xdr:col>
      <xdr:colOff>0</xdr:colOff>
      <xdr:row>378</xdr:row>
      <xdr:rowOff>192447</xdr:rowOff>
    </xdr:to>
    <xdr:sp macro="" textlink="">
      <xdr:nvSpPr>
        <xdr:cNvPr id="993" name="Isosceles Triangle 992">
          <a:extLst>
            <a:ext uri="{FF2B5EF4-FFF2-40B4-BE49-F238E27FC236}">
              <a16:creationId xmlns:a16="http://schemas.microsoft.com/office/drawing/2014/main" id="{00000000-0008-0000-0A00-0000E1030000}"/>
            </a:ext>
          </a:extLst>
        </xdr:cNvPr>
        <xdr:cNvSpPr/>
      </xdr:nvSpPr>
      <xdr:spPr>
        <a:xfrm>
          <a:off x="25253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377</xdr:row>
      <xdr:rowOff>78147</xdr:rowOff>
    </xdr:from>
    <xdr:to>
      <xdr:col>3</xdr:col>
      <xdr:colOff>0</xdr:colOff>
      <xdr:row>378</xdr:row>
      <xdr:rowOff>192447</xdr:rowOff>
    </xdr:to>
    <xdr:sp macro="" textlink="">
      <xdr:nvSpPr>
        <xdr:cNvPr id="994" name="Isosceles Triangle 993">
          <a:extLst>
            <a:ext uri="{FF2B5EF4-FFF2-40B4-BE49-F238E27FC236}">
              <a16:creationId xmlns:a16="http://schemas.microsoft.com/office/drawing/2014/main" id="{00000000-0008-0000-0A00-0000E2030000}"/>
            </a:ext>
          </a:extLst>
        </xdr:cNvPr>
        <xdr:cNvSpPr/>
      </xdr:nvSpPr>
      <xdr:spPr>
        <a:xfrm>
          <a:off x="128714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377</xdr:row>
      <xdr:rowOff>78147</xdr:rowOff>
    </xdr:from>
    <xdr:to>
      <xdr:col>17</xdr:col>
      <xdr:colOff>0</xdr:colOff>
      <xdr:row>378</xdr:row>
      <xdr:rowOff>192447</xdr:rowOff>
    </xdr:to>
    <xdr:sp macro="" textlink="">
      <xdr:nvSpPr>
        <xdr:cNvPr id="995" name="Isosceles Triangle 994">
          <a:extLst>
            <a:ext uri="{FF2B5EF4-FFF2-40B4-BE49-F238E27FC236}">
              <a16:creationId xmlns:a16="http://schemas.microsoft.com/office/drawing/2014/main" id="{00000000-0008-0000-0A00-0000E3030000}"/>
            </a:ext>
          </a:extLst>
        </xdr:cNvPr>
        <xdr:cNvSpPr/>
      </xdr:nvSpPr>
      <xdr:spPr>
        <a:xfrm>
          <a:off x="85451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377</xdr:row>
      <xdr:rowOff>78147</xdr:rowOff>
    </xdr:from>
    <xdr:to>
      <xdr:col>19</xdr:col>
      <xdr:colOff>0</xdr:colOff>
      <xdr:row>378</xdr:row>
      <xdr:rowOff>192447</xdr:rowOff>
    </xdr:to>
    <xdr:sp macro="" textlink="">
      <xdr:nvSpPr>
        <xdr:cNvPr id="996" name="Isosceles Triangle 995">
          <a:extLst>
            <a:ext uri="{FF2B5EF4-FFF2-40B4-BE49-F238E27FC236}">
              <a16:creationId xmlns:a16="http://schemas.microsoft.com/office/drawing/2014/main" id="{00000000-0008-0000-0A00-0000E4030000}"/>
            </a:ext>
          </a:extLst>
        </xdr:cNvPr>
        <xdr:cNvSpPr/>
      </xdr:nvSpPr>
      <xdr:spPr>
        <a:xfrm>
          <a:off x="95484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369</xdr:row>
      <xdr:rowOff>64796</xdr:rowOff>
    </xdr:from>
    <xdr:to>
      <xdr:col>13</xdr:col>
      <xdr:colOff>1909</xdr:colOff>
      <xdr:row>370</xdr:row>
      <xdr:rowOff>153696</xdr:rowOff>
    </xdr:to>
    <xdr:sp macro="" textlink="">
      <xdr:nvSpPr>
        <xdr:cNvPr id="997" name="Isosceles Triangle 996">
          <a:extLst>
            <a:ext uri="{FF2B5EF4-FFF2-40B4-BE49-F238E27FC236}">
              <a16:creationId xmlns:a16="http://schemas.microsoft.com/office/drawing/2014/main" id="{00000000-0008-0000-0A00-0000E5030000}"/>
            </a:ext>
          </a:extLst>
        </xdr:cNvPr>
        <xdr:cNvSpPr/>
      </xdr:nvSpPr>
      <xdr:spPr>
        <a:xfrm>
          <a:off x="6540500" y="622630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311021</xdr:colOff>
      <xdr:row>380</xdr:row>
      <xdr:rowOff>110153</xdr:rowOff>
    </xdr:from>
    <xdr:to>
      <xdr:col>19</xdr:col>
      <xdr:colOff>479490</xdr:colOff>
      <xdr:row>381</xdr:row>
      <xdr:rowOff>97193</xdr:rowOff>
    </xdr:to>
    <xdr:sp macro="" textlink="">
      <xdr:nvSpPr>
        <xdr:cNvPr id="998" name="Rectangle: Top Corners Snipped 997">
          <a:extLst>
            <a:ext uri="{FF2B5EF4-FFF2-40B4-BE49-F238E27FC236}">
              <a16:creationId xmlns:a16="http://schemas.microsoft.com/office/drawing/2014/main" id="{00000000-0008-0000-0A00-0000E6030000}"/>
            </a:ext>
          </a:extLst>
        </xdr:cNvPr>
        <xdr:cNvSpPr/>
      </xdr:nvSpPr>
      <xdr:spPr>
        <a:xfrm>
          <a:off x="10356215" y="64152780"/>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999" name="Isosceles Triangle 998">
          <a:extLst>
            <a:ext uri="{FF2B5EF4-FFF2-40B4-BE49-F238E27FC236}">
              <a16:creationId xmlns:a16="http://schemas.microsoft.com/office/drawing/2014/main" id="{00000000-0008-0000-0A00-0000E7030000}"/>
            </a:ext>
          </a:extLst>
        </xdr:cNvPr>
        <xdr:cNvSpPr/>
      </xdr:nvSpPr>
      <xdr:spPr>
        <a:xfrm>
          <a:off x="128714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386</xdr:row>
      <xdr:rowOff>78147</xdr:rowOff>
    </xdr:from>
    <xdr:to>
      <xdr:col>5</xdr:col>
      <xdr:colOff>0</xdr:colOff>
      <xdr:row>387</xdr:row>
      <xdr:rowOff>192447</xdr:rowOff>
    </xdr:to>
    <xdr:sp macro="" textlink="">
      <xdr:nvSpPr>
        <xdr:cNvPr id="1000" name="Isosceles Triangle 999">
          <a:extLst>
            <a:ext uri="{FF2B5EF4-FFF2-40B4-BE49-F238E27FC236}">
              <a16:creationId xmlns:a16="http://schemas.microsoft.com/office/drawing/2014/main" id="{00000000-0008-0000-0A00-0000E8030000}"/>
            </a:ext>
          </a:extLst>
        </xdr:cNvPr>
        <xdr:cNvSpPr/>
      </xdr:nvSpPr>
      <xdr:spPr>
        <a:xfrm>
          <a:off x="252539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386</xdr:row>
      <xdr:rowOff>78147</xdr:rowOff>
    </xdr:from>
    <xdr:to>
      <xdr:col>7</xdr:col>
      <xdr:colOff>0</xdr:colOff>
      <xdr:row>387</xdr:row>
      <xdr:rowOff>192447</xdr:rowOff>
    </xdr:to>
    <xdr:sp macro="" textlink="">
      <xdr:nvSpPr>
        <xdr:cNvPr id="1001" name="Isosceles Triangle 1000">
          <a:extLst>
            <a:ext uri="{FF2B5EF4-FFF2-40B4-BE49-F238E27FC236}">
              <a16:creationId xmlns:a16="http://schemas.microsoft.com/office/drawing/2014/main" id="{00000000-0008-0000-0A00-0000E9030000}"/>
            </a:ext>
          </a:extLst>
        </xdr:cNvPr>
        <xdr:cNvSpPr/>
      </xdr:nvSpPr>
      <xdr:spPr>
        <a:xfrm>
          <a:off x="35286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386</xdr:row>
      <xdr:rowOff>78147</xdr:rowOff>
    </xdr:from>
    <xdr:to>
      <xdr:col>9</xdr:col>
      <xdr:colOff>0</xdr:colOff>
      <xdr:row>387</xdr:row>
      <xdr:rowOff>192447</xdr:rowOff>
    </xdr:to>
    <xdr:sp macro="" textlink="">
      <xdr:nvSpPr>
        <xdr:cNvPr id="1002" name="Isosceles Triangle 1001">
          <a:extLst>
            <a:ext uri="{FF2B5EF4-FFF2-40B4-BE49-F238E27FC236}">
              <a16:creationId xmlns:a16="http://schemas.microsoft.com/office/drawing/2014/main" id="{00000000-0008-0000-0A00-0000EA030000}"/>
            </a:ext>
          </a:extLst>
        </xdr:cNvPr>
        <xdr:cNvSpPr/>
      </xdr:nvSpPr>
      <xdr:spPr>
        <a:xfrm>
          <a:off x="45319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386</xdr:row>
      <xdr:rowOff>78147</xdr:rowOff>
    </xdr:from>
    <xdr:to>
      <xdr:col>11</xdr:col>
      <xdr:colOff>0</xdr:colOff>
      <xdr:row>388</xdr:row>
      <xdr:rowOff>5058</xdr:rowOff>
    </xdr:to>
    <xdr:sp macro="" textlink="">
      <xdr:nvSpPr>
        <xdr:cNvPr id="1003" name="Isosceles Triangle 1002">
          <a:extLst>
            <a:ext uri="{FF2B5EF4-FFF2-40B4-BE49-F238E27FC236}">
              <a16:creationId xmlns:a16="http://schemas.microsoft.com/office/drawing/2014/main" id="{00000000-0008-0000-0A00-0000EB030000}"/>
            </a:ext>
          </a:extLst>
        </xdr:cNvPr>
        <xdr:cNvSpPr/>
      </xdr:nvSpPr>
      <xdr:spPr>
        <a:xfrm>
          <a:off x="5535295" y="651275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386</xdr:row>
      <xdr:rowOff>78147</xdr:rowOff>
    </xdr:from>
    <xdr:to>
      <xdr:col>15</xdr:col>
      <xdr:colOff>0</xdr:colOff>
      <xdr:row>387</xdr:row>
      <xdr:rowOff>192447</xdr:rowOff>
    </xdr:to>
    <xdr:sp macro="" textlink="">
      <xdr:nvSpPr>
        <xdr:cNvPr id="1004" name="Isosceles Triangle 1003">
          <a:extLst>
            <a:ext uri="{FF2B5EF4-FFF2-40B4-BE49-F238E27FC236}">
              <a16:creationId xmlns:a16="http://schemas.microsoft.com/office/drawing/2014/main" id="{00000000-0008-0000-0A00-0000EC030000}"/>
            </a:ext>
          </a:extLst>
        </xdr:cNvPr>
        <xdr:cNvSpPr/>
      </xdr:nvSpPr>
      <xdr:spPr>
        <a:xfrm>
          <a:off x="75418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386</xdr:row>
      <xdr:rowOff>78147</xdr:rowOff>
    </xdr:from>
    <xdr:to>
      <xdr:col>17</xdr:col>
      <xdr:colOff>0</xdr:colOff>
      <xdr:row>387</xdr:row>
      <xdr:rowOff>192447</xdr:rowOff>
    </xdr:to>
    <xdr:sp macro="" textlink="">
      <xdr:nvSpPr>
        <xdr:cNvPr id="1005" name="Isosceles Triangle 1004">
          <a:extLst>
            <a:ext uri="{FF2B5EF4-FFF2-40B4-BE49-F238E27FC236}">
              <a16:creationId xmlns:a16="http://schemas.microsoft.com/office/drawing/2014/main" id="{00000000-0008-0000-0A00-0000ED030000}"/>
            </a:ext>
          </a:extLst>
        </xdr:cNvPr>
        <xdr:cNvSpPr/>
      </xdr:nvSpPr>
      <xdr:spPr>
        <a:xfrm>
          <a:off x="85451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386</xdr:row>
      <xdr:rowOff>78147</xdr:rowOff>
    </xdr:from>
    <xdr:to>
      <xdr:col>21</xdr:col>
      <xdr:colOff>0</xdr:colOff>
      <xdr:row>387</xdr:row>
      <xdr:rowOff>192447</xdr:rowOff>
    </xdr:to>
    <xdr:sp macro="" textlink="">
      <xdr:nvSpPr>
        <xdr:cNvPr id="1006" name="Isosceles Triangle 1005">
          <a:extLst>
            <a:ext uri="{FF2B5EF4-FFF2-40B4-BE49-F238E27FC236}">
              <a16:creationId xmlns:a16="http://schemas.microsoft.com/office/drawing/2014/main" id="{00000000-0008-0000-0A00-0000EE030000}"/>
            </a:ext>
          </a:extLst>
        </xdr:cNvPr>
        <xdr:cNvSpPr/>
      </xdr:nvSpPr>
      <xdr:spPr>
        <a:xfrm>
          <a:off x="105517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1007" name="Isosceles Triangle 1006">
          <a:extLst>
            <a:ext uri="{FF2B5EF4-FFF2-40B4-BE49-F238E27FC236}">
              <a16:creationId xmlns:a16="http://schemas.microsoft.com/office/drawing/2014/main" id="{00000000-0008-0000-0A00-0000EF030000}"/>
            </a:ext>
          </a:extLst>
        </xdr:cNvPr>
        <xdr:cNvSpPr/>
      </xdr:nvSpPr>
      <xdr:spPr>
        <a:xfrm>
          <a:off x="128714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386</xdr:row>
      <xdr:rowOff>78147</xdr:rowOff>
    </xdr:from>
    <xdr:to>
      <xdr:col>5</xdr:col>
      <xdr:colOff>0</xdr:colOff>
      <xdr:row>387</xdr:row>
      <xdr:rowOff>192447</xdr:rowOff>
    </xdr:to>
    <xdr:sp macro="" textlink="">
      <xdr:nvSpPr>
        <xdr:cNvPr id="1008" name="Isosceles Triangle 1007">
          <a:extLst>
            <a:ext uri="{FF2B5EF4-FFF2-40B4-BE49-F238E27FC236}">
              <a16:creationId xmlns:a16="http://schemas.microsoft.com/office/drawing/2014/main" id="{00000000-0008-0000-0A00-0000F0030000}"/>
            </a:ext>
          </a:extLst>
        </xdr:cNvPr>
        <xdr:cNvSpPr/>
      </xdr:nvSpPr>
      <xdr:spPr>
        <a:xfrm>
          <a:off x="25253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1009" name="Isosceles Triangle 1008">
          <a:extLst>
            <a:ext uri="{FF2B5EF4-FFF2-40B4-BE49-F238E27FC236}">
              <a16:creationId xmlns:a16="http://schemas.microsoft.com/office/drawing/2014/main" id="{00000000-0008-0000-0A00-0000F1030000}"/>
            </a:ext>
          </a:extLst>
        </xdr:cNvPr>
        <xdr:cNvSpPr/>
      </xdr:nvSpPr>
      <xdr:spPr>
        <a:xfrm>
          <a:off x="128714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386</xdr:row>
      <xdr:rowOff>78147</xdr:rowOff>
    </xdr:from>
    <xdr:to>
      <xdr:col>19</xdr:col>
      <xdr:colOff>0</xdr:colOff>
      <xdr:row>387</xdr:row>
      <xdr:rowOff>192447</xdr:rowOff>
    </xdr:to>
    <xdr:sp macro="" textlink="">
      <xdr:nvSpPr>
        <xdr:cNvPr id="1010" name="Isosceles Triangle 1009">
          <a:extLst>
            <a:ext uri="{FF2B5EF4-FFF2-40B4-BE49-F238E27FC236}">
              <a16:creationId xmlns:a16="http://schemas.microsoft.com/office/drawing/2014/main" id="{00000000-0008-0000-0A00-0000F2030000}"/>
            </a:ext>
          </a:extLst>
        </xdr:cNvPr>
        <xdr:cNvSpPr/>
      </xdr:nvSpPr>
      <xdr:spPr>
        <a:xfrm>
          <a:off x="95484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394</xdr:row>
      <xdr:rowOff>78147</xdr:rowOff>
    </xdr:from>
    <xdr:to>
      <xdr:col>3</xdr:col>
      <xdr:colOff>0</xdr:colOff>
      <xdr:row>395</xdr:row>
      <xdr:rowOff>192447</xdr:rowOff>
    </xdr:to>
    <xdr:sp macro="" textlink="">
      <xdr:nvSpPr>
        <xdr:cNvPr id="1011" name="Isosceles Triangle 1010">
          <a:extLst>
            <a:ext uri="{FF2B5EF4-FFF2-40B4-BE49-F238E27FC236}">
              <a16:creationId xmlns:a16="http://schemas.microsoft.com/office/drawing/2014/main" id="{00000000-0008-0000-0A00-0000F3030000}"/>
            </a:ext>
          </a:extLst>
        </xdr:cNvPr>
        <xdr:cNvSpPr/>
      </xdr:nvSpPr>
      <xdr:spPr>
        <a:xfrm>
          <a:off x="1287145" y="66467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394</xdr:row>
      <xdr:rowOff>78147</xdr:rowOff>
    </xdr:from>
    <xdr:to>
      <xdr:col>7</xdr:col>
      <xdr:colOff>0</xdr:colOff>
      <xdr:row>396</xdr:row>
      <xdr:rowOff>5057</xdr:rowOff>
    </xdr:to>
    <xdr:sp macro="" textlink="">
      <xdr:nvSpPr>
        <xdr:cNvPr id="1012" name="Isosceles Triangle 1011">
          <a:extLst>
            <a:ext uri="{FF2B5EF4-FFF2-40B4-BE49-F238E27FC236}">
              <a16:creationId xmlns:a16="http://schemas.microsoft.com/office/drawing/2014/main" id="{00000000-0008-0000-0A00-0000F4030000}"/>
            </a:ext>
          </a:extLst>
        </xdr:cNvPr>
        <xdr:cNvSpPr/>
      </xdr:nvSpPr>
      <xdr:spPr>
        <a:xfrm>
          <a:off x="35286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394</xdr:row>
      <xdr:rowOff>78147</xdr:rowOff>
    </xdr:from>
    <xdr:to>
      <xdr:col>9</xdr:col>
      <xdr:colOff>0</xdr:colOff>
      <xdr:row>396</xdr:row>
      <xdr:rowOff>5057</xdr:rowOff>
    </xdr:to>
    <xdr:sp macro="" textlink="">
      <xdr:nvSpPr>
        <xdr:cNvPr id="1013" name="Isosceles Triangle 1012">
          <a:extLst>
            <a:ext uri="{FF2B5EF4-FFF2-40B4-BE49-F238E27FC236}">
              <a16:creationId xmlns:a16="http://schemas.microsoft.com/office/drawing/2014/main" id="{00000000-0008-0000-0A00-0000F5030000}"/>
            </a:ext>
          </a:extLst>
        </xdr:cNvPr>
        <xdr:cNvSpPr/>
      </xdr:nvSpPr>
      <xdr:spPr>
        <a:xfrm>
          <a:off x="45319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394</xdr:row>
      <xdr:rowOff>78147</xdr:rowOff>
    </xdr:from>
    <xdr:to>
      <xdr:col>11</xdr:col>
      <xdr:colOff>0</xdr:colOff>
      <xdr:row>395</xdr:row>
      <xdr:rowOff>192447</xdr:rowOff>
    </xdr:to>
    <xdr:sp macro="" textlink="">
      <xdr:nvSpPr>
        <xdr:cNvPr id="1014" name="Isosceles Triangle 1013">
          <a:extLst>
            <a:ext uri="{FF2B5EF4-FFF2-40B4-BE49-F238E27FC236}">
              <a16:creationId xmlns:a16="http://schemas.microsoft.com/office/drawing/2014/main" id="{00000000-0008-0000-0A00-0000F6030000}"/>
            </a:ext>
          </a:extLst>
        </xdr:cNvPr>
        <xdr:cNvSpPr/>
      </xdr:nvSpPr>
      <xdr:spPr>
        <a:xfrm>
          <a:off x="55352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394</xdr:row>
      <xdr:rowOff>78147</xdr:rowOff>
    </xdr:from>
    <xdr:to>
      <xdr:col>13</xdr:col>
      <xdr:colOff>0</xdr:colOff>
      <xdr:row>396</xdr:row>
      <xdr:rowOff>5057</xdr:rowOff>
    </xdr:to>
    <xdr:sp macro="" textlink="">
      <xdr:nvSpPr>
        <xdr:cNvPr id="1015" name="Isosceles Triangle 1014">
          <a:extLst>
            <a:ext uri="{FF2B5EF4-FFF2-40B4-BE49-F238E27FC236}">
              <a16:creationId xmlns:a16="http://schemas.microsoft.com/office/drawing/2014/main" id="{00000000-0008-0000-0A00-0000F7030000}"/>
            </a:ext>
          </a:extLst>
        </xdr:cNvPr>
        <xdr:cNvSpPr/>
      </xdr:nvSpPr>
      <xdr:spPr>
        <a:xfrm>
          <a:off x="65385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394</xdr:row>
      <xdr:rowOff>78147</xdr:rowOff>
    </xdr:from>
    <xdr:to>
      <xdr:col>15</xdr:col>
      <xdr:colOff>0</xdr:colOff>
      <xdr:row>395</xdr:row>
      <xdr:rowOff>192447</xdr:rowOff>
    </xdr:to>
    <xdr:sp macro="" textlink="">
      <xdr:nvSpPr>
        <xdr:cNvPr id="1016" name="Isosceles Triangle 1015">
          <a:extLst>
            <a:ext uri="{FF2B5EF4-FFF2-40B4-BE49-F238E27FC236}">
              <a16:creationId xmlns:a16="http://schemas.microsoft.com/office/drawing/2014/main" id="{00000000-0008-0000-0A00-0000F8030000}"/>
            </a:ext>
          </a:extLst>
        </xdr:cNvPr>
        <xdr:cNvSpPr/>
      </xdr:nvSpPr>
      <xdr:spPr>
        <a:xfrm>
          <a:off x="75418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394</xdr:row>
      <xdr:rowOff>78147</xdr:rowOff>
    </xdr:from>
    <xdr:to>
      <xdr:col>17</xdr:col>
      <xdr:colOff>0</xdr:colOff>
      <xdr:row>395</xdr:row>
      <xdr:rowOff>192447</xdr:rowOff>
    </xdr:to>
    <xdr:sp macro="" textlink="">
      <xdr:nvSpPr>
        <xdr:cNvPr id="1017" name="Isosceles Triangle 1016">
          <a:extLst>
            <a:ext uri="{FF2B5EF4-FFF2-40B4-BE49-F238E27FC236}">
              <a16:creationId xmlns:a16="http://schemas.microsoft.com/office/drawing/2014/main" id="{00000000-0008-0000-0A00-0000F9030000}"/>
            </a:ext>
          </a:extLst>
        </xdr:cNvPr>
        <xdr:cNvSpPr/>
      </xdr:nvSpPr>
      <xdr:spPr>
        <a:xfrm>
          <a:off x="8545195" y="66467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394</xdr:row>
      <xdr:rowOff>78147</xdr:rowOff>
    </xdr:from>
    <xdr:to>
      <xdr:col>19</xdr:col>
      <xdr:colOff>0</xdr:colOff>
      <xdr:row>395</xdr:row>
      <xdr:rowOff>192447</xdr:rowOff>
    </xdr:to>
    <xdr:sp macro="" textlink="">
      <xdr:nvSpPr>
        <xdr:cNvPr id="1018" name="Isosceles Triangle 1017">
          <a:extLst>
            <a:ext uri="{FF2B5EF4-FFF2-40B4-BE49-F238E27FC236}">
              <a16:creationId xmlns:a16="http://schemas.microsoft.com/office/drawing/2014/main" id="{00000000-0008-0000-0A00-0000FA030000}"/>
            </a:ext>
          </a:extLst>
        </xdr:cNvPr>
        <xdr:cNvSpPr/>
      </xdr:nvSpPr>
      <xdr:spPr>
        <a:xfrm>
          <a:off x="95484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394</xdr:row>
      <xdr:rowOff>78147</xdr:rowOff>
    </xdr:from>
    <xdr:to>
      <xdr:col>21</xdr:col>
      <xdr:colOff>0</xdr:colOff>
      <xdr:row>395</xdr:row>
      <xdr:rowOff>192447</xdr:rowOff>
    </xdr:to>
    <xdr:sp macro="" textlink="">
      <xdr:nvSpPr>
        <xdr:cNvPr id="1019" name="Isosceles Triangle 1018">
          <a:extLst>
            <a:ext uri="{FF2B5EF4-FFF2-40B4-BE49-F238E27FC236}">
              <a16:creationId xmlns:a16="http://schemas.microsoft.com/office/drawing/2014/main" id="{00000000-0008-0000-0A00-0000FB030000}"/>
            </a:ext>
          </a:extLst>
        </xdr:cNvPr>
        <xdr:cNvSpPr/>
      </xdr:nvSpPr>
      <xdr:spPr>
        <a:xfrm>
          <a:off x="105517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394</xdr:row>
      <xdr:rowOff>78147</xdr:rowOff>
    </xdr:from>
    <xdr:to>
      <xdr:col>5</xdr:col>
      <xdr:colOff>0</xdr:colOff>
      <xdr:row>395</xdr:row>
      <xdr:rowOff>192447</xdr:rowOff>
    </xdr:to>
    <xdr:sp macro="" textlink="">
      <xdr:nvSpPr>
        <xdr:cNvPr id="1020" name="Isosceles Triangle 1019">
          <a:extLst>
            <a:ext uri="{FF2B5EF4-FFF2-40B4-BE49-F238E27FC236}">
              <a16:creationId xmlns:a16="http://schemas.microsoft.com/office/drawing/2014/main" id="{00000000-0008-0000-0A00-0000FC030000}"/>
            </a:ext>
          </a:extLst>
        </xdr:cNvPr>
        <xdr:cNvSpPr/>
      </xdr:nvSpPr>
      <xdr:spPr>
        <a:xfrm>
          <a:off x="25253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394</xdr:row>
      <xdr:rowOff>78147</xdr:rowOff>
    </xdr:from>
    <xdr:to>
      <xdr:col>3</xdr:col>
      <xdr:colOff>0</xdr:colOff>
      <xdr:row>395</xdr:row>
      <xdr:rowOff>192447</xdr:rowOff>
    </xdr:to>
    <xdr:sp macro="" textlink="">
      <xdr:nvSpPr>
        <xdr:cNvPr id="1021" name="Isosceles Triangle 1020">
          <a:extLst>
            <a:ext uri="{FF2B5EF4-FFF2-40B4-BE49-F238E27FC236}">
              <a16:creationId xmlns:a16="http://schemas.microsoft.com/office/drawing/2014/main" id="{00000000-0008-0000-0A00-0000FD030000}"/>
            </a:ext>
          </a:extLst>
        </xdr:cNvPr>
        <xdr:cNvSpPr/>
      </xdr:nvSpPr>
      <xdr:spPr>
        <a:xfrm>
          <a:off x="128714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394</xdr:row>
      <xdr:rowOff>78147</xdr:rowOff>
    </xdr:from>
    <xdr:to>
      <xdr:col>17</xdr:col>
      <xdr:colOff>0</xdr:colOff>
      <xdr:row>395</xdr:row>
      <xdr:rowOff>192447</xdr:rowOff>
    </xdr:to>
    <xdr:sp macro="" textlink="">
      <xdr:nvSpPr>
        <xdr:cNvPr id="1022" name="Isosceles Triangle 1021">
          <a:extLst>
            <a:ext uri="{FF2B5EF4-FFF2-40B4-BE49-F238E27FC236}">
              <a16:creationId xmlns:a16="http://schemas.microsoft.com/office/drawing/2014/main" id="{00000000-0008-0000-0A00-0000FE030000}"/>
            </a:ext>
          </a:extLst>
        </xdr:cNvPr>
        <xdr:cNvSpPr/>
      </xdr:nvSpPr>
      <xdr:spPr>
        <a:xfrm>
          <a:off x="85451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394</xdr:row>
      <xdr:rowOff>78147</xdr:rowOff>
    </xdr:from>
    <xdr:to>
      <xdr:col>19</xdr:col>
      <xdr:colOff>0</xdr:colOff>
      <xdr:row>395</xdr:row>
      <xdr:rowOff>192447</xdr:rowOff>
    </xdr:to>
    <xdr:sp macro="" textlink="">
      <xdr:nvSpPr>
        <xdr:cNvPr id="1023" name="Isosceles Triangle 1022">
          <a:extLst>
            <a:ext uri="{FF2B5EF4-FFF2-40B4-BE49-F238E27FC236}">
              <a16:creationId xmlns:a16="http://schemas.microsoft.com/office/drawing/2014/main" id="{00000000-0008-0000-0A00-0000FF030000}"/>
            </a:ext>
          </a:extLst>
        </xdr:cNvPr>
        <xdr:cNvSpPr/>
      </xdr:nvSpPr>
      <xdr:spPr>
        <a:xfrm>
          <a:off x="95484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386</xdr:row>
      <xdr:rowOff>64796</xdr:rowOff>
    </xdr:from>
    <xdr:to>
      <xdr:col>13</xdr:col>
      <xdr:colOff>1909</xdr:colOff>
      <xdr:row>387</xdr:row>
      <xdr:rowOff>153696</xdr:rowOff>
    </xdr:to>
    <xdr:sp macro="" textlink="">
      <xdr:nvSpPr>
        <xdr:cNvPr id="1024" name="Isosceles Triangle 1023">
          <a:extLst>
            <a:ext uri="{FF2B5EF4-FFF2-40B4-BE49-F238E27FC236}">
              <a16:creationId xmlns:a16="http://schemas.microsoft.com/office/drawing/2014/main" id="{00000000-0008-0000-0A00-000000040000}"/>
            </a:ext>
          </a:extLst>
        </xdr:cNvPr>
        <xdr:cNvSpPr/>
      </xdr:nvSpPr>
      <xdr:spPr>
        <a:xfrm>
          <a:off x="6540500" y="651141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25" name="Isosceles Triangle 1024">
          <a:extLst>
            <a:ext uri="{FF2B5EF4-FFF2-40B4-BE49-F238E27FC236}">
              <a16:creationId xmlns:a16="http://schemas.microsoft.com/office/drawing/2014/main" id="{00000000-0008-0000-0A00-000001040000}"/>
            </a:ext>
          </a:extLst>
        </xdr:cNvPr>
        <xdr:cNvSpPr/>
      </xdr:nvSpPr>
      <xdr:spPr>
        <a:xfrm>
          <a:off x="128714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403</xdr:row>
      <xdr:rowOff>78147</xdr:rowOff>
    </xdr:from>
    <xdr:to>
      <xdr:col>5</xdr:col>
      <xdr:colOff>0</xdr:colOff>
      <xdr:row>404</xdr:row>
      <xdr:rowOff>192447</xdr:rowOff>
    </xdr:to>
    <xdr:sp macro="" textlink="">
      <xdr:nvSpPr>
        <xdr:cNvPr id="1026" name="Isosceles Triangle 1025">
          <a:extLst>
            <a:ext uri="{FF2B5EF4-FFF2-40B4-BE49-F238E27FC236}">
              <a16:creationId xmlns:a16="http://schemas.microsoft.com/office/drawing/2014/main" id="{00000000-0008-0000-0A00-000002040000}"/>
            </a:ext>
          </a:extLst>
        </xdr:cNvPr>
        <xdr:cNvSpPr/>
      </xdr:nvSpPr>
      <xdr:spPr>
        <a:xfrm>
          <a:off x="252539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403</xdr:row>
      <xdr:rowOff>78147</xdr:rowOff>
    </xdr:from>
    <xdr:to>
      <xdr:col>7</xdr:col>
      <xdr:colOff>0</xdr:colOff>
      <xdr:row>404</xdr:row>
      <xdr:rowOff>192447</xdr:rowOff>
    </xdr:to>
    <xdr:sp macro="" textlink="">
      <xdr:nvSpPr>
        <xdr:cNvPr id="1027" name="Isosceles Triangle 1026">
          <a:extLst>
            <a:ext uri="{FF2B5EF4-FFF2-40B4-BE49-F238E27FC236}">
              <a16:creationId xmlns:a16="http://schemas.microsoft.com/office/drawing/2014/main" id="{00000000-0008-0000-0A00-000003040000}"/>
            </a:ext>
          </a:extLst>
        </xdr:cNvPr>
        <xdr:cNvSpPr/>
      </xdr:nvSpPr>
      <xdr:spPr>
        <a:xfrm>
          <a:off x="35286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403</xdr:row>
      <xdr:rowOff>78147</xdr:rowOff>
    </xdr:from>
    <xdr:to>
      <xdr:col>9</xdr:col>
      <xdr:colOff>0</xdr:colOff>
      <xdr:row>404</xdr:row>
      <xdr:rowOff>192447</xdr:rowOff>
    </xdr:to>
    <xdr:sp macro="" textlink="">
      <xdr:nvSpPr>
        <xdr:cNvPr id="1028" name="Isosceles Triangle 1027">
          <a:extLst>
            <a:ext uri="{FF2B5EF4-FFF2-40B4-BE49-F238E27FC236}">
              <a16:creationId xmlns:a16="http://schemas.microsoft.com/office/drawing/2014/main" id="{00000000-0008-0000-0A00-000004040000}"/>
            </a:ext>
          </a:extLst>
        </xdr:cNvPr>
        <xdr:cNvSpPr/>
      </xdr:nvSpPr>
      <xdr:spPr>
        <a:xfrm>
          <a:off x="45319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403</xdr:row>
      <xdr:rowOff>78147</xdr:rowOff>
    </xdr:from>
    <xdr:to>
      <xdr:col>11</xdr:col>
      <xdr:colOff>0</xdr:colOff>
      <xdr:row>405</xdr:row>
      <xdr:rowOff>5058</xdr:rowOff>
    </xdr:to>
    <xdr:sp macro="" textlink="">
      <xdr:nvSpPr>
        <xdr:cNvPr id="1029" name="Isosceles Triangle 1028">
          <a:extLst>
            <a:ext uri="{FF2B5EF4-FFF2-40B4-BE49-F238E27FC236}">
              <a16:creationId xmlns:a16="http://schemas.microsoft.com/office/drawing/2014/main" id="{00000000-0008-0000-0A00-000005040000}"/>
            </a:ext>
          </a:extLst>
        </xdr:cNvPr>
        <xdr:cNvSpPr/>
      </xdr:nvSpPr>
      <xdr:spPr>
        <a:xfrm>
          <a:off x="5535295" y="67978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403</xdr:row>
      <xdr:rowOff>78147</xdr:rowOff>
    </xdr:from>
    <xdr:to>
      <xdr:col>15</xdr:col>
      <xdr:colOff>0</xdr:colOff>
      <xdr:row>404</xdr:row>
      <xdr:rowOff>192447</xdr:rowOff>
    </xdr:to>
    <xdr:sp macro="" textlink="">
      <xdr:nvSpPr>
        <xdr:cNvPr id="1030" name="Isosceles Triangle 1029">
          <a:extLst>
            <a:ext uri="{FF2B5EF4-FFF2-40B4-BE49-F238E27FC236}">
              <a16:creationId xmlns:a16="http://schemas.microsoft.com/office/drawing/2014/main" id="{00000000-0008-0000-0A00-000006040000}"/>
            </a:ext>
          </a:extLst>
        </xdr:cNvPr>
        <xdr:cNvSpPr/>
      </xdr:nvSpPr>
      <xdr:spPr>
        <a:xfrm>
          <a:off x="75418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403</xdr:row>
      <xdr:rowOff>78147</xdr:rowOff>
    </xdr:from>
    <xdr:to>
      <xdr:col>17</xdr:col>
      <xdr:colOff>0</xdr:colOff>
      <xdr:row>404</xdr:row>
      <xdr:rowOff>192447</xdr:rowOff>
    </xdr:to>
    <xdr:sp macro="" textlink="">
      <xdr:nvSpPr>
        <xdr:cNvPr id="1031" name="Isosceles Triangle 1030">
          <a:extLst>
            <a:ext uri="{FF2B5EF4-FFF2-40B4-BE49-F238E27FC236}">
              <a16:creationId xmlns:a16="http://schemas.microsoft.com/office/drawing/2014/main" id="{00000000-0008-0000-0A00-000007040000}"/>
            </a:ext>
          </a:extLst>
        </xdr:cNvPr>
        <xdr:cNvSpPr/>
      </xdr:nvSpPr>
      <xdr:spPr>
        <a:xfrm>
          <a:off x="85451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403</xdr:row>
      <xdr:rowOff>78147</xdr:rowOff>
    </xdr:from>
    <xdr:to>
      <xdr:col>21</xdr:col>
      <xdr:colOff>0</xdr:colOff>
      <xdr:row>404</xdr:row>
      <xdr:rowOff>192447</xdr:rowOff>
    </xdr:to>
    <xdr:sp macro="" textlink="">
      <xdr:nvSpPr>
        <xdr:cNvPr id="1032" name="Isosceles Triangle 1031">
          <a:extLst>
            <a:ext uri="{FF2B5EF4-FFF2-40B4-BE49-F238E27FC236}">
              <a16:creationId xmlns:a16="http://schemas.microsoft.com/office/drawing/2014/main" id="{00000000-0008-0000-0A00-000008040000}"/>
            </a:ext>
          </a:extLst>
        </xdr:cNvPr>
        <xdr:cNvSpPr/>
      </xdr:nvSpPr>
      <xdr:spPr>
        <a:xfrm>
          <a:off x="105517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33" name="Isosceles Triangle 1032">
          <a:extLst>
            <a:ext uri="{FF2B5EF4-FFF2-40B4-BE49-F238E27FC236}">
              <a16:creationId xmlns:a16="http://schemas.microsoft.com/office/drawing/2014/main" id="{00000000-0008-0000-0A00-000009040000}"/>
            </a:ext>
          </a:extLst>
        </xdr:cNvPr>
        <xdr:cNvSpPr/>
      </xdr:nvSpPr>
      <xdr:spPr>
        <a:xfrm>
          <a:off x="128714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403</xdr:row>
      <xdr:rowOff>78147</xdr:rowOff>
    </xdr:from>
    <xdr:to>
      <xdr:col>5</xdr:col>
      <xdr:colOff>0</xdr:colOff>
      <xdr:row>404</xdr:row>
      <xdr:rowOff>192447</xdr:rowOff>
    </xdr:to>
    <xdr:sp macro="" textlink="">
      <xdr:nvSpPr>
        <xdr:cNvPr id="1034" name="Isosceles Triangle 1033">
          <a:extLst>
            <a:ext uri="{FF2B5EF4-FFF2-40B4-BE49-F238E27FC236}">
              <a16:creationId xmlns:a16="http://schemas.microsoft.com/office/drawing/2014/main" id="{00000000-0008-0000-0A00-00000A040000}"/>
            </a:ext>
          </a:extLst>
        </xdr:cNvPr>
        <xdr:cNvSpPr/>
      </xdr:nvSpPr>
      <xdr:spPr>
        <a:xfrm>
          <a:off x="25253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35" name="Isosceles Triangle 1034">
          <a:extLst>
            <a:ext uri="{FF2B5EF4-FFF2-40B4-BE49-F238E27FC236}">
              <a16:creationId xmlns:a16="http://schemas.microsoft.com/office/drawing/2014/main" id="{00000000-0008-0000-0A00-00000B040000}"/>
            </a:ext>
          </a:extLst>
        </xdr:cNvPr>
        <xdr:cNvSpPr/>
      </xdr:nvSpPr>
      <xdr:spPr>
        <a:xfrm>
          <a:off x="128714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403</xdr:row>
      <xdr:rowOff>78147</xdr:rowOff>
    </xdr:from>
    <xdr:to>
      <xdr:col>19</xdr:col>
      <xdr:colOff>0</xdr:colOff>
      <xdr:row>404</xdr:row>
      <xdr:rowOff>192447</xdr:rowOff>
    </xdr:to>
    <xdr:sp macro="" textlink="">
      <xdr:nvSpPr>
        <xdr:cNvPr id="1036" name="Isosceles Triangle 1035">
          <a:extLst>
            <a:ext uri="{FF2B5EF4-FFF2-40B4-BE49-F238E27FC236}">
              <a16:creationId xmlns:a16="http://schemas.microsoft.com/office/drawing/2014/main" id="{00000000-0008-0000-0A00-00000C040000}"/>
            </a:ext>
          </a:extLst>
        </xdr:cNvPr>
        <xdr:cNvSpPr/>
      </xdr:nvSpPr>
      <xdr:spPr>
        <a:xfrm>
          <a:off x="95484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411</xdr:row>
      <xdr:rowOff>78147</xdr:rowOff>
    </xdr:from>
    <xdr:to>
      <xdr:col>3</xdr:col>
      <xdr:colOff>0</xdr:colOff>
      <xdr:row>412</xdr:row>
      <xdr:rowOff>192447</xdr:rowOff>
    </xdr:to>
    <xdr:sp macro="" textlink="">
      <xdr:nvSpPr>
        <xdr:cNvPr id="1037" name="Isosceles Triangle 1036">
          <a:extLst>
            <a:ext uri="{FF2B5EF4-FFF2-40B4-BE49-F238E27FC236}">
              <a16:creationId xmlns:a16="http://schemas.microsoft.com/office/drawing/2014/main" id="{00000000-0008-0000-0A00-00000D040000}"/>
            </a:ext>
          </a:extLst>
        </xdr:cNvPr>
        <xdr:cNvSpPr/>
      </xdr:nvSpPr>
      <xdr:spPr>
        <a:xfrm>
          <a:off x="1287145" y="69318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411</xdr:row>
      <xdr:rowOff>78147</xdr:rowOff>
    </xdr:from>
    <xdr:to>
      <xdr:col>7</xdr:col>
      <xdr:colOff>0</xdr:colOff>
      <xdr:row>413</xdr:row>
      <xdr:rowOff>5057</xdr:rowOff>
    </xdr:to>
    <xdr:sp macro="" textlink="">
      <xdr:nvSpPr>
        <xdr:cNvPr id="1038" name="Isosceles Triangle 1037">
          <a:extLst>
            <a:ext uri="{FF2B5EF4-FFF2-40B4-BE49-F238E27FC236}">
              <a16:creationId xmlns:a16="http://schemas.microsoft.com/office/drawing/2014/main" id="{00000000-0008-0000-0A00-00000E040000}"/>
            </a:ext>
          </a:extLst>
        </xdr:cNvPr>
        <xdr:cNvSpPr/>
      </xdr:nvSpPr>
      <xdr:spPr>
        <a:xfrm>
          <a:off x="3528695" y="693185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482530</xdr:colOff>
      <xdr:row>411</xdr:row>
      <xdr:rowOff>105459</xdr:rowOff>
    </xdr:from>
    <xdr:to>
      <xdr:col>8</xdr:col>
      <xdr:colOff>477957</xdr:colOff>
      <xdr:row>413</xdr:row>
      <xdr:rowOff>32369</xdr:rowOff>
    </xdr:to>
    <xdr:sp macro="" textlink="">
      <xdr:nvSpPr>
        <xdr:cNvPr id="1039" name="Isosceles Triangle 1038">
          <a:extLst>
            <a:ext uri="{FF2B5EF4-FFF2-40B4-BE49-F238E27FC236}">
              <a16:creationId xmlns:a16="http://schemas.microsoft.com/office/drawing/2014/main" id="{00000000-0008-0000-0A00-00000F040000}"/>
            </a:ext>
          </a:extLst>
        </xdr:cNvPr>
        <xdr:cNvSpPr/>
      </xdr:nvSpPr>
      <xdr:spPr>
        <a:xfrm>
          <a:off x="4507865" y="6934581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411</xdr:row>
      <xdr:rowOff>78147</xdr:rowOff>
    </xdr:from>
    <xdr:to>
      <xdr:col>5</xdr:col>
      <xdr:colOff>0</xdr:colOff>
      <xdr:row>412</xdr:row>
      <xdr:rowOff>192447</xdr:rowOff>
    </xdr:to>
    <xdr:sp macro="" textlink="">
      <xdr:nvSpPr>
        <xdr:cNvPr id="1040" name="Isosceles Triangle 1039">
          <a:extLst>
            <a:ext uri="{FF2B5EF4-FFF2-40B4-BE49-F238E27FC236}">
              <a16:creationId xmlns:a16="http://schemas.microsoft.com/office/drawing/2014/main" id="{00000000-0008-0000-0A00-000010040000}"/>
            </a:ext>
          </a:extLst>
        </xdr:cNvPr>
        <xdr:cNvSpPr/>
      </xdr:nvSpPr>
      <xdr:spPr>
        <a:xfrm>
          <a:off x="2525395" y="69318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411</xdr:row>
      <xdr:rowOff>78147</xdr:rowOff>
    </xdr:from>
    <xdr:to>
      <xdr:col>3</xdr:col>
      <xdr:colOff>0</xdr:colOff>
      <xdr:row>412</xdr:row>
      <xdr:rowOff>192447</xdr:rowOff>
    </xdr:to>
    <xdr:sp macro="" textlink="">
      <xdr:nvSpPr>
        <xdr:cNvPr id="1041" name="Isosceles Triangle 1040">
          <a:extLst>
            <a:ext uri="{FF2B5EF4-FFF2-40B4-BE49-F238E27FC236}">
              <a16:creationId xmlns:a16="http://schemas.microsoft.com/office/drawing/2014/main" id="{00000000-0008-0000-0A00-000011040000}"/>
            </a:ext>
          </a:extLst>
        </xdr:cNvPr>
        <xdr:cNvSpPr/>
      </xdr:nvSpPr>
      <xdr:spPr>
        <a:xfrm>
          <a:off x="1287145" y="69318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403</xdr:row>
      <xdr:rowOff>64796</xdr:rowOff>
    </xdr:from>
    <xdr:to>
      <xdr:col>13</xdr:col>
      <xdr:colOff>1909</xdr:colOff>
      <xdr:row>404</xdr:row>
      <xdr:rowOff>153696</xdr:rowOff>
    </xdr:to>
    <xdr:sp macro="" textlink="">
      <xdr:nvSpPr>
        <xdr:cNvPr id="1042" name="Isosceles Triangle 1041">
          <a:extLst>
            <a:ext uri="{FF2B5EF4-FFF2-40B4-BE49-F238E27FC236}">
              <a16:creationId xmlns:a16="http://schemas.microsoft.com/office/drawing/2014/main" id="{00000000-0008-0000-0A00-000012040000}"/>
            </a:ext>
          </a:extLst>
        </xdr:cNvPr>
        <xdr:cNvSpPr/>
      </xdr:nvSpPr>
      <xdr:spPr>
        <a:xfrm>
          <a:off x="6540500" y="679653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477893</xdr:colOff>
      <xdr:row>411</xdr:row>
      <xdr:rowOff>80331</xdr:rowOff>
    </xdr:from>
    <xdr:to>
      <xdr:col>10</xdr:col>
      <xdr:colOff>473320</xdr:colOff>
      <xdr:row>413</xdr:row>
      <xdr:rowOff>7241</xdr:rowOff>
    </xdr:to>
    <xdr:sp macro="" textlink="">
      <xdr:nvSpPr>
        <xdr:cNvPr id="1043" name="Isosceles Triangle 1042">
          <a:extLst>
            <a:ext uri="{FF2B5EF4-FFF2-40B4-BE49-F238E27FC236}">
              <a16:creationId xmlns:a16="http://schemas.microsoft.com/office/drawing/2014/main" id="{00000000-0008-0000-0A00-000013040000}"/>
            </a:ext>
          </a:extLst>
        </xdr:cNvPr>
        <xdr:cNvSpPr/>
      </xdr:nvSpPr>
      <xdr:spPr>
        <a:xfrm>
          <a:off x="5506720" y="6932041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162</xdr:row>
      <xdr:rowOff>78147</xdr:rowOff>
    </xdr:from>
    <xdr:to>
      <xdr:col>5</xdr:col>
      <xdr:colOff>0</xdr:colOff>
      <xdr:row>163</xdr:row>
      <xdr:rowOff>192447</xdr:rowOff>
    </xdr:to>
    <xdr:sp macro="" textlink="">
      <xdr:nvSpPr>
        <xdr:cNvPr id="1735" name="Isosceles Triangle 1734">
          <a:extLst>
            <a:ext uri="{FF2B5EF4-FFF2-40B4-BE49-F238E27FC236}">
              <a16:creationId xmlns:a16="http://schemas.microsoft.com/office/drawing/2014/main" id="{00000000-0008-0000-0A00-0000C7060000}"/>
            </a:ext>
          </a:extLst>
        </xdr:cNvPr>
        <xdr:cNvSpPr/>
      </xdr:nvSpPr>
      <xdr:spPr>
        <a:xfrm>
          <a:off x="2525395" y="274180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162</xdr:row>
      <xdr:rowOff>78147</xdr:rowOff>
    </xdr:from>
    <xdr:to>
      <xdr:col>7</xdr:col>
      <xdr:colOff>0</xdr:colOff>
      <xdr:row>163</xdr:row>
      <xdr:rowOff>192447</xdr:rowOff>
    </xdr:to>
    <xdr:sp macro="" textlink="">
      <xdr:nvSpPr>
        <xdr:cNvPr id="1736" name="Isosceles Triangle 1735">
          <a:extLst>
            <a:ext uri="{FF2B5EF4-FFF2-40B4-BE49-F238E27FC236}">
              <a16:creationId xmlns:a16="http://schemas.microsoft.com/office/drawing/2014/main" id="{00000000-0008-0000-0A00-0000C8060000}"/>
            </a:ext>
          </a:extLst>
        </xdr:cNvPr>
        <xdr:cNvSpPr/>
      </xdr:nvSpPr>
      <xdr:spPr>
        <a:xfrm>
          <a:off x="35286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162</xdr:row>
      <xdr:rowOff>78147</xdr:rowOff>
    </xdr:from>
    <xdr:to>
      <xdr:col>9</xdr:col>
      <xdr:colOff>0</xdr:colOff>
      <xdr:row>163</xdr:row>
      <xdr:rowOff>192447</xdr:rowOff>
    </xdr:to>
    <xdr:sp macro="" textlink="">
      <xdr:nvSpPr>
        <xdr:cNvPr id="1737" name="Isosceles Triangle 1736">
          <a:extLst>
            <a:ext uri="{FF2B5EF4-FFF2-40B4-BE49-F238E27FC236}">
              <a16:creationId xmlns:a16="http://schemas.microsoft.com/office/drawing/2014/main" id="{00000000-0008-0000-0A00-0000C9060000}"/>
            </a:ext>
          </a:extLst>
        </xdr:cNvPr>
        <xdr:cNvSpPr/>
      </xdr:nvSpPr>
      <xdr:spPr>
        <a:xfrm>
          <a:off x="45319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162</xdr:row>
      <xdr:rowOff>78147</xdr:rowOff>
    </xdr:from>
    <xdr:to>
      <xdr:col>11</xdr:col>
      <xdr:colOff>0</xdr:colOff>
      <xdr:row>163</xdr:row>
      <xdr:rowOff>192447</xdr:rowOff>
    </xdr:to>
    <xdr:sp macro="" textlink="">
      <xdr:nvSpPr>
        <xdr:cNvPr id="1738" name="Isosceles Triangle 1737">
          <a:extLst>
            <a:ext uri="{FF2B5EF4-FFF2-40B4-BE49-F238E27FC236}">
              <a16:creationId xmlns:a16="http://schemas.microsoft.com/office/drawing/2014/main" id="{00000000-0008-0000-0A00-0000CA060000}"/>
            </a:ext>
          </a:extLst>
        </xdr:cNvPr>
        <xdr:cNvSpPr/>
      </xdr:nvSpPr>
      <xdr:spPr>
        <a:xfrm>
          <a:off x="55352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162</xdr:row>
      <xdr:rowOff>58708</xdr:rowOff>
    </xdr:from>
    <xdr:to>
      <xdr:col>13</xdr:col>
      <xdr:colOff>6480</xdr:colOff>
      <xdr:row>163</xdr:row>
      <xdr:rowOff>147608</xdr:rowOff>
    </xdr:to>
    <xdr:sp macro="" textlink="">
      <xdr:nvSpPr>
        <xdr:cNvPr id="1739" name="Isosceles Triangle 1738">
          <a:extLst>
            <a:ext uri="{FF2B5EF4-FFF2-40B4-BE49-F238E27FC236}">
              <a16:creationId xmlns:a16="http://schemas.microsoft.com/office/drawing/2014/main" id="{00000000-0008-0000-0A00-0000CB060000}"/>
            </a:ext>
          </a:extLst>
        </xdr:cNvPr>
        <xdr:cNvSpPr/>
      </xdr:nvSpPr>
      <xdr:spPr>
        <a:xfrm>
          <a:off x="6544945" y="2739834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11052</xdr:colOff>
      <xdr:row>162</xdr:row>
      <xdr:rowOff>52228</xdr:rowOff>
    </xdr:from>
    <xdr:to>
      <xdr:col>15</xdr:col>
      <xdr:colOff>6480</xdr:colOff>
      <xdr:row>163</xdr:row>
      <xdr:rowOff>141128</xdr:rowOff>
    </xdr:to>
    <xdr:sp macro="" textlink="">
      <xdr:nvSpPr>
        <xdr:cNvPr id="1740" name="Isosceles Triangle 1739">
          <a:extLst>
            <a:ext uri="{FF2B5EF4-FFF2-40B4-BE49-F238E27FC236}">
              <a16:creationId xmlns:a16="http://schemas.microsoft.com/office/drawing/2014/main" id="{00000000-0008-0000-0A00-0000CC060000}"/>
            </a:ext>
          </a:extLst>
        </xdr:cNvPr>
        <xdr:cNvSpPr/>
      </xdr:nvSpPr>
      <xdr:spPr>
        <a:xfrm>
          <a:off x="7548245" y="273919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162</xdr:row>
      <xdr:rowOff>78147</xdr:rowOff>
    </xdr:from>
    <xdr:to>
      <xdr:col>17</xdr:col>
      <xdr:colOff>0</xdr:colOff>
      <xdr:row>163</xdr:row>
      <xdr:rowOff>192447</xdr:rowOff>
    </xdr:to>
    <xdr:sp macro="" textlink="">
      <xdr:nvSpPr>
        <xdr:cNvPr id="1741" name="Isosceles Triangle 1740">
          <a:extLst>
            <a:ext uri="{FF2B5EF4-FFF2-40B4-BE49-F238E27FC236}">
              <a16:creationId xmlns:a16="http://schemas.microsoft.com/office/drawing/2014/main" id="{00000000-0008-0000-0A00-0000CD060000}"/>
            </a:ext>
          </a:extLst>
        </xdr:cNvPr>
        <xdr:cNvSpPr/>
      </xdr:nvSpPr>
      <xdr:spPr>
        <a:xfrm>
          <a:off x="85451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162</xdr:row>
      <xdr:rowOff>78147</xdr:rowOff>
    </xdr:from>
    <xdr:to>
      <xdr:col>19</xdr:col>
      <xdr:colOff>0</xdr:colOff>
      <xdr:row>163</xdr:row>
      <xdr:rowOff>192447</xdr:rowOff>
    </xdr:to>
    <xdr:sp macro="" textlink="">
      <xdr:nvSpPr>
        <xdr:cNvPr id="1742" name="Isosceles Triangle 1741">
          <a:extLst>
            <a:ext uri="{FF2B5EF4-FFF2-40B4-BE49-F238E27FC236}">
              <a16:creationId xmlns:a16="http://schemas.microsoft.com/office/drawing/2014/main" id="{00000000-0008-0000-0A00-0000CE060000}"/>
            </a:ext>
          </a:extLst>
        </xdr:cNvPr>
        <xdr:cNvSpPr/>
      </xdr:nvSpPr>
      <xdr:spPr>
        <a:xfrm>
          <a:off x="95484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24011</xdr:colOff>
      <xdr:row>162</xdr:row>
      <xdr:rowOff>78147</xdr:rowOff>
    </xdr:from>
    <xdr:to>
      <xdr:col>21</xdr:col>
      <xdr:colOff>19439</xdr:colOff>
      <xdr:row>164</xdr:row>
      <xdr:rowOff>5058</xdr:rowOff>
    </xdr:to>
    <xdr:sp macro="" textlink="">
      <xdr:nvSpPr>
        <xdr:cNvPr id="1743" name="Isosceles Triangle 1742">
          <a:extLst>
            <a:ext uri="{FF2B5EF4-FFF2-40B4-BE49-F238E27FC236}">
              <a16:creationId xmlns:a16="http://schemas.microsoft.com/office/drawing/2014/main" id="{00000000-0008-0000-0A00-0000CF060000}"/>
            </a:ext>
          </a:extLst>
        </xdr:cNvPr>
        <xdr:cNvSpPr/>
      </xdr:nvSpPr>
      <xdr:spPr>
        <a:xfrm>
          <a:off x="10570845" y="274180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162</xdr:row>
      <xdr:rowOff>78147</xdr:rowOff>
    </xdr:from>
    <xdr:to>
      <xdr:col>5</xdr:col>
      <xdr:colOff>0</xdr:colOff>
      <xdr:row>163</xdr:row>
      <xdr:rowOff>192447</xdr:rowOff>
    </xdr:to>
    <xdr:sp macro="" textlink="">
      <xdr:nvSpPr>
        <xdr:cNvPr id="1744" name="Isosceles Triangle 1743">
          <a:extLst>
            <a:ext uri="{FF2B5EF4-FFF2-40B4-BE49-F238E27FC236}">
              <a16:creationId xmlns:a16="http://schemas.microsoft.com/office/drawing/2014/main" id="{00000000-0008-0000-0A00-0000D0060000}"/>
            </a:ext>
          </a:extLst>
        </xdr:cNvPr>
        <xdr:cNvSpPr/>
      </xdr:nvSpPr>
      <xdr:spPr>
        <a:xfrm>
          <a:off x="25253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162</xdr:row>
      <xdr:rowOff>78147</xdr:rowOff>
    </xdr:from>
    <xdr:to>
      <xdr:col>19</xdr:col>
      <xdr:colOff>0</xdr:colOff>
      <xdr:row>163</xdr:row>
      <xdr:rowOff>192447</xdr:rowOff>
    </xdr:to>
    <xdr:sp macro="" textlink="">
      <xdr:nvSpPr>
        <xdr:cNvPr id="1745" name="Isosceles Triangle 1744">
          <a:extLst>
            <a:ext uri="{FF2B5EF4-FFF2-40B4-BE49-F238E27FC236}">
              <a16:creationId xmlns:a16="http://schemas.microsoft.com/office/drawing/2014/main" id="{00000000-0008-0000-0A00-0000D1060000}"/>
            </a:ext>
          </a:extLst>
        </xdr:cNvPr>
        <xdr:cNvSpPr/>
      </xdr:nvSpPr>
      <xdr:spPr>
        <a:xfrm>
          <a:off x="95484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171</xdr:row>
      <xdr:rowOff>78147</xdr:rowOff>
    </xdr:from>
    <xdr:to>
      <xdr:col>3</xdr:col>
      <xdr:colOff>0</xdr:colOff>
      <xdr:row>172</xdr:row>
      <xdr:rowOff>192447</xdr:rowOff>
    </xdr:to>
    <xdr:sp macro="" textlink="">
      <xdr:nvSpPr>
        <xdr:cNvPr id="1746" name="Isosceles Triangle 1745">
          <a:extLst>
            <a:ext uri="{FF2B5EF4-FFF2-40B4-BE49-F238E27FC236}">
              <a16:creationId xmlns:a16="http://schemas.microsoft.com/office/drawing/2014/main" id="{00000000-0008-0000-0A00-0000D2060000}"/>
            </a:ext>
          </a:extLst>
        </xdr:cNvPr>
        <xdr:cNvSpPr/>
      </xdr:nvSpPr>
      <xdr:spPr>
        <a:xfrm>
          <a:off x="1287145" y="28922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171</xdr:row>
      <xdr:rowOff>78147</xdr:rowOff>
    </xdr:from>
    <xdr:to>
      <xdr:col>7</xdr:col>
      <xdr:colOff>0</xdr:colOff>
      <xdr:row>173</xdr:row>
      <xdr:rowOff>5058</xdr:rowOff>
    </xdr:to>
    <xdr:sp macro="" textlink="">
      <xdr:nvSpPr>
        <xdr:cNvPr id="1747" name="Isosceles Triangle 1746">
          <a:extLst>
            <a:ext uri="{FF2B5EF4-FFF2-40B4-BE49-F238E27FC236}">
              <a16:creationId xmlns:a16="http://schemas.microsoft.com/office/drawing/2014/main" id="{00000000-0008-0000-0A00-0000D3060000}"/>
            </a:ext>
          </a:extLst>
        </xdr:cNvPr>
        <xdr:cNvSpPr/>
      </xdr:nvSpPr>
      <xdr:spPr>
        <a:xfrm>
          <a:off x="35286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171</xdr:row>
      <xdr:rowOff>78147</xdr:rowOff>
    </xdr:from>
    <xdr:to>
      <xdr:col>9</xdr:col>
      <xdr:colOff>0</xdr:colOff>
      <xdr:row>172</xdr:row>
      <xdr:rowOff>192447</xdr:rowOff>
    </xdr:to>
    <xdr:sp macro="" textlink="">
      <xdr:nvSpPr>
        <xdr:cNvPr id="1748" name="Isosceles Triangle 1747">
          <a:extLst>
            <a:ext uri="{FF2B5EF4-FFF2-40B4-BE49-F238E27FC236}">
              <a16:creationId xmlns:a16="http://schemas.microsoft.com/office/drawing/2014/main" id="{00000000-0008-0000-0A00-0000D4060000}"/>
            </a:ext>
          </a:extLst>
        </xdr:cNvPr>
        <xdr:cNvSpPr/>
      </xdr:nvSpPr>
      <xdr:spPr>
        <a:xfrm>
          <a:off x="45319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171</xdr:row>
      <xdr:rowOff>78147</xdr:rowOff>
    </xdr:from>
    <xdr:to>
      <xdr:col>11</xdr:col>
      <xdr:colOff>0</xdr:colOff>
      <xdr:row>173</xdr:row>
      <xdr:rowOff>5058</xdr:rowOff>
    </xdr:to>
    <xdr:sp macro="" textlink="">
      <xdr:nvSpPr>
        <xdr:cNvPr id="1749" name="Isosceles Triangle 1748">
          <a:extLst>
            <a:ext uri="{FF2B5EF4-FFF2-40B4-BE49-F238E27FC236}">
              <a16:creationId xmlns:a16="http://schemas.microsoft.com/office/drawing/2014/main" id="{00000000-0008-0000-0A00-0000D5060000}"/>
            </a:ext>
          </a:extLst>
        </xdr:cNvPr>
        <xdr:cNvSpPr/>
      </xdr:nvSpPr>
      <xdr:spPr>
        <a:xfrm>
          <a:off x="55352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171</xdr:row>
      <xdr:rowOff>78147</xdr:rowOff>
    </xdr:from>
    <xdr:to>
      <xdr:col>13</xdr:col>
      <xdr:colOff>0</xdr:colOff>
      <xdr:row>173</xdr:row>
      <xdr:rowOff>5058</xdr:rowOff>
    </xdr:to>
    <xdr:sp macro="" textlink="">
      <xdr:nvSpPr>
        <xdr:cNvPr id="1750" name="Isosceles Triangle 1749">
          <a:extLst>
            <a:ext uri="{FF2B5EF4-FFF2-40B4-BE49-F238E27FC236}">
              <a16:creationId xmlns:a16="http://schemas.microsoft.com/office/drawing/2014/main" id="{00000000-0008-0000-0A00-0000D6060000}"/>
            </a:ext>
          </a:extLst>
        </xdr:cNvPr>
        <xdr:cNvSpPr/>
      </xdr:nvSpPr>
      <xdr:spPr>
        <a:xfrm>
          <a:off x="65385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171</xdr:row>
      <xdr:rowOff>78147</xdr:rowOff>
    </xdr:from>
    <xdr:to>
      <xdr:col>15</xdr:col>
      <xdr:colOff>0</xdr:colOff>
      <xdr:row>173</xdr:row>
      <xdr:rowOff>5058</xdr:rowOff>
    </xdr:to>
    <xdr:sp macro="" textlink="">
      <xdr:nvSpPr>
        <xdr:cNvPr id="1751" name="Isosceles Triangle 1750">
          <a:extLst>
            <a:ext uri="{FF2B5EF4-FFF2-40B4-BE49-F238E27FC236}">
              <a16:creationId xmlns:a16="http://schemas.microsoft.com/office/drawing/2014/main" id="{00000000-0008-0000-0A00-0000D7060000}"/>
            </a:ext>
          </a:extLst>
        </xdr:cNvPr>
        <xdr:cNvSpPr/>
      </xdr:nvSpPr>
      <xdr:spPr>
        <a:xfrm>
          <a:off x="75418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171</xdr:row>
      <xdr:rowOff>78147</xdr:rowOff>
    </xdr:from>
    <xdr:to>
      <xdr:col>17</xdr:col>
      <xdr:colOff>0</xdr:colOff>
      <xdr:row>173</xdr:row>
      <xdr:rowOff>5058</xdr:rowOff>
    </xdr:to>
    <xdr:sp macro="" textlink="">
      <xdr:nvSpPr>
        <xdr:cNvPr id="1752" name="Isosceles Triangle 1751">
          <a:extLst>
            <a:ext uri="{FF2B5EF4-FFF2-40B4-BE49-F238E27FC236}">
              <a16:creationId xmlns:a16="http://schemas.microsoft.com/office/drawing/2014/main" id="{00000000-0008-0000-0A00-0000D8060000}"/>
            </a:ext>
          </a:extLst>
        </xdr:cNvPr>
        <xdr:cNvSpPr/>
      </xdr:nvSpPr>
      <xdr:spPr>
        <a:xfrm>
          <a:off x="85451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171</xdr:row>
      <xdr:rowOff>78147</xdr:rowOff>
    </xdr:from>
    <xdr:to>
      <xdr:col>19</xdr:col>
      <xdr:colOff>0</xdr:colOff>
      <xdr:row>172</xdr:row>
      <xdr:rowOff>192447</xdr:rowOff>
    </xdr:to>
    <xdr:sp macro="" textlink="">
      <xdr:nvSpPr>
        <xdr:cNvPr id="1753" name="Isosceles Triangle 1752">
          <a:extLst>
            <a:ext uri="{FF2B5EF4-FFF2-40B4-BE49-F238E27FC236}">
              <a16:creationId xmlns:a16="http://schemas.microsoft.com/office/drawing/2014/main" id="{00000000-0008-0000-0A00-0000D9060000}"/>
            </a:ext>
          </a:extLst>
        </xdr:cNvPr>
        <xdr:cNvSpPr/>
      </xdr:nvSpPr>
      <xdr:spPr>
        <a:xfrm>
          <a:off x="95484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171</xdr:row>
      <xdr:rowOff>78147</xdr:rowOff>
    </xdr:from>
    <xdr:to>
      <xdr:col>21</xdr:col>
      <xdr:colOff>0</xdr:colOff>
      <xdr:row>172</xdr:row>
      <xdr:rowOff>192447</xdr:rowOff>
    </xdr:to>
    <xdr:sp macro="" textlink="">
      <xdr:nvSpPr>
        <xdr:cNvPr id="1754" name="Isosceles Triangle 1753">
          <a:extLst>
            <a:ext uri="{FF2B5EF4-FFF2-40B4-BE49-F238E27FC236}">
              <a16:creationId xmlns:a16="http://schemas.microsoft.com/office/drawing/2014/main" id="{00000000-0008-0000-0A00-0000DA060000}"/>
            </a:ext>
          </a:extLst>
        </xdr:cNvPr>
        <xdr:cNvSpPr/>
      </xdr:nvSpPr>
      <xdr:spPr>
        <a:xfrm>
          <a:off x="105517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171</xdr:row>
      <xdr:rowOff>78147</xdr:rowOff>
    </xdr:from>
    <xdr:to>
      <xdr:col>5</xdr:col>
      <xdr:colOff>0</xdr:colOff>
      <xdr:row>172</xdr:row>
      <xdr:rowOff>192447</xdr:rowOff>
    </xdr:to>
    <xdr:sp macro="" textlink="">
      <xdr:nvSpPr>
        <xdr:cNvPr id="1755" name="Isosceles Triangle 1754">
          <a:extLst>
            <a:ext uri="{FF2B5EF4-FFF2-40B4-BE49-F238E27FC236}">
              <a16:creationId xmlns:a16="http://schemas.microsoft.com/office/drawing/2014/main" id="{00000000-0008-0000-0A00-0000DB060000}"/>
            </a:ext>
          </a:extLst>
        </xdr:cNvPr>
        <xdr:cNvSpPr/>
      </xdr:nvSpPr>
      <xdr:spPr>
        <a:xfrm>
          <a:off x="25253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171</xdr:row>
      <xdr:rowOff>78147</xdr:rowOff>
    </xdr:from>
    <xdr:to>
      <xdr:col>19</xdr:col>
      <xdr:colOff>0</xdr:colOff>
      <xdr:row>172</xdr:row>
      <xdr:rowOff>192447</xdr:rowOff>
    </xdr:to>
    <xdr:sp macro="" textlink="">
      <xdr:nvSpPr>
        <xdr:cNvPr id="1756" name="Isosceles Triangle 1755">
          <a:extLst>
            <a:ext uri="{FF2B5EF4-FFF2-40B4-BE49-F238E27FC236}">
              <a16:creationId xmlns:a16="http://schemas.microsoft.com/office/drawing/2014/main" id="{00000000-0008-0000-0A00-0000DC060000}"/>
            </a:ext>
          </a:extLst>
        </xdr:cNvPr>
        <xdr:cNvSpPr/>
      </xdr:nvSpPr>
      <xdr:spPr>
        <a:xfrm>
          <a:off x="95484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57" name="Isosceles Triangle 1756">
          <a:extLst>
            <a:ext uri="{FF2B5EF4-FFF2-40B4-BE49-F238E27FC236}">
              <a16:creationId xmlns:a16="http://schemas.microsoft.com/office/drawing/2014/main" id="{00000000-0008-0000-0A00-0000DD060000}"/>
            </a:ext>
          </a:extLst>
        </xdr:cNvPr>
        <xdr:cNvSpPr/>
      </xdr:nvSpPr>
      <xdr:spPr>
        <a:xfrm>
          <a:off x="128714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180</xdr:row>
      <xdr:rowOff>78147</xdr:rowOff>
    </xdr:from>
    <xdr:to>
      <xdr:col>7</xdr:col>
      <xdr:colOff>0</xdr:colOff>
      <xdr:row>182</xdr:row>
      <xdr:rowOff>5057</xdr:rowOff>
    </xdr:to>
    <xdr:sp macro="" textlink="">
      <xdr:nvSpPr>
        <xdr:cNvPr id="1758" name="Isosceles Triangle 1757">
          <a:extLst>
            <a:ext uri="{FF2B5EF4-FFF2-40B4-BE49-F238E27FC236}">
              <a16:creationId xmlns:a16="http://schemas.microsoft.com/office/drawing/2014/main" id="{00000000-0008-0000-0A00-0000DE060000}"/>
            </a:ext>
          </a:extLst>
        </xdr:cNvPr>
        <xdr:cNvSpPr/>
      </xdr:nvSpPr>
      <xdr:spPr>
        <a:xfrm>
          <a:off x="35286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180</xdr:row>
      <xdr:rowOff>78147</xdr:rowOff>
    </xdr:from>
    <xdr:to>
      <xdr:col>9</xdr:col>
      <xdr:colOff>0</xdr:colOff>
      <xdr:row>182</xdr:row>
      <xdr:rowOff>5057</xdr:rowOff>
    </xdr:to>
    <xdr:sp macro="" textlink="">
      <xdr:nvSpPr>
        <xdr:cNvPr id="1759" name="Isosceles Triangle 1758">
          <a:extLst>
            <a:ext uri="{FF2B5EF4-FFF2-40B4-BE49-F238E27FC236}">
              <a16:creationId xmlns:a16="http://schemas.microsoft.com/office/drawing/2014/main" id="{00000000-0008-0000-0A00-0000DF060000}"/>
            </a:ext>
          </a:extLst>
        </xdr:cNvPr>
        <xdr:cNvSpPr/>
      </xdr:nvSpPr>
      <xdr:spPr>
        <a:xfrm>
          <a:off x="45319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180</xdr:row>
      <xdr:rowOff>78147</xdr:rowOff>
    </xdr:from>
    <xdr:to>
      <xdr:col>11</xdr:col>
      <xdr:colOff>0</xdr:colOff>
      <xdr:row>181</xdr:row>
      <xdr:rowOff>192447</xdr:rowOff>
    </xdr:to>
    <xdr:sp macro="" textlink="">
      <xdr:nvSpPr>
        <xdr:cNvPr id="1760" name="Isosceles Triangle 1759">
          <a:extLst>
            <a:ext uri="{FF2B5EF4-FFF2-40B4-BE49-F238E27FC236}">
              <a16:creationId xmlns:a16="http://schemas.microsoft.com/office/drawing/2014/main" id="{00000000-0008-0000-0A00-0000E0060000}"/>
            </a:ext>
          </a:extLst>
        </xdr:cNvPr>
        <xdr:cNvSpPr/>
      </xdr:nvSpPr>
      <xdr:spPr>
        <a:xfrm>
          <a:off x="55352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180</xdr:row>
      <xdr:rowOff>78147</xdr:rowOff>
    </xdr:from>
    <xdr:to>
      <xdr:col>13</xdr:col>
      <xdr:colOff>0</xdr:colOff>
      <xdr:row>181</xdr:row>
      <xdr:rowOff>192447</xdr:rowOff>
    </xdr:to>
    <xdr:sp macro="" textlink="">
      <xdr:nvSpPr>
        <xdr:cNvPr id="1761" name="Isosceles Triangle 1760">
          <a:extLst>
            <a:ext uri="{FF2B5EF4-FFF2-40B4-BE49-F238E27FC236}">
              <a16:creationId xmlns:a16="http://schemas.microsoft.com/office/drawing/2014/main" id="{00000000-0008-0000-0A00-0000E1060000}"/>
            </a:ext>
          </a:extLst>
        </xdr:cNvPr>
        <xdr:cNvSpPr/>
      </xdr:nvSpPr>
      <xdr:spPr>
        <a:xfrm>
          <a:off x="65385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180</xdr:row>
      <xdr:rowOff>78146</xdr:rowOff>
    </xdr:from>
    <xdr:to>
      <xdr:col>15</xdr:col>
      <xdr:colOff>0</xdr:colOff>
      <xdr:row>182</xdr:row>
      <xdr:rowOff>5056</xdr:rowOff>
    </xdr:to>
    <xdr:sp macro="" textlink="">
      <xdr:nvSpPr>
        <xdr:cNvPr id="1762" name="Isosceles Triangle 1761">
          <a:extLst>
            <a:ext uri="{FF2B5EF4-FFF2-40B4-BE49-F238E27FC236}">
              <a16:creationId xmlns:a16="http://schemas.microsoft.com/office/drawing/2014/main" id="{00000000-0008-0000-0A00-0000E2060000}"/>
            </a:ext>
          </a:extLst>
        </xdr:cNvPr>
        <xdr:cNvSpPr/>
      </xdr:nvSpPr>
      <xdr:spPr>
        <a:xfrm>
          <a:off x="75418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180</xdr:row>
      <xdr:rowOff>78147</xdr:rowOff>
    </xdr:from>
    <xdr:to>
      <xdr:col>17</xdr:col>
      <xdr:colOff>0</xdr:colOff>
      <xdr:row>181</xdr:row>
      <xdr:rowOff>192447</xdr:rowOff>
    </xdr:to>
    <xdr:sp macro="" textlink="">
      <xdr:nvSpPr>
        <xdr:cNvPr id="1763" name="Isosceles Triangle 1762">
          <a:extLst>
            <a:ext uri="{FF2B5EF4-FFF2-40B4-BE49-F238E27FC236}">
              <a16:creationId xmlns:a16="http://schemas.microsoft.com/office/drawing/2014/main" id="{00000000-0008-0000-0A00-0000E3060000}"/>
            </a:ext>
          </a:extLst>
        </xdr:cNvPr>
        <xdr:cNvSpPr/>
      </xdr:nvSpPr>
      <xdr:spPr>
        <a:xfrm>
          <a:off x="85451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180</xdr:row>
      <xdr:rowOff>78147</xdr:rowOff>
    </xdr:from>
    <xdr:to>
      <xdr:col>19</xdr:col>
      <xdr:colOff>0</xdr:colOff>
      <xdr:row>181</xdr:row>
      <xdr:rowOff>192447</xdr:rowOff>
    </xdr:to>
    <xdr:sp macro="" textlink="">
      <xdr:nvSpPr>
        <xdr:cNvPr id="1764" name="Isosceles Triangle 1763">
          <a:extLst>
            <a:ext uri="{FF2B5EF4-FFF2-40B4-BE49-F238E27FC236}">
              <a16:creationId xmlns:a16="http://schemas.microsoft.com/office/drawing/2014/main" id="{00000000-0008-0000-0A00-0000E4060000}"/>
            </a:ext>
          </a:extLst>
        </xdr:cNvPr>
        <xdr:cNvSpPr/>
      </xdr:nvSpPr>
      <xdr:spPr>
        <a:xfrm>
          <a:off x="954849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180</xdr:row>
      <xdr:rowOff>78147</xdr:rowOff>
    </xdr:from>
    <xdr:to>
      <xdr:col>21</xdr:col>
      <xdr:colOff>0</xdr:colOff>
      <xdr:row>181</xdr:row>
      <xdr:rowOff>192447</xdr:rowOff>
    </xdr:to>
    <xdr:sp macro="" textlink="">
      <xdr:nvSpPr>
        <xdr:cNvPr id="1765" name="Isosceles Triangle 1764">
          <a:extLst>
            <a:ext uri="{FF2B5EF4-FFF2-40B4-BE49-F238E27FC236}">
              <a16:creationId xmlns:a16="http://schemas.microsoft.com/office/drawing/2014/main" id="{00000000-0008-0000-0A00-0000E5060000}"/>
            </a:ext>
          </a:extLst>
        </xdr:cNvPr>
        <xdr:cNvSpPr/>
      </xdr:nvSpPr>
      <xdr:spPr>
        <a:xfrm>
          <a:off x="105517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66" name="Isosceles Triangle 1765">
          <a:extLst>
            <a:ext uri="{FF2B5EF4-FFF2-40B4-BE49-F238E27FC236}">
              <a16:creationId xmlns:a16="http://schemas.microsoft.com/office/drawing/2014/main" id="{00000000-0008-0000-0A00-0000E6060000}"/>
            </a:ext>
          </a:extLst>
        </xdr:cNvPr>
        <xdr:cNvSpPr/>
      </xdr:nvSpPr>
      <xdr:spPr>
        <a:xfrm>
          <a:off x="128714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180</xdr:row>
      <xdr:rowOff>78147</xdr:rowOff>
    </xdr:from>
    <xdr:to>
      <xdr:col>5</xdr:col>
      <xdr:colOff>0</xdr:colOff>
      <xdr:row>181</xdr:row>
      <xdr:rowOff>192447</xdr:rowOff>
    </xdr:to>
    <xdr:sp macro="" textlink="">
      <xdr:nvSpPr>
        <xdr:cNvPr id="1767" name="Isosceles Triangle 1766">
          <a:extLst>
            <a:ext uri="{FF2B5EF4-FFF2-40B4-BE49-F238E27FC236}">
              <a16:creationId xmlns:a16="http://schemas.microsoft.com/office/drawing/2014/main" id="{00000000-0008-0000-0A00-0000E7060000}"/>
            </a:ext>
          </a:extLst>
        </xdr:cNvPr>
        <xdr:cNvSpPr/>
      </xdr:nvSpPr>
      <xdr:spPr>
        <a:xfrm>
          <a:off x="25253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68" name="Isosceles Triangle 1767">
          <a:extLst>
            <a:ext uri="{FF2B5EF4-FFF2-40B4-BE49-F238E27FC236}">
              <a16:creationId xmlns:a16="http://schemas.microsoft.com/office/drawing/2014/main" id="{00000000-0008-0000-0A00-0000E8060000}"/>
            </a:ext>
          </a:extLst>
        </xdr:cNvPr>
        <xdr:cNvSpPr/>
      </xdr:nvSpPr>
      <xdr:spPr>
        <a:xfrm>
          <a:off x="128714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180</xdr:row>
      <xdr:rowOff>78147</xdr:rowOff>
    </xdr:from>
    <xdr:to>
      <xdr:col>19</xdr:col>
      <xdr:colOff>0</xdr:colOff>
      <xdr:row>181</xdr:row>
      <xdr:rowOff>192447</xdr:rowOff>
    </xdr:to>
    <xdr:sp macro="" textlink="">
      <xdr:nvSpPr>
        <xdr:cNvPr id="1769" name="Isosceles Triangle 1768">
          <a:extLst>
            <a:ext uri="{FF2B5EF4-FFF2-40B4-BE49-F238E27FC236}">
              <a16:creationId xmlns:a16="http://schemas.microsoft.com/office/drawing/2014/main" id="{00000000-0008-0000-0A00-0000E9060000}"/>
            </a:ext>
          </a:extLst>
        </xdr:cNvPr>
        <xdr:cNvSpPr/>
      </xdr:nvSpPr>
      <xdr:spPr>
        <a:xfrm>
          <a:off x="95484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0" name="Isosceles Triangle 1769">
          <a:extLst>
            <a:ext uri="{FF2B5EF4-FFF2-40B4-BE49-F238E27FC236}">
              <a16:creationId xmlns:a16="http://schemas.microsoft.com/office/drawing/2014/main" id="{00000000-0008-0000-0A00-0000EA060000}"/>
            </a:ext>
          </a:extLst>
        </xdr:cNvPr>
        <xdr:cNvSpPr/>
      </xdr:nvSpPr>
      <xdr:spPr>
        <a:xfrm>
          <a:off x="1287145" y="319519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24011</xdr:colOff>
      <xdr:row>189</xdr:row>
      <xdr:rowOff>65187</xdr:rowOff>
    </xdr:from>
    <xdr:to>
      <xdr:col>7</xdr:col>
      <xdr:colOff>19439</xdr:colOff>
      <xdr:row>190</xdr:row>
      <xdr:rowOff>154087</xdr:rowOff>
    </xdr:to>
    <xdr:sp macro="" textlink="">
      <xdr:nvSpPr>
        <xdr:cNvPr id="1771" name="Isosceles Triangle 1770">
          <a:extLst>
            <a:ext uri="{FF2B5EF4-FFF2-40B4-BE49-F238E27FC236}">
              <a16:creationId xmlns:a16="http://schemas.microsoft.com/office/drawing/2014/main" id="{00000000-0008-0000-0A00-0000EB060000}"/>
            </a:ext>
          </a:extLst>
        </xdr:cNvPr>
        <xdr:cNvSpPr/>
      </xdr:nvSpPr>
      <xdr:spPr>
        <a:xfrm>
          <a:off x="3547745" y="319385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189</xdr:row>
      <xdr:rowOff>78147</xdr:rowOff>
    </xdr:from>
    <xdr:to>
      <xdr:col>9</xdr:col>
      <xdr:colOff>0</xdr:colOff>
      <xdr:row>191</xdr:row>
      <xdr:rowOff>5057</xdr:rowOff>
    </xdr:to>
    <xdr:sp macro="" textlink="">
      <xdr:nvSpPr>
        <xdr:cNvPr id="1772" name="Isosceles Triangle 1771">
          <a:extLst>
            <a:ext uri="{FF2B5EF4-FFF2-40B4-BE49-F238E27FC236}">
              <a16:creationId xmlns:a16="http://schemas.microsoft.com/office/drawing/2014/main" id="{00000000-0008-0000-0A00-0000EC060000}"/>
            </a:ext>
          </a:extLst>
        </xdr:cNvPr>
        <xdr:cNvSpPr/>
      </xdr:nvSpPr>
      <xdr:spPr>
        <a:xfrm>
          <a:off x="45319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4568</xdr:colOff>
      <xdr:row>189</xdr:row>
      <xdr:rowOff>58304</xdr:rowOff>
    </xdr:from>
    <xdr:to>
      <xdr:col>10</xdr:col>
      <xdr:colOff>642935</xdr:colOff>
      <xdr:row>190</xdr:row>
      <xdr:rowOff>153554</xdr:rowOff>
    </xdr:to>
    <xdr:sp macro="" textlink="">
      <xdr:nvSpPr>
        <xdr:cNvPr id="1773" name="Isosceles Triangle 1772">
          <a:extLst>
            <a:ext uri="{FF2B5EF4-FFF2-40B4-BE49-F238E27FC236}">
              <a16:creationId xmlns:a16="http://schemas.microsoft.com/office/drawing/2014/main" id="{00000000-0008-0000-0A00-0000ED060000}"/>
            </a:ext>
          </a:extLst>
        </xdr:cNvPr>
        <xdr:cNvSpPr/>
      </xdr:nvSpPr>
      <xdr:spPr>
        <a:xfrm>
          <a:off x="5535295" y="3193161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189</xdr:row>
      <xdr:rowOff>78147</xdr:rowOff>
    </xdr:from>
    <xdr:to>
      <xdr:col>13</xdr:col>
      <xdr:colOff>0</xdr:colOff>
      <xdr:row>191</xdr:row>
      <xdr:rowOff>5057</xdr:rowOff>
    </xdr:to>
    <xdr:sp macro="" textlink="">
      <xdr:nvSpPr>
        <xdr:cNvPr id="1774" name="Isosceles Triangle 1773">
          <a:extLst>
            <a:ext uri="{FF2B5EF4-FFF2-40B4-BE49-F238E27FC236}">
              <a16:creationId xmlns:a16="http://schemas.microsoft.com/office/drawing/2014/main" id="{00000000-0008-0000-0A00-0000EE060000}"/>
            </a:ext>
          </a:extLst>
        </xdr:cNvPr>
        <xdr:cNvSpPr/>
      </xdr:nvSpPr>
      <xdr:spPr>
        <a:xfrm>
          <a:off x="65385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189</xdr:row>
      <xdr:rowOff>78147</xdr:rowOff>
    </xdr:from>
    <xdr:to>
      <xdr:col>15</xdr:col>
      <xdr:colOff>0</xdr:colOff>
      <xdr:row>191</xdr:row>
      <xdr:rowOff>5057</xdr:rowOff>
    </xdr:to>
    <xdr:sp macro="" textlink="">
      <xdr:nvSpPr>
        <xdr:cNvPr id="1775" name="Isosceles Triangle 1774">
          <a:extLst>
            <a:ext uri="{FF2B5EF4-FFF2-40B4-BE49-F238E27FC236}">
              <a16:creationId xmlns:a16="http://schemas.microsoft.com/office/drawing/2014/main" id="{00000000-0008-0000-0A00-0000EF060000}"/>
            </a:ext>
          </a:extLst>
        </xdr:cNvPr>
        <xdr:cNvSpPr/>
      </xdr:nvSpPr>
      <xdr:spPr>
        <a:xfrm>
          <a:off x="75418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189</xdr:row>
      <xdr:rowOff>78147</xdr:rowOff>
    </xdr:from>
    <xdr:to>
      <xdr:col>21</xdr:col>
      <xdr:colOff>0</xdr:colOff>
      <xdr:row>191</xdr:row>
      <xdr:rowOff>5057</xdr:rowOff>
    </xdr:to>
    <xdr:sp macro="" textlink="">
      <xdr:nvSpPr>
        <xdr:cNvPr id="1776" name="Isosceles Triangle 1775">
          <a:extLst>
            <a:ext uri="{FF2B5EF4-FFF2-40B4-BE49-F238E27FC236}">
              <a16:creationId xmlns:a16="http://schemas.microsoft.com/office/drawing/2014/main" id="{00000000-0008-0000-0A00-0000F0060000}"/>
            </a:ext>
          </a:extLst>
        </xdr:cNvPr>
        <xdr:cNvSpPr/>
      </xdr:nvSpPr>
      <xdr:spPr>
        <a:xfrm>
          <a:off x="105517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7" name="Isosceles Triangle 1776">
          <a:extLst>
            <a:ext uri="{FF2B5EF4-FFF2-40B4-BE49-F238E27FC236}">
              <a16:creationId xmlns:a16="http://schemas.microsoft.com/office/drawing/2014/main" id="{00000000-0008-0000-0A00-0000F1060000}"/>
            </a:ext>
          </a:extLst>
        </xdr:cNvPr>
        <xdr:cNvSpPr/>
      </xdr:nvSpPr>
      <xdr:spPr>
        <a:xfrm>
          <a:off x="128714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189</xdr:row>
      <xdr:rowOff>78147</xdr:rowOff>
    </xdr:from>
    <xdr:to>
      <xdr:col>5</xdr:col>
      <xdr:colOff>0</xdr:colOff>
      <xdr:row>190</xdr:row>
      <xdr:rowOff>192447</xdr:rowOff>
    </xdr:to>
    <xdr:sp macro="" textlink="">
      <xdr:nvSpPr>
        <xdr:cNvPr id="1778" name="Isosceles Triangle 1777">
          <a:extLst>
            <a:ext uri="{FF2B5EF4-FFF2-40B4-BE49-F238E27FC236}">
              <a16:creationId xmlns:a16="http://schemas.microsoft.com/office/drawing/2014/main" id="{00000000-0008-0000-0A00-0000F2060000}"/>
            </a:ext>
          </a:extLst>
        </xdr:cNvPr>
        <xdr:cNvSpPr/>
      </xdr:nvSpPr>
      <xdr:spPr>
        <a:xfrm>
          <a:off x="25253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9" name="Isosceles Triangle 1778">
          <a:extLst>
            <a:ext uri="{FF2B5EF4-FFF2-40B4-BE49-F238E27FC236}">
              <a16:creationId xmlns:a16="http://schemas.microsoft.com/office/drawing/2014/main" id="{00000000-0008-0000-0A00-0000F3060000}"/>
            </a:ext>
          </a:extLst>
        </xdr:cNvPr>
        <xdr:cNvSpPr/>
      </xdr:nvSpPr>
      <xdr:spPr>
        <a:xfrm>
          <a:off x="128714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189</xdr:row>
      <xdr:rowOff>78147</xdr:rowOff>
    </xdr:from>
    <xdr:to>
      <xdr:col>17</xdr:col>
      <xdr:colOff>0</xdr:colOff>
      <xdr:row>190</xdr:row>
      <xdr:rowOff>192447</xdr:rowOff>
    </xdr:to>
    <xdr:sp macro="" textlink="">
      <xdr:nvSpPr>
        <xdr:cNvPr id="1780" name="Isosceles Triangle 1779">
          <a:extLst>
            <a:ext uri="{FF2B5EF4-FFF2-40B4-BE49-F238E27FC236}">
              <a16:creationId xmlns:a16="http://schemas.microsoft.com/office/drawing/2014/main" id="{00000000-0008-0000-0A00-0000F4060000}"/>
            </a:ext>
          </a:extLst>
        </xdr:cNvPr>
        <xdr:cNvSpPr/>
      </xdr:nvSpPr>
      <xdr:spPr>
        <a:xfrm>
          <a:off x="85451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189</xdr:row>
      <xdr:rowOff>78147</xdr:rowOff>
    </xdr:from>
    <xdr:to>
      <xdr:col>19</xdr:col>
      <xdr:colOff>0</xdr:colOff>
      <xdr:row>190</xdr:row>
      <xdr:rowOff>192447</xdr:rowOff>
    </xdr:to>
    <xdr:sp macro="" textlink="">
      <xdr:nvSpPr>
        <xdr:cNvPr id="1781" name="Isosceles Triangle 1780">
          <a:extLst>
            <a:ext uri="{FF2B5EF4-FFF2-40B4-BE49-F238E27FC236}">
              <a16:creationId xmlns:a16="http://schemas.microsoft.com/office/drawing/2014/main" id="{00000000-0008-0000-0A00-0000F5060000}"/>
            </a:ext>
          </a:extLst>
        </xdr:cNvPr>
        <xdr:cNvSpPr/>
      </xdr:nvSpPr>
      <xdr:spPr>
        <a:xfrm>
          <a:off x="95484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197</xdr:row>
      <xdr:rowOff>78147</xdr:rowOff>
    </xdr:from>
    <xdr:to>
      <xdr:col>3</xdr:col>
      <xdr:colOff>0</xdr:colOff>
      <xdr:row>198</xdr:row>
      <xdr:rowOff>192447</xdr:rowOff>
    </xdr:to>
    <xdr:sp macro="" textlink="">
      <xdr:nvSpPr>
        <xdr:cNvPr id="1782" name="Isosceles Triangle 1781">
          <a:extLst>
            <a:ext uri="{FF2B5EF4-FFF2-40B4-BE49-F238E27FC236}">
              <a16:creationId xmlns:a16="http://schemas.microsoft.com/office/drawing/2014/main" id="{00000000-0008-0000-0A00-0000F6060000}"/>
            </a:ext>
          </a:extLst>
        </xdr:cNvPr>
        <xdr:cNvSpPr/>
      </xdr:nvSpPr>
      <xdr:spPr>
        <a:xfrm>
          <a:off x="1287145" y="333108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197</xdr:row>
      <xdr:rowOff>78147</xdr:rowOff>
    </xdr:from>
    <xdr:to>
      <xdr:col>5</xdr:col>
      <xdr:colOff>0</xdr:colOff>
      <xdr:row>199</xdr:row>
      <xdr:rowOff>5057</xdr:rowOff>
    </xdr:to>
    <xdr:sp macro="" textlink="">
      <xdr:nvSpPr>
        <xdr:cNvPr id="1783" name="Isosceles Triangle 1782">
          <a:extLst>
            <a:ext uri="{FF2B5EF4-FFF2-40B4-BE49-F238E27FC236}">
              <a16:creationId xmlns:a16="http://schemas.microsoft.com/office/drawing/2014/main" id="{00000000-0008-0000-0A00-0000F7060000}"/>
            </a:ext>
          </a:extLst>
        </xdr:cNvPr>
        <xdr:cNvSpPr/>
      </xdr:nvSpPr>
      <xdr:spPr>
        <a:xfrm>
          <a:off x="25253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197</xdr:row>
      <xdr:rowOff>78147</xdr:rowOff>
    </xdr:from>
    <xdr:to>
      <xdr:col>7</xdr:col>
      <xdr:colOff>0</xdr:colOff>
      <xdr:row>199</xdr:row>
      <xdr:rowOff>5057</xdr:rowOff>
    </xdr:to>
    <xdr:sp macro="" textlink="">
      <xdr:nvSpPr>
        <xdr:cNvPr id="1784" name="Isosceles Triangle 1783">
          <a:extLst>
            <a:ext uri="{FF2B5EF4-FFF2-40B4-BE49-F238E27FC236}">
              <a16:creationId xmlns:a16="http://schemas.microsoft.com/office/drawing/2014/main" id="{00000000-0008-0000-0A00-0000F8060000}"/>
            </a:ext>
          </a:extLst>
        </xdr:cNvPr>
        <xdr:cNvSpPr/>
      </xdr:nvSpPr>
      <xdr:spPr>
        <a:xfrm>
          <a:off x="35286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197</xdr:row>
      <xdr:rowOff>78147</xdr:rowOff>
    </xdr:from>
    <xdr:to>
      <xdr:col>9</xdr:col>
      <xdr:colOff>0</xdr:colOff>
      <xdr:row>198</xdr:row>
      <xdr:rowOff>192447</xdr:rowOff>
    </xdr:to>
    <xdr:sp macro="" textlink="">
      <xdr:nvSpPr>
        <xdr:cNvPr id="1785" name="Isosceles Triangle 1784">
          <a:extLst>
            <a:ext uri="{FF2B5EF4-FFF2-40B4-BE49-F238E27FC236}">
              <a16:creationId xmlns:a16="http://schemas.microsoft.com/office/drawing/2014/main" id="{00000000-0008-0000-0A00-0000F9060000}"/>
            </a:ext>
          </a:extLst>
        </xdr:cNvPr>
        <xdr:cNvSpPr/>
      </xdr:nvSpPr>
      <xdr:spPr>
        <a:xfrm>
          <a:off x="45319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197</xdr:row>
      <xdr:rowOff>78147</xdr:rowOff>
    </xdr:from>
    <xdr:to>
      <xdr:col>11</xdr:col>
      <xdr:colOff>0</xdr:colOff>
      <xdr:row>198</xdr:row>
      <xdr:rowOff>192447</xdr:rowOff>
    </xdr:to>
    <xdr:sp macro="" textlink="">
      <xdr:nvSpPr>
        <xdr:cNvPr id="1786" name="Isosceles Triangle 1785">
          <a:extLst>
            <a:ext uri="{FF2B5EF4-FFF2-40B4-BE49-F238E27FC236}">
              <a16:creationId xmlns:a16="http://schemas.microsoft.com/office/drawing/2014/main" id="{00000000-0008-0000-0A00-0000FA060000}"/>
            </a:ext>
          </a:extLst>
        </xdr:cNvPr>
        <xdr:cNvSpPr/>
      </xdr:nvSpPr>
      <xdr:spPr>
        <a:xfrm>
          <a:off x="55352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197</xdr:row>
      <xdr:rowOff>78147</xdr:rowOff>
    </xdr:from>
    <xdr:to>
      <xdr:col>13</xdr:col>
      <xdr:colOff>0</xdr:colOff>
      <xdr:row>199</xdr:row>
      <xdr:rowOff>5057</xdr:rowOff>
    </xdr:to>
    <xdr:sp macro="" textlink="">
      <xdr:nvSpPr>
        <xdr:cNvPr id="1787" name="Isosceles Triangle 1786">
          <a:extLst>
            <a:ext uri="{FF2B5EF4-FFF2-40B4-BE49-F238E27FC236}">
              <a16:creationId xmlns:a16="http://schemas.microsoft.com/office/drawing/2014/main" id="{00000000-0008-0000-0A00-0000FB060000}"/>
            </a:ext>
          </a:extLst>
        </xdr:cNvPr>
        <xdr:cNvSpPr/>
      </xdr:nvSpPr>
      <xdr:spPr>
        <a:xfrm>
          <a:off x="65385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631637</xdr:colOff>
      <xdr:row>197</xdr:row>
      <xdr:rowOff>78147</xdr:rowOff>
    </xdr:from>
    <xdr:to>
      <xdr:col>14</xdr:col>
      <xdr:colOff>627066</xdr:colOff>
      <xdr:row>199</xdr:row>
      <xdr:rowOff>6710</xdr:rowOff>
    </xdr:to>
    <xdr:sp macro="" textlink="">
      <xdr:nvSpPr>
        <xdr:cNvPr id="1788" name="Isosceles Triangle 1787">
          <a:extLst>
            <a:ext uri="{FF2B5EF4-FFF2-40B4-BE49-F238E27FC236}">
              <a16:creationId xmlns:a16="http://schemas.microsoft.com/office/drawing/2014/main" id="{00000000-0008-0000-0A00-0000FC060000}"/>
            </a:ext>
          </a:extLst>
        </xdr:cNvPr>
        <xdr:cNvSpPr/>
      </xdr:nvSpPr>
      <xdr:spPr>
        <a:xfrm>
          <a:off x="7537450" y="33310830"/>
          <a:ext cx="501650"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197</xdr:row>
      <xdr:rowOff>78147</xdr:rowOff>
    </xdr:from>
    <xdr:to>
      <xdr:col>17</xdr:col>
      <xdr:colOff>0</xdr:colOff>
      <xdr:row>198</xdr:row>
      <xdr:rowOff>192447</xdr:rowOff>
    </xdr:to>
    <xdr:sp macro="" textlink="">
      <xdr:nvSpPr>
        <xdr:cNvPr id="1789" name="Isosceles Triangle 1788">
          <a:extLst>
            <a:ext uri="{FF2B5EF4-FFF2-40B4-BE49-F238E27FC236}">
              <a16:creationId xmlns:a16="http://schemas.microsoft.com/office/drawing/2014/main" id="{00000000-0008-0000-0A00-0000FD060000}"/>
            </a:ext>
          </a:extLst>
        </xdr:cNvPr>
        <xdr:cNvSpPr/>
      </xdr:nvSpPr>
      <xdr:spPr>
        <a:xfrm>
          <a:off x="85451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197</xdr:row>
      <xdr:rowOff>78147</xdr:rowOff>
    </xdr:from>
    <xdr:to>
      <xdr:col>19</xdr:col>
      <xdr:colOff>0</xdr:colOff>
      <xdr:row>198</xdr:row>
      <xdr:rowOff>192447</xdr:rowOff>
    </xdr:to>
    <xdr:sp macro="" textlink="">
      <xdr:nvSpPr>
        <xdr:cNvPr id="1790" name="Isosceles Triangle 1789">
          <a:extLst>
            <a:ext uri="{FF2B5EF4-FFF2-40B4-BE49-F238E27FC236}">
              <a16:creationId xmlns:a16="http://schemas.microsoft.com/office/drawing/2014/main" id="{00000000-0008-0000-0A00-0000FE060000}"/>
            </a:ext>
          </a:extLst>
        </xdr:cNvPr>
        <xdr:cNvSpPr/>
      </xdr:nvSpPr>
      <xdr:spPr>
        <a:xfrm>
          <a:off x="95484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197</xdr:row>
      <xdr:rowOff>78147</xdr:rowOff>
    </xdr:from>
    <xdr:to>
      <xdr:col>21</xdr:col>
      <xdr:colOff>0</xdr:colOff>
      <xdr:row>199</xdr:row>
      <xdr:rowOff>6709</xdr:rowOff>
    </xdr:to>
    <xdr:sp macro="" textlink="">
      <xdr:nvSpPr>
        <xdr:cNvPr id="1791" name="Isosceles Triangle 1790">
          <a:extLst>
            <a:ext uri="{FF2B5EF4-FFF2-40B4-BE49-F238E27FC236}">
              <a16:creationId xmlns:a16="http://schemas.microsoft.com/office/drawing/2014/main" id="{00000000-0008-0000-0A00-0000FF060000}"/>
            </a:ext>
          </a:extLst>
        </xdr:cNvPr>
        <xdr:cNvSpPr/>
      </xdr:nvSpPr>
      <xdr:spPr>
        <a:xfrm>
          <a:off x="10551795" y="3331083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197</xdr:row>
      <xdr:rowOff>78147</xdr:rowOff>
    </xdr:from>
    <xdr:to>
      <xdr:col>3</xdr:col>
      <xdr:colOff>0</xdr:colOff>
      <xdr:row>198</xdr:row>
      <xdr:rowOff>192447</xdr:rowOff>
    </xdr:to>
    <xdr:sp macro="" textlink="">
      <xdr:nvSpPr>
        <xdr:cNvPr id="1792" name="Isosceles Triangle 1791">
          <a:extLst>
            <a:ext uri="{FF2B5EF4-FFF2-40B4-BE49-F238E27FC236}">
              <a16:creationId xmlns:a16="http://schemas.microsoft.com/office/drawing/2014/main" id="{00000000-0008-0000-0A00-000000070000}"/>
            </a:ext>
          </a:extLst>
        </xdr:cNvPr>
        <xdr:cNvSpPr/>
      </xdr:nvSpPr>
      <xdr:spPr>
        <a:xfrm>
          <a:off x="128714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197</xdr:row>
      <xdr:rowOff>78147</xdr:rowOff>
    </xdr:from>
    <xdr:to>
      <xdr:col>17</xdr:col>
      <xdr:colOff>0</xdr:colOff>
      <xdr:row>198</xdr:row>
      <xdr:rowOff>192447</xdr:rowOff>
    </xdr:to>
    <xdr:sp macro="" textlink="">
      <xdr:nvSpPr>
        <xdr:cNvPr id="1793" name="Isosceles Triangle 1792">
          <a:extLst>
            <a:ext uri="{FF2B5EF4-FFF2-40B4-BE49-F238E27FC236}">
              <a16:creationId xmlns:a16="http://schemas.microsoft.com/office/drawing/2014/main" id="{00000000-0008-0000-0A00-000001070000}"/>
            </a:ext>
          </a:extLst>
        </xdr:cNvPr>
        <xdr:cNvSpPr/>
      </xdr:nvSpPr>
      <xdr:spPr>
        <a:xfrm>
          <a:off x="85451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197</xdr:row>
      <xdr:rowOff>78147</xdr:rowOff>
    </xdr:from>
    <xdr:to>
      <xdr:col>19</xdr:col>
      <xdr:colOff>0</xdr:colOff>
      <xdr:row>198</xdr:row>
      <xdr:rowOff>192447</xdr:rowOff>
    </xdr:to>
    <xdr:sp macro="" textlink="">
      <xdr:nvSpPr>
        <xdr:cNvPr id="1794" name="Isosceles Triangle 1793">
          <a:extLst>
            <a:ext uri="{FF2B5EF4-FFF2-40B4-BE49-F238E27FC236}">
              <a16:creationId xmlns:a16="http://schemas.microsoft.com/office/drawing/2014/main" id="{00000000-0008-0000-0A00-000002070000}"/>
            </a:ext>
          </a:extLst>
        </xdr:cNvPr>
        <xdr:cNvSpPr/>
      </xdr:nvSpPr>
      <xdr:spPr>
        <a:xfrm>
          <a:off x="95484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795" name="Isosceles Triangle 1794">
          <a:extLst>
            <a:ext uri="{FF2B5EF4-FFF2-40B4-BE49-F238E27FC236}">
              <a16:creationId xmlns:a16="http://schemas.microsoft.com/office/drawing/2014/main" id="{00000000-0008-0000-0A00-000003070000}"/>
            </a:ext>
          </a:extLst>
        </xdr:cNvPr>
        <xdr:cNvSpPr/>
      </xdr:nvSpPr>
      <xdr:spPr>
        <a:xfrm>
          <a:off x="128714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206</xdr:row>
      <xdr:rowOff>78147</xdr:rowOff>
    </xdr:from>
    <xdr:to>
      <xdr:col>5</xdr:col>
      <xdr:colOff>0</xdr:colOff>
      <xdr:row>207</xdr:row>
      <xdr:rowOff>192447</xdr:rowOff>
    </xdr:to>
    <xdr:sp macro="" textlink="">
      <xdr:nvSpPr>
        <xdr:cNvPr id="1796" name="Isosceles Triangle 1795">
          <a:extLst>
            <a:ext uri="{FF2B5EF4-FFF2-40B4-BE49-F238E27FC236}">
              <a16:creationId xmlns:a16="http://schemas.microsoft.com/office/drawing/2014/main" id="{00000000-0008-0000-0A00-000004070000}"/>
            </a:ext>
          </a:extLst>
        </xdr:cNvPr>
        <xdr:cNvSpPr/>
      </xdr:nvSpPr>
      <xdr:spPr>
        <a:xfrm>
          <a:off x="252539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206</xdr:row>
      <xdr:rowOff>78147</xdr:rowOff>
    </xdr:from>
    <xdr:to>
      <xdr:col>7</xdr:col>
      <xdr:colOff>0</xdr:colOff>
      <xdr:row>207</xdr:row>
      <xdr:rowOff>192447</xdr:rowOff>
    </xdr:to>
    <xdr:sp macro="" textlink="">
      <xdr:nvSpPr>
        <xdr:cNvPr id="1797" name="Isosceles Triangle 1796">
          <a:extLst>
            <a:ext uri="{FF2B5EF4-FFF2-40B4-BE49-F238E27FC236}">
              <a16:creationId xmlns:a16="http://schemas.microsoft.com/office/drawing/2014/main" id="{00000000-0008-0000-0A00-000005070000}"/>
            </a:ext>
          </a:extLst>
        </xdr:cNvPr>
        <xdr:cNvSpPr/>
      </xdr:nvSpPr>
      <xdr:spPr>
        <a:xfrm>
          <a:off x="35286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206</xdr:row>
      <xdr:rowOff>78147</xdr:rowOff>
    </xdr:from>
    <xdr:to>
      <xdr:col>9</xdr:col>
      <xdr:colOff>0</xdr:colOff>
      <xdr:row>207</xdr:row>
      <xdr:rowOff>192447</xdr:rowOff>
    </xdr:to>
    <xdr:sp macro="" textlink="">
      <xdr:nvSpPr>
        <xdr:cNvPr id="1798" name="Isosceles Triangle 1797">
          <a:extLst>
            <a:ext uri="{FF2B5EF4-FFF2-40B4-BE49-F238E27FC236}">
              <a16:creationId xmlns:a16="http://schemas.microsoft.com/office/drawing/2014/main" id="{00000000-0008-0000-0A00-000006070000}"/>
            </a:ext>
          </a:extLst>
        </xdr:cNvPr>
        <xdr:cNvSpPr/>
      </xdr:nvSpPr>
      <xdr:spPr>
        <a:xfrm>
          <a:off x="45319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206</xdr:row>
      <xdr:rowOff>78147</xdr:rowOff>
    </xdr:from>
    <xdr:to>
      <xdr:col>11</xdr:col>
      <xdr:colOff>0</xdr:colOff>
      <xdr:row>208</xdr:row>
      <xdr:rowOff>5058</xdr:rowOff>
    </xdr:to>
    <xdr:sp macro="" textlink="">
      <xdr:nvSpPr>
        <xdr:cNvPr id="1799" name="Isosceles Triangle 1798">
          <a:extLst>
            <a:ext uri="{FF2B5EF4-FFF2-40B4-BE49-F238E27FC236}">
              <a16:creationId xmlns:a16="http://schemas.microsoft.com/office/drawing/2014/main" id="{00000000-0008-0000-0A00-000007070000}"/>
            </a:ext>
          </a:extLst>
        </xdr:cNvPr>
        <xdr:cNvSpPr/>
      </xdr:nvSpPr>
      <xdr:spPr>
        <a:xfrm>
          <a:off x="5535295" y="348284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206</xdr:row>
      <xdr:rowOff>78147</xdr:rowOff>
    </xdr:from>
    <xdr:to>
      <xdr:col>15</xdr:col>
      <xdr:colOff>0</xdr:colOff>
      <xdr:row>207</xdr:row>
      <xdr:rowOff>192447</xdr:rowOff>
    </xdr:to>
    <xdr:sp macro="" textlink="">
      <xdr:nvSpPr>
        <xdr:cNvPr id="1800" name="Isosceles Triangle 1799">
          <a:extLst>
            <a:ext uri="{FF2B5EF4-FFF2-40B4-BE49-F238E27FC236}">
              <a16:creationId xmlns:a16="http://schemas.microsoft.com/office/drawing/2014/main" id="{00000000-0008-0000-0A00-000008070000}"/>
            </a:ext>
          </a:extLst>
        </xdr:cNvPr>
        <xdr:cNvSpPr/>
      </xdr:nvSpPr>
      <xdr:spPr>
        <a:xfrm>
          <a:off x="75418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206</xdr:row>
      <xdr:rowOff>78147</xdr:rowOff>
    </xdr:from>
    <xdr:to>
      <xdr:col>17</xdr:col>
      <xdr:colOff>0</xdr:colOff>
      <xdr:row>207</xdr:row>
      <xdr:rowOff>192447</xdr:rowOff>
    </xdr:to>
    <xdr:sp macro="" textlink="">
      <xdr:nvSpPr>
        <xdr:cNvPr id="1801" name="Isosceles Triangle 1800">
          <a:extLst>
            <a:ext uri="{FF2B5EF4-FFF2-40B4-BE49-F238E27FC236}">
              <a16:creationId xmlns:a16="http://schemas.microsoft.com/office/drawing/2014/main" id="{00000000-0008-0000-0A00-000009070000}"/>
            </a:ext>
          </a:extLst>
        </xdr:cNvPr>
        <xdr:cNvSpPr/>
      </xdr:nvSpPr>
      <xdr:spPr>
        <a:xfrm>
          <a:off x="85451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206</xdr:row>
      <xdr:rowOff>78147</xdr:rowOff>
    </xdr:from>
    <xdr:to>
      <xdr:col>21</xdr:col>
      <xdr:colOff>0</xdr:colOff>
      <xdr:row>207</xdr:row>
      <xdr:rowOff>192447</xdr:rowOff>
    </xdr:to>
    <xdr:sp macro="" textlink="">
      <xdr:nvSpPr>
        <xdr:cNvPr id="1802" name="Isosceles Triangle 1801">
          <a:extLst>
            <a:ext uri="{FF2B5EF4-FFF2-40B4-BE49-F238E27FC236}">
              <a16:creationId xmlns:a16="http://schemas.microsoft.com/office/drawing/2014/main" id="{00000000-0008-0000-0A00-00000A070000}"/>
            </a:ext>
          </a:extLst>
        </xdr:cNvPr>
        <xdr:cNvSpPr/>
      </xdr:nvSpPr>
      <xdr:spPr>
        <a:xfrm>
          <a:off x="105517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803" name="Isosceles Triangle 1802">
          <a:extLst>
            <a:ext uri="{FF2B5EF4-FFF2-40B4-BE49-F238E27FC236}">
              <a16:creationId xmlns:a16="http://schemas.microsoft.com/office/drawing/2014/main" id="{00000000-0008-0000-0A00-00000B070000}"/>
            </a:ext>
          </a:extLst>
        </xdr:cNvPr>
        <xdr:cNvSpPr/>
      </xdr:nvSpPr>
      <xdr:spPr>
        <a:xfrm>
          <a:off x="128714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206</xdr:row>
      <xdr:rowOff>78147</xdr:rowOff>
    </xdr:from>
    <xdr:to>
      <xdr:col>5</xdr:col>
      <xdr:colOff>0</xdr:colOff>
      <xdr:row>207</xdr:row>
      <xdr:rowOff>192447</xdr:rowOff>
    </xdr:to>
    <xdr:sp macro="" textlink="">
      <xdr:nvSpPr>
        <xdr:cNvPr id="1804" name="Isosceles Triangle 1803">
          <a:extLst>
            <a:ext uri="{FF2B5EF4-FFF2-40B4-BE49-F238E27FC236}">
              <a16:creationId xmlns:a16="http://schemas.microsoft.com/office/drawing/2014/main" id="{00000000-0008-0000-0A00-00000C070000}"/>
            </a:ext>
          </a:extLst>
        </xdr:cNvPr>
        <xdr:cNvSpPr/>
      </xdr:nvSpPr>
      <xdr:spPr>
        <a:xfrm>
          <a:off x="25253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805" name="Isosceles Triangle 1804">
          <a:extLst>
            <a:ext uri="{FF2B5EF4-FFF2-40B4-BE49-F238E27FC236}">
              <a16:creationId xmlns:a16="http://schemas.microsoft.com/office/drawing/2014/main" id="{00000000-0008-0000-0A00-00000D070000}"/>
            </a:ext>
          </a:extLst>
        </xdr:cNvPr>
        <xdr:cNvSpPr/>
      </xdr:nvSpPr>
      <xdr:spPr>
        <a:xfrm>
          <a:off x="128714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206</xdr:row>
      <xdr:rowOff>78147</xdr:rowOff>
    </xdr:from>
    <xdr:to>
      <xdr:col>19</xdr:col>
      <xdr:colOff>0</xdr:colOff>
      <xdr:row>207</xdr:row>
      <xdr:rowOff>192447</xdr:rowOff>
    </xdr:to>
    <xdr:sp macro="" textlink="">
      <xdr:nvSpPr>
        <xdr:cNvPr id="1806" name="Isosceles Triangle 1805">
          <a:extLst>
            <a:ext uri="{FF2B5EF4-FFF2-40B4-BE49-F238E27FC236}">
              <a16:creationId xmlns:a16="http://schemas.microsoft.com/office/drawing/2014/main" id="{00000000-0008-0000-0A00-00000E070000}"/>
            </a:ext>
          </a:extLst>
        </xdr:cNvPr>
        <xdr:cNvSpPr/>
      </xdr:nvSpPr>
      <xdr:spPr>
        <a:xfrm>
          <a:off x="95484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214</xdr:row>
      <xdr:rowOff>78147</xdr:rowOff>
    </xdr:from>
    <xdr:to>
      <xdr:col>3</xdr:col>
      <xdr:colOff>0</xdr:colOff>
      <xdr:row>215</xdr:row>
      <xdr:rowOff>192447</xdr:rowOff>
    </xdr:to>
    <xdr:sp macro="" textlink="">
      <xdr:nvSpPr>
        <xdr:cNvPr id="1807" name="Isosceles Triangle 1806">
          <a:extLst>
            <a:ext uri="{FF2B5EF4-FFF2-40B4-BE49-F238E27FC236}">
              <a16:creationId xmlns:a16="http://schemas.microsoft.com/office/drawing/2014/main" id="{00000000-0008-0000-0A00-00000F070000}"/>
            </a:ext>
          </a:extLst>
        </xdr:cNvPr>
        <xdr:cNvSpPr/>
      </xdr:nvSpPr>
      <xdr:spPr>
        <a:xfrm>
          <a:off x="1287145" y="36187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214</xdr:row>
      <xdr:rowOff>78147</xdr:rowOff>
    </xdr:from>
    <xdr:to>
      <xdr:col>7</xdr:col>
      <xdr:colOff>0</xdr:colOff>
      <xdr:row>216</xdr:row>
      <xdr:rowOff>5057</xdr:rowOff>
    </xdr:to>
    <xdr:sp macro="" textlink="">
      <xdr:nvSpPr>
        <xdr:cNvPr id="1808" name="Isosceles Triangle 1807">
          <a:extLst>
            <a:ext uri="{FF2B5EF4-FFF2-40B4-BE49-F238E27FC236}">
              <a16:creationId xmlns:a16="http://schemas.microsoft.com/office/drawing/2014/main" id="{00000000-0008-0000-0A00-000010070000}"/>
            </a:ext>
          </a:extLst>
        </xdr:cNvPr>
        <xdr:cNvSpPr/>
      </xdr:nvSpPr>
      <xdr:spPr>
        <a:xfrm>
          <a:off x="35286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214</xdr:row>
      <xdr:rowOff>78147</xdr:rowOff>
    </xdr:from>
    <xdr:to>
      <xdr:col>9</xdr:col>
      <xdr:colOff>0</xdr:colOff>
      <xdr:row>216</xdr:row>
      <xdr:rowOff>5057</xdr:rowOff>
    </xdr:to>
    <xdr:sp macro="" textlink="">
      <xdr:nvSpPr>
        <xdr:cNvPr id="1809" name="Isosceles Triangle 1808">
          <a:extLst>
            <a:ext uri="{FF2B5EF4-FFF2-40B4-BE49-F238E27FC236}">
              <a16:creationId xmlns:a16="http://schemas.microsoft.com/office/drawing/2014/main" id="{00000000-0008-0000-0A00-000011070000}"/>
            </a:ext>
          </a:extLst>
        </xdr:cNvPr>
        <xdr:cNvSpPr/>
      </xdr:nvSpPr>
      <xdr:spPr>
        <a:xfrm>
          <a:off x="45319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214</xdr:row>
      <xdr:rowOff>78147</xdr:rowOff>
    </xdr:from>
    <xdr:to>
      <xdr:col>11</xdr:col>
      <xdr:colOff>0</xdr:colOff>
      <xdr:row>215</xdr:row>
      <xdr:rowOff>192447</xdr:rowOff>
    </xdr:to>
    <xdr:sp macro="" textlink="">
      <xdr:nvSpPr>
        <xdr:cNvPr id="1810" name="Isosceles Triangle 1809">
          <a:extLst>
            <a:ext uri="{FF2B5EF4-FFF2-40B4-BE49-F238E27FC236}">
              <a16:creationId xmlns:a16="http://schemas.microsoft.com/office/drawing/2014/main" id="{00000000-0008-0000-0A00-000012070000}"/>
            </a:ext>
          </a:extLst>
        </xdr:cNvPr>
        <xdr:cNvSpPr/>
      </xdr:nvSpPr>
      <xdr:spPr>
        <a:xfrm>
          <a:off x="55352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214</xdr:row>
      <xdr:rowOff>78147</xdr:rowOff>
    </xdr:from>
    <xdr:to>
      <xdr:col>13</xdr:col>
      <xdr:colOff>0</xdr:colOff>
      <xdr:row>216</xdr:row>
      <xdr:rowOff>5057</xdr:rowOff>
    </xdr:to>
    <xdr:sp macro="" textlink="">
      <xdr:nvSpPr>
        <xdr:cNvPr id="1811" name="Isosceles Triangle 1810">
          <a:extLst>
            <a:ext uri="{FF2B5EF4-FFF2-40B4-BE49-F238E27FC236}">
              <a16:creationId xmlns:a16="http://schemas.microsoft.com/office/drawing/2014/main" id="{00000000-0008-0000-0A00-000013070000}"/>
            </a:ext>
          </a:extLst>
        </xdr:cNvPr>
        <xdr:cNvSpPr/>
      </xdr:nvSpPr>
      <xdr:spPr>
        <a:xfrm>
          <a:off x="65385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214</xdr:row>
      <xdr:rowOff>78147</xdr:rowOff>
    </xdr:from>
    <xdr:to>
      <xdr:col>15</xdr:col>
      <xdr:colOff>0</xdr:colOff>
      <xdr:row>215</xdr:row>
      <xdr:rowOff>192447</xdr:rowOff>
    </xdr:to>
    <xdr:sp macro="" textlink="">
      <xdr:nvSpPr>
        <xdr:cNvPr id="1812" name="Isosceles Triangle 1811">
          <a:extLst>
            <a:ext uri="{FF2B5EF4-FFF2-40B4-BE49-F238E27FC236}">
              <a16:creationId xmlns:a16="http://schemas.microsoft.com/office/drawing/2014/main" id="{00000000-0008-0000-0A00-000014070000}"/>
            </a:ext>
          </a:extLst>
        </xdr:cNvPr>
        <xdr:cNvSpPr/>
      </xdr:nvSpPr>
      <xdr:spPr>
        <a:xfrm>
          <a:off x="75418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214</xdr:row>
      <xdr:rowOff>78147</xdr:rowOff>
    </xdr:from>
    <xdr:to>
      <xdr:col>17</xdr:col>
      <xdr:colOff>0</xdr:colOff>
      <xdr:row>215</xdr:row>
      <xdr:rowOff>192447</xdr:rowOff>
    </xdr:to>
    <xdr:sp macro="" textlink="">
      <xdr:nvSpPr>
        <xdr:cNvPr id="1813" name="Isosceles Triangle 1812">
          <a:extLst>
            <a:ext uri="{FF2B5EF4-FFF2-40B4-BE49-F238E27FC236}">
              <a16:creationId xmlns:a16="http://schemas.microsoft.com/office/drawing/2014/main" id="{00000000-0008-0000-0A00-000015070000}"/>
            </a:ext>
          </a:extLst>
        </xdr:cNvPr>
        <xdr:cNvSpPr/>
      </xdr:nvSpPr>
      <xdr:spPr>
        <a:xfrm>
          <a:off x="8545195" y="36187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214</xdr:row>
      <xdr:rowOff>78147</xdr:rowOff>
    </xdr:from>
    <xdr:to>
      <xdr:col>19</xdr:col>
      <xdr:colOff>0</xdr:colOff>
      <xdr:row>215</xdr:row>
      <xdr:rowOff>192447</xdr:rowOff>
    </xdr:to>
    <xdr:sp macro="" textlink="">
      <xdr:nvSpPr>
        <xdr:cNvPr id="1814" name="Isosceles Triangle 1813">
          <a:extLst>
            <a:ext uri="{FF2B5EF4-FFF2-40B4-BE49-F238E27FC236}">
              <a16:creationId xmlns:a16="http://schemas.microsoft.com/office/drawing/2014/main" id="{00000000-0008-0000-0A00-000016070000}"/>
            </a:ext>
          </a:extLst>
        </xdr:cNvPr>
        <xdr:cNvSpPr/>
      </xdr:nvSpPr>
      <xdr:spPr>
        <a:xfrm>
          <a:off x="95484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214</xdr:row>
      <xdr:rowOff>78147</xdr:rowOff>
    </xdr:from>
    <xdr:to>
      <xdr:col>21</xdr:col>
      <xdr:colOff>0</xdr:colOff>
      <xdr:row>215</xdr:row>
      <xdr:rowOff>192447</xdr:rowOff>
    </xdr:to>
    <xdr:sp macro="" textlink="">
      <xdr:nvSpPr>
        <xdr:cNvPr id="1815" name="Isosceles Triangle 1814">
          <a:extLst>
            <a:ext uri="{FF2B5EF4-FFF2-40B4-BE49-F238E27FC236}">
              <a16:creationId xmlns:a16="http://schemas.microsoft.com/office/drawing/2014/main" id="{00000000-0008-0000-0A00-000017070000}"/>
            </a:ext>
          </a:extLst>
        </xdr:cNvPr>
        <xdr:cNvSpPr/>
      </xdr:nvSpPr>
      <xdr:spPr>
        <a:xfrm>
          <a:off x="105517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214</xdr:row>
      <xdr:rowOff>78147</xdr:rowOff>
    </xdr:from>
    <xdr:to>
      <xdr:col>5</xdr:col>
      <xdr:colOff>0</xdr:colOff>
      <xdr:row>215</xdr:row>
      <xdr:rowOff>192447</xdr:rowOff>
    </xdr:to>
    <xdr:sp macro="" textlink="">
      <xdr:nvSpPr>
        <xdr:cNvPr id="1816" name="Isosceles Triangle 1815">
          <a:extLst>
            <a:ext uri="{FF2B5EF4-FFF2-40B4-BE49-F238E27FC236}">
              <a16:creationId xmlns:a16="http://schemas.microsoft.com/office/drawing/2014/main" id="{00000000-0008-0000-0A00-000018070000}"/>
            </a:ext>
          </a:extLst>
        </xdr:cNvPr>
        <xdr:cNvSpPr/>
      </xdr:nvSpPr>
      <xdr:spPr>
        <a:xfrm>
          <a:off x="25253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214</xdr:row>
      <xdr:rowOff>78147</xdr:rowOff>
    </xdr:from>
    <xdr:to>
      <xdr:col>3</xdr:col>
      <xdr:colOff>0</xdr:colOff>
      <xdr:row>216</xdr:row>
      <xdr:rowOff>1947</xdr:rowOff>
    </xdr:to>
    <xdr:sp macro="" textlink="">
      <xdr:nvSpPr>
        <xdr:cNvPr id="1817" name="Isosceles Triangle 1816">
          <a:extLst>
            <a:ext uri="{FF2B5EF4-FFF2-40B4-BE49-F238E27FC236}">
              <a16:creationId xmlns:a16="http://schemas.microsoft.com/office/drawing/2014/main" id="{00000000-0008-0000-0A00-000019070000}"/>
            </a:ext>
          </a:extLst>
        </xdr:cNvPr>
        <xdr:cNvSpPr/>
      </xdr:nvSpPr>
      <xdr:spPr>
        <a:xfrm>
          <a:off x="1287145" y="36187380"/>
          <a:ext cx="497205" cy="2508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214</xdr:row>
      <xdr:rowOff>78147</xdr:rowOff>
    </xdr:from>
    <xdr:to>
      <xdr:col>17</xdr:col>
      <xdr:colOff>0</xdr:colOff>
      <xdr:row>215</xdr:row>
      <xdr:rowOff>192447</xdr:rowOff>
    </xdr:to>
    <xdr:sp macro="" textlink="">
      <xdr:nvSpPr>
        <xdr:cNvPr id="1818" name="Isosceles Triangle 1817">
          <a:extLst>
            <a:ext uri="{FF2B5EF4-FFF2-40B4-BE49-F238E27FC236}">
              <a16:creationId xmlns:a16="http://schemas.microsoft.com/office/drawing/2014/main" id="{00000000-0008-0000-0A00-00001A070000}"/>
            </a:ext>
          </a:extLst>
        </xdr:cNvPr>
        <xdr:cNvSpPr/>
      </xdr:nvSpPr>
      <xdr:spPr>
        <a:xfrm>
          <a:off x="85451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214</xdr:row>
      <xdr:rowOff>78147</xdr:rowOff>
    </xdr:from>
    <xdr:to>
      <xdr:col>19</xdr:col>
      <xdr:colOff>0</xdr:colOff>
      <xdr:row>215</xdr:row>
      <xdr:rowOff>192447</xdr:rowOff>
    </xdr:to>
    <xdr:sp macro="" textlink="">
      <xdr:nvSpPr>
        <xdr:cNvPr id="1819" name="Isosceles Triangle 1818">
          <a:extLst>
            <a:ext uri="{FF2B5EF4-FFF2-40B4-BE49-F238E27FC236}">
              <a16:creationId xmlns:a16="http://schemas.microsoft.com/office/drawing/2014/main" id="{00000000-0008-0000-0A00-00001B070000}"/>
            </a:ext>
          </a:extLst>
        </xdr:cNvPr>
        <xdr:cNvSpPr/>
      </xdr:nvSpPr>
      <xdr:spPr>
        <a:xfrm>
          <a:off x="95484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497048</xdr:colOff>
      <xdr:row>190</xdr:row>
      <xdr:rowOff>125515</xdr:rowOff>
    </xdr:from>
    <xdr:to>
      <xdr:col>17</xdr:col>
      <xdr:colOff>264819</xdr:colOff>
      <xdr:row>192</xdr:row>
      <xdr:rowOff>117718</xdr:rowOff>
    </xdr:to>
    <xdr:sp macro="" textlink="">
      <xdr:nvSpPr>
        <xdr:cNvPr id="1820" name="Line 327">
          <a:extLst>
            <a:ext uri="{FF2B5EF4-FFF2-40B4-BE49-F238E27FC236}">
              <a16:creationId xmlns:a16="http://schemas.microsoft.com/office/drawing/2014/main" id="{00000000-0008-0000-0A00-00001C070000}"/>
            </a:ext>
          </a:extLst>
        </xdr:cNvPr>
        <xdr:cNvSpPr>
          <a:spLocks noChangeShapeType="1"/>
        </xdr:cNvSpPr>
      </xdr:nvSpPr>
      <xdr:spPr>
        <a:xfrm flipH="1">
          <a:off x="9037320" y="32157670"/>
          <a:ext cx="269875"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493703</xdr:colOff>
      <xdr:row>190</xdr:row>
      <xdr:rowOff>153837</xdr:rowOff>
    </xdr:from>
    <xdr:to>
      <xdr:col>19</xdr:col>
      <xdr:colOff>261474</xdr:colOff>
      <xdr:row>192</xdr:row>
      <xdr:rowOff>136505</xdr:rowOff>
    </xdr:to>
    <xdr:sp macro="" textlink="">
      <xdr:nvSpPr>
        <xdr:cNvPr id="1821" name="Line 327">
          <a:extLst>
            <a:ext uri="{FF2B5EF4-FFF2-40B4-BE49-F238E27FC236}">
              <a16:creationId xmlns:a16="http://schemas.microsoft.com/office/drawing/2014/main" id="{00000000-0008-0000-0A00-00001D070000}"/>
            </a:ext>
          </a:extLst>
        </xdr:cNvPr>
        <xdr:cNvSpPr>
          <a:spLocks noChangeShapeType="1"/>
        </xdr:cNvSpPr>
      </xdr:nvSpPr>
      <xdr:spPr>
        <a:xfrm flipH="1">
          <a:off x="10037445" y="32186245"/>
          <a:ext cx="26924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119559</xdr:colOff>
      <xdr:row>199</xdr:row>
      <xdr:rowOff>47761</xdr:rowOff>
    </xdr:from>
    <xdr:to>
      <xdr:col>5</xdr:col>
      <xdr:colOff>386259</xdr:colOff>
      <xdr:row>201</xdr:row>
      <xdr:rowOff>33483</xdr:rowOff>
    </xdr:to>
    <xdr:sp macro="" textlink="">
      <xdr:nvSpPr>
        <xdr:cNvPr id="1822" name="Line 327">
          <a:extLst>
            <a:ext uri="{FF2B5EF4-FFF2-40B4-BE49-F238E27FC236}">
              <a16:creationId xmlns:a16="http://schemas.microsoft.com/office/drawing/2014/main" id="{00000000-0008-0000-0A00-00001E070000}"/>
            </a:ext>
          </a:extLst>
        </xdr:cNvPr>
        <xdr:cNvSpPr>
          <a:spLocks noChangeShapeType="1"/>
        </xdr:cNvSpPr>
      </xdr:nvSpPr>
      <xdr:spPr>
        <a:xfrm flipH="1">
          <a:off x="3141980" y="33607375"/>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68663</xdr:colOff>
      <xdr:row>199</xdr:row>
      <xdr:rowOff>13691</xdr:rowOff>
    </xdr:from>
    <xdr:to>
      <xdr:col>13</xdr:col>
      <xdr:colOff>335363</xdr:colOff>
      <xdr:row>200</xdr:row>
      <xdr:rowOff>158348</xdr:rowOff>
    </xdr:to>
    <xdr:sp macro="" textlink="">
      <xdr:nvSpPr>
        <xdr:cNvPr id="1823" name="Line 327">
          <a:extLst>
            <a:ext uri="{FF2B5EF4-FFF2-40B4-BE49-F238E27FC236}">
              <a16:creationId xmlns:a16="http://schemas.microsoft.com/office/drawing/2014/main" id="{00000000-0008-0000-0A00-00001F070000}"/>
            </a:ext>
          </a:extLst>
        </xdr:cNvPr>
        <xdr:cNvSpPr>
          <a:spLocks noChangeShapeType="1"/>
        </xdr:cNvSpPr>
      </xdr:nvSpPr>
      <xdr:spPr>
        <a:xfrm flipH="1">
          <a:off x="7104380" y="3357308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112348</xdr:colOff>
      <xdr:row>199</xdr:row>
      <xdr:rowOff>39609</xdr:rowOff>
    </xdr:from>
    <xdr:to>
      <xdr:col>17</xdr:col>
      <xdr:colOff>379048</xdr:colOff>
      <xdr:row>201</xdr:row>
      <xdr:rowOff>15796</xdr:rowOff>
    </xdr:to>
    <xdr:sp macro="" textlink="">
      <xdr:nvSpPr>
        <xdr:cNvPr id="1824" name="Line 327">
          <a:extLst>
            <a:ext uri="{FF2B5EF4-FFF2-40B4-BE49-F238E27FC236}">
              <a16:creationId xmlns:a16="http://schemas.microsoft.com/office/drawing/2014/main" id="{00000000-0008-0000-0A00-000020070000}"/>
            </a:ext>
          </a:extLst>
        </xdr:cNvPr>
        <xdr:cNvSpPr>
          <a:spLocks noChangeShapeType="1"/>
        </xdr:cNvSpPr>
      </xdr:nvSpPr>
      <xdr:spPr>
        <a:xfrm flipH="1">
          <a:off x="9154160" y="3359912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138266</xdr:colOff>
      <xdr:row>199</xdr:row>
      <xdr:rowOff>30726</xdr:rowOff>
    </xdr:from>
    <xdr:to>
      <xdr:col>21</xdr:col>
      <xdr:colOff>404966</xdr:colOff>
      <xdr:row>201</xdr:row>
      <xdr:rowOff>6913</xdr:rowOff>
    </xdr:to>
    <xdr:sp macro="" textlink="">
      <xdr:nvSpPr>
        <xdr:cNvPr id="1825" name="Line 327">
          <a:extLst>
            <a:ext uri="{FF2B5EF4-FFF2-40B4-BE49-F238E27FC236}">
              <a16:creationId xmlns:a16="http://schemas.microsoft.com/office/drawing/2014/main" id="{00000000-0008-0000-0A00-000021070000}"/>
            </a:ext>
          </a:extLst>
        </xdr:cNvPr>
        <xdr:cNvSpPr>
          <a:spLocks noChangeShapeType="1"/>
        </xdr:cNvSpPr>
      </xdr:nvSpPr>
      <xdr:spPr>
        <a:xfrm flipH="1">
          <a:off x="11186795" y="335902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168992</xdr:colOff>
      <xdr:row>208</xdr:row>
      <xdr:rowOff>46089</xdr:rowOff>
    </xdr:from>
    <xdr:to>
      <xdr:col>3</xdr:col>
      <xdr:colOff>435692</xdr:colOff>
      <xdr:row>210</xdr:row>
      <xdr:rowOff>22276</xdr:rowOff>
    </xdr:to>
    <xdr:sp macro="" textlink="">
      <xdr:nvSpPr>
        <xdr:cNvPr id="1826" name="Line 327">
          <a:extLst>
            <a:ext uri="{FF2B5EF4-FFF2-40B4-BE49-F238E27FC236}">
              <a16:creationId xmlns:a16="http://schemas.microsoft.com/office/drawing/2014/main" id="{00000000-0008-0000-0A00-000022070000}"/>
            </a:ext>
          </a:extLst>
        </xdr:cNvPr>
        <xdr:cNvSpPr>
          <a:spLocks noChangeShapeType="1"/>
        </xdr:cNvSpPr>
      </xdr:nvSpPr>
      <xdr:spPr>
        <a:xfrm flipH="1">
          <a:off x="1953260" y="3512312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54031</xdr:colOff>
      <xdr:row>208</xdr:row>
      <xdr:rowOff>2403</xdr:rowOff>
    </xdr:from>
    <xdr:to>
      <xdr:col>11</xdr:col>
      <xdr:colOff>320731</xdr:colOff>
      <xdr:row>209</xdr:row>
      <xdr:rowOff>156595</xdr:rowOff>
    </xdr:to>
    <xdr:sp macro="" textlink="">
      <xdr:nvSpPr>
        <xdr:cNvPr id="1827" name="Line 327">
          <a:extLst>
            <a:ext uri="{FF2B5EF4-FFF2-40B4-BE49-F238E27FC236}">
              <a16:creationId xmlns:a16="http://schemas.microsoft.com/office/drawing/2014/main" id="{00000000-0008-0000-0A00-000023070000}"/>
            </a:ext>
          </a:extLst>
        </xdr:cNvPr>
        <xdr:cNvSpPr>
          <a:spLocks noChangeShapeType="1"/>
        </xdr:cNvSpPr>
      </xdr:nvSpPr>
      <xdr:spPr>
        <a:xfrm flipH="1">
          <a:off x="6086475" y="350793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26441</xdr:colOff>
      <xdr:row>207</xdr:row>
      <xdr:rowOff>136803</xdr:rowOff>
    </xdr:from>
    <xdr:to>
      <xdr:col>13</xdr:col>
      <xdr:colOff>293141</xdr:colOff>
      <xdr:row>209</xdr:row>
      <xdr:rowOff>119470</xdr:rowOff>
    </xdr:to>
    <xdr:sp macro="" textlink="">
      <xdr:nvSpPr>
        <xdr:cNvPr id="1828" name="Line 327">
          <a:extLst>
            <a:ext uri="{FF2B5EF4-FFF2-40B4-BE49-F238E27FC236}">
              <a16:creationId xmlns:a16="http://schemas.microsoft.com/office/drawing/2014/main" id="{00000000-0008-0000-0A00-000024070000}"/>
            </a:ext>
          </a:extLst>
        </xdr:cNvPr>
        <xdr:cNvSpPr>
          <a:spLocks noChangeShapeType="1"/>
        </xdr:cNvSpPr>
      </xdr:nvSpPr>
      <xdr:spPr>
        <a:xfrm flipH="1">
          <a:off x="7061835" y="3504565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71798</xdr:colOff>
      <xdr:row>208</xdr:row>
      <xdr:rowOff>24247</xdr:rowOff>
    </xdr:from>
    <xdr:to>
      <xdr:col>17</xdr:col>
      <xdr:colOff>338498</xdr:colOff>
      <xdr:row>210</xdr:row>
      <xdr:rowOff>434</xdr:rowOff>
    </xdr:to>
    <xdr:sp macro="" textlink="">
      <xdr:nvSpPr>
        <xdr:cNvPr id="1829" name="Line 327">
          <a:extLst>
            <a:ext uri="{FF2B5EF4-FFF2-40B4-BE49-F238E27FC236}">
              <a16:creationId xmlns:a16="http://schemas.microsoft.com/office/drawing/2014/main" id="{00000000-0008-0000-0A00-000025070000}"/>
            </a:ext>
          </a:extLst>
        </xdr:cNvPr>
        <xdr:cNvSpPr>
          <a:spLocks noChangeShapeType="1"/>
        </xdr:cNvSpPr>
      </xdr:nvSpPr>
      <xdr:spPr>
        <a:xfrm flipH="1">
          <a:off x="9114155" y="351015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139938</xdr:colOff>
      <xdr:row>215</xdr:row>
      <xdr:rowOff>127921</xdr:rowOff>
    </xdr:from>
    <xdr:to>
      <xdr:col>5</xdr:col>
      <xdr:colOff>406638</xdr:colOff>
      <xdr:row>217</xdr:row>
      <xdr:rowOff>110588</xdr:rowOff>
    </xdr:to>
    <xdr:sp macro="" textlink="">
      <xdr:nvSpPr>
        <xdr:cNvPr id="1830" name="Line 327">
          <a:extLst>
            <a:ext uri="{FF2B5EF4-FFF2-40B4-BE49-F238E27FC236}">
              <a16:creationId xmlns:a16="http://schemas.microsoft.com/office/drawing/2014/main" id="{00000000-0008-0000-0A00-000026070000}"/>
            </a:ext>
          </a:extLst>
        </xdr:cNvPr>
        <xdr:cNvSpPr>
          <a:spLocks noChangeShapeType="1"/>
        </xdr:cNvSpPr>
      </xdr:nvSpPr>
      <xdr:spPr>
        <a:xfrm flipH="1">
          <a:off x="3162300" y="3639566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49955</xdr:colOff>
      <xdr:row>216</xdr:row>
      <xdr:rowOff>2404</xdr:rowOff>
    </xdr:from>
    <xdr:to>
      <xdr:col>15</xdr:col>
      <xdr:colOff>316655</xdr:colOff>
      <xdr:row>217</xdr:row>
      <xdr:rowOff>156596</xdr:rowOff>
    </xdr:to>
    <xdr:sp macro="" textlink="">
      <xdr:nvSpPr>
        <xdr:cNvPr id="1831" name="Line 327">
          <a:extLst>
            <a:ext uri="{FF2B5EF4-FFF2-40B4-BE49-F238E27FC236}">
              <a16:creationId xmlns:a16="http://schemas.microsoft.com/office/drawing/2014/main" id="{00000000-0008-0000-0A00-000027070000}"/>
            </a:ext>
          </a:extLst>
        </xdr:cNvPr>
        <xdr:cNvSpPr>
          <a:spLocks noChangeShapeType="1"/>
        </xdr:cNvSpPr>
      </xdr:nvSpPr>
      <xdr:spPr>
        <a:xfrm flipH="1">
          <a:off x="8088630" y="364382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30516</xdr:colOff>
      <xdr:row>216</xdr:row>
      <xdr:rowOff>0</xdr:rowOff>
    </xdr:from>
    <xdr:to>
      <xdr:col>19</xdr:col>
      <xdr:colOff>297216</xdr:colOff>
      <xdr:row>217</xdr:row>
      <xdr:rowOff>160542</xdr:rowOff>
    </xdr:to>
    <xdr:sp macro="" textlink="">
      <xdr:nvSpPr>
        <xdr:cNvPr id="1832" name="Line 327">
          <a:extLst>
            <a:ext uri="{FF2B5EF4-FFF2-40B4-BE49-F238E27FC236}">
              <a16:creationId xmlns:a16="http://schemas.microsoft.com/office/drawing/2014/main" id="{00000000-0008-0000-0A00-000028070000}"/>
            </a:ext>
          </a:extLst>
        </xdr:cNvPr>
        <xdr:cNvSpPr>
          <a:spLocks noChangeShapeType="1"/>
        </xdr:cNvSpPr>
      </xdr:nvSpPr>
      <xdr:spPr>
        <a:xfrm flipH="1">
          <a:off x="10076180" y="36436300"/>
          <a:ext cx="266700" cy="33782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492452</xdr:colOff>
      <xdr:row>191</xdr:row>
      <xdr:rowOff>129590</xdr:rowOff>
    </xdr:from>
    <xdr:to>
      <xdr:col>18</xdr:col>
      <xdr:colOff>44777</xdr:colOff>
      <xdr:row>192</xdr:row>
      <xdr:rowOff>35324</xdr:rowOff>
    </xdr:to>
    <xdr:pic>
      <xdr:nvPicPr>
        <xdr:cNvPr id="1833" name="Picture 13">
          <a:extLst>
            <a:ext uri="{FF2B5EF4-FFF2-40B4-BE49-F238E27FC236}">
              <a16:creationId xmlns:a16="http://schemas.microsoft.com/office/drawing/2014/main" id="{00000000-0008-0000-0A00-000029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69095" y="32094170"/>
          <a:ext cx="83185" cy="555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168469</xdr:colOff>
      <xdr:row>209</xdr:row>
      <xdr:rowOff>6480</xdr:rowOff>
    </xdr:from>
    <xdr:to>
      <xdr:col>3</xdr:col>
      <xdr:colOff>721373</xdr:colOff>
      <xdr:row>209</xdr:row>
      <xdr:rowOff>93384</xdr:rowOff>
    </xdr:to>
    <xdr:pic>
      <xdr:nvPicPr>
        <xdr:cNvPr id="1834" name="Picture 13">
          <a:extLst>
            <a:ext uri="{FF2B5EF4-FFF2-40B4-BE49-F238E27FC236}">
              <a16:creationId xmlns:a16="http://schemas.microsoft.com/office/drawing/2014/main" id="{00000000-0008-0000-0A00-00002A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2185670" y="35028505"/>
          <a:ext cx="86995" cy="552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207346</xdr:colOff>
      <xdr:row>216</xdr:row>
      <xdr:rowOff>136072</xdr:rowOff>
    </xdr:from>
    <xdr:to>
      <xdr:col>4</xdr:col>
      <xdr:colOff>23650</xdr:colOff>
      <xdr:row>217</xdr:row>
      <xdr:rowOff>41807</xdr:rowOff>
    </xdr:to>
    <xdr:pic>
      <xdr:nvPicPr>
        <xdr:cNvPr id="1835" name="Picture 13">
          <a:extLst>
            <a:ext uri="{FF2B5EF4-FFF2-40B4-BE49-F238E27FC236}">
              <a16:creationId xmlns:a16="http://schemas.microsoft.com/office/drawing/2014/main" id="{00000000-0008-0000-0A00-00002B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2226310" y="36337240"/>
          <a:ext cx="83185" cy="5530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0</xdr:colOff>
      <xdr:row>217</xdr:row>
      <xdr:rowOff>0</xdr:rowOff>
    </xdr:from>
    <xdr:to>
      <xdr:col>17</xdr:col>
      <xdr:colOff>489404</xdr:colOff>
      <xdr:row>217</xdr:row>
      <xdr:rowOff>86904</xdr:rowOff>
    </xdr:to>
    <xdr:pic>
      <xdr:nvPicPr>
        <xdr:cNvPr id="1836" name="Picture 13">
          <a:extLst>
            <a:ext uri="{FF2B5EF4-FFF2-40B4-BE49-F238E27FC236}">
              <a16:creationId xmlns:a16="http://schemas.microsoft.com/office/drawing/2014/main" id="{00000000-0008-0000-0A00-00002C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43060" y="3641280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26368</xdr:colOff>
      <xdr:row>199</xdr:row>
      <xdr:rowOff>124955</xdr:rowOff>
    </xdr:from>
    <xdr:to>
      <xdr:col>10</xdr:col>
      <xdr:colOff>16843</xdr:colOff>
      <xdr:row>200</xdr:row>
      <xdr:rowOff>30690</xdr:rowOff>
    </xdr:to>
    <xdr:pic>
      <xdr:nvPicPr>
        <xdr:cNvPr id="1837" name="Picture 13">
          <a:extLst>
            <a:ext uri="{FF2B5EF4-FFF2-40B4-BE49-F238E27FC236}">
              <a16:creationId xmlns:a16="http://schemas.microsoft.com/office/drawing/2014/main" id="{00000000-0008-0000-0A00-00002D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59705" y="33480375"/>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110153</xdr:colOff>
      <xdr:row>199</xdr:row>
      <xdr:rowOff>25918</xdr:rowOff>
    </xdr:from>
    <xdr:to>
      <xdr:col>5</xdr:col>
      <xdr:colOff>239745</xdr:colOff>
      <xdr:row>200</xdr:row>
      <xdr:rowOff>19439</xdr:rowOff>
    </xdr:to>
    <xdr:sp macro="" textlink="">
      <xdr:nvSpPr>
        <xdr:cNvPr id="1838" name="Flowchart: Magnetic Disk 1837">
          <a:extLst>
            <a:ext uri="{FF2B5EF4-FFF2-40B4-BE49-F238E27FC236}">
              <a16:creationId xmlns:a16="http://schemas.microsoft.com/office/drawing/2014/main" id="{00000000-0008-0000-0A00-00002E070000}"/>
            </a:ext>
          </a:extLst>
        </xdr:cNvPr>
        <xdr:cNvSpPr/>
      </xdr:nvSpPr>
      <xdr:spPr>
        <a:xfrm>
          <a:off x="3132455" y="335851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15</xdr:col>
      <xdr:colOff>311020</xdr:colOff>
      <xdr:row>200</xdr:row>
      <xdr:rowOff>12959</xdr:rowOff>
    </xdr:from>
    <xdr:to>
      <xdr:col>15</xdr:col>
      <xdr:colOff>440612</xdr:colOff>
      <xdr:row>201</xdr:row>
      <xdr:rowOff>6479</xdr:rowOff>
    </xdr:to>
    <xdr:sp macro="" textlink="">
      <xdr:nvSpPr>
        <xdr:cNvPr id="1839" name="Flowchart: Magnetic Disk 1838">
          <a:extLst>
            <a:ext uri="{FF2B5EF4-FFF2-40B4-BE49-F238E27FC236}">
              <a16:creationId xmlns:a16="http://schemas.microsoft.com/office/drawing/2014/main" id="{00000000-0008-0000-0A00-00002F070000}"/>
            </a:ext>
          </a:extLst>
        </xdr:cNvPr>
        <xdr:cNvSpPr/>
      </xdr:nvSpPr>
      <xdr:spPr>
        <a:xfrm>
          <a:off x="8349615" y="337502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323979</xdr:colOff>
      <xdr:row>200</xdr:row>
      <xdr:rowOff>6480</xdr:rowOff>
    </xdr:from>
    <xdr:to>
      <xdr:col>17</xdr:col>
      <xdr:colOff>453571</xdr:colOff>
      <xdr:row>201</xdr:row>
      <xdr:rowOff>0</xdr:rowOff>
    </xdr:to>
    <xdr:sp macro="" textlink="">
      <xdr:nvSpPr>
        <xdr:cNvPr id="1840" name="Flowchart: Magnetic Disk 1839">
          <a:extLst>
            <a:ext uri="{FF2B5EF4-FFF2-40B4-BE49-F238E27FC236}">
              <a16:creationId xmlns:a16="http://schemas.microsoft.com/office/drawing/2014/main" id="{00000000-0008-0000-0A00-000030070000}"/>
            </a:ext>
          </a:extLst>
        </xdr:cNvPr>
        <xdr:cNvSpPr/>
      </xdr:nvSpPr>
      <xdr:spPr>
        <a:xfrm>
          <a:off x="9366250" y="337439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12</xdr:col>
      <xdr:colOff>6480</xdr:colOff>
      <xdr:row>206</xdr:row>
      <xdr:rowOff>64796</xdr:rowOff>
    </xdr:from>
    <xdr:to>
      <xdr:col>13</xdr:col>
      <xdr:colOff>1909</xdr:colOff>
      <xdr:row>207</xdr:row>
      <xdr:rowOff>153696</xdr:rowOff>
    </xdr:to>
    <xdr:sp macro="" textlink="">
      <xdr:nvSpPr>
        <xdr:cNvPr id="1841" name="Isosceles Triangle 1840">
          <a:extLst>
            <a:ext uri="{FF2B5EF4-FFF2-40B4-BE49-F238E27FC236}">
              <a16:creationId xmlns:a16="http://schemas.microsoft.com/office/drawing/2014/main" id="{00000000-0008-0000-0A00-000031070000}"/>
            </a:ext>
          </a:extLst>
        </xdr:cNvPr>
        <xdr:cNvSpPr/>
      </xdr:nvSpPr>
      <xdr:spPr>
        <a:xfrm>
          <a:off x="6540500" y="3481514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246224</xdr:colOff>
      <xdr:row>192</xdr:row>
      <xdr:rowOff>103674</xdr:rowOff>
    </xdr:from>
    <xdr:to>
      <xdr:col>17</xdr:col>
      <xdr:colOff>460050</xdr:colOff>
      <xdr:row>194</xdr:row>
      <xdr:rowOff>51837</xdr:rowOff>
    </xdr:to>
    <xdr:sp macro="" textlink="">
      <xdr:nvSpPr>
        <xdr:cNvPr id="1842" name="Flowchart: Predefined Process 1841">
          <a:extLst>
            <a:ext uri="{FF2B5EF4-FFF2-40B4-BE49-F238E27FC236}">
              <a16:creationId xmlns:a16="http://schemas.microsoft.com/office/drawing/2014/main" id="{00000000-0008-0000-0A00-000032070000}"/>
            </a:ext>
          </a:extLst>
        </xdr:cNvPr>
        <xdr:cNvSpPr/>
      </xdr:nvSpPr>
      <xdr:spPr>
        <a:xfrm>
          <a:off x="9288145" y="3248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17</xdr:col>
      <xdr:colOff>150519</xdr:colOff>
      <xdr:row>191</xdr:row>
      <xdr:rowOff>136071</xdr:rowOff>
    </xdr:from>
    <xdr:to>
      <xdr:col>17</xdr:col>
      <xdr:colOff>388775</xdr:colOff>
      <xdr:row>193</xdr:row>
      <xdr:rowOff>101647</xdr:rowOff>
    </xdr:to>
    <xdr:sp macro="" textlink="">
      <xdr:nvSpPr>
        <xdr:cNvPr id="1843" name="Line 327">
          <a:extLst>
            <a:ext uri="{FF2B5EF4-FFF2-40B4-BE49-F238E27FC236}">
              <a16:creationId xmlns:a16="http://schemas.microsoft.com/office/drawing/2014/main" id="{00000000-0008-0000-0A00-000033070000}"/>
            </a:ext>
          </a:extLst>
        </xdr:cNvPr>
        <xdr:cNvSpPr>
          <a:spLocks noChangeShapeType="1"/>
        </xdr:cNvSpPr>
      </xdr:nvSpPr>
      <xdr:spPr>
        <a:xfrm flipH="1">
          <a:off x="9192895" y="32336740"/>
          <a:ext cx="238125" cy="32131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220306</xdr:colOff>
      <xdr:row>192</xdr:row>
      <xdr:rowOff>0</xdr:rowOff>
    </xdr:from>
    <xdr:to>
      <xdr:col>19</xdr:col>
      <xdr:colOff>434132</xdr:colOff>
      <xdr:row>193</xdr:row>
      <xdr:rowOff>116632</xdr:rowOff>
    </xdr:to>
    <xdr:sp macro="" textlink="">
      <xdr:nvSpPr>
        <xdr:cNvPr id="1844" name="Flowchart: Predefined Process 1843">
          <a:extLst>
            <a:ext uri="{FF2B5EF4-FFF2-40B4-BE49-F238E27FC236}">
              <a16:creationId xmlns:a16="http://schemas.microsoft.com/office/drawing/2014/main" id="{00000000-0008-0000-0A00-000034070000}"/>
            </a:ext>
          </a:extLst>
        </xdr:cNvPr>
        <xdr:cNvSpPr/>
      </xdr:nvSpPr>
      <xdr:spPr>
        <a:xfrm>
          <a:off x="10265410" y="3237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21</xdr:col>
      <xdr:colOff>161990</xdr:colOff>
      <xdr:row>191</xdr:row>
      <xdr:rowOff>103673</xdr:rowOff>
    </xdr:from>
    <xdr:to>
      <xdr:col>21</xdr:col>
      <xdr:colOff>375816</xdr:colOff>
      <xdr:row>193</xdr:row>
      <xdr:rowOff>51836</xdr:rowOff>
    </xdr:to>
    <xdr:sp macro="" textlink="">
      <xdr:nvSpPr>
        <xdr:cNvPr id="1845" name="Flowchart: Predefined Process 1844">
          <a:extLst>
            <a:ext uri="{FF2B5EF4-FFF2-40B4-BE49-F238E27FC236}">
              <a16:creationId xmlns:a16="http://schemas.microsoft.com/office/drawing/2014/main" id="{00000000-0008-0000-0A00-000035070000}"/>
            </a:ext>
          </a:extLst>
        </xdr:cNvPr>
        <xdr:cNvSpPr/>
      </xdr:nvSpPr>
      <xdr:spPr>
        <a:xfrm>
          <a:off x="11210925" y="3230435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5</xdr:col>
      <xdr:colOff>259184</xdr:colOff>
      <xdr:row>200</xdr:row>
      <xdr:rowOff>58316</xdr:rowOff>
    </xdr:from>
    <xdr:to>
      <xdr:col>5</xdr:col>
      <xdr:colOff>473010</xdr:colOff>
      <xdr:row>202</xdr:row>
      <xdr:rowOff>6479</xdr:rowOff>
    </xdr:to>
    <xdr:sp macro="" textlink="">
      <xdr:nvSpPr>
        <xdr:cNvPr id="1846" name="Flowchart: Predefined Process 1845">
          <a:extLst>
            <a:ext uri="{FF2B5EF4-FFF2-40B4-BE49-F238E27FC236}">
              <a16:creationId xmlns:a16="http://schemas.microsoft.com/office/drawing/2014/main" id="{00000000-0008-0000-0A00-000036070000}"/>
            </a:ext>
          </a:extLst>
        </xdr:cNvPr>
        <xdr:cNvSpPr/>
      </xdr:nvSpPr>
      <xdr:spPr>
        <a:xfrm>
          <a:off x="3281680" y="3379533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117390</xdr:colOff>
      <xdr:row>199</xdr:row>
      <xdr:rowOff>94815</xdr:rowOff>
    </xdr:from>
    <xdr:to>
      <xdr:col>13</xdr:col>
      <xdr:colOff>384090</xdr:colOff>
      <xdr:row>201</xdr:row>
      <xdr:rowOff>71002</xdr:rowOff>
    </xdr:to>
    <xdr:sp macro="" textlink="">
      <xdr:nvSpPr>
        <xdr:cNvPr id="1847" name="Line 327">
          <a:extLst>
            <a:ext uri="{FF2B5EF4-FFF2-40B4-BE49-F238E27FC236}">
              <a16:creationId xmlns:a16="http://schemas.microsoft.com/office/drawing/2014/main" id="{00000000-0008-0000-0A00-000037070000}"/>
            </a:ext>
          </a:extLst>
        </xdr:cNvPr>
        <xdr:cNvSpPr>
          <a:spLocks noChangeShapeType="1"/>
        </xdr:cNvSpPr>
      </xdr:nvSpPr>
      <xdr:spPr>
        <a:xfrm flipH="1">
          <a:off x="7152640" y="3365436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71276</xdr:colOff>
      <xdr:row>199</xdr:row>
      <xdr:rowOff>84235</xdr:rowOff>
    </xdr:from>
    <xdr:to>
      <xdr:col>15</xdr:col>
      <xdr:colOff>285102</xdr:colOff>
      <xdr:row>201</xdr:row>
      <xdr:rowOff>32398</xdr:rowOff>
    </xdr:to>
    <xdr:sp macro="" textlink="">
      <xdr:nvSpPr>
        <xdr:cNvPr id="1848" name="Flowchart: Predefined Process 1847">
          <a:extLst>
            <a:ext uri="{FF2B5EF4-FFF2-40B4-BE49-F238E27FC236}">
              <a16:creationId xmlns:a16="http://schemas.microsoft.com/office/drawing/2014/main" id="{00000000-0008-0000-0A00-000038070000}"/>
            </a:ext>
          </a:extLst>
        </xdr:cNvPr>
        <xdr:cNvSpPr/>
      </xdr:nvSpPr>
      <xdr:spPr>
        <a:xfrm>
          <a:off x="8110220" y="33643570"/>
          <a:ext cx="213360"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80740</xdr:colOff>
      <xdr:row>207</xdr:row>
      <xdr:rowOff>153520</xdr:rowOff>
    </xdr:from>
    <xdr:to>
      <xdr:col>3</xdr:col>
      <xdr:colOff>347440</xdr:colOff>
      <xdr:row>209</xdr:row>
      <xdr:rowOff>136187</xdr:rowOff>
    </xdr:to>
    <xdr:sp macro="" textlink="">
      <xdr:nvSpPr>
        <xdr:cNvPr id="1849" name="Line 327">
          <a:extLst>
            <a:ext uri="{FF2B5EF4-FFF2-40B4-BE49-F238E27FC236}">
              <a16:creationId xmlns:a16="http://schemas.microsoft.com/office/drawing/2014/main" id="{00000000-0008-0000-0A00-000039070000}"/>
            </a:ext>
          </a:extLst>
        </xdr:cNvPr>
        <xdr:cNvSpPr>
          <a:spLocks noChangeShapeType="1"/>
        </xdr:cNvSpPr>
      </xdr:nvSpPr>
      <xdr:spPr>
        <a:xfrm flipH="1">
          <a:off x="1864995" y="3506216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356253</xdr:colOff>
      <xdr:row>209</xdr:row>
      <xdr:rowOff>20819</xdr:rowOff>
    </xdr:from>
    <xdr:to>
      <xdr:col>3</xdr:col>
      <xdr:colOff>622953</xdr:colOff>
      <xdr:row>210</xdr:row>
      <xdr:rowOff>165476</xdr:rowOff>
    </xdr:to>
    <xdr:sp macro="" textlink="">
      <xdr:nvSpPr>
        <xdr:cNvPr id="1850" name="Line 327">
          <a:extLst>
            <a:ext uri="{FF2B5EF4-FFF2-40B4-BE49-F238E27FC236}">
              <a16:creationId xmlns:a16="http://schemas.microsoft.com/office/drawing/2014/main" id="{00000000-0008-0000-0A00-00003A070000}"/>
            </a:ext>
          </a:extLst>
        </xdr:cNvPr>
        <xdr:cNvSpPr>
          <a:spLocks noChangeShapeType="1"/>
        </xdr:cNvSpPr>
      </xdr:nvSpPr>
      <xdr:spPr>
        <a:xfrm flipH="1">
          <a:off x="2140585" y="3527552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187908</xdr:colOff>
      <xdr:row>208</xdr:row>
      <xdr:rowOff>123113</xdr:rowOff>
    </xdr:from>
    <xdr:to>
      <xdr:col>7</xdr:col>
      <xdr:colOff>401734</xdr:colOff>
      <xdr:row>210</xdr:row>
      <xdr:rowOff>71276</xdr:rowOff>
    </xdr:to>
    <xdr:sp macro="" textlink="">
      <xdr:nvSpPr>
        <xdr:cNvPr id="1851" name="Flowchart: Predefined Process 1850">
          <a:extLst>
            <a:ext uri="{FF2B5EF4-FFF2-40B4-BE49-F238E27FC236}">
              <a16:creationId xmlns:a16="http://schemas.microsoft.com/office/drawing/2014/main" id="{00000000-0008-0000-0A00-00003B070000}"/>
            </a:ext>
          </a:extLst>
        </xdr:cNvPr>
        <xdr:cNvSpPr/>
      </xdr:nvSpPr>
      <xdr:spPr>
        <a:xfrm>
          <a:off x="4213225" y="3519995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246224</xdr:colOff>
      <xdr:row>208</xdr:row>
      <xdr:rowOff>155511</xdr:rowOff>
    </xdr:from>
    <xdr:to>
      <xdr:col>13</xdr:col>
      <xdr:colOff>460050</xdr:colOff>
      <xdr:row>210</xdr:row>
      <xdr:rowOff>103674</xdr:rowOff>
    </xdr:to>
    <xdr:sp macro="" textlink="">
      <xdr:nvSpPr>
        <xdr:cNvPr id="1852" name="Flowchart: Predefined Process 1851">
          <a:extLst>
            <a:ext uri="{FF2B5EF4-FFF2-40B4-BE49-F238E27FC236}">
              <a16:creationId xmlns:a16="http://schemas.microsoft.com/office/drawing/2014/main" id="{00000000-0008-0000-0A00-00003C070000}"/>
            </a:ext>
          </a:extLst>
        </xdr:cNvPr>
        <xdr:cNvSpPr/>
      </xdr:nvSpPr>
      <xdr:spPr>
        <a:xfrm>
          <a:off x="7281545" y="3523234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142551</xdr:colOff>
      <xdr:row>208</xdr:row>
      <xdr:rowOff>45358</xdr:rowOff>
    </xdr:from>
    <xdr:to>
      <xdr:col>17</xdr:col>
      <xdr:colOff>409251</xdr:colOff>
      <xdr:row>210</xdr:row>
      <xdr:rowOff>21545</xdr:rowOff>
    </xdr:to>
    <xdr:sp macro="" textlink="">
      <xdr:nvSpPr>
        <xdr:cNvPr id="1853" name="Line 327">
          <a:extLst>
            <a:ext uri="{FF2B5EF4-FFF2-40B4-BE49-F238E27FC236}">
              <a16:creationId xmlns:a16="http://schemas.microsoft.com/office/drawing/2014/main" id="{00000000-0008-0000-0A00-00003D070000}"/>
            </a:ext>
          </a:extLst>
        </xdr:cNvPr>
        <xdr:cNvSpPr>
          <a:spLocks noChangeShapeType="1"/>
        </xdr:cNvSpPr>
      </xdr:nvSpPr>
      <xdr:spPr>
        <a:xfrm flipH="1">
          <a:off x="9184640" y="351224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291581</xdr:colOff>
      <xdr:row>209</xdr:row>
      <xdr:rowOff>51837</xdr:rowOff>
    </xdr:from>
    <xdr:to>
      <xdr:col>17</xdr:col>
      <xdr:colOff>460050</xdr:colOff>
      <xdr:row>210</xdr:row>
      <xdr:rowOff>38878</xdr:rowOff>
    </xdr:to>
    <xdr:sp macro="" textlink="">
      <xdr:nvSpPr>
        <xdr:cNvPr id="1854" name="Rectangle: Top Corners Snipped 1853">
          <a:extLst>
            <a:ext uri="{FF2B5EF4-FFF2-40B4-BE49-F238E27FC236}">
              <a16:creationId xmlns:a16="http://schemas.microsoft.com/office/drawing/2014/main" id="{00000000-0008-0000-0A00-00003E070000}"/>
            </a:ext>
          </a:extLst>
        </xdr:cNvPr>
        <xdr:cNvSpPr/>
      </xdr:nvSpPr>
      <xdr:spPr>
        <a:xfrm>
          <a:off x="9333865" y="35306635"/>
          <a:ext cx="168275"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233266</xdr:colOff>
      <xdr:row>208</xdr:row>
      <xdr:rowOff>129593</xdr:rowOff>
    </xdr:from>
    <xdr:to>
      <xdr:col>21</xdr:col>
      <xdr:colOff>447092</xdr:colOff>
      <xdr:row>210</xdr:row>
      <xdr:rowOff>77756</xdr:rowOff>
    </xdr:to>
    <xdr:sp macro="" textlink="">
      <xdr:nvSpPr>
        <xdr:cNvPr id="1855" name="Flowchart: Predefined Process 1854">
          <a:extLst>
            <a:ext uri="{FF2B5EF4-FFF2-40B4-BE49-F238E27FC236}">
              <a16:creationId xmlns:a16="http://schemas.microsoft.com/office/drawing/2014/main" id="{00000000-0008-0000-0A00-00003F070000}"/>
            </a:ext>
          </a:extLst>
        </xdr:cNvPr>
        <xdr:cNvSpPr/>
      </xdr:nvSpPr>
      <xdr:spPr>
        <a:xfrm>
          <a:off x="11282045" y="3520694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36996</xdr:colOff>
      <xdr:row>215</xdr:row>
      <xdr:rowOff>127710</xdr:rowOff>
    </xdr:from>
    <xdr:to>
      <xdr:col>3</xdr:col>
      <xdr:colOff>303696</xdr:colOff>
      <xdr:row>217</xdr:row>
      <xdr:rowOff>110377</xdr:rowOff>
    </xdr:to>
    <xdr:sp macro="" textlink="">
      <xdr:nvSpPr>
        <xdr:cNvPr id="1856" name="Line 327">
          <a:extLst>
            <a:ext uri="{FF2B5EF4-FFF2-40B4-BE49-F238E27FC236}">
              <a16:creationId xmlns:a16="http://schemas.microsoft.com/office/drawing/2014/main" id="{00000000-0008-0000-0A00-000040070000}"/>
            </a:ext>
          </a:extLst>
        </xdr:cNvPr>
        <xdr:cNvSpPr>
          <a:spLocks noChangeShapeType="1"/>
        </xdr:cNvSpPr>
      </xdr:nvSpPr>
      <xdr:spPr>
        <a:xfrm flipH="1">
          <a:off x="1821180" y="36395660"/>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85722</xdr:colOff>
      <xdr:row>216</xdr:row>
      <xdr:rowOff>27406</xdr:rowOff>
    </xdr:from>
    <xdr:to>
      <xdr:col>3</xdr:col>
      <xdr:colOff>352422</xdr:colOff>
      <xdr:row>218</xdr:row>
      <xdr:rowOff>3593</xdr:rowOff>
    </xdr:to>
    <xdr:sp macro="" textlink="">
      <xdr:nvSpPr>
        <xdr:cNvPr id="1857" name="Line 327">
          <a:extLst>
            <a:ext uri="{FF2B5EF4-FFF2-40B4-BE49-F238E27FC236}">
              <a16:creationId xmlns:a16="http://schemas.microsoft.com/office/drawing/2014/main" id="{00000000-0008-0000-0A00-000041070000}"/>
            </a:ext>
          </a:extLst>
        </xdr:cNvPr>
        <xdr:cNvSpPr>
          <a:spLocks noChangeShapeType="1"/>
        </xdr:cNvSpPr>
      </xdr:nvSpPr>
      <xdr:spPr>
        <a:xfrm flipH="1">
          <a:off x="1869440" y="3646360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51837</xdr:colOff>
      <xdr:row>216</xdr:row>
      <xdr:rowOff>12958</xdr:rowOff>
    </xdr:from>
    <xdr:to>
      <xdr:col>9</xdr:col>
      <xdr:colOff>265663</xdr:colOff>
      <xdr:row>217</xdr:row>
      <xdr:rowOff>129591</xdr:rowOff>
    </xdr:to>
    <xdr:sp macro="" textlink="">
      <xdr:nvSpPr>
        <xdr:cNvPr id="1858" name="Flowchart: Predefined Process 1857">
          <a:extLst>
            <a:ext uri="{FF2B5EF4-FFF2-40B4-BE49-F238E27FC236}">
              <a16:creationId xmlns:a16="http://schemas.microsoft.com/office/drawing/2014/main" id="{00000000-0008-0000-0A00-000042070000}"/>
            </a:ext>
          </a:extLst>
        </xdr:cNvPr>
        <xdr:cNvSpPr/>
      </xdr:nvSpPr>
      <xdr:spPr>
        <a:xfrm>
          <a:off x="5080635" y="36449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194388</xdr:colOff>
      <xdr:row>217</xdr:row>
      <xdr:rowOff>45357</xdr:rowOff>
    </xdr:from>
    <xdr:to>
      <xdr:col>15</xdr:col>
      <xdr:colOff>408214</xdr:colOff>
      <xdr:row>218</xdr:row>
      <xdr:rowOff>161989</xdr:rowOff>
    </xdr:to>
    <xdr:sp macro="" textlink="">
      <xdr:nvSpPr>
        <xdr:cNvPr id="1859" name="Flowchart: Predefined Process 1858">
          <a:extLst>
            <a:ext uri="{FF2B5EF4-FFF2-40B4-BE49-F238E27FC236}">
              <a16:creationId xmlns:a16="http://schemas.microsoft.com/office/drawing/2014/main" id="{00000000-0008-0000-0A00-000043070000}"/>
            </a:ext>
          </a:extLst>
        </xdr:cNvPr>
        <xdr:cNvSpPr/>
      </xdr:nvSpPr>
      <xdr:spPr>
        <a:xfrm>
          <a:off x="8233410" y="36659185"/>
          <a:ext cx="213360"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19</xdr:col>
      <xdr:colOff>311021</xdr:colOff>
      <xdr:row>217</xdr:row>
      <xdr:rowOff>110153</xdr:rowOff>
    </xdr:from>
    <xdr:to>
      <xdr:col>19</xdr:col>
      <xdr:colOff>479490</xdr:colOff>
      <xdr:row>218</xdr:row>
      <xdr:rowOff>97193</xdr:rowOff>
    </xdr:to>
    <xdr:sp macro="" textlink="">
      <xdr:nvSpPr>
        <xdr:cNvPr id="1860" name="Rectangle: Top Corners Snipped 1859">
          <a:extLst>
            <a:ext uri="{FF2B5EF4-FFF2-40B4-BE49-F238E27FC236}">
              <a16:creationId xmlns:a16="http://schemas.microsoft.com/office/drawing/2014/main" id="{00000000-0008-0000-0A00-000044070000}"/>
            </a:ext>
          </a:extLst>
        </xdr:cNvPr>
        <xdr:cNvSpPr/>
      </xdr:nvSpPr>
      <xdr:spPr>
        <a:xfrm>
          <a:off x="10356215" y="36723955"/>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92201</xdr:colOff>
      <xdr:row>216</xdr:row>
      <xdr:rowOff>16329</xdr:rowOff>
    </xdr:from>
    <xdr:to>
      <xdr:col>19</xdr:col>
      <xdr:colOff>358901</xdr:colOff>
      <xdr:row>218</xdr:row>
      <xdr:rowOff>8401</xdr:rowOff>
    </xdr:to>
    <xdr:sp macro="" textlink="">
      <xdr:nvSpPr>
        <xdr:cNvPr id="1861" name="Line 327">
          <a:extLst>
            <a:ext uri="{FF2B5EF4-FFF2-40B4-BE49-F238E27FC236}">
              <a16:creationId xmlns:a16="http://schemas.microsoft.com/office/drawing/2014/main" id="{00000000-0008-0000-0A00-000045070000}"/>
            </a:ext>
          </a:extLst>
        </xdr:cNvPr>
        <xdr:cNvSpPr>
          <a:spLocks noChangeShapeType="1"/>
        </xdr:cNvSpPr>
      </xdr:nvSpPr>
      <xdr:spPr>
        <a:xfrm flipH="1">
          <a:off x="10137775" y="3645217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69653</xdr:colOff>
      <xdr:row>216</xdr:row>
      <xdr:rowOff>116892</xdr:rowOff>
    </xdr:from>
    <xdr:to>
      <xdr:col>19</xdr:col>
      <xdr:colOff>336353</xdr:colOff>
      <xdr:row>218</xdr:row>
      <xdr:rowOff>108964</xdr:rowOff>
    </xdr:to>
    <xdr:sp macro="" textlink="">
      <xdr:nvSpPr>
        <xdr:cNvPr id="1862" name="Line 327">
          <a:extLst>
            <a:ext uri="{FF2B5EF4-FFF2-40B4-BE49-F238E27FC236}">
              <a16:creationId xmlns:a16="http://schemas.microsoft.com/office/drawing/2014/main" id="{00000000-0008-0000-0A00-000046070000}"/>
            </a:ext>
          </a:extLst>
        </xdr:cNvPr>
        <xdr:cNvSpPr>
          <a:spLocks noChangeShapeType="1"/>
        </xdr:cNvSpPr>
      </xdr:nvSpPr>
      <xdr:spPr>
        <a:xfrm flipH="1">
          <a:off x="10114915" y="36553140"/>
          <a:ext cx="266700" cy="3473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163736</xdr:colOff>
      <xdr:row>216</xdr:row>
      <xdr:rowOff>126740</xdr:rowOff>
    </xdr:from>
    <xdr:to>
      <xdr:col>19</xdr:col>
      <xdr:colOff>430436</xdr:colOff>
      <xdr:row>218</xdr:row>
      <xdr:rowOff>118812</xdr:rowOff>
    </xdr:to>
    <xdr:sp macro="" textlink="">
      <xdr:nvSpPr>
        <xdr:cNvPr id="1863" name="Line 327">
          <a:extLst>
            <a:ext uri="{FF2B5EF4-FFF2-40B4-BE49-F238E27FC236}">
              <a16:creationId xmlns:a16="http://schemas.microsoft.com/office/drawing/2014/main" id="{00000000-0008-0000-0A00-000047070000}"/>
            </a:ext>
          </a:extLst>
        </xdr:cNvPr>
        <xdr:cNvSpPr>
          <a:spLocks noChangeShapeType="1"/>
        </xdr:cNvSpPr>
      </xdr:nvSpPr>
      <xdr:spPr>
        <a:xfrm flipH="1">
          <a:off x="10208895" y="3656266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64796</xdr:colOff>
      <xdr:row>201</xdr:row>
      <xdr:rowOff>45357</xdr:rowOff>
    </xdr:from>
    <xdr:to>
      <xdr:col>5</xdr:col>
      <xdr:colOff>259182</xdr:colOff>
      <xdr:row>201</xdr:row>
      <xdr:rowOff>149029</xdr:rowOff>
    </xdr:to>
    <xdr:sp macro="" textlink="">
      <xdr:nvSpPr>
        <xdr:cNvPr id="1864" name="Flowchart: Decision 1863">
          <a:extLst>
            <a:ext uri="{FF2B5EF4-FFF2-40B4-BE49-F238E27FC236}">
              <a16:creationId xmlns:a16="http://schemas.microsoft.com/office/drawing/2014/main" id="{00000000-0008-0000-0A00-000048070000}"/>
            </a:ext>
          </a:extLst>
        </xdr:cNvPr>
        <xdr:cNvSpPr/>
      </xdr:nvSpPr>
      <xdr:spPr>
        <a:xfrm>
          <a:off x="3087370" y="339604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11</xdr:col>
      <xdr:colOff>213827</xdr:colOff>
      <xdr:row>209</xdr:row>
      <xdr:rowOff>58316</xdr:rowOff>
    </xdr:from>
    <xdr:to>
      <xdr:col>11</xdr:col>
      <xdr:colOff>408213</xdr:colOff>
      <xdr:row>209</xdr:row>
      <xdr:rowOff>161988</xdr:rowOff>
    </xdr:to>
    <xdr:sp macro="" textlink="">
      <xdr:nvSpPr>
        <xdr:cNvPr id="1865" name="Flowchart: Decision 1864">
          <a:extLst>
            <a:ext uri="{FF2B5EF4-FFF2-40B4-BE49-F238E27FC236}">
              <a16:creationId xmlns:a16="http://schemas.microsoft.com/office/drawing/2014/main" id="{00000000-0008-0000-0A00-000049070000}"/>
            </a:ext>
          </a:extLst>
        </xdr:cNvPr>
        <xdr:cNvSpPr/>
      </xdr:nvSpPr>
      <xdr:spPr>
        <a:xfrm>
          <a:off x="6245860" y="35312985"/>
          <a:ext cx="194310" cy="104140"/>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311021</xdr:colOff>
      <xdr:row>217</xdr:row>
      <xdr:rowOff>6480</xdr:rowOff>
    </xdr:from>
    <xdr:to>
      <xdr:col>9</xdr:col>
      <xdr:colOff>466532</xdr:colOff>
      <xdr:row>217</xdr:row>
      <xdr:rowOff>129593</xdr:rowOff>
    </xdr:to>
    <xdr:sp macro="" textlink="">
      <xdr:nvSpPr>
        <xdr:cNvPr id="1866" name="Oval 1865">
          <a:extLst>
            <a:ext uri="{FF2B5EF4-FFF2-40B4-BE49-F238E27FC236}">
              <a16:creationId xmlns:a16="http://schemas.microsoft.com/office/drawing/2014/main" id="{00000000-0008-0000-0A00-00004A070000}"/>
            </a:ext>
          </a:extLst>
        </xdr:cNvPr>
        <xdr:cNvSpPr/>
      </xdr:nvSpPr>
      <xdr:spPr>
        <a:xfrm>
          <a:off x="5339715" y="36620450"/>
          <a:ext cx="155575" cy="123190"/>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67" name="Isosceles Triangle 1866">
          <a:extLst>
            <a:ext uri="{FF2B5EF4-FFF2-40B4-BE49-F238E27FC236}">
              <a16:creationId xmlns:a16="http://schemas.microsoft.com/office/drawing/2014/main" id="{00000000-0008-0000-0A00-00004B070000}"/>
            </a:ext>
          </a:extLst>
        </xdr:cNvPr>
        <xdr:cNvSpPr/>
      </xdr:nvSpPr>
      <xdr:spPr>
        <a:xfrm>
          <a:off x="128714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222</xdr:row>
      <xdr:rowOff>78147</xdr:rowOff>
    </xdr:from>
    <xdr:to>
      <xdr:col>5</xdr:col>
      <xdr:colOff>0</xdr:colOff>
      <xdr:row>223</xdr:row>
      <xdr:rowOff>192447</xdr:rowOff>
    </xdr:to>
    <xdr:sp macro="" textlink="">
      <xdr:nvSpPr>
        <xdr:cNvPr id="1868" name="Isosceles Triangle 1867">
          <a:extLst>
            <a:ext uri="{FF2B5EF4-FFF2-40B4-BE49-F238E27FC236}">
              <a16:creationId xmlns:a16="http://schemas.microsoft.com/office/drawing/2014/main" id="{00000000-0008-0000-0A00-00004C070000}"/>
            </a:ext>
          </a:extLst>
        </xdr:cNvPr>
        <xdr:cNvSpPr/>
      </xdr:nvSpPr>
      <xdr:spPr>
        <a:xfrm>
          <a:off x="252539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222</xdr:row>
      <xdr:rowOff>78147</xdr:rowOff>
    </xdr:from>
    <xdr:to>
      <xdr:col>7</xdr:col>
      <xdr:colOff>0</xdr:colOff>
      <xdr:row>223</xdr:row>
      <xdr:rowOff>192447</xdr:rowOff>
    </xdr:to>
    <xdr:sp macro="" textlink="">
      <xdr:nvSpPr>
        <xdr:cNvPr id="1869" name="Isosceles Triangle 1868">
          <a:extLst>
            <a:ext uri="{FF2B5EF4-FFF2-40B4-BE49-F238E27FC236}">
              <a16:creationId xmlns:a16="http://schemas.microsoft.com/office/drawing/2014/main" id="{00000000-0008-0000-0A00-00004D070000}"/>
            </a:ext>
          </a:extLst>
        </xdr:cNvPr>
        <xdr:cNvSpPr/>
      </xdr:nvSpPr>
      <xdr:spPr>
        <a:xfrm>
          <a:off x="35286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222</xdr:row>
      <xdr:rowOff>78147</xdr:rowOff>
    </xdr:from>
    <xdr:to>
      <xdr:col>9</xdr:col>
      <xdr:colOff>0</xdr:colOff>
      <xdr:row>223</xdr:row>
      <xdr:rowOff>192447</xdr:rowOff>
    </xdr:to>
    <xdr:sp macro="" textlink="">
      <xdr:nvSpPr>
        <xdr:cNvPr id="1870" name="Isosceles Triangle 1869">
          <a:extLst>
            <a:ext uri="{FF2B5EF4-FFF2-40B4-BE49-F238E27FC236}">
              <a16:creationId xmlns:a16="http://schemas.microsoft.com/office/drawing/2014/main" id="{00000000-0008-0000-0A00-00004E070000}"/>
            </a:ext>
          </a:extLst>
        </xdr:cNvPr>
        <xdr:cNvSpPr/>
      </xdr:nvSpPr>
      <xdr:spPr>
        <a:xfrm>
          <a:off x="45319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222</xdr:row>
      <xdr:rowOff>78147</xdr:rowOff>
    </xdr:from>
    <xdr:to>
      <xdr:col>11</xdr:col>
      <xdr:colOff>0</xdr:colOff>
      <xdr:row>224</xdr:row>
      <xdr:rowOff>5058</xdr:rowOff>
    </xdr:to>
    <xdr:sp macro="" textlink="">
      <xdr:nvSpPr>
        <xdr:cNvPr id="1871" name="Isosceles Triangle 1870">
          <a:extLst>
            <a:ext uri="{FF2B5EF4-FFF2-40B4-BE49-F238E27FC236}">
              <a16:creationId xmlns:a16="http://schemas.microsoft.com/office/drawing/2014/main" id="{00000000-0008-0000-0A00-00004F070000}"/>
            </a:ext>
          </a:extLst>
        </xdr:cNvPr>
        <xdr:cNvSpPr/>
      </xdr:nvSpPr>
      <xdr:spPr>
        <a:xfrm>
          <a:off x="5535295" y="37536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222</xdr:row>
      <xdr:rowOff>78147</xdr:rowOff>
    </xdr:from>
    <xdr:to>
      <xdr:col>15</xdr:col>
      <xdr:colOff>0</xdr:colOff>
      <xdr:row>223</xdr:row>
      <xdr:rowOff>192447</xdr:rowOff>
    </xdr:to>
    <xdr:sp macro="" textlink="">
      <xdr:nvSpPr>
        <xdr:cNvPr id="1872" name="Isosceles Triangle 1871">
          <a:extLst>
            <a:ext uri="{FF2B5EF4-FFF2-40B4-BE49-F238E27FC236}">
              <a16:creationId xmlns:a16="http://schemas.microsoft.com/office/drawing/2014/main" id="{00000000-0008-0000-0A00-000050070000}"/>
            </a:ext>
          </a:extLst>
        </xdr:cNvPr>
        <xdr:cNvSpPr/>
      </xdr:nvSpPr>
      <xdr:spPr>
        <a:xfrm>
          <a:off x="75418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222</xdr:row>
      <xdr:rowOff>78147</xdr:rowOff>
    </xdr:from>
    <xdr:to>
      <xdr:col>17</xdr:col>
      <xdr:colOff>0</xdr:colOff>
      <xdr:row>223</xdr:row>
      <xdr:rowOff>192447</xdr:rowOff>
    </xdr:to>
    <xdr:sp macro="" textlink="">
      <xdr:nvSpPr>
        <xdr:cNvPr id="1873" name="Isosceles Triangle 1872">
          <a:extLst>
            <a:ext uri="{FF2B5EF4-FFF2-40B4-BE49-F238E27FC236}">
              <a16:creationId xmlns:a16="http://schemas.microsoft.com/office/drawing/2014/main" id="{00000000-0008-0000-0A00-000051070000}"/>
            </a:ext>
          </a:extLst>
        </xdr:cNvPr>
        <xdr:cNvSpPr/>
      </xdr:nvSpPr>
      <xdr:spPr>
        <a:xfrm>
          <a:off x="85451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222</xdr:row>
      <xdr:rowOff>78147</xdr:rowOff>
    </xdr:from>
    <xdr:to>
      <xdr:col>21</xdr:col>
      <xdr:colOff>0</xdr:colOff>
      <xdr:row>223</xdr:row>
      <xdr:rowOff>192447</xdr:rowOff>
    </xdr:to>
    <xdr:sp macro="" textlink="">
      <xdr:nvSpPr>
        <xdr:cNvPr id="1874" name="Isosceles Triangle 1873">
          <a:extLst>
            <a:ext uri="{FF2B5EF4-FFF2-40B4-BE49-F238E27FC236}">
              <a16:creationId xmlns:a16="http://schemas.microsoft.com/office/drawing/2014/main" id="{00000000-0008-0000-0A00-000052070000}"/>
            </a:ext>
          </a:extLst>
        </xdr:cNvPr>
        <xdr:cNvSpPr/>
      </xdr:nvSpPr>
      <xdr:spPr>
        <a:xfrm>
          <a:off x="105517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75" name="Isosceles Triangle 1874">
          <a:extLst>
            <a:ext uri="{FF2B5EF4-FFF2-40B4-BE49-F238E27FC236}">
              <a16:creationId xmlns:a16="http://schemas.microsoft.com/office/drawing/2014/main" id="{00000000-0008-0000-0A00-000053070000}"/>
            </a:ext>
          </a:extLst>
        </xdr:cNvPr>
        <xdr:cNvSpPr/>
      </xdr:nvSpPr>
      <xdr:spPr>
        <a:xfrm>
          <a:off x="128714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222</xdr:row>
      <xdr:rowOff>78147</xdr:rowOff>
    </xdr:from>
    <xdr:to>
      <xdr:col>5</xdr:col>
      <xdr:colOff>0</xdr:colOff>
      <xdr:row>223</xdr:row>
      <xdr:rowOff>192447</xdr:rowOff>
    </xdr:to>
    <xdr:sp macro="" textlink="">
      <xdr:nvSpPr>
        <xdr:cNvPr id="1876" name="Isosceles Triangle 1875">
          <a:extLst>
            <a:ext uri="{FF2B5EF4-FFF2-40B4-BE49-F238E27FC236}">
              <a16:creationId xmlns:a16="http://schemas.microsoft.com/office/drawing/2014/main" id="{00000000-0008-0000-0A00-000054070000}"/>
            </a:ext>
          </a:extLst>
        </xdr:cNvPr>
        <xdr:cNvSpPr/>
      </xdr:nvSpPr>
      <xdr:spPr>
        <a:xfrm>
          <a:off x="25253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77" name="Isosceles Triangle 1876">
          <a:extLst>
            <a:ext uri="{FF2B5EF4-FFF2-40B4-BE49-F238E27FC236}">
              <a16:creationId xmlns:a16="http://schemas.microsoft.com/office/drawing/2014/main" id="{00000000-0008-0000-0A00-000055070000}"/>
            </a:ext>
          </a:extLst>
        </xdr:cNvPr>
        <xdr:cNvSpPr/>
      </xdr:nvSpPr>
      <xdr:spPr>
        <a:xfrm>
          <a:off x="128714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222</xdr:row>
      <xdr:rowOff>78147</xdr:rowOff>
    </xdr:from>
    <xdr:to>
      <xdr:col>19</xdr:col>
      <xdr:colOff>0</xdr:colOff>
      <xdr:row>223</xdr:row>
      <xdr:rowOff>192447</xdr:rowOff>
    </xdr:to>
    <xdr:sp macro="" textlink="">
      <xdr:nvSpPr>
        <xdr:cNvPr id="1878" name="Isosceles Triangle 1877">
          <a:extLst>
            <a:ext uri="{FF2B5EF4-FFF2-40B4-BE49-F238E27FC236}">
              <a16:creationId xmlns:a16="http://schemas.microsoft.com/office/drawing/2014/main" id="{00000000-0008-0000-0A00-000056070000}"/>
            </a:ext>
          </a:extLst>
        </xdr:cNvPr>
        <xdr:cNvSpPr/>
      </xdr:nvSpPr>
      <xdr:spPr>
        <a:xfrm>
          <a:off x="95484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230</xdr:row>
      <xdr:rowOff>78147</xdr:rowOff>
    </xdr:from>
    <xdr:to>
      <xdr:col>3</xdr:col>
      <xdr:colOff>0</xdr:colOff>
      <xdr:row>231</xdr:row>
      <xdr:rowOff>192447</xdr:rowOff>
    </xdr:to>
    <xdr:sp macro="" textlink="">
      <xdr:nvSpPr>
        <xdr:cNvPr id="1879" name="Isosceles Triangle 1878">
          <a:extLst>
            <a:ext uri="{FF2B5EF4-FFF2-40B4-BE49-F238E27FC236}">
              <a16:creationId xmlns:a16="http://schemas.microsoft.com/office/drawing/2014/main" id="{00000000-0008-0000-0A00-000057070000}"/>
            </a:ext>
          </a:extLst>
        </xdr:cNvPr>
        <xdr:cNvSpPr/>
      </xdr:nvSpPr>
      <xdr:spPr>
        <a:xfrm>
          <a:off x="1287145" y="38895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230</xdr:row>
      <xdr:rowOff>78147</xdr:rowOff>
    </xdr:from>
    <xdr:to>
      <xdr:col>7</xdr:col>
      <xdr:colOff>0</xdr:colOff>
      <xdr:row>232</xdr:row>
      <xdr:rowOff>5057</xdr:rowOff>
    </xdr:to>
    <xdr:sp macro="" textlink="">
      <xdr:nvSpPr>
        <xdr:cNvPr id="1880" name="Isosceles Triangle 1879">
          <a:extLst>
            <a:ext uri="{FF2B5EF4-FFF2-40B4-BE49-F238E27FC236}">
              <a16:creationId xmlns:a16="http://schemas.microsoft.com/office/drawing/2014/main" id="{00000000-0008-0000-0A00-000058070000}"/>
            </a:ext>
          </a:extLst>
        </xdr:cNvPr>
        <xdr:cNvSpPr/>
      </xdr:nvSpPr>
      <xdr:spPr>
        <a:xfrm>
          <a:off x="35286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230</xdr:row>
      <xdr:rowOff>78147</xdr:rowOff>
    </xdr:from>
    <xdr:to>
      <xdr:col>9</xdr:col>
      <xdr:colOff>0</xdr:colOff>
      <xdr:row>232</xdr:row>
      <xdr:rowOff>5057</xdr:rowOff>
    </xdr:to>
    <xdr:sp macro="" textlink="">
      <xdr:nvSpPr>
        <xdr:cNvPr id="1881" name="Isosceles Triangle 1880">
          <a:extLst>
            <a:ext uri="{FF2B5EF4-FFF2-40B4-BE49-F238E27FC236}">
              <a16:creationId xmlns:a16="http://schemas.microsoft.com/office/drawing/2014/main" id="{00000000-0008-0000-0A00-000059070000}"/>
            </a:ext>
          </a:extLst>
        </xdr:cNvPr>
        <xdr:cNvSpPr/>
      </xdr:nvSpPr>
      <xdr:spPr>
        <a:xfrm>
          <a:off x="45319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230</xdr:row>
      <xdr:rowOff>78147</xdr:rowOff>
    </xdr:from>
    <xdr:to>
      <xdr:col>11</xdr:col>
      <xdr:colOff>0</xdr:colOff>
      <xdr:row>231</xdr:row>
      <xdr:rowOff>192447</xdr:rowOff>
    </xdr:to>
    <xdr:sp macro="" textlink="">
      <xdr:nvSpPr>
        <xdr:cNvPr id="1882" name="Isosceles Triangle 1881">
          <a:extLst>
            <a:ext uri="{FF2B5EF4-FFF2-40B4-BE49-F238E27FC236}">
              <a16:creationId xmlns:a16="http://schemas.microsoft.com/office/drawing/2014/main" id="{00000000-0008-0000-0A00-00005A070000}"/>
            </a:ext>
          </a:extLst>
        </xdr:cNvPr>
        <xdr:cNvSpPr/>
      </xdr:nvSpPr>
      <xdr:spPr>
        <a:xfrm>
          <a:off x="55352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230</xdr:row>
      <xdr:rowOff>78147</xdr:rowOff>
    </xdr:from>
    <xdr:to>
      <xdr:col>13</xdr:col>
      <xdr:colOff>0</xdr:colOff>
      <xdr:row>232</xdr:row>
      <xdr:rowOff>5057</xdr:rowOff>
    </xdr:to>
    <xdr:sp macro="" textlink="">
      <xdr:nvSpPr>
        <xdr:cNvPr id="1883" name="Isosceles Triangle 1882">
          <a:extLst>
            <a:ext uri="{FF2B5EF4-FFF2-40B4-BE49-F238E27FC236}">
              <a16:creationId xmlns:a16="http://schemas.microsoft.com/office/drawing/2014/main" id="{00000000-0008-0000-0A00-00005B070000}"/>
            </a:ext>
          </a:extLst>
        </xdr:cNvPr>
        <xdr:cNvSpPr/>
      </xdr:nvSpPr>
      <xdr:spPr>
        <a:xfrm>
          <a:off x="65385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230</xdr:row>
      <xdr:rowOff>78147</xdr:rowOff>
    </xdr:from>
    <xdr:to>
      <xdr:col>15</xdr:col>
      <xdr:colOff>0</xdr:colOff>
      <xdr:row>231</xdr:row>
      <xdr:rowOff>192447</xdr:rowOff>
    </xdr:to>
    <xdr:sp macro="" textlink="">
      <xdr:nvSpPr>
        <xdr:cNvPr id="1884" name="Isosceles Triangle 1883">
          <a:extLst>
            <a:ext uri="{FF2B5EF4-FFF2-40B4-BE49-F238E27FC236}">
              <a16:creationId xmlns:a16="http://schemas.microsoft.com/office/drawing/2014/main" id="{00000000-0008-0000-0A00-00005C070000}"/>
            </a:ext>
          </a:extLst>
        </xdr:cNvPr>
        <xdr:cNvSpPr/>
      </xdr:nvSpPr>
      <xdr:spPr>
        <a:xfrm>
          <a:off x="75418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230</xdr:row>
      <xdr:rowOff>78147</xdr:rowOff>
    </xdr:from>
    <xdr:to>
      <xdr:col>17</xdr:col>
      <xdr:colOff>0</xdr:colOff>
      <xdr:row>231</xdr:row>
      <xdr:rowOff>192447</xdr:rowOff>
    </xdr:to>
    <xdr:sp macro="" textlink="">
      <xdr:nvSpPr>
        <xdr:cNvPr id="1885" name="Isosceles Triangle 1884">
          <a:extLst>
            <a:ext uri="{FF2B5EF4-FFF2-40B4-BE49-F238E27FC236}">
              <a16:creationId xmlns:a16="http://schemas.microsoft.com/office/drawing/2014/main" id="{00000000-0008-0000-0A00-00005D070000}"/>
            </a:ext>
          </a:extLst>
        </xdr:cNvPr>
        <xdr:cNvSpPr/>
      </xdr:nvSpPr>
      <xdr:spPr>
        <a:xfrm>
          <a:off x="8545195" y="38895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230</xdr:row>
      <xdr:rowOff>78147</xdr:rowOff>
    </xdr:from>
    <xdr:to>
      <xdr:col>19</xdr:col>
      <xdr:colOff>0</xdr:colOff>
      <xdr:row>231</xdr:row>
      <xdr:rowOff>192447</xdr:rowOff>
    </xdr:to>
    <xdr:sp macro="" textlink="">
      <xdr:nvSpPr>
        <xdr:cNvPr id="1886" name="Isosceles Triangle 1885">
          <a:extLst>
            <a:ext uri="{FF2B5EF4-FFF2-40B4-BE49-F238E27FC236}">
              <a16:creationId xmlns:a16="http://schemas.microsoft.com/office/drawing/2014/main" id="{00000000-0008-0000-0A00-00005E070000}"/>
            </a:ext>
          </a:extLst>
        </xdr:cNvPr>
        <xdr:cNvSpPr/>
      </xdr:nvSpPr>
      <xdr:spPr>
        <a:xfrm>
          <a:off x="95484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230</xdr:row>
      <xdr:rowOff>78147</xdr:rowOff>
    </xdr:from>
    <xdr:to>
      <xdr:col>21</xdr:col>
      <xdr:colOff>0</xdr:colOff>
      <xdr:row>231</xdr:row>
      <xdr:rowOff>192447</xdr:rowOff>
    </xdr:to>
    <xdr:sp macro="" textlink="">
      <xdr:nvSpPr>
        <xdr:cNvPr id="1887" name="Isosceles Triangle 1886">
          <a:extLst>
            <a:ext uri="{FF2B5EF4-FFF2-40B4-BE49-F238E27FC236}">
              <a16:creationId xmlns:a16="http://schemas.microsoft.com/office/drawing/2014/main" id="{00000000-0008-0000-0A00-00005F070000}"/>
            </a:ext>
          </a:extLst>
        </xdr:cNvPr>
        <xdr:cNvSpPr/>
      </xdr:nvSpPr>
      <xdr:spPr>
        <a:xfrm>
          <a:off x="105517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230</xdr:row>
      <xdr:rowOff>78147</xdr:rowOff>
    </xdr:from>
    <xdr:to>
      <xdr:col>5</xdr:col>
      <xdr:colOff>0</xdr:colOff>
      <xdr:row>231</xdr:row>
      <xdr:rowOff>192447</xdr:rowOff>
    </xdr:to>
    <xdr:sp macro="" textlink="">
      <xdr:nvSpPr>
        <xdr:cNvPr id="1888" name="Isosceles Triangle 1887">
          <a:extLst>
            <a:ext uri="{FF2B5EF4-FFF2-40B4-BE49-F238E27FC236}">
              <a16:creationId xmlns:a16="http://schemas.microsoft.com/office/drawing/2014/main" id="{00000000-0008-0000-0A00-000060070000}"/>
            </a:ext>
          </a:extLst>
        </xdr:cNvPr>
        <xdr:cNvSpPr/>
      </xdr:nvSpPr>
      <xdr:spPr>
        <a:xfrm>
          <a:off x="25253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230</xdr:row>
      <xdr:rowOff>78147</xdr:rowOff>
    </xdr:from>
    <xdr:to>
      <xdr:col>3</xdr:col>
      <xdr:colOff>0</xdr:colOff>
      <xdr:row>231</xdr:row>
      <xdr:rowOff>192447</xdr:rowOff>
    </xdr:to>
    <xdr:sp macro="" textlink="">
      <xdr:nvSpPr>
        <xdr:cNvPr id="1889" name="Isosceles Triangle 1888">
          <a:extLst>
            <a:ext uri="{FF2B5EF4-FFF2-40B4-BE49-F238E27FC236}">
              <a16:creationId xmlns:a16="http://schemas.microsoft.com/office/drawing/2014/main" id="{00000000-0008-0000-0A00-000061070000}"/>
            </a:ext>
          </a:extLst>
        </xdr:cNvPr>
        <xdr:cNvSpPr/>
      </xdr:nvSpPr>
      <xdr:spPr>
        <a:xfrm>
          <a:off x="128714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230</xdr:row>
      <xdr:rowOff>78147</xdr:rowOff>
    </xdr:from>
    <xdr:to>
      <xdr:col>17</xdr:col>
      <xdr:colOff>0</xdr:colOff>
      <xdr:row>231</xdr:row>
      <xdr:rowOff>192447</xdr:rowOff>
    </xdr:to>
    <xdr:sp macro="" textlink="">
      <xdr:nvSpPr>
        <xdr:cNvPr id="1890" name="Isosceles Triangle 1889">
          <a:extLst>
            <a:ext uri="{FF2B5EF4-FFF2-40B4-BE49-F238E27FC236}">
              <a16:creationId xmlns:a16="http://schemas.microsoft.com/office/drawing/2014/main" id="{00000000-0008-0000-0A00-000062070000}"/>
            </a:ext>
          </a:extLst>
        </xdr:cNvPr>
        <xdr:cNvSpPr/>
      </xdr:nvSpPr>
      <xdr:spPr>
        <a:xfrm>
          <a:off x="85451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230</xdr:row>
      <xdr:rowOff>78147</xdr:rowOff>
    </xdr:from>
    <xdr:to>
      <xdr:col>19</xdr:col>
      <xdr:colOff>0</xdr:colOff>
      <xdr:row>231</xdr:row>
      <xdr:rowOff>192447</xdr:rowOff>
    </xdr:to>
    <xdr:sp macro="" textlink="">
      <xdr:nvSpPr>
        <xdr:cNvPr id="1891" name="Isosceles Triangle 1890">
          <a:extLst>
            <a:ext uri="{FF2B5EF4-FFF2-40B4-BE49-F238E27FC236}">
              <a16:creationId xmlns:a16="http://schemas.microsoft.com/office/drawing/2014/main" id="{00000000-0008-0000-0A00-000063070000}"/>
            </a:ext>
          </a:extLst>
        </xdr:cNvPr>
        <xdr:cNvSpPr/>
      </xdr:nvSpPr>
      <xdr:spPr>
        <a:xfrm>
          <a:off x="95484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222</xdr:row>
      <xdr:rowOff>64796</xdr:rowOff>
    </xdr:from>
    <xdr:to>
      <xdr:col>13</xdr:col>
      <xdr:colOff>1909</xdr:colOff>
      <xdr:row>223</xdr:row>
      <xdr:rowOff>153696</xdr:rowOff>
    </xdr:to>
    <xdr:sp macro="" textlink="">
      <xdr:nvSpPr>
        <xdr:cNvPr id="1892" name="Isosceles Triangle 1891">
          <a:extLst>
            <a:ext uri="{FF2B5EF4-FFF2-40B4-BE49-F238E27FC236}">
              <a16:creationId xmlns:a16="http://schemas.microsoft.com/office/drawing/2014/main" id="{00000000-0008-0000-0A00-000064070000}"/>
            </a:ext>
          </a:extLst>
        </xdr:cNvPr>
        <xdr:cNvSpPr/>
      </xdr:nvSpPr>
      <xdr:spPr>
        <a:xfrm>
          <a:off x="6540500" y="375234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893" name="Isosceles Triangle 1892">
          <a:extLst>
            <a:ext uri="{FF2B5EF4-FFF2-40B4-BE49-F238E27FC236}">
              <a16:creationId xmlns:a16="http://schemas.microsoft.com/office/drawing/2014/main" id="{00000000-0008-0000-0A00-000065070000}"/>
            </a:ext>
          </a:extLst>
        </xdr:cNvPr>
        <xdr:cNvSpPr/>
      </xdr:nvSpPr>
      <xdr:spPr>
        <a:xfrm>
          <a:off x="128714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239</xdr:row>
      <xdr:rowOff>78147</xdr:rowOff>
    </xdr:from>
    <xdr:to>
      <xdr:col>5</xdr:col>
      <xdr:colOff>0</xdr:colOff>
      <xdr:row>240</xdr:row>
      <xdr:rowOff>192447</xdr:rowOff>
    </xdr:to>
    <xdr:sp macro="" textlink="">
      <xdr:nvSpPr>
        <xdr:cNvPr id="1894" name="Isosceles Triangle 1893">
          <a:extLst>
            <a:ext uri="{FF2B5EF4-FFF2-40B4-BE49-F238E27FC236}">
              <a16:creationId xmlns:a16="http://schemas.microsoft.com/office/drawing/2014/main" id="{00000000-0008-0000-0A00-000066070000}"/>
            </a:ext>
          </a:extLst>
        </xdr:cNvPr>
        <xdr:cNvSpPr/>
      </xdr:nvSpPr>
      <xdr:spPr>
        <a:xfrm>
          <a:off x="252539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239</xdr:row>
      <xdr:rowOff>78147</xdr:rowOff>
    </xdr:from>
    <xdr:to>
      <xdr:col>7</xdr:col>
      <xdr:colOff>0</xdr:colOff>
      <xdr:row>240</xdr:row>
      <xdr:rowOff>192447</xdr:rowOff>
    </xdr:to>
    <xdr:sp macro="" textlink="">
      <xdr:nvSpPr>
        <xdr:cNvPr id="1895" name="Isosceles Triangle 1894">
          <a:extLst>
            <a:ext uri="{FF2B5EF4-FFF2-40B4-BE49-F238E27FC236}">
              <a16:creationId xmlns:a16="http://schemas.microsoft.com/office/drawing/2014/main" id="{00000000-0008-0000-0A00-000067070000}"/>
            </a:ext>
          </a:extLst>
        </xdr:cNvPr>
        <xdr:cNvSpPr/>
      </xdr:nvSpPr>
      <xdr:spPr>
        <a:xfrm>
          <a:off x="35286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239</xdr:row>
      <xdr:rowOff>78147</xdr:rowOff>
    </xdr:from>
    <xdr:to>
      <xdr:col>9</xdr:col>
      <xdr:colOff>0</xdr:colOff>
      <xdr:row>240</xdr:row>
      <xdr:rowOff>192447</xdr:rowOff>
    </xdr:to>
    <xdr:sp macro="" textlink="">
      <xdr:nvSpPr>
        <xdr:cNvPr id="1896" name="Isosceles Triangle 1895">
          <a:extLst>
            <a:ext uri="{FF2B5EF4-FFF2-40B4-BE49-F238E27FC236}">
              <a16:creationId xmlns:a16="http://schemas.microsoft.com/office/drawing/2014/main" id="{00000000-0008-0000-0A00-000068070000}"/>
            </a:ext>
          </a:extLst>
        </xdr:cNvPr>
        <xdr:cNvSpPr/>
      </xdr:nvSpPr>
      <xdr:spPr>
        <a:xfrm>
          <a:off x="45319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239</xdr:row>
      <xdr:rowOff>78147</xdr:rowOff>
    </xdr:from>
    <xdr:to>
      <xdr:col>11</xdr:col>
      <xdr:colOff>0</xdr:colOff>
      <xdr:row>241</xdr:row>
      <xdr:rowOff>5058</xdr:rowOff>
    </xdr:to>
    <xdr:sp macro="" textlink="">
      <xdr:nvSpPr>
        <xdr:cNvPr id="1897" name="Isosceles Triangle 1896">
          <a:extLst>
            <a:ext uri="{FF2B5EF4-FFF2-40B4-BE49-F238E27FC236}">
              <a16:creationId xmlns:a16="http://schemas.microsoft.com/office/drawing/2014/main" id="{00000000-0008-0000-0A00-000069070000}"/>
            </a:ext>
          </a:extLst>
        </xdr:cNvPr>
        <xdr:cNvSpPr/>
      </xdr:nvSpPr>
      <xdr:spPr>
        <a:xfrm>
          <a:off x="5535295" y="404069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239</xdr:row>
      <xdr:rowOff>78147</xdr:rowOff>
    </xdr:from>
    <xdr:to>
      <xdr:col>15</xdr:col>
      <xdr:colOff>0</xdr:colOff>
      <xdr:row>240</xdr:row>
      <xdr:rowOff>192447</xdr:rowOff>
    </xdr:to>
    <xdr:sp macro="" textlink="">
      <xdr:nvSpPr>
        <xdr:cNvPr id="1898" name="Isosceles Triangle 1897">
          <a:extLst>
            <a:ext uri="{FF2B5EF4-FFF2-40B4-BE49-F238E27FC236}">
              <a16:creationId xmlns:a16="http://schemas.microsoft.com/office/drawing/2014/main" id="{00000000-0008-0000-0A00-00006A070000}"/>
            </a:ext>
          </a:extLst>
        </xdr:cNvPr>
        <xdr:cNvSpPr/>
      </xdr:nvSpPr>
      <xdr:spPr>
        <a:xfrm>
          <a:off x="75418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239</xdr:row>
      <xdr:rowOff>78147</xdr:rowOff>
    </xdr:from>
    <xdr:to>
      <xdr:col>17</xdr:col>
      <xdr:colOff>0</xdr:colOff>
      <xdr:row>240</xdr:row>
      <xdr:rowOff>192447</xdr:rowOff>
    </xdr:to>
    <xdr:sp macro="" textlink="">
      <xdr:nvSpPr>
        <xdr:cNvPr id="1899" name="Isosceles Triangle 1898">
          <a:extLst>
            <a:ext uri="{FF2B5EF4-FFF2-40B4-BE49-F238E27FC236}">
              <a16:creationId xmlns:a16="http://schemas.microsoft.com/office/drawing/2014/main" id="{00000000-0008-0000-0A00-00006B070000}"/>
            </a:ext>
          </a:extLst>
        </xdr:cNvPr>
        <xdr:cNvSpPr/>
      </xdr:nvSpPr>
      <xdr:spPr>
        <a:xfrm>
          <a:off x="85451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239</xdr:row>
      <xdr:rowOff>78147</xdr:rowOff>
    </xdr:from>
    <xdr:to>
      <xdr:col>21</xdr:col>
      <xdr:colOff>0</xdr:colOff>
      <xdr:row>240</xdr:row>
      <xdr:rowOff>192447</xdr:rowOff>
    </xdr:to>
    <xdr:sp macro="" textlink="">
      <xdr:nvSpPr>
        <xdr:cNvPr id="1900" name="Isosceles Triangle 1899">
          <a:extLst>
            <a:ext uri="{FF2B5EF4-FFF2-40B4-BE49-F238E27FC236}">
              <a16:creationId xmlns:a16="http://schemas.microsoft.com/office/drawing/2014/main" id="{00000000-0008-0000-0A00-00006C070000}"/>
            </a:ext>
          </a:extLst>
        </xdr:cNvPr>
        <xdr:cNvSpPr/>
      </xdr:nvSpPr>
      <xdr:spPr>
        <a:xfrm>
          <a:off x="105517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901" name="Isosceles Triangle 1900">
          <a:extLst>
            <a:ext uri="{FF2B5EF4-FFF2-40B4-BE49-F238E27FC236}">
              <a16:creationId xmlns:a16="http://schemas.microsoft.com/office/drawing/2014/main" id="{00000000-0008-0000-0A00-00006D070000}"/>
            </a:ext>
          </a:extLst>
        </xdr:cNvPr>
        <xdr:cNvSpPr/>
      </xdr:nvSpPr>
      <xdr:spPr>
        <a:xfrm>
          <a:off x="128714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239</xdr:row>
      <xdr:rowOff>78147</xdr:rowOff>
    </xdr:from>
    <xdr:to>
      <xdr:col>5</xdr:col>
      <xdr:colOff>0</xdr:colOff>
      <xdr:row>240</xdr:row>
      <xdr:rowOff>192447</xdr:rowOff>
    </xdr:to>
    <xdr:sp macro="" textlink="">
      <xdr:nvSpPr>
        <xdr:cNvPr id="1902" name="Isosceles Triangle 1901">
          <a:extLst>
            <a:ext uri="{FF2B5EF4-FFF2-40B4-BE49-F238E27FC236}">
              <a16:creationId xmlns:a16="http://schemas.microsoft.com/office/drawing/2014/main" id="{00000000-0008-0000-0A00-00006E070000}"/>
            </a:ext>
          </a:extLst>
        </xdr:cNvPr>
        <xdr:cNvSpPr/>
      </xdr:nvSpPr>
      <xdr:spPr>
        <a:xfrm>
          <a:off x="25253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903" name="Isosceles Triangle 1902">
          <a:extLst>
            <a:ext uri="{FF2B5EF4-FFF2-40B4-BE49-F238E27FC236}">
              <a16:creationId xmlns:a16="http://schemas.microsoft.com/office/drawing/2014/main" id="{00000000-0008-0000-0A00-00006F070000}"/>
            </a:ext>
          </a:extLst>
        </xdr:cNvPr>
        <xdr:cNvSpPr/>
      </xdr:nvSpPr>
      <xdr:spPr>
        <a:xfrm>
          <a:off x="128714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239</xdr:row>
      <xdr:rowOff>78147</xdr:rowOff>
    </xdr:from>
    <xdr:to>
      <xdr:col>19</xdr:col>
      <xdr:colOff>0</xdr:colOff>
      <xdr:row>240</xdr:row>
      <xdr:rowOff>192447</xdr:rowOff>
    </xdr:to>
    <xdr:sp macro="" textlink="">
      <xdr:nvSpPr>
        <xdr:cNvPr id="1904" name="Isosceles Triangle 1903">
          <a:extLst>
            <a:ext uri="{FF2B5EF4-FFF2-40B4-BE49-F238E27FC236}">
              <a16:creationId xmlns:a16="http://schemas.microsoft.com/office/drawing/2014/main" id="{00000000-0008-0000-0A00-000070070000}"/>
            </a:ext>
          </a:extLst>
        </xdr:cNvPr>
        <xdr:cNvSpPr/>
      </xdr:nvSpPr>
      <xdr:spPr>
        <a:xfrm>
          <a:off x="95484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247</xdr:row>
      <xdr:rowOff>78147</xdr:rowOff>
    </xdr:from>
    <xdr:to>
      <xdr:col>3</xdr:col>
      <xdr:colOff>0</xdr:colOff>
      <xdr:row>248</xdr:row>
      <xdr:rowOff>192447</xdr:rowOff>
    </xdr:to>
    <xdr:sp macro="" textlink="">
      <xdr:nvSpPr>
        <xdr:cNvPr id="1905" name="Isosceles Triangle 1904">
          <a:extLst>
            <a:ext uri="{FF2B5EF4-FFF2-40B4-BE49-F238E27FC236}">
              <a16:creationId xmlns:a16="http://schemas.microsoft.com/office/drawing/2014/main" id="{00000000-0008-0000-0A00-000071070000}"/>
            </a:ext>
          </a:extLst>
        </xdr:cNvPr>
        <xdr:cNvSpPr/>
      </xdr:nvSpPr>
      <xdr:spPr>
        <a:xfrm>
          <a:off x="1287145" y="41753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247</xdr:row>
      <xdr:rowOff>78147</xdr:rowOff>
    </xdr:from>
    <xdr:to>
      <xdr:col>7</xdr:col>
      <xdr:colOff>0</xdr:colOff>
      <xdr:row>249</xdr:row>
      <xdr:rowOff>5057</xdr:rowOff>
    </xdr:to>
    <xdr:sp macro="" textlink="">
      <xdr:nvSpPr>
        <xdr:cNvPr id="1906" name="Isosceles Triangle 1905">
          <a:extLst>
            <a:ext uri="{FF2B5EF4-FFF2-40B4-BE49-F238E27FC236}">
              <a16:creationId xmlns:a16="http://schemas.microsoft.com/office/drawing/2014/main" id="{00000000-0008-0000-0A00-000072070000}"/>
            </a:ext>
          </a:extLst>
        </xdr:cNvPr>
        <xdr:cNvSpPr/>
      </xdr:nvSpPr>
      <xdr:spPr>
        <a:xfrm>
          <a:off x="35286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247</xdr:row>
      <xdr:rowOff>78147</xdr:rowOff>
    </xdr:from>
    <xdr:to>
      <xdr:col>9</xdr:col>
      <xdr:colOff>0</xdr:colOff>
      <xdr:row>249</xdr:row>
      <xdr:rowOff>5057</xdr:rowOff>
    </xdr:to>
    <xdr:sp macro="" textlink="">
      <xdr:nvSpPr>
        <xdr:cNvPr id="1907" name="Isosceles Triangle 1906">
          <a:extLst>
            <a:ext uri="{FF2B5EF4-FFF2-40B4-BE49-F238E27FC236}">
              <a16:creationId xmlns:a16="http://schemas.microsoft.com/office/drawing/2014/main" id="{00000000-0008-0000-0A00-000073070000}"/>
            </a:ext>
          </a:extLst>
        </xdr:cNvPr>
        <xdr:cNvSpPr/>
      </xdr:nvSpPr>
      <xdr:spPr>
        <a:xfrm>
          <a:off x="45319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247</xdr:row>
      <xdr:rowOff>78147</xdr:rowOff>
    </xdr:from>
    <xdr:to>
      <xdr:col>11</xdr:col>
      <xdr:colOff>0</xdr:colOff>
      <xdr:row>248</xdr:row>
      <xdr:rowOff>192447</xdr:rowOff>
    </xdr:to>
    <xdr:sp macro="" textlink="">
      <xdr:nvSpPr>
        <xdr:cNvPr id="1908" name="Isosceles Triangle 1907">
          <a:extLst>
            <a:ext uri="{FF2B5EF4-FFF2-40B4-BE49-F238E27FC236}">
              <a16:creationId xmlns:a16="http://schemas.microsoft.com/office/drawing/2014/main" id="{00000000-0008-0000-0A00-000074070000}"/>
            </a:ext>
          </a:extLst>
        </xdr:cNvPr>
        <xdr:cNvSpPr/>
      </xdr:nvSpPr>
      <xdr:spPr>
        <a:xfrm>
          <a:off x="55352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247</xdr:row>
      <xdr:rowOff>78147</xdr:rowOff>
    </xdr:from>
    <xdr:to>
      <xdr:col>13</xdr:col>
      <xdr:colOff>0</xdr:colOff>
      <xdr:row>249</xdr:row>
      <xdr:rowOff>5057</xdr:rowOff>
    </xdr:to>
    <xdr:sp macro="" textlink="">
      <xdr:nvSpPr>
        <xdr:cNvPr id="1909" name="Isosceles Triangle 1908">
          <a:extLst>
            <a:ext uri="{FF2B5EF4-FFF2-40B4-BE49-F238E27FC236}">
              <a16:creationId xmlns:a16="http://schemas.microsoft.com/office/drawing/2014/main" id="{00000000-0008-0000-0A00-000075070000}"/>
            </a:ext>
          </a:extLst>
        </xdr:cNvPr>
        <xdr:cNvSpPr/>
      </xdr:nvSpPr>
      <xdr:spPr>
        <a:xfrm>
          <a:off x="65385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247</xdr:row>
      <xdr:rowOff>78147</xdr:rowOff>
    </xdr:from>
    <xdr:to>
      <xdr:col>15</xdr:col>
      <xdr:colOff>0</xdr:colOff>
      <xdr:row>248</xdr:row>
      <xdr:rowOff>192447</xdr:rowOff>
    </xdr:to>
    <xdr:sp macro="" textlink="">
      <xdr:nvSpPr>
        <xdr:cNvPr id="1910" name="Isosceles Triangle 1909">
          <a:extLst>
            <a:ext uri="{FF2B5EF4-FFF2-40B4-BE49-F238E27FC236}">
              <a16:creationId xmlns:a16="http://schemas.microsoft.com/office/drawing/2014/main" id="{00000000-0008-0000-0A00-000076070000}"/>
            </a:ext>
          </a:extLst>
        </xdr:cNvPr>
        <xdr:cNvSpPr/>
      </xdr:nvSpPr>
      <xdr:spPr>
        <a:xfrm>
          <a:off x="75418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247</xdr:row>
      <xdr:rowOff>78147</xdr:rowOff>
    </xdr:from>
    <xdr:to>
      <xdr:col>17</xdr:col>
      <xdr:colOff>0</xdr:colOff>
      <xdr:row>248</xdr:row>
      <xdr:rowOff>192447</xdr:rowOff>
    </xdr:to>
    <xdr:sp macro="" textlink="">
      <xdr:nvSpPr>
        <xdr:cNvPr id="1911" name="Isosceles Triangle 1910">
          <a:extLst>
            <a:ext uri="{FF2B5EF4-FFF2-40B4-BE49-F238E27FC236}">
              <a16:creationId xmlns:a16="http://schemas.microsoft.com/office/drawing/2014/main" id="{00000000-0008-0000-0A00-000077070000}"/>
            </a:ext>
          </a:extLst>
        </xdr:cNvPr>
        <xdr:cNvSpPr/>
      </xdr:nvSpPr>
      <xdr:spPr>
        <a:xfrm>
          <a:off x="8545195" y="41753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247</xdr:row>
      <xdr:rowOff>78147</xdr:rowOff>
    </xdr:from>
    <xdr:to>
      <xdr:col>19</xdr:col>
      <xdr:colOff>0</xdr:colOff>
      <xdr:row>248</xdr:row>
      <xdr:rowOff>192447</xdr:rowOff>
    </xdr:to>
    <xdr:sp macro="" textlink="">
      <xdr:nvSpPr>
        <xdr:cNvPr id="1912" name="Isosceles Triangle 1911">
          <a:extLst>
            <a:ext uri="{FF2B5EF4-FFF2-40B4-BE49-F238E27FC236}">
              <a16:creationId xmlns:a16="http://schemas.microsoft.com/office/drawing/2014/main" id="{00000000-0008-0000-0A00-000078070000}"/>
            </a:ext>
          </a:extLst>
        </xdr:cNvPr>
        <xdr:cNvSpPr/>
      </xdr:nvSpPr>
      <xdr:spPr>
        <a:xfrm>
          <a:off x="95484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247</xdr:row>
      <xdr:rowOff>78147</xdr:rowOff>
    </xdr:from>
    <xdr:to>
      <xdr:col>21</xdr:col>
      <xdr:colOff>0</xdr:colOff>
      <xdr:row>248</xdr:row>
      <xdr:rowOff>192447</xdr:rowOff>
    </xdr:to>
    <xdr:sp macro="" textlink="">
      <xdr:nvSpPr>
        <xdr:cNvPr id="1913" name="Isosceles Triangle 1912">
          <a:extLst>
            <a:ext uri="{FF2B5EF4-FFF2-40B4-BE49-F238E27FC236}">
              <a16:creationId xmlns:a16="http://schemas.microsoft.com/office/drawing/2014/main" id="{00000000-0008-0000-0A00-000079070000}"/>
            </a:ext>
          </a:extLst>
        </xdr:cNvPr>
        <xdr:cNvSpPr/>
      </xdr:nvSpPr>
      <xdr:spPr>
        <a:xfrm>
          <a:off x="105517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247</xdr:row>
      <xdr:rowOff>78147</xdr:rowOff>
    </xdr:from>
    <xdr:to>
      <xdr:col>5</xdr:col>
      <xdr:colOff>0</xdr:colOff>
      <xdr:row>248</xdr:row>
      <xdr:rowOff>192447</xdr:rowOff>
    </xdr:to>
    <xdr:sp macro="" textlink="">
      <xdr:nvSpPr>
        <xdr:cNvPr id="1914" name="Isosceles Triangle 1913">
          <a:extLst>
            <a:ext uri="{FF2B5EF4-FFF2-40B4-BE49-F238E27FC236}">
              <a16:creationId xmlns:a16="http://schemas.microsoft.com/office/drawing/2014/main" id="{00000000-0008-0000-0A00-00007A070000}"/>
            </a:ext>
          </a:extLst>
        </xdr:cNvPr>
        <xdr:cNvSpPr/>
      </xdr:nvSpPr>
      <xdr:spPr>
        <a:xfrm>
          <a:off x="25253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247</xdr:row>
      <xdr:rowOff>78147</xdr:rowOff>
    </xdr:from>
    <xdr:to>
      <xdr:col>3</xdr:col>
      <xdr:colOff>0</xdr:colOff>
      <xdr:row>248</xdr:row>
      <xdr:rowOff>192447</xdr:rowOff>
    </xdr:to>
    <xdr:sp macro="" textlink="">
      <xdr:nvSpPr>
        <xdr:cNvPr id="1915" name="Isosceles Triangle 1914">
          <a:extLst>
            <a:ext uri="{FF2B5EF4-FFF2-40B4-BE49-F238E27FC236}">
              <a16:creationId xmlns:a16="http://schemas.microsoft.com/office/drawing/2014/main" id="{00000000-0008-0000-0A00-00007B070000}"/>
            </a:ext>
          </a:extLst>
        </xdr:cNvPr>
        <xdr:cNvSpPr/>
      </xdr:nvSpPr>
      <xdr:spPr>
        <a:xfrm>
          <a:off x="128714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247</xdr:row>
      <xdr:rowOff>78147</xdr:rowOff>
    </xdr:from>
    <xdr:to>
      <xdr:col>17</xdr:col>
      <xdr:colOff>0</xdr:colOff>
      <xdr:row>248</xdr:row>
      <xdr:rowOff>192447</xdr:rowOff>
    </xdr:to>
    <xdr:sp macro="" textlink="">
      <xdr:nvSpPr>
        <xdr:cNvPr id="1916" name="Isosceles Triangle 1915">
          <a:extLst>
            <a:ext uri="{FF2B5EF4-FFF2-40B4-BE49-F238E27FC236}">
              <a16:creationId xmlns:a16="http://schemas.microsoft.com/office/drawing/2014/main" id="{00000000-0008-0000-0A00-00007C070000}"/>
            </a:ext>
          </a:extLst>
        </xdr:cNvPr>
        <xdr:cNvSpPr/>
      </xdr:nvSpPr>
      <xdr:spPr>
        <a:xfrm>
          <a:off x="85451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247</xdr:row>
      <xdr:rowOff>78147</xdr:rowOff>
    </xdr:from>
    <xdr:to>
      <xdr:col>19</xdr:col>
      <xdr:colOff>0</xdr:colOff>
      <xdr:row>248</xdr:row>
      <xdr:rowOff>192447</xdr:rowOff>
    </xdr:to>
    <xdr:sp macro="" textlink="">
      <xdr:nvSpPr>
        <xdr:cNvPr id="1917" name="Isosceles Triangle 1916">
          <a:extLst>
            <a:ext uri="{FF2B5EF4-FFF2-40B4-BE49-F238E27FC236}">
              <a16:creationId xmlns:a16="http://schemas.microsoft.com/office/drawing/2014/main" id="{00000000-0008-0000-0A00-00007D070000}"/>
            </a:ext>
          </a:extLst>
        </xdr:cNvPr>
        <xdr:cNvSpPr/>
      </xdr:nvSpPr>
      <xdr:spPr>
        <a:xfrm>
          <a:off x="95484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239</xdr:row>
      <xdr:rowOff>64796</xdr:rowOff>
    </xdr:from>
    <xdr:to>
      <xdr:col>13</xdr:col>
      <xdr:colOff>1909</xdr:colOff>
      <xdr:row>240</xdr:row>
      <xdr:rowOff>153696</xdr:rowOff>
    </xdr:to>
    <xdr:sp macro="" textlink="">
      <xdr:nvSpPr>
        <xdr:cNvPr id="1918" name="Isosceles Triangle 1917">
          <a:extLst>
            <a:ext uri="{FF2B5EF4-FFF2-40B4-BE49-F238E27FC236}">
              <a16:creationId xmlns:a16="http://schemas.microsoft.com/office/drawing/2014/main" id="{00000000-0008-0000-0A00-00007E070000}"/>
            </a:ext>
          </a:extLst>
        </xdr:cNvPr>
        <xdr:cNvSpPr/>
      </xdr:nvSpPr>
      <xdr:spPr>
        <a:xfrm>
          <a:off x="6540500" y="403936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19" name="Isosceles Triangle 1918">
          <a:extLst>
            <a:ext uri="{FF2B5EF4-FFF2-40B4-BE49-F238E27FC236}">
              <a16:creationId xmlns:a16="http://schemas.microsoft.com/office/drawing/2014/main" id="{00000000-0008-0000-0A00-00007F070000}"/>
            </a:ext>
          </a:extLst>
        </xdr:cNvPr>
        <xdr:cNvSpPr/>
      </xdr:nvSpPr>
      <xdr:spPr>
        <a:xfrm>
          <a:off x="128714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256</xdr:row>
      <xdr:rowOff>78147</xdr:rowOff>
    </xdr:from>
    <xdr:to>
      <xdr:col>5</xdr:col>
      <xdr:colOff>0</xdr:colOff>
      <xdr:row>257</xdr:row>
      <xdr:rowOff>192447</xdr:rowOff>
    </xdr:to>
    <xdr:sp macro="" textlink="">
      <xdr:nvSpPr>
        <xdr:cNvPr id="1920" name="Isosceles Triangle 1919">
          <a:extLst>
            <a:ext uri="{FF2B5EF4-FFF2-40B4-BE49-F238E27FC236}">
              <a16:creationId xmlns:a16="http://schemas.microsoft.com/office/drawing/2014/main" id="{00000000-0008-0000-0A00-000080070000}"/>
            </a:ext>
          </a:extLst>
        </xdr:cNvPr>
        <xdr:cNvSpPr/>
      </xdr:nvSpPr>
      <xdr:spPr>
        <a:xfrm>
          <a:off x="252539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256</xdr:row>
      <xdr:rowOff>78147</xdr:rowOff>
    </xdr:from>
    <xdr:to>
      <xdr:col>7</xdr:col>
      <xdr:colOff>0</xdr:colOff>
      <xdr:row>257</xdr:row>
      <xdr:rowOff>192447</xdr:rowOff>
    </xdr:to>
    <xdr:sp macro="" textlink="">
      <xdr:nvSpPr>
        <xdr:cNvPr id="1921" name="Isosceles Triangle 1920">
          <a:extLst>
            <a:ext uri="{FF2B5EF4-FFF2-40B4-BE49-F238E27FC236}">
              <a16:creationId xmlns:a16="http://schemas.microsoft.com/office/drawing/2014/main" id="{00000000-0008-0000-0A00-000081070000}"/>
            </a:ext>
          </a:extLst>
        </xdr:cNvPr>
        <xdr:cNvSpPr/>
      </xdr:nvSpPr>
      <xdr:spPr>
        <a:xfrm>
          <a:off x="35286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256</xdr:row>
      <xdr:rowOff>78147</xdr:rowOff>
    </xdr:from>
    <xdr:to>
      <xdr:col>9</xdr:col>
      <xdr:colOff>0</xdr:colOff>
      <xdr:row>257</xdr:row>
      <xdr:rowOff>192447</xdr:rowOff>
    </xdr:to>
    <xdr:sp macro="" textlink="">
      <xdr:nvSpPr>
        <xdr:cNvPr id="1922" name="Isosceles Triangle 1921">
          <a:extLst>
            <a:ext uri="{FF2B5EF4-FFF2-40B4-BE49-F238E27FC236}">
              <a16:creationId xmlns:a16="http://schemas.microsoft.com/office/drawing/2014/main" id="{00000000-0008-0000-0A00-000082070000}"/>
            </a:ext>
          </a:extLst>
        </xdr:cNvPr>
        <xdr:cNvSpPr/>
      </xdr:nvSpPr>
      <xdr:spPr>
        <a:xfrm>
          <a:off x="45319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256</xdr:row>
      <xdr:rowOff>78147</xdr:rowOff>
    </xdr:from>
    <xdr:to>
      <xdr:col>11</xdr:col>
      <xdr:colOff>0</xdr:colOff>
      <xdr:row>258</xdr:row>
      <xdr:rowOff>5058</xdr:rowOff>
    </xdr:to>
    <xdr:sp macro="" textlink="">
      <xdr:nvSpPr>
        <xdr:cNvPr id="1923" name="Isosceles Triangle 1922">
          <a:extLst>
            <a:ext uri="{FF2B5EF4-FFF2-40B4-BE49-F238E27FC236}">
              <a16:creationId xmlns:a16="http://schemas.microsoft.com/office/drawing/2014/main" id="{00000000-0008-0000-0A00-000083070000}"/>
            </a:ext>
          </a:extLst>
        </xdr:cNvPr>
        <xdr:cNvSpPr/>
      </xdr:nvSpPr>
      <xdr:spPr>
        <a:xfrm>
          <a:off x="5535295" y="43270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256</xdr:row>
      <xdr:rowOff>78147</xdr:rowOff>
    </xdr:from>
    <xdr:to>
      <xdr:col>15</xdr:col>
      <xdr:colOff>0</xdr:colOff>
      <xdr:row>257</xdr:row>
      <xdr:rowOff>192447</xdr:rowOff>
    </xdr:to>
    <xdr:sp macro="" textlink="">
      <xdr:nvSpPr>
        <xdr:cNvPr id="1924" name="Isosceles Triangle 1923">
          <a:extLst>
            <a:ext uri="{FF2B5EF4-FFF2-40B4-BE49-F238E27FC236}">
              <a16:creationId xmlns:a16="http://schemas.microsoft.com/office/drawing/2014/main" id="{00000000-0008-0000-0A00-000084070000}"/>
            </a:ext>
          </a:extLst>
        </xdr:cNvPr>
        <xdr:cNvSpPr/>
      </xdr:nvSpPr>
      <xdr:spPr>
        <a:xfrm>
          <a:off x="75418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256</xdr:row>
      <xdr:rowOff>78147</xdr:rowOff>
    </xdr:from>
    <xdr:to>
      <xdr:col>17</xdr:col>
      <xdr:colOff>0</xdr:colOff>
      <xdr:row>257</xdr:row>
      <xdr:rowOff>192447</xdr:rowOff>
    </xdr:to>
    <xdr:sp macro="" textlink="">
      <xdr:nvSpPr>
        <xdr:cNvPr id="1925" name="Isosceles Triangle 1924">
          <a:extLst>
            <a:ext uri="{FF2B5EF4-FFF2-40B4-BE49-F238E27FC236}">
              <a16:creationId xmlns:a16="http://schemas.microsoft.com/office/drawing/2014/main" id="{00000000-0008-0000-0A00-000085070000}"/>
            </a:ext>
          </a:extLst>
        </xdr:cNvPr>
        <xdr:cNvSpPr/>
      </xdr:nvSpPr>
      <xdr:spPr>
        <a:xfrm>
          <a:off x="85451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256</xdr:row>
      <xdr:rowOff>78147</xdr:rowOff>
    </xdr:from>
    <xdr:to>
      <xdr:col>21</xdr:col>
      <xdr:colOff>0</xdr:colOff>
      <xdr:row>257</xdr:row>
      <xdr:rowOff>192447</xdr:rowOff>
    </xdr:to>
    <xdr:sp macro="" textlink="">
      <xdr:nvSpPr>
        <xdr:cNvPr id="1926" name="Isosceles Triangle 1925">
          <a:extLst>
            <a:ext uri="{FF2B5EF4-FFF2-40B4-BE49-F238E27FC236}">
              <a16:creationId xmlns:a16="http://schemas.microsoft.com/office/drawing/2014/main" id="{00000000-0008-0000-0A00-000086070000}"/>
            </a:ext>
          </a:extLst>
        </xdr:cNvPr>
        <xdr:cNvSpPr/>
      </xdr:nvSpPr>
      <xdr:spPr>
        <a:xfrm>
          <a:off x="105517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27" name="Isosceles Triangle 1926">
          <a:extLst>
            <a:ext uri="{FF2B5EF4-FFF2-40B4-BE49-F238E27FC236}">
              <a16:creationId xmlns:a16="http://schemas.microsoft.com/office/drawing/2014/main" id="{00000000-0008-0000-0A00-000087070000}"/>
            </a:ext>
          </a:extLst>
        </xdr:cNvPr>
        <xdr:cNvSpPr/>
      </xdr:nvSpPr>
      <xdr:spPr>
        <a:xfrm>
          <a:off x="128714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256</xdr:row>
      <xdr:rowOff>78147</xdr:rowOff>
    </xdr:from>
    <xdr:to>
      <xdr:col>5</xdr:col>
      <xdr:colOff>0</xdr:colOff>
      <xdr:row>257</xdr:row>
      <xdr:rowOff>192447</xdr:rowOff>
    </xdr:to>
    <xdr:sp macro="" textlink="">
      <xdr:nvSpPr>
        <xdr:cNvPr id="1928" name="Isosceles Triangle 1927">
          <a:extLst>
            <a:ext uri="{FF2B5EF4-FFF2-40B4-BE49-F238E27FC236}">
              <a16:creationId xmlns:a16="http://schemas.microsoft.com/office/drawing/2014/main" id="{00000000-0008-0000-0A00-000088070000}"/>
            </a:ext>
          </a:extLst>
        </xdr:cNvPr>
        <xdr:cNvSpPr/>
      </xdr:nvSpPr>
      <xdr:spPr>
        <a:xfrm>
          <a:off x="25253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29" name="Isosceles Triangle 1928">
          <a:extLst>
            <a:ext uri="{FF2B5EF4-FFF2-40B4-BE49-F238E27FC236}">
              <a16:creationId xmlns:a16="http://schemas.microsoft.com/office/drawing/2014/main" id="{00000000-0008-0000-0A00-000089070000}"/>
            </a:ext>
          </a:extLst>
        </xdr:cNvPr>
        <xdr:cNvSpPr/>
      </xdr:nvSpPr>
      <xdr:spPr>
        <a:xfrm>
          <a:off x="128714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256</xdr:row>
      <xdr:rowOff>78147</xdr:rowOff>
    </xdr:from>
    <xdr:to>
      <xdr:col>19</xdr:col>
      <xdr:colOff>0</xdr:colOff>
      <xdr:row>257</xdr:row>
      <xdr:rowOff>192447</xdr:rowOff>
    </xdr:to>
    <xdr:sp macro="" textlink="">
      <xdr:nvSpPr>
        <xdr:cNvPr id="1930" name="Isosceles Triangle 1929">
          <a:extLst>
            <a:ext uri="{FF2B5EF4-FFF2-40B4-BE49-F238E27FC236}">
              <a16:creationId xmlns:a16="http://schemas.microsoft.com/office/drawing/2014/main" id="{00000000-0008-0000-0A00-00008A070000}"/>
            </a:ext>
          </a:extLst>
        </xdr:cNvPr>
        <xdr:cNvSpPr/>
      </xdr:nvSpPr>
      <xdr:spPr>
        <a:xfrm>
          <a:off x="95484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264</xdr:row>
      <xdr:rowOff>78147</xdr:rowOff>
    </xdr:from>
    <xdr:to>
      <xdr:col>3</xdr:col>
      <xdr:colOff>0</xdr:colOff>
      <xdr:row>265</xdr:row>
      <xdr:rowOff>192447</xdr:rowOff>
    </xdr:to>
    <xdr:sp macro="" textlink="">
      <xdr:nvSpPr>
        <xdr:cNvPr id="1931" name="Isosceles Triangle 1930">
          <a:extLst>
            <a:ext uri="{FF2B5EF4-FFF2-40B4-BE49-F238E27FC236}">
              <a16:creationId xmlns:a16="http://schemas.microsoft.com/office/drawing/2014/main" id="{00000000-0008-0000-0A00-00008B070000}"/>
            </a:ext>
          </a:extLst>
        </xdr:cNvPr>
        <xdr:cNvSpPr/>
      </xdr:nvSpPr>
      <xdr:spPr>
        <a:xfrm>
          <a:off x="1287145" y="44617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264</xdr:row>
      <xdr:rowOff>78147</xdr:rowOff>
    </xdr:from>
    <xdr:to>
      <xdr:col>7</xdr:col>
      <xdr:colOff>0</xdr:colOff>
      <xdr:row>266</xdr:row>
      <xdr:rowOff>5057</xdr:rowOff>
    </xdr:to>
    <xdr:sp macro="" textlink="">
      <xdr:nvSpPr>
        <xdr:cNvPr id="1932" name="Isosceles Triangle 1931">
          <a:extLst>
            <a:ext uri="{FF2B5EF4-FFF2-40B4-BE49-F238E27FC236}">
              <a16:creationId xmlns:a16="http://schemas.microsoft.com/office/drawing/2014/main" id="{00000000-0008-0000-0A00-00008C070000}"/>
            </a:ext>
          </a:extLst>
        </xdr:cNvPr>
        <xdr:cNvSpPr/>
      </xdr:nvSpPr>
      <xdr:spPr>
        <a:xfrm>
          <a:off x="35286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264</xdr:row>
      <xdr:rowOff>78147</xdr:rowOff>
    </xdr:from>
    <xdr:to>
      <xdr:col>9</xdr:col>
      <xdr:colOff>0</xdr:colOff>
      <xdr:row>266</xdr:row>
      <xdr:rowOff>5057</xdr:rowOff>
    </xdr:to>
    <xdr:sp macro="" textlink="">
      <xdr:nvSpPr>
        <xdr:cNvPr id="1933" name="Isosceles Triangle 1932">
          <a:extLst>
            <a:ext uri="{FF2B5EF4-FFF2-40B4-BE49-F238E27FC236}">
              <a16:creationId xmlns:a16="http://schemas.microsoft.com/office/drawing/2014/main" id="{00000000-0008-0000-0A00-00008D070000}"/>
            </a:ext>
          </a:extLst>
        </xdr:cNvPr>
        <xdr:cNvSpPr/>
      </xdr:nvSpPr>
      <xdr:spPr>
        <a:xfrm>
          <a:off x="45319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264</xdr:row>
      <xdr:rowOff>78147</xdr:rowOff>
    </xdr:from>
    <xdr:to>
      <xdr:col>11</xdr:col>
      <xdr:colOff>0</xdr:colOff>
      <xdr:row>265</xdr:row>
      <xdr:rowOff>192447</xdr:rowOff>
    </xdr:to>
    <xdr:sp macro="" textlink="">
      <xdr:nvSpPr>
        <xdr:cNvPr id="1934" name="Isosceles Triangle 1933">
          <a:extLst>
            <a:ext uri="{FF2B5EF4-FFF2-40B4-BE49-F238E27FC236}">
              <a16:creationId xmlns:a16="http://schemas.microsoft.com/office/drawing/2014/main" id="{00000000-0008-0000-0A00-00008E070000}"/>
            </a:ext>
          </a:extLst>
        </xdr:cNvPr>
        <xdr:cNvSpPr/>
      </xdr:nvSpPr>
      <xdr:spPr>
        <a:xfrm>
          <a:off x="55352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264</xdr:row>
      <xdr:rowOff>78147</xdr:rowOff>
    </xdr:from>
    <xdr:to>
      <xdr:col>13</xdr:col>
      <xdr:colOff>0</xdr:colOff>
      <xdr:row>266</xdr:row>
      <xdr:rowOff>5057</xdr:rowOff>
    </xdr:to>
    <xdr:sp macro="" textlink="">
      <xdr:nvSpPr>
        <xdr:cNvPr id="1935" name="Isosceles Triangle 1934">
          <a:extLst>
            <a:ext uri="{FF2B5EF4-FFF2-40B4-BE49-F238E27FC236}">
              <a16:creationId xmlns:a16="http://schemas.microsoft.com/office/drawing/2014/main" id="{00000000-0008-0000-0A00-00008F070000}"/>
            </a:ext>
          </a:extLst>
        </xdr:cNvPr>
        <xdr:cNvSpPr/>
      </xdr:nvSpPr>
      <xdr:spPr>
        <a:xfrm>
          <a:off x="65385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264</xdr:row>
      <xdr:rowOff>78147</xdr:rowOff>
    </xdr:from>
    <xdr:to>
      <xdr:col>15</xdr:col>
      <xdr:colOff>0</xdr:colOff>
      <xdr:row>265</xdr:row>
      <xdr:rowOff>192447</xdr:rowOff>
    </xdr:to>
    <xdr:sp macro="" textlink="">
      <xdr:nvSpPr>
        <xdr:cNvPr id="1936" name="Isosceles Triangle 1935">
          <a:extLst>
            <a:ext uri="{FF2B5EF4-FFF2-40B4-BE49-F238E27FC236}">
              <a16:creationId xmlns:a16="http://schemas.microsoft.com/office/drawing/2014/main" id="{00000000-0008-0000-0A00-000090070000}"/>
            </a:ext>
          </a:extLst>
        </xdr:cNvPr>
        <xdr:cNvSpPr/>
      </xdr:nvSpPr>
      <xdr:spPr>
        <a:xfrm>
          <a:off x="75418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264</xdr:row>
      <xdr:rowOff>78147</xdr:rowOff>
    </xdr:from>
    <xdr:to>
      <xdr:col>17</xdr:col>
      <xdr:colOff>0</xdr:colOff>
      <xdr:row>265</xdr:row>
      <xdr:rowOff>192447</xdr:rowOff>
    </xdr:to>
    <xdr:sp macro="" textlink="">
      <xdr:nvSpPr>
        <xdr:cNvPr id="1937" name="Isosceles Triangle 1936">
          <a:extLst>
            <a:ext uri="{FF2B5EF4-FFF2-40B4-BE49-F238E27FC236}">
              <a16:creationId xmlns:a16="http://schemas.microsoft.com/office/drawing/2014/main" id="{00000000-0008-0000-0A00-000091070000}"/>
            </a:ext>
          </a:extLst>
        </xdr:cNvPr>
        <xdr:cNvSpPr/>
      </xdr:nvSpPr>
      <xdr:spPr>
        <a:xfrm>
          <a:off x="8545195" y="44617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264</xdr:row>
      <xdr:rowOff>78147</xdr:rowOff>
    </xdr:from>
    <xdr:to>
      <xdr:col>19</xdr:col>
      <xdr:colOff>0</xdr:colOff>
      <xdr:row>265</xdr:row>
      <xdr:rowOff>192447</xdr:rowOff>
    </xdr:to>
    <xdr:sp macro="" textlink="">
      <xdr:nvSpPr>
        <xdr:cNvPr id="1938" name="Isosceles Triangle 1937">
          <a:extLst>
            <a:ext uri="{FF2B5EF4-FFF2-40B4-BE49-F238E27FC236}">
              <a16:creationId xmlns:a16="http://schemas.microsoft.com/office/drawing/2014/main" id="{00000000-0008-0000-0A00-000092070000}"/>
            </a:ext>
          </a:extLst>
        </xdr:cNvPr>
        <xdr:cNvSpPr/>
      </xdr:nvSpPr>
      <xdr:spPr>
        <a:xfrm>
          <a:off x="95484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264</xdr:row>
      <xdr:rowOff>78147</xdr:rowOff>
    </xdr:from>
    <xdr:to>
      <xdr:col>21</xdr:col>
      <xdr:colOff>0</xdr:colOff>
      <xdr:row>265</xdr:row>
      <xdr:rowOff>192447</xdr:rowOff>
    </xdr:to>
    <xdr:sp macro="" textlink="">
      <xdr:nvSpPr>
        <xdr:cNvPr id="1939" name="Isosceles Triangle 1938">
          <a:extLst>
            <a:ext uri="{FF2B5EF4-FFF2-40B4-BE49-F238E27FC236}">
              <a16:creationId xmlns:a16="http://schemas.microsoft.com/office/drawing/2014/main" id="{00000000-0008-0000-0A00-000093070000}"/>
            </a:ext>
          </a:extLst>
        </xdr:cNvPr>
        <xdr:cNvSpPr/>
      </xdr:nvSpPr>
      <xdr:spPr>
        <a:xfrm>
          <a:off x="105517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264</xdr:row>
      <xdr:rowOff>78147</xdr:rowOff>
    </xdr:from>
    <xdr:to>
      <xdr:col>5</xdr:col>
      <xdr:colOff>0</xdr:colOff>
      <xdr:row>265</xdr:row>
      <xdr:rowOff>192447</xdr:rowOff>
    </xdr:to>
    <xdr:sp macro="" textlink="">
      <xdr:nvSpPr>
        <xdr:cNvPr id="1940" name="Isosceles Triangle 1939">
          <a:extLst>
            <a:ext uri="{FF2B5EF4-FFF2-40B4-BE49-F238E27FC236}">
              <a16:creationId xmlns:a16="http://schemas.microsoft.com/office/drawing/2014/main" id="{00000000-0008-0000-0A00-000094070000}"/>
            </a:ext>
          </a:extLst>
        </xdr:cNvPr>
        <xdr:cNvSpPr/>
      </xdr:nvSpPr>
      <xdr:spPr>
        <a:xfrm>
          <a:off x="25253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264</xdr:row>
      <xdr:rowOff>78147</xdr:rowOff>
    </xdr:from>
    <xdr:to>
      <xdr:col>3</xdr:col>
      <xdr:colOff>0</xdr:colOff>
      <xdr:row>265</xdr:row>
      <xdr:rowOff>192447</xdr:rowOff>
    </xdr:to>
    <xdr:sp macro="" textlink="">
      <xdr:nvSpPr>
        <xdr:cNvPr id="1941" name="Isosceles Triangle 1940">
          <a:extLst>
            <a:ext uri="{FF2B5EF4-FFF2-40B4-BE49-F238E27FC236}">
              <a16:creationId xmlns:a16="http://schemas.microsoft.com/office/drawing/2014/main" id="{00000000-0008-0000-0A00-000095070000}"/>
            </a:ext>
          </a:extLst>
        </xdr:cNvPr>
        <xdr:cNvSpPr/>
      </xdr:nvSpPr>
      <xdr:spPr>
        <a:xfrm>
          <a:off x="128714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264</xdr:row>
      <xdr:rowOff>78147</xdr:rowOff>
    </xdr:from>
    <xdr:to>
      <xdr:col>17</xdr:col>
      <xdr:colOff>0</xdr:colOff>
      <xdr:row>265</xdr:row>
      <xdr:rowOff>192447</xdr:rowOff>
    </xdr:to>
    <xdr:sp macro="" textlink="">
      <xdr:nvSpPr>
        <xdr:cNvPr id="1942" name="Isosceles Triangle 1941">
          <a:extLst>
            <a:ext uri="{FF2B5EF4-FFF2-40B4-BE49-F238E27FC236}">
              <a16:creationId xmlns:a16="http://schemas.microsoft.com/office/drawing/2014/main" id="{00000000-0008-0000-0A00-000096070000}"/>
            </a:ext>
          </a:extLst>
        </xdr:cNvPr>
        <xdr:cNvSpPr/>
      </xdr:nvSpPr>
      <xdr:spPr>
        <a:xfrm>
          <a:off x="85451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264</xdr:row>
      <xdr:rowOff>78147</xdr:rowOff>
    </xdr:from>
    <xdr:to>
      <xdr:col>19</xdr:col>
      <xdr:colOff>0</xdr:colOff>
      <xdr:row>265</xdr:row>
      <xdr:rowOff>192447</xdr:rowOff>
    </xdr:to>
    <xdr:sp macro="" textlink="">
      <xdr:nvSpPr>
        <xdr:cNvPr id="1943" name="Isosceles Triangle 1942">
          <a:extLst>
            <a:ext uri="{FF2B5EF4-FFF2-40B4-BE49-F238E27FC236}">
              <a16:creationId xmlns:a16="http://schemas.microsoft.com/office/drawing/2014/main" id="{00000000-0008-0000-0A00-000097070000}"/>
            </a:ext>
          </a:extLst>
        </xdr:cNvPr>
        <xdr:cNvSpPr/>
      </xdr:nvSpPr>
      <xdr:spPr>
        <a:xfrm>
          <a:off x="95484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256</xdr:row>
      <xdr:rowOff>64796</xdr:rowOff>
    </xdr:from>
    <xdr:to>
      <xdr:col>13</xdr:col>
      <xdr:colOff>1909</xdr:colOff>
      <xdr:row>257</xdr:row>
      <xdr:rowOff>153696</xdr:rowOff>
    </xdr:to>
    <xdr:sp macro="" textlink="">
      <xdr:nvSpPr>
        <xdr:cNvPr id="1944" name="Isosceles Triangle 1943">
          <a:extLst>
            <a:ext uri="{FF2B5EF4-FFF2-40B4-BE49-F238E27FC236}">
              <a16:creationId xmlns:a16="http://schemas.microsoft.com/office/drawing/2014/main" id="{00000000-0008-0000-0A00-000098070000}"/>
            </a:ext>
          </a:extLst>
        </xdr:cNvPr>
        <xdr:cNvSpPr/>
      </xdr:nvSpPr>
      <xdr:spPr>
        <a:xfrm>
          <a:off x="6540500" y="432574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45" name="Isosceles Triangle 1944">
          <a:extLst>
            <a:ext uri="{FF2B5EF4-FFF2-40B4-BE49-F238E27FC236}">
              <a16:creationId xmlns:a16="http://schemas.microsoft.com/office/drawing/2014/main" id="{00000000-0008-0000-0A00-000099070000}"/>
            </a:ext>
          </a:extLst>
        </xdr:cNvPr>
        <xdr:cNvSpPr/>
      </xdr:nvSpPr>
      <xdr:spPr>
        <a:xfrm>
          <a:off x="128714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272</xdr:row>
      <xdr:rowOff>78147</xdr:rowOff>
    </xdr:from>
    <xdr:to>
      <xdr:col>5</xdr:col>
      <xdr:colOff>0</xdr:colOff>
      <xdr:row>273</xdr:row>
      <xdr:rowOff>192447</xdr:rowOff>
    </xdr:to>
    <xdr:sp macro="" textlink="">
      <xdr:nvSpPr>
        <xdr:cNvPr id="1946" name="Isosceles Triangle 1945">
          <a:extLst>
            <a:ext uri="{FF2B5EF4-FFF2-40B4-BE49-F238E27FC236}">
              <a16:creationId xmlns:a16="http://schemas.microsoft.com/office/drawing/2014/main" id="{00000000-0008-0000-0A00-00009A070000}"/>
            </a:ext>
          </a:extLst>
        </xdr:cNvPr>
        <xdr:cNvSpPr/>
      </xdr:nvSpPr>
      <xdr:spPr>
        <a:xfrm>
          <a:off x="252539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272</xdr:row>
      <xdr:rowOff>78147</xdr:rowOff>
    </xdr:from>
    <xdr:to>
      <xdr:col>7</xdr:col>
      <xdr:colOff>0</xdr:colOff>
      <xdr:row>273</xdr:row>
      <xdr:rowOff>192447</xdr:rowOff>
    </xdr:to>
    <xdr:sp macro="" textlink="">
      <xdr:nvSpPr>
        <xdr:cNvPr id="1947" name="Isosceles Triangle 1946">
          <a:extLst>
            <a:ext uri="{FF2B5EF4-FFF2-40B4-BE49-F238E27FC236}">
              <a16:creationId xmlns:a16="http://schemas.microsoft.com/office/drawing/2014/main" id="{00000000-0008-0000-0A00-00009B070000}"/>
            </a:ext>
          </a:extLst>
        </xdr:cNvPr>
        <xdr:cNvSpPr/>
      </xdr:nvSpPr>
      <xdr:spPr>
        <a:xfrm>
          <a:off x="35286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272</xdr:row>
      <xdr:rowOff>78147</xdr:rowOff>
    </xdr:from>
    <xdr:to>
      <xdr:col>9</xdr:col>
      <xdr:colOff>0</xdr:colOff>
      <xdr:row>273</xdr:row>
      <xdr:rowOff>192447</xdr:rowOff>
    </xdr:to>
    <xdr:sp macro="" textlink="">
      <xdr:nvSpPr>
        <xdr:cNvPr id="1948" name="Isosceles Triangle 1947">
          <a:extLst>
            <a:ext uri="{FF2B5EF4-FFF2-40B4-BE49-F238E27FC236}">
              <a16:creationId xmlns:a16="http://schemas.microsoft.com/office/drawing/2014/main" id="{00000000-0008-0000-0A00-00009C070000}"/>
            </a:ext>
          </a:extLst>
        </xdr:cNvPr>
        <xdr:cNvSpPr/>
      </xdr:nvSpPr>
      <xdr:spPr>
        <a:xfrm>
          <a:off x="45319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272</xdr:row>
      <xdr:rowOff>78147</xdr:rowOff>
    </xdr:from>
    <xdr:to>
      <xdr:col>11</xdr:col>
      <xdr:colOff>0</xdr:colOff>
      <xdr:row>274</xdr:row>
      <xdr:rowOff>5058</xdr:rowOff>
    </xdr:to>
    <xdr:sp macro="" textlink="">
      <xdr:nvSpPr>
        <xdr:cNvPr id="1949" name="Isosceles Triangle 1948">
          <a:extLst>
            <a:ext uri="{FF2B5EF4-FFF2-40B4-BE49-F238E27FC236}">
              <a16:creationId xmlns:a16="http://schemas.microsoft.com/office/drawing/2014/main" id="{00000000-0008-0000-0A00-00009D070000}"/>
            </a:ext>
          </a:extLst>
        </xdr:cNvPr>
        <xdr:cNvSpPr/>
      </xdr:nvSpPr>
      <xdr:spPr>
        <a:xfrm>
          <a:off x="5535295" y="45982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272</xdr:row>
      <xdr:rowOff>78147</xdr:rowOff>
    </xdr:from>
    <xdr:to>
      <xdr:col>15</xdr:col>
      <xdr:colOff>0</xdr:colOff>
      <xdr:row>273</xdr:row>
      <xdr:rowOff>192447</xdr:rowOff>
    </xdr:to>
    <xdr:sp macro="" textlink="">
      <xdr:nvSpPr>
        <xdr:cNvPr id="1950" name="Isosceles Triangle 1949">
          <a:extLst>
            <a:ext uri="{FF2B5EF4-FFF2-40B4-BE49-F238E27FC236}">
              <a16:creationId xmlns:a16="http://schemas.microsoft.com/office/drawing/2014/main" id="{00000000-0008-0000-0A00-00009E070000}"/>
            </a:ext>
          </a:extLst>
        </xdr:cNvPr>
        <xdr:cNvSpPr/>
      </xdr:nvSpPr>
      <xdr:spPr>
        <a:xfrm>
          <a:off x="75418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272</xdr:row>
      <xdr:rowOff>78147</xdr:rowOff>
    </xdr:from>
    <xdr:to>
      <xdr:col>17</xdr:col>
      <xdr:colOff>0</xdr:colOff>
      <xdr:row>273</xdr:row>
      <xdr:rowOff>192447</xdr:rowOff>
    </xdr:to>
    <xdr:sp macro="" textlink="">
      <xdr:nvSpPr>
        <xdr:cNvPr id="1951" name="Isosceles Triangle 1950">
          <a:extLst>
            <a:ext uri="{FF2B5EF4-FFF2-40B4-BE49-F238E27FC236}">
              <a16:creationId xmlns:a16="http://schemas.microsoft.com/office/drawing/2014/main" id="{00000000-0008-0000-0A00-00009F070000}"/>
            </a:ext>
          </a:extLst>
        </xdr:cNvPr>
        <xdr:cNvSpPr/>
      </xdr:nvSpPr>
      <xdr:spPr>
        <a:xfrm>
          <a:off x="85451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272</xdr:row>
      <xdr:rowOff>78147</xdr:rowOff>
    </xdr:from>
    <xdr:to>
      <xdr:col>21</xdr:col>
      <xdr:colOff>0</xdr:colOff>
      <xdr:row>273</xdr:row>
      <xdr:rowOff>192447</xdr:rowOff>
    </xdr:to>
    <xdr:sp macro="" textlink="">
      <xdr:nvSpPr>
        <xdr:cNvPr id="1952" name="Isosceles Triangle 1951">
          <a:extLst>
            <a:ext uri="{FF2B5EF4-FFF2-40B4-BE49-F238E27FC236}">
              <a16:creationId xmlns:a16="http://schemas.microsoft.com/office/drawing/2014/main" id="{00000000-0008-0000-0A00-0000A0070000}"/>
            </a:ext>
          </a:extLst>
        </xdr:cNvPr>
        <xdr:cNvSpPr/>
      </xdr:nvSpPr>
      <xdr:spPr>
        <a:xfrm>
          <a:off x="105517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53" name="Isosceles Triangle 1952">
          <a:extLst>
            <a:ext uri="{FF2B5EF4-FFF2-40B4-BE49-F238E27FC236}">
              <a16:creationId xmlns:a16="http://schemas.microsoft.com/office/drawing/2014/main" id="{00000000-0008-0000-0A00-0000A1070000}"/>
            </a:ext>
          </a:extLst>
        </xdr:cNvPr>
        <xdr:cNvSpPr/>
      </xdr:nvSpPr>
      <xdr:spPr>
        <a:xfrm>
          <a:off x="128714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272</xdr:row>
      <xdr:rowOff>78147</xdr:rowOff>
    </xdr:from>
    <xdr:to>
      <xdr:col>5</xdr:col>
      <xdr:colOff>0</xdr:colOff>
      <xdr:row>273</xdr:row>
      <xdr:rowOff>192447</xdr:rowOff>
    </xdr:to>
    <xdr:sp macro="" textlink="">
      <xdr:nvSpPr>
        <xdr:cNvPr id="1954" name="Isosceles Triangle 1953">
          <a:extLst>
            <a:ext uri="{FF2B5EF4-FFF2-40B4-BE49-F238E27FC236}">
              <a16:creationId xmlns:a16="http://schemas.microsoft.com/office/drawing/2014/main" id="{00000000-0008-0000-0A00-0000A2070000}"/>
            </a:ext>
          </a:extLst>
        </xdr:cNvPr>
        <xdr:cNvSpPr/>
      </xdr:nvSpPr>
      <xdr:spPr>
        <a:xfrm>
          <a:off x="25253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55" name="Isosceles Triangle 1954">
          <a:extLst>
            <a:ext uri="{FF2B5EF4-FFF2-40B4-BE49-F238E27FC236}">
              <a16:creationId xmlns:a16="http://schemas.microsoft.com/office/drawing/2014/main" id="{00000000-0008-0000-0A00-0000A3070000}"/>
            </a:ext>
          </a:extLst>
        </xdr:cNvPr>
        <xdr:cNvSpPr/>
      </xdr:nvSpPr>
      <xdr:spPr>
        <a:xfrm>
          <a:off x="128714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272</xdr:row>
      <xdr:rowOff>78147</xdr:rowOff>
    </xdr:from>
    <xdr:to>
      <xdr:col>19</xdr:col>
      <xdr:colOff>0</xdr:colOff>
      <xdr:row>273</xdr:row>
      <xdr:rowOff>192447</xdr:rowOff>
    </xdr:to>
    <xdr:sp macro="" textlink="">
      <xdr:nvSpPr>
        <xdr:cNvPr id="1956" name="Isosceles Triangle 1955">
          <a:extLst>
            <a:ext uri="{FF2B5EF4-FFF2-40B4-BE49-F238E27FC236}">
              <a16:creationId xmlns:a16="http://schemas.microsoft.com/office/drawing/2014/main" id="{00000000-0008-0000-0A00-0000A4070000}"/>
            </a:ext>
          </a:extLst>
        </xdr:cNvPr>
        <xdr:cNvSpPr/>
      </xdr:nvSpPr>
      <xdr:spPr>
        <a:xfrm>
          <a:off x="95484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272</xdr:row>
      <xdr:rowOff>64796</xdr:rowOff>
    </xdr:from>
    <xdr:to>
      <xdr:col>13</xdr:col>
      <xdr:colOff>1909</xdr:colOff>
      <xdr:row>273</xdr:row>
      <xdr:rowOff>153696</xdr:rowOff>
    </xdr:to>
    <xdr:sp macro="" textlink="">
      <xdr:nvSpPr>
        <xdr:cNvPr id="1957" name="Isosceles Triangle 1956">
          <a:extLst>
            <a:ext uri="{FF2B5EF4-FFF2-40B4-BE49-F238E27FC236}">
              <a16:creationId xmlns:a16="http://schemas.microsoft.com/office/drawing/2014/main" id="{00000000-0008-0000-0A00-0000A5070000}"/>
            </a:ext>
          </a:extLst>
        </xdr:cNvPr>
        <xdr:cNvSpPr/>
      </xdr:nvSpPr>
      <xdr:spPr>
        <a:xfrm>
          <a:off x="6540500" y="459689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252704</xdr:colOff>
      <xdr:row>192</xdr:row>
      <xdr:rowOff>58317</xdr:rowOff>
    </xdr:from>
    <xdr:to>
      <xdr:col>17</xdr:col>
      <xdr:colOff>466530</xdr:colOff>
      <xdr:row>194</xdr:row>
      <xdr:rowOff>6480</xdr:rowOff>
    </xdr:to>
    <xdr:sp macro="" textlink="">
      <xdr:nvSpPr>
        <xdr:cNvPr id="1958" name="Flowchart: Predefined Process 1957">
          <a:extLst>
            <a:ext uri="{FF2B5EF4-FFF2-40B4-BE49-F238E27FC236}">
              <a16:creationId xmlns:a16="http://schemas.microsoft.com/office/drawing/2014/main" id="{00000000-0008-0000-0A00-0000A6070000}"/>
            </a:ext>
          </a:extLst>
        </xdr:cNvPr>
        <xdr:cNvSpPr/>
      </xdr:nvSpPr>
      <xdr:spPr>
        <a:xfrm>
          <a:off x="9294495" y="32436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19</xdr:col>
      <xdr:colOff>246224</xdr:colOff>
      <xdr:row>192</xdr:row>
      <xdr:rowOff>103674</xdr:rowOff>
    </xdr:from>
    <xdr:to>
      <xdr:col>19</xdr:col>
      <xdr:colOff>460050</xdr:colOff>
      <xdr:row>194</xdr:row>
      <xdr:rowOff>51837</xdr:rowOff>
    </xdr:to>
    <xdr:sp macro="" textlink="">
      <xdr:nvSpPr>
        <xdr:cNvPr id="1959" name="Flowchart: Predefined Process 1958">
          <a:extLst>
            <a:ext uri="{FF2B5EF4-FFF2-40B4-BE49-F238E27FC236}">
              <a16:creationId xmlns:a16="http://schemas.microsoft.com/office/drawing/2014/main" id="{00000000-0008-0000-0A00-0000A7070000}"/>
            </a:ext>
          </a:extLst>
        </xdr:cNvPr>
        <xdr:cNvSpPr/>
      </xdr:nvSpPr>
      <xdr:spPr>
        <a:xfrm>
          <a:off x="10291445" y="3248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21</xdr:col>
      <xdr:colOff>220306</xdr:colOff>
      <xdr:row>192</xdr:row>
      <xdr:rowOff>0</xdr:rowOff>
    </xdr:from>
    <xdr:to>
      <xdr:col>21</xdr:col>
      <xdr:colOff>434132</xdr:colOff>
      <xdr:row>193</xdr:row>
      <xdr:rowOff>116632</xdr:rowOff>
    </xdr:to>
    <xdr:sp macro="" textlink="">
      <xdr:nvSpPr>
        <xdr:cNvPr id="1960" name="Flowchart: Predefined Process 1959">
          <a:extLst>
            <a:ext uri="{FF2B5EF4-FFF2-40B4-BE49-F238E27FC236}">
              <a16:creationId xmlns:a16="http://schemas.microsoft.com/office/drawing/2014/main" id="{00000000-0008-0000-0A00-0000A8070000}"/>
            </a:ext>
          </a:extLst>
        </xdr:cNvPr>
        <xdr:cNvSpPr/>
      </xdr:nvSpPr>
      <xdr:spPr>
        <a:xfrm>
          <a:off x="11268710" y="3237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17</xdr:col>
      <xdr:colOff>311020</xdr:colOff>
      <xdr:row>200</xdr:row>
      <xdr:rowOff>12959</xdr:rowOff>
    </xdr:from>
    <xdr:to>
      <xdr:col>17</xdr:col>
      <xdr:colOff>440612</xdr:colOff>
      <xdr:row>201</xdr:row>
      <xdr:rowOff>6479</xdr:rowOff>
    </xdr:to>
    <xdr:sp macro="" textlink="">
      <xdr:nvSpPr>
        <xdr:cNvPr id="1961" name="Flowchart: Magnetic Disk 1960">
          <a:extLst>
            <a:ext uri="{FF2B5EF4-FFF2-40B4-BE49-F238E27FC236}">
              <a16:creationId xmlns:a16="http://schemas.microsoft.com/office/drawing/2014/main" id="{00000000-0008-0000-0A00-0000A9070000}"/>
            </a:ext>
          </a:extLst>
        </xdr:cNvPr>
        <xdr:cNvSpPr/>
      </xdr:nvSpPr>
      <xdr:spPr>
        <a:xfrm>
          <a:off x="9352915" y="337502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7</xdr:col>
      <xdr:colOff>259184</xdr:colOff>
      <xdr:row>200</xdr:row>
      <xdr:rowOff>58316</xdr:rowOff>
    </xdr:from>
    <xdr:to>
      <xdr:col>7</xdr:col>
      <xdr:colOff>473010</xdr:colOff>
      <xdr:row>202</xdr:row>
      <xdr:rowOff>6479</xdr:rowOff>
    </xdr:to>
    <xdr:sp macro="" textlink="">
      <xdr:nvSpPr>
        <xdr:cNvPr id="1962" name="Flowchart: Predefined Process 1961">
          <a:extLst>
            <a:ext uri="{FF2B5EF4-FFF2-40B4-BE49-F238E27FC236}">
              <a16:creationId xmlns:a16="http://schemas.microsoft.com/office/drawing/2014/main" id="{00000000-0008-0000-0A00-0000AA070000}"/>
            </a:ext>
          </a:extLst>
        </xdr:cNvPr>
        <xdr:cNvSpPr/>
      </xdr:nvSpPr>
      <xdr:spPr>
        <a:xfrm>
          <a:off x="4284980" y="3379533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64796</xdr:colOff>
      <xdr:row>201</xdr:row>
      <xdr:rowOff>45357</xdr:rowOff>
    </xdr:from>
    <xdr:to>
      <xdr:col>7</xdr:col>
      <xdr:colOff>259182</xdr:colOff>
      <xdr:row>201</xdr:row>
      <xdr:rowOff>149029</xdr:rowOff>
    </xdr:to>
    <xdr:sp macro="" textlink="">
      <xdr:nvSpPr>
        <xdr:cNvPr id="1963" name="Flowchart: Decision 1962">
          <a:extLst>
            <a:ext uri="{FF2B5EF4-FFF2-40B4-BE49-F238E27FC236}">
              <a16:creationId xmlns:a16="http://schemas.microsoft.com/office/drawing/2014/main" id="{00000000-0008-0000-0A00-0000AB070000}"/>
            </a:ext>
          </a:extLst>
        </xdr:cNvPr>
        <xdr:cNvSpPr/>
      </xdr:nvSpPr>
      <xdr:spPr>
        <a:xfrm>
          <a:off x="4090670" y="339604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356253</xdr:colOff>
      <xdr:row>209</xdr:row>
      <xdr:rowOff>20819</xdr:rowOff>
    </xdr:from>
    <xdr:to>
      <xdr:col>5</xdr:col>
      <xdr:colOff>622953</xdr:colOff>
      <xdr:row>210</xdr:row>
      <xdr:rowOff>165476</xdr:rowOff>
    </xdr:to>
    <xdr:sp macro="" textlink="">
      <xdr:nvSpPr>
        <xdr:cNvPr id="1964" name="Line 327">
          <a:extLst>
            <a:ext uri="{FF2B5EF4-FFF2-40B4-BE49-F238E27FC236}">
              <a16:creationId xmlns:a16="http://schemas.microsoft.com/office/drawing/2014/main" id="{00000000-0008-0000-0A00-0000AC070000}"/>
            </a:ext>
          </a:extLst>
        </xdr:cNvPr>
        <xdr:cNvSpPr>
          <a:spLocks noChangeShapeType="1"/>
        </xdr:cNvSpPr>
      </xdr:nvSpPr>
      <xdr:spPr>
        <a:xfrm flipH="1">
          <a:off x="3378835" y="35275520"/>
          <a:ext cx="145415"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291581</xdr:colOff>
      <xdr:row>209</xdr:row>
      <xdr:rowOff>58187</xdr:rowOff>
    </xdr:from>
    <xdr:to>
      <xdr:col>19</xdr:col>
      <xdr:colOff>460050</xdr:colOff>
      <xdr:row>210</xdr:row>
      <xdr:rowOff>45228</xdr:rowOff>
    </xdr:to>
    <xdr:sp macro="" textlink="">
      <xdr:nvSpPr>
        <xdr:cNvPr id="1965" name="Rectangle: Top Corners Snipped 1964">
          <a:extLst>
            <a:ext uri="{FF2B5EF4-FFF2-40B4-BE49-F238E27FC236}">
              <a16:creationId xmlns:a16="http://schemas.microsoft.com/office/drawing/2014/main" id="{00000000-0008-0000-0A00-0000AD070000}"/>
            </a:ext>
          </a:extLst>
        </xdr:cNvPr>
        <xdr:cNvSpPr/>
      </xdr:nvSpPr>
      <xdr:spPr>
        <a:xfrm>
          <a:off x="10337165" y="35312985"/>
          <a:ext cx="168275"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194388</xdr:colOff>
      <xdr:row>217</xdr:row>
      <xdr:rowOff>45357</xdr:rowOff>
    </xdr:from>
    <xdr:to>
      <xdr:col>17</xdr:col>
      <xdr:colOff>408214</xdr:colOff>
      <xdr:row>218</xdr:row>
      <xdr:rowOff>161989</xdr:rowOff>
    </xdr:to>
    <xdr:sp macro="" textlink="">
      <xdr:nvSpPr>
        <xdr:cNvPr id="1966" name="Flowchart: Predefined Process 1965">
          <a:extLst>
            <a:ext uri="{FF2B5EF4-FFF2-40B4-BE49-F238E27FC236}">
              <a16:creationId xmlns:a16="http://schemas.microsoft.com/office/drawing/2014/main" id="{00000000-0008-0000-0A00-0000AE070000}"/>
            </a:ext>
          </a:extLst>
        </xdr:cNvPr>
        <xdr:cNvSpPr/>
      </xdr:nvSpPr>
      <xdr:spPr>
        <a:xfrm>
          <a:off x="9236710" y="36659185"/>
          <a:ext cx="213360"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2</xdr:col>
      <xdr:colOff>0</xdr:colOff>
      <xdr:row>162</xdr:row>
      <xdr:rowOff>36284</xdr:rowOff>
    </xdr:from>
    <xdr:to>
      <xdr:col>2</xdr:col>
      <xdr:colOff>494357</xdr:colOff>
      <xdr:row>163</xdr:row>
      <xdr:rowOff>125184</xdr:rowOff>
    </xdr:to>
    <xdr:sp macro="" textlink="">
      <xdr:nvSpPr>
        <xdr:cNvPr id="1967" name="Isosceles Triangle 1966">
          <a:extLst>
            <a:ext uri="{FF2B5EF4-FFF2-40B4-BE49-F238E27FC236}">
              <a16:creationId xmlns:a16="http://schemas.microsoft.com/office/drawing/2014/main" id="{00000000-0008-0000-0A00-0000AF070000}"/>
            </a:ext>
          </a:extLst>
        </xdr:cNvPr>
        <xdr:cNvSpPr/>
      </xdr:nvSpPr>
      <xdr:spPr>
        <a:xfrm>
          <a:off x="1282700" y="27376120"/>
          <a:ext cx="494030" cy="2476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30</xdr:col>
      <xdr:colOff>0</xdr:colOff>
      <xdr:row>10</xdr:row>
      <xdr:rowOff>0</xdr:rowOff>
    </xdr:from>
    <xdr:to>
      <xdr:col>30</xdr:col>
      <xdr:colOff>113435</xdr:colOff>
      <xdr:row>13</xdr:row>
      <xdr:rowOff>139064</xdr:rowOff>
    </xdr:to>
    <xdr:sp macro="" textlink="">
      <xdr:nvSpPr>
        <xdr:cNvPr id="2" name="Text Box 6212">
          <a:extLst>
            <a:ext uri="{FF2B5EF4-FFF2-40B4-BE49-F238E27FC236}">
              <a16:creationId xmlns:a16="http://schemas.microsoft.com/office/drawing/2014/main" id="{4C89DDC1-9B40-43EC-8FD8-1C94774CE2C9}"/>
            </a:ext>
          </a:extLst>
        </xdr:cNvPr>
        <xdr:cNvSpPr txBox="1">
          <a:spLocks noChangeArrowheads="1"/>
        </xdr:cNvSpPr>
      </xdr:nvSpPr>
      <xdr:spPr bwMode="auto">
        <a:xfrm>
          <a:off x="32848550" y="4330700"/>
          <a:ext cx="113435" cy="691514"/>
        </a:xfrm>
        <a:prstGeom prst="rect">
          <a:avLst/>
        </a:prstGeom>
        <a:noFill/>
        <a:ln w="9525">
          <a:noFill/>
          <a:miter lim="800000"/>
          <a:headEnd/>
          <a:tailEnd/>
        </a:ln>
      </xdr:spPr>
    </xdr:sp>
    <xdr:clientData/>
  </xdr:twoCellAnchor>
  <xdr:twoCellAnchor editAs="oneCell">
    <xdr:from>
      <xdr:col>8</xdr:col>
      <xdr:colOff>114300</xdr:colOff>
      <xdr:row>13</xdr:row>
      <xdr:rowOff>0</xdr:rowOff>
    </xdr:from>
    <xdr:to>
      <xdr:col>8</xdr:col>
      <xdr:colOff>219075</xdr:colOff>
      <xdr:row>13</xdr:row>
      <xdr:rowOff>171450</xdr:rowOff>
    </xdr:to>
    <xdr:sp macro="" textlink="">
      <xdr:nvSpPr>
        <xdr:cNvPr id="3" name="Text Box 11802">
          <a:extLst>
            <a:ext uri="{FF2B5EF4-FFF2-40B4-BE49-F238E27FC236}">
              <a16:creationId xmlns:a16="http://schemas.microsoft.com/office/drawing/2014/main" id="{D4ADDC72-9FDD-4D8C-92E1-AF660718A636}"/>
            </a:ext>
          </a:extLst>
        </xdr:cNvPr>
        <xdr:cNvSpPr txBox="1">
          <a:spLocks noChangeArrowheads="1"/>
        </xdr:cNvSpPr>
      </xdr:nvSpPr>
      <xdr:spPr bwMode="auto">
        <a:xfrm>
          <a:off x="8293100" y="5854700"/>
          <a:ext cx="104775" cy="171450"/>
        </a:xfrm>
        <a:prstGeom prst="rect">
          <a:avLst/>
        </a:prstGeom>
        <a:noFill/>
        <a:ln w="9525">
          <a:noFill/>
          <a:miter lim="800000"/>
          <a:headEnd/>
          <a:tailEnd/>
        </a:ln>
      </xdr:spPr>
    </xdr:sp>
    <xdr:clientData/>
  </xdr:twoCellAnchor>
  <xdr:twoCellAnchor>
    <xdr:from>
      <xdr:col>18</xdr:col>
      <xdr:colOff>307975</xdr:colOff>
      <xdr:row>3</xdr:row>
      <xdr:rowOff>137584</xdr:rowOff>
    </xdr:from>
    <xdr:to>
      <xdr:col>26</xdr:col>
      <xdr:colOff>88900</xdr:colOff>
      <xdr:row>14</xdr:row>
      <xdr:rowOff>84667</xdr:rowOff>
    </xdr:to>
    <xdr:grpSp>
      <xdr:nvGrpSpPr>
        <xdr:cNvPr id="4" name="Group 3">
          <a:extLst>
            <a:ext uri="{FF2B5EF4-FFF2-40B4-BE49-F238E27FC236}">
              <a16:creationId xmlns:a16="http://schemas.microsoft.com/office/drawing/2014/main" id="{E72915E1-7FD5-4156-BED5-EB367C1081D4}"/>
            </a:ext>
          </a:extLst>
        </xdr:cNvPr>
        <xdr:cNvGrpSpPr/>
      </xdr:nvGrpSpPr>
      <xdr:grpSpPr>
        <a:xfrm>
          <a:off x="19310350" y="1534584"/>
          <a:ext cx="9686925" cy="4931833"/>
          <a:chOff x="10153650" y="1536195"/>
          <a:chExt cx="2552700" cy="2203955"/>
        </a:xfrm>
      </xdr:grpSpPr>
      <xdr:sp macro="" textlink="">
        <xdr:nvSpPr>
          <xdr:cNvPr id="5" name="Rectangle 10693">
            <a:extLst>
              <a:ext uri="{FF2B5EF4-FFF2-40B4-BE49-F238E27FC236}">
                <a16:creationId xmlns:a16="http://schemas.microsoft.com/office/drawing/2014/main" id="{32B39333-C07F-DFE1-4E52-A14888805434}"/>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6" name="Rectangle 10709">
            <a:extLst>
              <a:ext uri="{FF2B5EF4-FFF2-40B4-BE49-F238E27FC236}">
                <a16:creationId xmlns:a16="http://schemas.microsoft.com/office/drawing/2014/main" id="{8FE64A80-AD02-567D-01E6-99FBA51CF1A2}"/>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7" name="Group 6">
            <a:extLst>
              <a:ext uri="{FF2B5EF4-FFF2-40B4-BE49-F238E27FC236}">
                <a16:creationId xmlns:a16="http://schemas.microsoft.com/office/drawing/2014/main" id="{CD03AA85-D72D-8105-337C-EAEFABB7495E}"/>
              </a:ext>
            </a:extLst>
          </xdr:cNvPr>
          <xdr:cNvGrpSpPr/>
        </xdr:nvGrpSpPr>
        <xdr:grpSpPr>
          <a:xfrm>
            <a:off x="10153650" y="1536195"/>
            <a:ext cx="2552700" cy="2203955"/>
            <a:chOff x="10153650" y="1536195"/>
            <a:chExt cx="2552700" cy="2203955"/>
          </a:xfrm>
        </xdr:grpSpPr>
        <xdr:sp macro="" textlink="">
          <xdr:nvSpPr>
            <xdr:cNvPr id="8" name="Rectangle 10690">
              <a:extLst>
                <a:ext uri="{FF2B5EF4-FFF2-40B4-BE49-F238E27FC236}">
                  <a16:creationId xmlns:a16="http://schemas.microsoft.com/office/drawing/2014/main" id="{0FC85050-07E6-073F-166A-A6A3DE05D588}"/>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9" name="AutoShape 10694">
              <a:extLst>
                <a:ext uri="{FF2B5EF4-FFF2-40B4-BE49-F238E27FC236}">
                  <a16:creationId xmlns:a16="http://schemas.microsoft.com/office/drawing/2014/main" id="{DD6F6364-5CC1-789C-BD58-8E8268D4B04A}"/>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 name="Freeform 10695">
              <a:extLst>
                <a:ext uri="{FF2B5EF4-FFF2-40B4-BE49-F238E27FC236}">
                  <a16:creationId xmlns:a16="http://schemas.microsoft.com/office/drawing/2014/main" id="{77B0CBBF-0185-569F-1A29-B3F98157FC70}"/>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1" name="Rectangle 10696">
              <a:extLst>
                <a:ext uri="{FF2B5EF4-FFF2-40B4-BE49-F238E27FC236}">
                  <a16:creationId xmlns:a16="http://schemas.microsoft.com/office/drawing/2014/main" id="{3D6C2EFC-32C8-383B-8941-64FA7598087E}"/>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2" name="AutoShape 10700">
              <a:extLst>
                <a:ext uri="{FF2B5EF4-FFF2-40B4-BE49-F238E27FC236}">
                  <a16:creationId xmlns:a16="http://schemas.microsoft.com/office/drawing/2014/main" id="{B7E283AC-C3DE-C195-4C06-FE4B61F549D1}"/>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3" name="Freeform 10706">
              <a:extLst>
                <a:ext uri="{FF2B5EF4-FFF2-40B4-BE49-F238E27FC236}">
                  <a16:creationId xmlns:a16="http://schemas.microsoft.com/office/drawing/2014/main" id="{8A4CB1E0-0C2D-1426-F25D-29939540644D}"/>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4" name="Freeform 10707">
              <a:extLst>
                <a:ext uri="{FF2B5EF4-FFF2-40B4-BE49-F238E27FC236}">
                  <a16:creationId xmlns:a16="http://schemas.microsoft.com/office/drawing/2014/main" id="{A975CDB9-E314-6C32-12B1-7DFAF168C0DD}"/>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5" name="Line 10711">
              <a:extLst>
                <a:ext uri="{FF2B5EF4-FFF2-40B4-BE49-F238E27FC236}">
                  <a16:creationId xmlns:a16="http://schemas.microsoft.com/office/drawing/2014/main" id="{EDC018A8-C5D1-A245-54DD-75729F2F1AA6}"/>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6" name="Line 10719">
              <a:extLst>
                <a:ext uri="{FF2B5EF4-FFF2-40B4-BE49-F238E27FC236}">
                  <a16:creationId xmlns:a16="http://schemas.microsoft.com/office/drawing/2014/main" id="{5F867B1F-E885-0E0C-54DF-58193405DC35}"/>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7" name="Line 10711">
              <a:extLst>
                <a:ext uri="{FF2B5EF4-FFF2-40B4-BE49-F238E27FC236}">
                  <a16:creationId xmlns:a16="http://schemas.microsoft.com/office/drawing/2014/main" id="{A0B3734A-B797-E354-522D-D1F429B5B987}"/>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8" name="Group 1008">
              <a:extLst>
                <a:ext uri="{FF2B5EF4-FFF2-40B4-BE49-F238E27FC236}">
                  <a16:creationId xmlns:a16="http://schemas.microsoft.com/office/drawing/2014/main" id="{00EBE2C9-ACF6-8003-D537-D886AF3CB88B}"/>
                </a:ext>
              </a:extLst>
            </xdr:cNvPr>
            <xdr:cNvGrpSpPr>
              <a:grpSpLocks/>
            </xdr:cNvGrpSpPr>
          </xdr:nvGrpSpPr>
          <xdr:grpSpPr bwMode="auto">
            <a:xfrm>
              <a:off x="12030075" y="3228975"/>
              <a:ext cx="228600" cy="333375"/>
              <a:chOff x="5475762" y="47760700"/>
              <a:chExt cx="314325" cy="230209"/>
            </a:xfrm>
          </xdr:grpSpPr>
          <xdr:cxnSp macro="">
            <xdr:nvCxnSpPr>
              <xdr:cNvPr id="21" name="Straight Connector 20">
                <a:extLst>
                  <a:ext uri="{FF2B5EF4-FFF2-40B4-BE49-F238E27FC236}">
                    <a16:creationId xmlns:a16="http://schemas.microsoft.com/office/drawing/2014/main" id="{A4248276-05D4-8619-5A70-4D78341B1931}"/>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2" name="Straight Connector 529">
                <a:extLst>
                  <a:ext uri="{FF2B5EF4-FFF2-40B4-BE49-F238E27FC236}">
                    <a16:creationId xmlns:a16="http://schemas.microsoft.com/office/drawing/2014/main" id="{26DAA918-F6C5-A83A-F91C-8DC1B3AD3E06}"/>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23" name="Straight Connector 531">
                <a:extLst>
                  <a:ext uri="{FF2B5EF4-FFF2-40B4-BE49-F238E27FC236}">
                    <a16:creationId xmlns:a16="http://schemas.microsoft.com/office/drawing/2014/main" id="{48452DC9-6753-A68A-D5EB-5CEBCBEFB253}"/>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24" name="Straight Connector 533">
                <a:extLst>
                  <a:ext uri="{FF2B5EF4-FFF2-40B4-BE49-F238E27FC236}">
                    <a16:creationId xmlns:a16="http://schemas.microsoft.com/office/drawing/2014/main" id="{6D0D5285-6B5E-A0C6-51EE-C62D6F97D15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25" name="Straight Connector 535">
                <a:extLst>
                  <a:ext uri="{FF2B5EF4-FFF2-40B4-BE49-F238E27FC236}">
                    <a16:creationId xmlns:a16="http://schemas.microsoft.com/office/drawing/2014/main" id="{30084A74-0BC0-18B4-6784-8A46F7DEC1F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26" name="Straight Connector 537">
                <a:extLst>
                  <a:ext uri="{FF2B5EF4-FFF2-40B4-BE49-F238E27FC236}">
                    <a16:creationId xmlns:a16="http://schemas.microsoft.com/office/drawing/2014/main" id="{5BA8EE6C-6524-2D9B-D364-BDEAE18DC4D3}"/>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9" name="Straight Arrow Connector 18">
              <a:extLst>
                <a:ext uri="{FF2B5EF4-FFF2-40B4-BE49-F238E27FC236}">
                  <a16:creationId xmlns:a16="http://schemas.microsoft.com/office/drawing/2014/main" id="{9671E66E-0F86-F2F8-1800-813D55EF086B}"/>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20" name="Straight Arrow Connector 19">
              <a:extLst>
                <a:ext uri="{FF2B5EF4-FFF2-40B4-BE49-F238E27FC236}">
                  <a16:creationId xmlns:a16="http://schemas.microsoft.com/office/drawing/2014/main" id="{CD2A8C5E-8639-5227-E714-C2F42A57D312}"/>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19</xdr:col>
      <xdr:colOff>9525</xdr:colOff>
      <xdr:row>11</xdr:row>
      <xdr:rowOff>137583</xdr:rowOff>
    </xdr:from>
    <xdr:to>
      <xdr:col>20</xdr:col>
      <xdr:colOff>133350</xdr:colOff>
      <xdr:row>11</xdr:row>
      <xdr:rowOff>137583</xdr:rowOff>
    </xdr:to>
    <xdr:sp macro="" textlink="">
      <xdr:nvSpPr>
        <xdr:cNvPr id="27" name="Line 10718">
          <a:extLst>
            <a:ext uri="{FF2B5EF4-FFF2-40B4-BE49-F238E27FC236}">
              <a16:creationId xmlns:a16="http://schemas.microsoft.com/office/drawing/2014/main" id="{CE1C4D02-0CF7-44F3-A585-743C03AECABA}"/>
            </a:ext>
          </a:extLst>
        </xdr:cNvPr>
        <xdr:cNvSpPr>
          <a:spLocks noChangeShapeType="1"/>
        </xdr:cNvSpPr>
      </xdr:nvSpPr>
      <xdr:spPr bwMode="auto">
        <a:xfrm flipH="1">
          <a:off x="19967575" y="4976283"/>
          <a:ext cx="1355725" cy="0"/>
        </a:xfrm>
        <a:prstGeom prst="line">
          <a:avLst/>
        </a:prstGeom>
        <a:noFill/>
        <a:ln w="9525">
          <a:solidFill>
            <a:srgbClr val="000000"/>
          </a:solidFill>
          <a:round/>
          <a:headEnd/>
          <a:tailEnd type="triangle" w="med" len="med"/>
        </a:ln>
      </xdr:spPr>
    </xdr:sp>
    <xdr:clientData/>
  </xdr:twoCellAnchor>
  <xdr:twoCellAnchor>
    <xdr:from>
      <xdr:col>29</xdr:col>
      <xdr:colOff>0</xdr:colOff>
      <xdr:row>12</xdr:row>
      <xdr:rowOff>0</xdr:rowOff>
    </xdr:from>
    <xdr:to>
      <xdr:col>29</xdr:col>
      <xdr:colOff>161925</xdr:colOff>
      <xdr:row>14</xdr:row>
      <xdr:rowOff>309166</xdr:rowOff>
    </xdr:to>
    <xdr:pic>
      <xdr:nvPicPr>
        <xdr:cNvPr id="28" name="Picture 7">
          <a:extLst>
            <a:ext uri="{FF2B5EF4-FFF2-40B4-BE49-F238E27FC236}">
              <a16:creationId xmlns:a16="http://schemas.microsoft.com/office/drawing/2014/main" id="{61976B57-144B-41F5-B2BB-28BE2D99DB9F}"/>
            </a:ext>
          </a:extLst>
        </xdr:cNvPr>
        <xdr:cNvPicPr>
          <a:picLocks noChangeAspect="1"/>
        </xdr:cNvPicPr>
      </xdr:nvPicPr>
      <xdr:blipFill>
        <a:blip xmlns:r="http://schemas.openxmlformats.org/officeDocument/2006/relationships" r:embed="rId1" cstate="print"/>
        <a:srcRect/>
        <a:stretch>
          <a:fillRect/>
        </a:stretch>
      </xdr:blipFill>
      <xdr:spPr bwMode="auto">
        <a:xfrm>
          <a:off x="31813500" y="5346700"/>
          <a:ext cx="161925" cy="1325166"/>
        </a:xfrm>
        <a:prstGeom prst="rect">
          <a:avLst/>
        </a:prstGeom>
        <a:noFill/>
        <a:ln w="9525">
          <a:noFill/>
          <a:miter lim="800000"/>
          <a:headEnd/>
          <a:tailEnd/>
        </a:ln>
      </xdr:spPr>
    </xdr:pic>
    <xdr:clientData/>
  </xdr:twoCellAnchor>
  <xdr:twoCellAnchor>
    <xdr:from>
      <xdr:col>26</xdr:col>
      <xdr:colOff>358474</xdr:colOff>
      <xdr:row>3</xdr:row>
      <xdr:rowOff>56431</xdr:rowOff>
    </xdr:from>
    <xdr:to>
      <xdr:col>28</xdr:col>
      <xdr:colOff>643384</xdr:colOff>
      <xdr:row>4</xdr:row>
      <xdr:rowOff>10175</xdr:rowOff>
    </xdr:to>
    <xdr:sp macro="" textlink="">
      <xdr:nvSpPr>
        <xdr:cNvPr id="29" name="Freeform 1130">
          <a:extLst>
            <a:ext uri="{FF2B5EF4-FFF2-40B4-BE49-F238E27FC236}">
              <a16:creationId xmlns:a16="http://schemas.microsoft.com/office/drawing/2014/main" id="{E799E6D0-98FC-42A1-807F-740BFE4A161B}"/>
            </a:ext>
          </a:extLst>
        </xdr:cNvPr>
        <xdr:cNvSpPr>
          <a:spLocks noChangeArrowheads="1"/>
        </xdr:cNvSpPr>
      </xdr:nvSpPr>
      <xdr:spPr bwMode="auto">
        <a:xfrm rot="5139476">
          <a:off x="30235707" y="424248"/>
          <a:ext cx="264894" cy="229786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1</xdr:col>
      <xdr:colOff>0</xdr:colOff>
      <xdr:row>17</xdr:row>
      <xdr:rowOff>57150</xdr:rowOff>
    </xdr:from>
    <xdr:to>
      <xdr:col>2</xdr:col>
      <xdr:colOff>0</xdr:colOff>
      <xdr:row>19</xdr:row>
      <xdr:rowOff>0</xdr:rowOff>
    </xdr:to>
    <xdr:sp macro="" textlink="">
      <xdr:nvSpPr>
        <xdr:cNvPr id="30" name="AutoShape 46">
          <a:extLst>
            <a:ext uri="{FF2B5EF4-FFF2-40B4-BE49-F238E27FC236}">
              <a16:creationId xmlns:a16="http://schemas.microsoft.com/office/drawing/2014/main" id="{4AA31066-EE3E-4D70-A192-50E7FC9DA1FD}"/>
            </a:ext>
          </a:extLst>
        </xdr:cNvPr>
        <xdr:cNvSpPr>
          <a:spLocks noChangeArrowheads="1"/>
        </xdr:cNvSpPr>
      </xdr:nvSpPr>
      <xdr:spPr bwMode="auto">
        <a:xfrm>
          <a:off x="781050" y="8286750"/>
          <a:ext cx="1231900" cy="558800"/>
        </a:xfrm>
        <a:prstGeom prst="triangle">
          <a:avLst>
            <a:gd name="adj" fmla="val 50000"/>
          </a:avLst>
        </a:prstGeom>
        <a:solidFill>
          <a:schemeClr val="accent5"/>
        </a:solidFill>
        <a:ln w="9525">
          <a:solidFill>
            <a:srgbClr val="000000"/>
          </a:solidFill>
          <a:miter lim="800000"/>
          <a:headEnd/>
          <a:tailEnd/>
        </a:ln>
      </xdr:spPr>
    </xdr:sp>
    <xdr:clientData/>
  </xdr:twoCellAnchor>
  <xdr:twoCellAnchor>
    <xdr:from>
      <xdr:col>3</xdr:col>
      <xdr:colOff>0</xdr:colOff>
      <xdr:row>17</xdr:row>
      <xdr:rowOff>57150</xdr:rowOff>
    </xdr:from>
    <xdr:to>
      <xdr:col>4</xdr:col>
      <xdr:colOff>0</xdr:colOff>
      <xdr:row>18</xdr:row>
      <xdr:rowOff>190500</xdr:rowOff>
    </xdr:to>
    <xdr:sp macro="" textlink="">
      <xdr:nvSpPr>
        <xdr:cNvPr id="31" name="AutoShape 46">
          <a:extLst>
            <a:ext uri="{FF2B5EF4-FFF2-40B4-BE49-F238E27FC236}">
              <a16:creationId xmlns:a16="http://schemas.microsoft.com/office/drawing/2014/main" id="{B765462A-2A6A-40CF-8698-51A574F21694}"/>
            </a:ext>
          </a:extLst>
        </xdr:cNvPr>
        <xdr:cNvSpPr>
          <a:spLocks noChangeArrowheads="1"/>
        </xdr:cNvSpPr>
      </xdr:nvSpPr>
      <xdr:spPr bwMode="auto">
        <a:xfrm>
          <a:off x="27940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17</xdr:row>
      <xdr:rowOff>57150</xdr:rowOff>
    </xdr:from>
    <xdr:to>
      <xdr:col>6</xdr:col>
      <xdr:colOff>0</xdr:colOff>
      <xdr:row>18</xdr:row>
      <xdr:rowOff>190500</xdr:rowOff>
    </xdr:to>
    <xdr:sp macro="" textlink="">
      <xdr:nvSpPr>
        <xdr:cNvPr id="32" name="AutoShape 46">
          <a:extLst>
            <a:ext uri="{FF2B5EF4-FFF2-40B4-BE49-F238E27FC236}">
              <a16:creationId xmlns:a16="http://schemas.microsoft.com/office/drawing/2014/main" id="{F3F4F24D-740C-44D8-996A-3EB005D66A7A}"/>
            </a:ext>
          </a:extLst>
        </xdr:cNvPr>
        <xdr:cNvSpPr>
          <a:spLocks noChangeArrowheads="1"/>
        </xdr:cNvSpPr>
      </xdr:nvSpPr>
      <xdr:spPr bwMode="auto">
        <a:xfrm>
          <a:off x="49339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17</xdr:row>
      <xdr:rowOff>57150</xdr:rowOff>
    </xdr:from>
    <xdr:to>
      <xdr:col>8</xdr:col>
      <xdr:colOff>0</xdr:colOff>
      <xdr:row>18</xdr:row>
      <xdr:rowOff>190500</xdr:rowOff>
    </xdr:to>
    <xdr:sp macro="" textlink="">
      <xdr:nvSpPr>
        <xdr:cNvPr id="33" name="AutoShape 46">
          <a:extLst>
            <a:ext uri="{FF2B5EF4-FFF2-40B4-BE49-F238E27FC236}">
              <a16:creationId xmlns:a16="http://schemas.microsoft.com/office/drawing/2014/main" id="{D9029F48-9011-4255-BEBB-0CC8ED8B257B}"/>
            </a:ext>
          </a:extLst>
        </xdr:cNvPr>
        <xdr:cNvSpPr>
          <a:spLocks noChangeArrowheads="1"/>
        </xdr:cNvSpPr>
      </xdr:nvSpPr>
      <xdr:spPr bwMode="auto">
        <a:xfrm>
          <a:off x="69469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17</xdr:row>
      <xdr:rowOff>57150</xdr:rowOff>
    </xdr:from>
    <xdr:to>
      <xdr:col>10</xdr:col>
      <xdr:colOff>0</xdr:colOff>
      <xdr:row>18</xdr:row>
      <xdr:rowOff>190500</xdr:rowOff>
    </xdr:to>
    <xdr:sp macro="" textlink="">
      <xdr:nvSpPr>
        <xdr:cNvPr id="34" name="AutoShape 46">
          <a:extLst>
            <a:ext uri="{FF2B5EF4-FFF2-40B4-BE49-F238E27FC236}">
              <a16:creationId xmlns:a16="http://schemas.microsoft.com/office/drawing/2014/main" id="{7EC6490C-C890-4E44-BAAD-03A3CE0EB480}"/>
            </a:ext>
          </a:extLst>
        </xdr:cNvPr>
        <xdr:cNvSpPr>
          <a:spLocks noChangeArrowheads="1"/>
        </xdr:cNvSpPr>
      </xdr:nvSpPr>
      <xdr:spPr bwMode="auto">
        <a:xfrm>
          <a:off x="92773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17</xdr:row>
      <xdr:rowOff>57150</xdr:rowOff>
    </xdr:from>
    <xdr:to>
      <xdr:col>12</xdr:col>
      <xdr:colOff>0</xdr:colOff>
      <xdr:row>18</xdr:row>
      <xdr:rowOff>190500</xdr:rowOff>
    </xdr:to>
    <xdr:sp macro="" textlink="">
      <xdr:nvSpPr>
        <xdr:cNvPr id="35" name="AutoShape 46">
          <a:extLst>
            <a:ext uri="{FF2B5EF4-FFF2-40B4-BE49-F238E27FC236}">
              <a16:creationId xmlns:a16="http://schemas.microsoft.com/office/drawing/2014/main" id="{2F0CC37E-007A-4FC7-9599-E4EE53A5D3BA}"/>
            </a:ext>
          </a:extLst>
        </xdr:cNvPr>
        <xdr:cNvSpPr>
          <a:spLocks noChangeArrowheads="1"/>
        </xdr:cNvSpPr>
      </xdr:nvSpPr>
      <xdr:spPr bwMode="auto">
        <a:xfrm>
          <a:off x="112903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17</xdr:row>
      <xdr:rowOff>57150</xdr:rowOff>
    </xdr:from>
    <xdr:to>
      <xdr:col>14</xdr:col>
      <xdr:colOff>0</xdr:colOff>
      <xdr:row>18</xdr:row>
      <xdr:rowOff>190500</xdr:rowOff>
    </xdr:to>
    <xdr:sp macro="" textlink="">
      <xdr:nvSpPr>
        <xdr:cNvPr id="36" name="AutoShape 46">
          <a:extLst>
            <a:ext uri="{FF2B5EF4-FFF2-40B4-BE49-F238E27FC236}">
              <a16:creationId xmlns:a16="http://schemas.microsoft.com/office/drawing/2014/main" id="{81B18E20-7EBC-4EF1-9600-A27FFB55C484}"/>
            </a:ext>
          </a:extLst>
        </xdr:cNvPr>
        <xdr:cNvSpPr>
          <a:spLocks noChangeArrowheads="1"/>
        </xdr:cNvSpPr>
      </xdr:nvSpPr>
      <xdr:spPr bwMode="auto">
        <a:xfrm>
          <a:off x="133032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17</xdr:row>
      <xdr:rowOff>57150</xdr:rowOff>
    </xdr:from>
    <xdr:to>
      <xdr:col>16</xdr:col>
      <xdr:colOff>0</xdr:colOff>
      <xdr:row>18</xdr:row>
      <xdr:rowOff>190500</xdr:rowOff>
    </xdr:to>
    <xdr:sp macro="" textlink="">
      <xdr:nvSpPr>
        <xdr:cNvPr id="37" name="AutoShape 46">
          <a:extLst>
            <a:ext uri="{FF2B5EF4-FFF2-40B4-BE49-F238E27FC236}">
              <a16:creationId xmlns:a16="http://schemas.microsoft.com/office/drawing/2014/main" id="{99084876-24D1-427C-A10B-921CFD89AFF8}"/>
            </a:ext>
          </a:extLst>
        </xdr:cNvPr>
        <xdr:cNvSpPr>
          <a:spLocks noChangeArrowheads="1"/>
        </xdr:cNvSpPr>
      </xdr:nvSpPr>
      <xdr:spPr bwMode="auto">
        <a:xfrm>
          <a:off x="15316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38" name="AutoShape 46">
          <a:extLst>
            <a:ext uri="{FF2B5EF4-FFF2-40B4-BE49-F238E27FC236}">
              <a16:creationId xmlns:a16="http://schemas.microsoft.com/office/drawing/2014/main" id="{23DDA819-4614-47A1-B10C-3F5E5EF44D58}"/>
            </a:ext>
          </a:extLst>
        </xdr:cNvPr>
        <xdr:cNvSpPr>
          <a:spLocks noChangeArrowheads="1"/>
        </xdr:cNvSpPr>
      </xdr:nvSpPr>
      <xdr:spPr bwMode="auto">
        <a:xfrm>
          <a:off x="177292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xdr:row>
      <xdr:rowOff>57150</xdr:rowOff>
    </xdr:from>
    <xdr:to>
      <xdr:col>20</xdr:col>
      <xdr:colOff>0</xdr:colOff>
      <xdr:row>18</xdr:row>
      <xdr:rowOff>190500</xdr:rowOff>
    </xdr:to>
    <xdr:sp macro="" textlink="">
      <xdr:nvSpPr>
        <xdr:cNvPr id="39" name="AutoShape 46">
          <a:extLst>
            <a:ext uri="{FF2B5EF4-FFF2-40B4-BE49-F238E27FC236}">
              <a16:creationId xmlns:a16="http://schemas.microsoft.com/office/drawing/2014/main" id="{C5B327EC-17E5-4318-AD92-143DBC2E73DF}"/>
            </a:ext>
          </a:extLst>
        </xdr:cNvPr>
        <xdr:cNvSpPr>
          <a:spLocks noChangeArrowheads="1"/>
        </xdr:cNvSpPr>
      </xdr:nvSpPr>
      <xdr:spPr bwMode="auto">
        <a:xfrm>
          <a:off x="199580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xdr:row>
      <xdr:rowOff>57150</xdr:rowOff>
    </xdr:from>
    <xdr:to>
      <xdr:col>22</xdr:col>
      <xdr:colOff>0</xdr:colOff>
      <xdr:row>18</xdr:row>
      <xdr:rowOff>190500</xdr:rowOff>
    </xdr:to>
    <xdr:sp macro="" textlink="">
      <xdr:nvSpPr>
        <xdr:cNvPr id="40" name="AutoShape 46">
          <a:extLst>
            <a:ext uri="{FF2B5EF4-FFF2-40B4-BE49-F238E27FC236}">
              <a16:creationId xmlns:a16="http://schemas.microsoft.com/office/drawing/2014/main" id="{E831188E-A521-45C5-A496-1C3A59D254FD}"/>
            </a:ext>
          </a:extLst>
        </xdr:cNvPr>
        <xdr:cNvSpPr>
          <a:spLocks noChangeArrowheads="1"/>
        </xdr:cNvSpPr>
      </xdr:nvSpPr>
      <xdr:spPr bwMode="auto">
        <a:xfrm>
          <a:off x="22542500" y="82867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xdr:row>
      <xdr:rowOff>57150</xdr:rowOff>
    </xdr:from>
    <xdr:to>
      <xdr:col>24</xdr:col>
      <xdr:colOff>0</xdr:colOff>
      <xdr:row>18</xdr:row>
      <xdr:rowOff>190500</xdr:rowOff>
    </xdr:to>
    <xdr:sp macro="" textlink="">
      <xdr:nvSpPr>
        <xdr:cNvPr id="41" name="AutoShape 46">
          <a:extLst>
            <a:ext uri="{FF2B5EF4-FFF2-40B4-BE49-F238E27FC236}">
              <a16:creationId xmlns:a16="http://schemas.microsoft.com/office/drawing/2014/main" id="{408EEE37-1D4C-4537-9493-5A70C27478D6}"/>
            </a:ext>
          </a:extLst>
        </xdr:cNvPr>
        <xdr:cNvSpPr>
          <a:spLocks noChangeArrowheads="1"/>
        </xdr:cNvSpPr>
      </xdr:nvSpPr>
      <xdr:spPr bwMode="auto">
        <a:xfrm>
          <a:off x="254889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xdr:row>
      <xdr:rowOff>57150</xdr:rowOff>
    </xdr:from>
    <xdr:to>
      <xdr:col>26</xdr:col>
      <xdr:colOff>0</xdr:colOff>
      <xdr:row>18</xdr:row>
      <xdr:rowOff>190500</xdr:rowOff>
    </xdr:to>
    <xdr:sp macro="" textlink="">
      <xdr:nvSpPr>
        <xdr:cNvPr id="42" name="AutoShape 46">
          <a:extLst>
            <a:ext uri="{FF2B5EF4-FFF2-40B4-BE49-F238E27FC236}">
              <a16:creationId xmlns:a16="http://schemas.microsoft.com/office/drawing/2014/main" id="{B6CFCAA3-6F35-4441-BFFB-51B8D5F09B8F}"/>
            </a:ext>
          </a:extLst>
        </xdr:cNvPr>
        <xdr:cNvSpPr>
          <a:spLocks noChangeArrowheads="1"/>
        </xdr:cNvSpPr>
      </xdr:nvSpPr>
      <xdr:spPr bwMode="auto">
        <a:xfrm>
          <a:off x="276288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xdr:row>
      <xdr:rowOff>57150</xdr:rowOff>
    </xdr:from>
    <xdr:to>
      <xdr:col>28</xdr:col>
      <xdr:colOff>0</xdr:colOff>
      <xdr:row>18</xdr:row>
      <xdr:rowOff>190500</xdr:rowOff>
    </xdr:to>
    <xdr:sp macro="" textlink="">
      <xdr:nvSpPr>
        <xdr:cNvPr id="43" name="AutoShape 46">
          <a:extLst>
            <a:ext uri="{FF2B5EF4-FFF2-40B4-BE49-F238E27FC236}">
              <a16:creationId xmlns:a16="http://schemas.microsoft.com/office/drawing/2014/main" id="{E521E019-16FF-4FE8-B619-4DFB5BC9AE5B}"/>
            </a:ext>
          </a:extLst>
        </xdr:cNvPr>
        <xdr:cNvSpPr>
          <a:spLocks noChangeArrowheads="1"/>
        </xdr:cNvSpPr>
      </xdr:nvSpPr>
      <xdr:spPr bwMode="auto">
        <a:xfrm>
          <a:off x="296418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44" name="AutoShape 46">
          <a:extLst>
            <a:ext uri="{FF2B5EF4-FFF2-40B4-BE49-F238E27FC236}">
              <a16:creationId xmlns:a16="http://schemas.microsoft.com/office/drawing/2014/main" id="{A703DF4A-832E-4888-B63A-6A64980EFC46}"/>
            </a:ext>
          </a:extLst>
        </xdr:cNvPr>
        <xdr:cNvSpPr>
          <a:spLocks noChangeArrowheads="1"/>
        </xdr:cNvSpPr>
      </xdr:nvSpPr>
      <xdr:spPr bwMode="auto">
        <a:xfrm>
          <a:off x="1772920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17</xdr:row>
      <xdr:rowOff>57150</xdr:rowOff>
    </xdr:from>
    <xdr:to>
      <xdr:col>20</xdr:col>
      <xdr:colOff>0</xdr:colOff>
      <xdr:row>18</xdr:row>
      <xdr:rowOff>190500</xdr:rowOff>
    </xdr:to>
    <xdr:sp macro="" textlink="">
      <xdr:nvSpPr>
        <xdr:cNvPr id="45" name="AutoShape 46">
          <a:extLst>
            <a:ext uri="{FF2B5EF4-FFF2-40B4-BE49-F238E27FC236}">
              <a16:creationId xmlns:a16="http://schemas.microsoft.com/office/drawing/2014/main" id="{C549996F-405A-443C-BBC6-037BB42279F3}"/>
            </a:ext>
          </a:extLst>
        </xdr:cNvPr>
        <xdr:cNvSpPr>
          <a:spLocks noChangeArrowheads="1"/>
        </xdr:cNvSpPr>
      </xdr:nvSpPr>
      <xdr:spPr bwMode="auto">
        <a:xfrm>
          <a:off x="1995805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17</xdr:row>
      <xdr:rowOff>57150</xdr:rowOff>
    </xdr:from>
    <xdr:to>
      <xdr:col>22</xdr:col>
      <xdr:colOff>0</xdr:colOff>
      <xdr:row>18</xdr:row>
      <xdr:rowOff>190500</xdr:rowOff>
    </xdr:to>
    <xdr:sp macro="" textlink="">
      <xdr:nvSpPr>
        <xdr:cNvPr id="46" name="AutoShape 46">
          <a:extLst>
            <a:ext uri="{FF2B5EF4-FFF2-40B4-BE49-F238E27FC236}">
              <a16:creationId xmlns:a16="http://schemas.microsoft.com/office/drawing/2014/main" id="{5398058C-F6B4-4627-9B56-9DDCBDC6955E}"/>
            </a:ext>
          </a:extLst>
        </xdr:cNvPr>
        <xdr:cNvSpPr>
          <a:spLocks noChangeArrowheads="1"/>
        </xdr:cNvSpPr>
      </xdr:nvSpPr>
      <xdr:spPr bwMode="auto">
        <a:xfrm>
          <a:off x="22542500" y="828675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17</xdr:row>
      <xdr:rowOff>57150</xdr:rowOff>
    </xdr:from>
    <xdr:to>
      <xdr:col>24</xdr:col>
      <xdr:colOff>0</xdr:colOff>
      <xdr:row>18</xdr:row>
      <xdr:rowOff>190500</xdr:rowOff>
    </xdr:to>
    <xdr:sp macro="" textlink="">
      <xdr:nvSpPr>
        <xdr:cNvPr id="47" name="AutoShape 46">
          <a:extLst>
            <a:ext uri="{FF2B5EF4-FFF2-40B4-BE49-F238E27FC236}">
              <a16:creationId xmlns:a16="http://schemas.microsoft.com/office/drawing/2014/main" id="{CC219C43-0870-40CA-B18A-C6457D8DA95D}"/>
            </a:ext>
          </a:extLst>
        </xdr:cNvPr>
        <xdr:cNvSpPr>
          <a:spLocks noChangeArrowheads="1"/>
        </xdr:cNvSpPr>
      </xdr:nvSpPr>
      <xdr:spPr bwMode="auto">
        <a:xfrm>
          <a:off x="2548890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17</xdr:row>
      <xdr:rowOff>57150</xdr:rowOff>
    </xdr:from>
    <xdr:to>
      <xdr:col>26</xdr:col>
      <xdr:colOff>0</xdr:colOff>
      <xdr:row>18</xdr:row>
      <xdr:rowOff>190500</xdr:rowOff>
    </xdr:to>
    <xdr:sp macro="" textlink="">
      <xdr:nvSpPr>
        <xdr:cNvPr id="48" name="AutoShape 46">
          <a:extLst>
            <a:ext uri="{FF2B5EF4-FFF2-40B4-BE49-F238E27FC236}">
              <a16:creationId xmlns:a16="http://schemas.microsoft.com/office/drawing/2014/main" id="{BE20E7E6-0AA6-40E7-B6E7-0040F8945CB3}"/>
            </a:ext>
          </a:extLst>
        </xdr:cNvPr>
        <xdr:cNvSpPr>
          <a:spLocks noChangeArrowheads="1"/>
        </xdr:cNvSpPr>
      </xdr:nvSpPr>
      <xdr:spPr bwMode="auto">
        <a:xfrm>
          <a:off x="276288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17</xdr:row>
      <xdr:rowOff>57150</xdr:rowOff>
    </xdr:from>
    <xdr:to>
      <xdr:col>28</xdr:col>
      <xdr:colOff>0</xdr:colOff>
      <xdr:row>18</xdr:row>
      <xdr:rowOff>190500</xdr:rowOff>
    </xdr:to>
    <xdr:sp macro="" textlink="">
      <xdr:nvSpPr>
        <xdr:cNvPr id="49" name="AutoShape 46">
          <a:extLst>
            <a:ext uri="{FF2B5EF4-FFF2-40B4-BE49-F238E27FC236}">
              <a16:creationId xmlns:a16="http://schemas.microsoft.com/office/drawing/2014/main" id="{EB480595-7632-410D-92FC-06130FE4200F}"/>
            </a:ext>
          </a:extLst>
        </xdr:cNvPr>
        <xdr:cNvSpPr>
          <a:spLocks noChangeArrowheads="1"/>
        </xdr:cNvSpPr>
      </xdr:nvSpPr>
      <xdr:spPr bwMode="auto">
        <a:xfrm>
          <a:off x="296418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17</xdr:row>
      <xdr:rowOff>57150</xdr:rowOff>
    </xdr:from>
    <xdr:to>
      <xdr:col>16</xdr:col>
      <xdr:colOff>0</xdr:colOff>
      <xdr:row>18</xdr:row>
      <xdr:rowOff>190500</xdr:rowOff>
    </xdr:to>
    <xdr:sp macro="" textlink="">
      <xdr:nvSpPr>
        <xdr:cNvPr id="50" name="AutoShape 46">
          <a:extLst>
            <a:ext uri="{FF2B5EF4-FFF2-40B4-BE49-F238E27FC236}">
              <a16:creationId xmlns:a16="http://schemas.microsoft.com/office/drawing/2014/main" id="{74B38416-5E11-4CAA-9E86-2518FFF819B3}"/>
            </a:ext>
          </a:extLst>
        </xdr:cNvPr>
        <xdr:cNvSpPr>
          <a:spLocks noChangeArrowheads="1"/>
        </xdr:cNvSpPr>
      </xdr:nvSpPr>
      <xdr:spPr bwMode="auto">
        <a:xfrm>
          <a:off x="15316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51" name="AutoShape 46">
          <a:extLst>
            <a:ext uri="{FF2B5EF4-FFF2-40B4-BE49-F238E27FC236}">
              <a16:creationId xmlns:a16="http://schemas.microsoft.com/office/drawing/2014/main" id="{C0DAE1C9-7B1C-44F3-BBCA-24D89FBC6621}"/>
            </a:ext>
          </a:extLst>
        </xdr:cNvPr>
        <xdr:cNvSpPr>
          <a:spLocks noChangeArrowheads="1"/>
        </xdr:cNvSpPr>
      </xdr:nvSpPr>
      <xdr:spPr bwMode="auto">
        <a:xfrm>
          <a:off x="17729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17</xdr:row>
      <xdr:rowOff>57150</xdr:rowOff>
    </xdr:from>
    <xdr:to>
      <xdr:col>20</xdr:col>
      <xdr:colOff>0</xdr:colOff>
      <xdr:row>18</xdr:row>
      <xdr:rowOff>190500</xdr:rowOff>
    </xdr:to>
    <xdr:sp macro="" textlink="">
      <xdr:nvSpPr>
        <xdr:cNvPr id="52" name="AutoShape 46">
          <a:extLst>
            <a:ext uri="{FF2B5EF4-FFF2-40B4-BE49-F238E27FC236}">
              <a16:creationId xmlns:a16="http://schemas.microsoft.com/office/drawing/2014/main" id="{E2DB974E-E0DB-4F31-B4F3-31D09A9E94A2}"/>
            </a:ext>
          </a:extLst>
        </xdr:cNvPr>
        <xdr:cNvSpPr>
          <a:spLocks noChangeArrowheads="1"/>
        </xdr:cNvSpPr>
      </xdr:nvSpPr>
      <xdr:spPr bwMode="auto">
        <a:xfrm>
          <a:off x="199580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17</xdr:row>
      <xdr:rowOff>57150</xdr:rowOff>
    </xdr:from>
    <xdr:to>
      <xdr:col>22</xdr:col>
      <xdr:colOff>0</xdr:colOff>
      <xdr:row>18</xdr:row>
      <xdr:rowOff>190500</xdr:rowOff>
    </xdr:to>
    <xdr:sp macro="" textlink="">
      <xdr:nvSpPr>
        <xdr:cNvPr id="53" name="AutoShape 46">
          <a:extLst>
            <a:ext uri="{FF2B5EF4-FFF2-40B4-BE49-F238E27FC236}">
              <a16:creationId xmlns:a16="http://schemas.microsoft.com/office/drawing/2014/main" id="{F0FF70CF-1100-471C-BA49-90189AF8ADD7}"/>
            </a:ext>
          </a:extLst>
        </xdr:cNvPr>
        <xdr:cNvSpPr>
          <a:spLocks noChangeArrowheads="1"/>
        </xdr:cNvSpPr>
      </xdr:nvSpPr>
      <xdr:spPr bwMode="auto">
        <a:xfrm>
          <a:off x="22542500" y="828675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17</xdr:row>
      <xdr:rowOff>57150</xdr:rowOff>
    </xdr:from>
    <xdr:to>
      <xdr:col>24</xdr:col>
      <xdr:colOff>0</xdr:colOff>
      <xdr:row>18</xdr:row>
      <xdr:rowOff>190500</xdr:rowOff>
    </xdr:to>
    <xdr:sp macro="" textlink="">
      <xdr:nvSpPr>
        <xdr:cNvPr id="54" name="AutoShape 46">
          <a:extLst>
            <a:ext uri="{FF2B5EF4-FFF2-40B4-BE49-F238E27FC236}">
              <a16:creationId xmlns:a16="http://schemas.microsoft.com/office/drawing/2014/main" id="{E924855A-DD78-4848-AC9D-E985FCBAA01E}"/>
            </a:ext>
          </a:extLst>
        </xdr:cNvPr>
        <xdr:cNvSpPr>
          <a:spLocks noChangeArrowheads="1"/>
        </xdr:cNvSpPr>
      </xdr:nvSpPr>
      <xdr:spPr bwMode="auto">
        <a:xfrm>
          <a:off x="254889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17</xdr:row>
      <xdr:rowOff>57150</xdr:rowOff>
    </xdr:from>
    <xdr:to>
      <xdr:col>26</xdr:col>
      <xdr:colOff>0</xdr:colOff>
      <xdr:row>18</xdr:row>
      <xdr:rowOff>190500</xdr:rowOff>
    </xdr:to>
    <xdr:sp macro="" textlink="">
      <xdr:nvSpPr>
        <xdr:cNvPr id="55" name="AutoShape 46">
          <a:extLst>
            <a:ext uri="{FF2B5EF4-FFF2-40B4-BE49-F238E27FC236}">
              <a16:creationId xmlns:a16="http://schemas.microsoft.com/office/drawing/2014/main" id="{29EAA03B-9940-4140-AA47-3DEFD5B4C7C8}"/>
            </a:ext>
          </a:extLst>
        </xdr:cNvPr>
        <xdr:cNvSpPr>
          <a:spLocks noChangeArrowheads="1"/>
        </xdr:cNvSpPr>
      </xdr:nvSpPr>
      <xdr:spPr bwMode="auto">
        <a:xfrm>
          <a:off x="2762885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17</xdr:row>
      <xdr:rowOff>57150</xdr:rowOff>
    </xdr:from>
    <xdr:to>
      <xdr:col>28</xdr:col>
      <xdr:colOff>0</xdr:colOff>
      <xdr:row>18</xdr:row>
      <xdr:rowOff>190500</xdr:rowOff>
    </xdr:to>
    <xdr:sp macro="" textlink="">
      <xdr:nvSpPr>
        <xdr:cNvPr id="56" name="AutoShape 46">
          <a:extLst>
            <a:ext uri="{FF2B5EF4-FFF2-40B4-BE49-F238E27FC236}">
              <a16:creationId xmlns:a16="http://schemas.microsoft.com/office/drawing/2014/main" id="{DED705A4-4EF1-4CF7-A502-EB669D048CFE}"/>
            </a:ext>
          </a:extLst>
        </xdr:cNvPr>
        <xdr:cNvSpPr>
          <a:spLocks noChangeArrowheads="1"/>
        </xdr:cNvSpPr>
      </xdr:nvSpPr>
      <xdr:spPr bwMode="auto">
        <a:xfrm>
          <a:off x="296418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24</xdr:row>
      <xdr:rowOff>57150</xdr:rowOff>
    </xdr:from>
    <xdr:to>
      <xdr:col>2</xdr:col>
      <xdr:colOff>0</xdr:colOff>
      <xdr:row>25</xdr:row>
      <xdr:rowOff>190500</xdr:rowOff>
    </xdr:to>
    <xdr:sp macro="" textlink="">
      <xdr:nvSpPr>
        <xdr:cNvPr id="57" name="AutoShape 46">
          <a:extLst>
            <a:ext uri="{FF2B5EF4-FFF2-40B4-BE49-F238E27FC236}">
              <a16:creationId xmlns:a16="http://schemas.microsoft.com/office/drawing/2014/main" id="{9782DC84-6291-465E-BE5B-543E7D6778C5}"/>
            </a:ext>
          </a:extLst>
        </xdr:cNvPr>
        <xdr:cNvSpPr>
          <a:spLocks noChangeArrowheads="1"/>
        </xdr:cNvSpPr>
      </xdr:nvSpPr>
      <xdr:spPr bwMode="auto">
        <a:xfrm>
          <a:off x="781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24</xdr:row>
      <xdr:rowOff>57150</xdr:rowOff>
    </xdr:from>
    <xdr:to>
      <xdr:col>4</xdr:col>
      <xdr:colOff>0</xdr:colOff>
      <xdr:row>25</xdr:row>
      <xdr:rowOff>190500</xdr:rowOff>
    </xdr:to>
    <xdr:sp macro="" textlink="">
      <xdr:nvSpPr>
        <xdr:cNvPr id="58" name="AutoShape 46">
          <a:extLst>
            <a:ext uri="{FF2B5EF4-FFF2-40B4-BE49-F238E27FC236}">
              <a16:creationId xmlns:a16="http://schemas.microsoft.com/office/drawing/2014/main" id="{94A5BBA3-ADB3-43D6-8404-B11AEA551C4D}"/>
            </a:ext>
          </a:extLst>
        </xdr:cNvPr>
        <xdr:cNvSpPr>
          <a:spLocks noChangeArrowheads="1"/>
        </xdr:cNvSpPr>
      </xdr:nvSpPr>
      <xdr:spPr bwMode="auto">
        <a:xfrm>
          <a:off x="27940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24</xdr:row>
      <xdr:rowOff>57150</xdr:rowOff>
    </xdr:from>
    <xdr:to>
      <xdr:col>6</xdr:col>
      <xdr:colOff>0</xdr:colOff>
      <xdr:row>25</xdr:row>
      <xdr:rowOff>190500</xdr:rowOff>
    </xdr:to>
    <xdr:sp macro="" textlink="">
      <xdr:nvSpPr>
        <xdr:cNvPr id="59" name="AutoShape 46">
          <a:extLst>
            <a:ext uri="{FF2B5EF4-FFF2-40B4-BE49-F238E27FC236}">
              <a16:creationId xmlns:a16="http://schemas.microsoft.com/office/drawing/2014/main" id="{1BED047C-F00E-4065-9F11-F4BD82F036E3}"/>
            </a:ext>
          </a:extLst>
        </xdr:cNvPr>
        <xdr:cNvSpPr>
          <a:spLocks noChangeArrowheads="1"/>
        </xdr:cNvSpPr>
      </xdr:nvSpPr>
      <xdr:spPr bwMode="auto">
        <a:xfrm>
          <a:off x="49339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24</xdr:row>
      <xdr:rowOff>57150</xdr:rowOff>
    </xdr:from>
    <xdr:to>
      <xdr:col>8</xdr:col>
      <xdr:colOff>0</xdr:colOff>
      <xdr:row>25</xdr:row>
      <xdr:rowOff>190500</xdr:rowOff>
    </xdr:to>
    <xdr:sp macro="" textlink="">
      <xdr:nvSpPr>
        <xdr:cNvPr id="60" name="AutoShape 46">
          <a:extLst>
            <a:ext uri="{FF2B5EF4-FFF2-40B4-BE49-F238E27FC236}">
              <a16:creationId xmlns:a16="http://schemas.microsoft.com/office/drawing/2014/main" id="{80CA88A0-8725-4D1F-9C6A-987126AA8844}"/>
            </a:ext>
          </a:extLst>
        </xdr:cNvPr>
        <xdr:cNvSpPr>
          <a:spLocks noChangeArrowheads="1"/>
        </xdr:cNvSpPr>
      </xdr:nvSpPr>
      <xdr:spPr bwMode="auto">
        <a:xfrm>
          <a:off x="6946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24</xdr:row>
      <xdr:rowOff>57150</xdr:rowOff>
    </xdr:from>
    <xdr:to>
      <xdr:col>10</xdr:col>
      <xdr:colOff>0</xdr:colOff>
      <xdr:row>25</xdr:row>
      <xdr:rowOff>190500</xdr:rowOff>
    </xdr:to>
    <xdr:sp macro="" textlink="">
      <xdr:nvSpPr>
        <xdr:cNvPr id="61" name="AutoShape 46">
          <a:extLst>
            <a:ext uri="{FF2B5EF4-FFF2-40B4-BE49-F238E27FC236}">
              <a16:creationId xmlns:a16="http://schemas.microsoft.com/office/drawing/2014/main" id="{B66B8E96-E817-4B78-B16E-9F9DABD9E6CF}"/>
            </a:ext>
          </a:extLst>
        </xdr:cNvPr>
        <xdr:cNvSpPr>
          <a:spLocks noChangeArrowheads="1"/>
        </xdr:cNvSpPr>
      </xdr:nvSpPr>
      <xdr:spPr bwMode="auto">
        <a:xfrm>
          <a:off x="92773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24</xdr:row>
      <xdr:rowOff>57150</xdr:rowOff>
    </xdr:from>
    <xdr:to>
      <xdr:col>12</xdr:col>
      <xdr:colOff>0</xdr:colOff>
      <xdr:row>25</xdr:row>
      <xdr:rowOff>190500</xdr:rowOff>
    </xdr:to>
    <xdr:sp macro="" textlink="">
      <xdr:nvSpPr>
        <xdr:cNvPr id="62" name="AutoShape 46">
          <a:extLst>
            <a:ext uri="{FF2B5EF4-FFF2-40B4-BE49-F238E27FC236}">
              <a16:creationId xmlns:a16="http://schemas.microsoft.com/office/drawing/2014/main" id="{1F9C65D9-6C24-4715-AB90-F165957D7C4D}"/>
            </a:ext>
          </a:extLst>
        </xdr:cNvPr>
        <xdr:cNvSpPr>
          <a:spLocks noChangeArrowheads="1"/>
        </xdr:cNvSpPr>
      </xdr:nvSpPr>
      <xdr:spPr bwMode="auto">
        <a:xfrm>
          <a:off x="112903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24</xdr:row>
      <xdr:rowOff>57150</xdr:rowOff>
    </xdr:from>
    <xdr:to>
      <xdr:col>14</xdr:col>
      <xdr:colOff>0</xdr:colOff>
      <xdr:row>25</xdr:row>
      <xdr:rowOff>190500</xdr:rowOff>
    </xdr:to>
    <xdr:sp macro="" textlink="">
      <xdr:nvSpPr>
        <xdr:cNvPr id="63" name="AutoShape 46">
          <a:extLst>
            <a:ext uri="{FF2B5EF4-FFF2-40B4-BE49-F238E27FC236}">
              <a16:creationId xmlns:a16="http://schemas.microsoft.com/office/drawing/2014/main" id="{B3359877-B94F-45B9-8F2D-FC0B79114EC8}"/>
            </a:ext>
          </a:extLst>
        </xdr:cNvPr>
        <xdr:cNvSpPr>
          <a:spLocks noChangeArrowheads="1"/>
        </xdr:cNvSpPr>
      </xdr:nvSpPr>
      <xdr:spPr bwMode="auto">
        <a:xfrm>
          <a:off x="133032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24</xdr:row>
      <xdr:rowOff>57150</xdr:rowOff>
    </xdr:from>
    <xdr:to>
      <xdr:col>16</xdr:col>
      <xdr:colOff>0</xdr:colOff>
      <xdr:row>25</xdr:row>
      <xdr:rowOff>190500</xdr:rowOff>
    </xdr:to>
    <xdr:sp macro="" textlink="">
      <xdr:nvSpPr>
        <xdr:cNvPr id="64" name="AutoShape 46">
          <a:extLst>
            <a:ext uri="{FF2B5EF4-FFF2-40B4-BE49-F238E27FC236}">
              <a16:creationId xmlns:a16="http://schemas.microsoft.com/office/drawing/2014/main" id="{7B1933AE-AC24-46C3-8BCB-70669C761599}"/>
            </a:ext>
          </a:extLst>
        </xdr:cNvPr>
        <xdr:cNvSpPr>
          <a:spLocks noChangeArrowheads="1"/>
        </xdr:cNvSpPr>
      </xdr:nvSpPr>
      <xdr:spPr bwMode="auto">
        <a:xfrm>
          <a:off x="15316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65" name="AutoShape 46">
          <a:extLst>
            <a:ext uri="{FF2B5EF4-FFF2-40B4-BE49-F238E27FC236}">
              <a16:creationId xmlns:a16="http://schemas.microsoft.com/office/drawing/2014/main" id="{7AF78D37-BEDA-4D82-BE54-E7B9D824DC0B}"/>
            </a:ext>
          </a:extLst>
        </xdr:cNvPr>
        <xdr:cNvSpPr>
          <a:spLocks noChangeArrowheads="1"/>
        </xdr:cNvSpPr>
      </xdr:nvSpPr>
      <xdr:spPr bwMode="auto">
        <a:xfrm>
          <a:off x="177292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66" name="AutoShape 46">
          <a:extLst>
            <a:ext uri="{FF2B5EF4-FFF2-40B4-BE49-F238E27FC236}">
              <a16:creationId xmlns:a16="http://schemas.microsoft.com/office/drawing/2014/main" id="{48BB1FD8-87C0-477E-9775-53CDF61FDF29}"/>
            </a:ext>
          </a:extLst>
        </xdr:cNvPr>
        <xdr:cNvSpPr>
          <a:spLocks noChangeArrowheads="1"/>
        </xdr:cNvSpPr>
      </xdr:nvSpPr>
      <xdr:spPr bwMode="auto">
        <a:xfrm>
          <a:off x="1995805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67" name="AutoShape 46">
          <a:extLst>
            <a:ext uri="{FF2B5EF4-FFF2-40B4-BE49-F238E27FC236}">
              <a16:creationId xmlns:a16="http://schemas.microsoft.com/office/drawing/2014/main" id="{766D1010-6B3E-49C3-B9BD-A785C25303FC}"/>
            </a:ext>
          </a:extLst>
        </xdr:cNvPr>
        <xdr:cNvSpPr>
          <a:spLocks noChangeArrowheads="1"/>
        </xdr:cNvSpPr>
      </xdr:nvSpPr>
      <xdr:spPr bwMode="auto">
        <a:xfrm>
          <a:off x="22542500" y="11550650"/>
          <a:ext cx="1612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68" name="AutoShape 46">
          <a:extLst>
            <a:ext uri="{FF2B5EF4-FFF2-40B4-BE49-F238E27FC236}">
              <a16:creationId xmlns:a16="http://schemas.microsoft.com/office/drawing/2014/main" id="{6D6FC895-D438-4F9C-AB86-1E6C22A3EA24}"/>
            </a:ext>
          </a:extLst>
        </xdr:cNvPr>
        <xdr:cNvSpPr>
          <a:spLocks noChangeArrowheads="1"/>
        </xdr:cNvSpPr>
      </xdr:nvSpPr>
      <xdr:spPr bwMode="auto">
        <a:xfrm>
          <a:off x="254889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69" name="AutoShape 46">
          <a:extLst>
            <a:ext uri="{FF2B5EF4-FFF2-40B4-BE49-F238E27FC236}">
              <a16:creationId xmlns:a16="http://schemas.microsoft.com/office/drawing/2014/main" id="{DB918DC4-7245-4DA0-A4D1-B68A0356D364}"/>
            </a:ext>
          </a:extLst>
        </xdr:cNvPr>
        <xdr:cNvSpPr>
          <a:spLocks noChangeArrowheads="1"/>
        </xdr:cNvSpPr>
      </xdr:nvSpPr>
      <xdr:spPr bwMode="auto">
        <a:xfrm>
          <a:off x="2762885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70" name="AutoShape 46">
          <a:extLst>
            <a:ext uri="{FF2B5EF4-FFF2-40B4-BE49-F238E27FC236}">
              <a16:creationId xmlns:a16="http://schemas.microsoft.com/office/drawing/2014/main" id="{95EE0852-D756-4C74-BEAE-5DCCED5B3536}"/>
            </a:ext>
          </a:extLst>
        </xdr:cNvPr>
        <xdr:cNvSpPr>
          <a:spLocks noChangeArrowheads="1"/>
        </xdr:cNvSpPr>
      </xdr:nvSpPr>
      <xdr:spPr bwMode="auto">
        <a:xfrm>
          <a:off x="296418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71" name="AutoShape 46">
          <a:extLst>
            <a:ext uri="{FF2B5EF4-FFF2-40B4-BE49-F238E27FC236}">
              <a16:creationId xmlns:a16="http://schemas.microsoft.com/office/drawing/2014/main" id="{E81D14C6-63FE-45F3-A53B-763A24CEDEF7}"/>
            </a:ext>
          </a:extLst>
        </xdr:cNvPr>
        <xdr:cNvSpPr>
          <a:spLocks noChangeArrowheads="1"/>
        </xdr:cNvSpPr>
      </xdr:nvSpPr>
      <xdr:spPr bwMode="auto">
        <a:xfrm>
          <a:off x="17729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72" name="AutoShape 46">
          <a:extLst>
            <a:ext uri="{FF2B5EF4-FFF2-40B4-BE49-F238E27FC236}">
              <a16:creationId xmlns:a16="http://schemas.microsoft.com/office/drawing/2014/main" id="{842CF330-AD72-4C1B-A126-29956A1AFC8E}"/>
            </a:ext>
          </a:extLst>
        </xdr:cNvPr>
        <xdr:cNvSpPr>
          <a:spLocks noChangeArrowheads="1"/>
        </xdr:cNvSpPr>
      </xdr:nvSpPr>
      <xdr:spPr bwMode="auto">
        <a:xfrm>
          <a:off x="19958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73" name="AutoShape 46">
          <a:extLst>
            <a:ext uri="{FF2B5EF4-FFF2-40B4-BE49-F238E27FC236}">
              <a16:creationId xmlns:a16="http://schemas.microsoft.com/office/drawing/2014/main" id="{12840725-D0B2-4885-A58A-FA08B061F747}"/>
            </a:ext>
          </a:extLst>
        </xdr:cNvPr>
        <xdr:cNvSpPr>
          <a:spLocks noChangeArrowheads="1"/>
        </xdr:cNvSpPr>
      </xdr:nvSpPr>
      <xdr:spPr bwMode="auto">
        <a:xfrm>
          <a:off x="22542500" y="11550650"/>
          <a:ext cx="1612900" cy="52705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74" name="AutoShape 46">
          <a:extLst>
            <a:ext uri="{FF2B5EF4-FFF2-40B4-BE49-F238E27FC236}">
              <a16:creationId xmlns:a16="http://schemas.microsoft.com/office/drawing/2014/main" id="{AD9BDBD9-3FB3-4947-90C6-A8097FDA6B4E}"/>
            </a:ext>
          </a:extLst>
        </xdr:cNvPr>
        <xdr:cNvSpPr>
          <a:spLocks noChangeArrowheads="1"/>
        </xdr:cNvSpPr>
      </xdr:nvSpPr>
      <xdr:spPr bwMode="auto">
        <a:xfrm>
          <a:off x="25488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75" name="AutoShape 46">
          <a:extLst>
            <a:ext uri="{FF2B5EF4-FFF2-40B4-BE49-F238E27FC236}">
              <a16:creationId xmlns:a16="http://schemas.microsoft.com/office/drawing/2014/main" id="{952FF5A1-4A8D-47E5-895A-1E94D706F727}"/>
            </a:ext>
          </a:extLst>
        </xdr:cNvPr>
        <xdr:cNvSpPr>
          <a:spLocks noChangeArrowheads="1"/>
        </xdr:cNvSpPr>
      </xdr:nvSpPr>
      <xdr:spPr bwMode="auto">
        <a:xfrm>
          <a:off x="276288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76" name="AutoShape 46">
          <a:extLst>
            <a:ext uri="{FF2B5EF4-FFF2-40B4-BE49-F238E27FC236}">
              <a16:creationId xmlns:a16="http://schemas.microsoft.com/office/drawing/2014/main" id="{CF1E637E-B54F-4AC2-90DB-53B023CCD1EA}"/>
            </a:ext>
          </a:extLst>
        </xdr:cNvPr>
        <xdr:cNvSpPr>
          <a:spLocks noChangeArrowheads="1"/>
        </xdr:cNvSpPr>
      </xdr:nvSpPr>
      <xdr:spPr bwMode="auto">
        <a:xfrm>
          <a:off x="296418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24</xdr:row>
      <xdr:rowOff>57150</xdr:rowOff>
    </xdr:from>
    <xdr:to>
      <xdr:col>16</xdr:col>
      <xdr:colOff>0</xdr:colOff>
      <xdr:row>25</xdr:row>
      <xdr:rowOff>190500</xdr:rowOff>
    </xdr:to>
    <xdr:sp macro="" textlink="">
      <xdr:nvSpPr>
        <xdr:cNvPr id="77" name="AutoShape 46">
          <a:extLst>
            <a:ext uri="{FF2B5EF4-FFF2-40B4-BE49-F238E27FC236}">
              <a16:creationId xmlns:a16="http://schemas.microsoft.com/office/drawing/2014/main" id="{845A40FC-F7CB-4E99-9525-2ACF3F4D3D74}"/>
            </a:ext>
          </a:extLst>
        </xdr:cNvPr>
        <xdr:cNvSpPr>
          <a:spLocks noChangeArrowheads="1"/>
        </xdr:cNvSpPr>
      </xdr:nvSpPr>
      <xdr:spPr bwMode="auto">
        <a:xfrm>
          <a:off x="15316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78" name="AutoShape 46">
          <a:extLst>
            <a:ext uri="{FF2B5EF4-FFF2-40B4-BE49-F238E27FC236}">
              <a16:creationId xmlns:a16="http://schemas.microsoft.com/office/drawing/2014/main" id="{969753BA-ECE2-4D1E-BF41-C07440BB9E14}"/>
            </a:ext>
          </a:extLst>
        </xdr:cNvPr>
        <xdr:cNvSpPr>
          <a:spLocks noChangeArrowheads="1"/>
        </xdr:cNvSpPr>
      </xdr:nvSpPr>
      <xdr:spPr bwMode="auto">
        <a:xfrm>
          <a:off x="17729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79" name="AutoShape 46">
          <a:extLst>
            <a:ext uri="{FF2B5EF4-FFF2-40B4-BE49-F238E27FC236}">
              <a16:creationId xmlns:a16="http://schemas.microsoft.com/office/drawing/2014/main" id="{6EF238C7-1204-414E-9302-C3FC31DF0093}"/>
            </a:ext>
          </a:extLst>
        </xdr:cNvPr>
        <xdr:cNvSpPr>
          <a:spLocks noChangeArrowheads="1"/>
        </xdr:cNvSpPr>
      </xdr:nvSpPr>
      <xdr:spPr bwMode="auto">
        <a:xfrm>
          <a:off x="19958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80" name="AutoShape 46">
          <a:extLst>
            <a:ext uri="{FF2B5EF4-FFF2-40B4-BE49-F238E27FC236}">
              <a16:creationId xmlns:a16="http://schemas.microsoft.com/office/drawing/2014/main" id="{D37584EE-5A6B-456F-940B-12CF3A3851CB}"/>
            </a:ext>
          </a:extLst>
        </xdr:cNvPr>
        <xdr:cNvSpPr>
          <a:spLocks noChangeArrowheads="1"/>
        </xdr:cNvSpPr>
      </xdr:nvSpPr>
      <xdr:spPr bwMode="auto">
        <a:xfrm>
          <a:off x="22542500" y="11550650"/>
          <a:ext cx="1612900" cy="52705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81" name="AutoShape 46">
          <a:extLst>
            <a:ext uri="{FF2B5EF4-FFF2-40B4-BE49-F238E27FC236}">
              <a16:creationId xmlns:a16="http://schemas.microsoft.com/office/drawing/2014/main" id="{9E991D1E-E359-4D07-B8A3-984C72F20904}"/>
            </a:ext>
          </a:extLst>
        </xdr:cNvPr>
        <xdr:cNvSpPr>
          <a:spLocks noChangeArrowheads="1"/>
        </xdr:cNvSpPr>
      </xdr:nvSpPr>
      <xdr:spPr bwMode="auto">
        <a:xfrm>
          <a:off x="25488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82" name="AutoShape 46">
          <a:extLst>
            <a:ext uri="{FF2B5EF4-FFF2-40B4-BE49-F238E27FC236}">
              <a16:creationId xmlns:a16="http://schemas.microsoft.com/office/drawing/2014/main" id="{7D42061D-080D-4F71-9C5B-8379D68864B3}"/>
            </a:ext>
          </a:extLst>
        </xdr:cNvPr>
        <xdr:cNvSpPr>
          <a:spLocks noChangeArrowheads="1"/>
        </xdr:cNvSpPr>
      </xdr:nvSpPr>
      <xdr:spPr bwMode="auto">
        <a:xfrm>
          <a:off x="276288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83" name="AutoShape 46">
          <a:extLst>
            <a:ext uri="{FF2B5EF4-FFF2-40B4-BE49-F238E27FC236}">
              <a16:creationId xmlns:a16="http://schemas.microsoft.com/office/drawing/2014/main" id="{8EC560D6-F3AE-4F43-82CE-087DA786FB7D}"/>
            </a:ext>
          </a:extLst>
        </xdr:cNvPr>
        <xdr:cNvSpPr>
          <a:spLocks noChangeArrowheads="1"/>
        </xdr:cNvSpPr>
      </xdr:nvSpPr>
      <xdr:spPr bwMode="auto">
        <a:xfrm>
          <a:off x="296418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31</xdr:row>
      <xdr:rowOff>57150</xdr:rowOff>
    </xdr:from>
    <xdr:to>
      <xdr:col>2</xdr:col>
      <xdr:colOff>0</xdr:colOff>
      <xdr:row>32</xdr:row>
      <xdr:rowOff>190500</xdr:rowOff>
    </xdr:to>
    <xdr:sp macro="" textlink="">
      <xdr:nvSpPr>
        <xdr:cNvPr id="84" name="AutoShape 46">
          <a:extLst>
            <a:ext uri="{FF2B5EF4-FFF2-40B4-BE49-F238E27FC236}">
              <a16:creationId xmlns:a16="http://schemas.microsoft.com/office/drawing/2014/main" id="{E18CF5C0-8481-40A8-BC64-12BE867613DC}"/>
            </a:ext>
          </a:extLst>
        </xdr:cNvPr>
        <xdr:cNvSpPr>
          <a:spLocks noChangeArrowheads="1"/>
        </xdr:cNvSpPr>
      </xdr:nvSpPr>
      <xdr:spPr bwMode="auto">
        <a:xfrm>
          <a:off x="7810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31</xdr:row>
      <xdr:rowOff>57150</xdr:rowOff>
    </xdr:from>
    <xdr:to>
      <xdr:col>6</xdr:col>
      <xdr:colOff>0</xdr:colOff>
      <xdr:row>32</xdr:row>
      <xdr:rowOff>190500</xdr:rowOff>
    </xdr:to>
    <xdr:sp macro="" textlink="">
      <xdr:nvSpPr>
        <xdr:cNvPr id="85" name="AutoShape 46">
          <a:extLst>
            <a:ext uri="{FF2B5EF4-FFF2-40B4-BE49-F238E27FC236}">
              <a16:creationId xmlns:a16="http://schemas.microsoft.com/office/drawing/2014/main" id="{003DE156-256A-4276-8B4A-96600ED58C5C}"/>
            </a:ext>
          </a:extLst>
        </xdr:cNvPr>
        <xdr:cNvSpPr>
          <a:spLocks noChangeArrowheads="1"/>
        </xdr:cNvSpPr>
      </xdr:nvSpPr>
      <xdr:spPr bwMode="auto">
        <a:xfrm>
          <a:off x="49339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31</xdr:row>
      <xdr:rowOff>57150</xdr:rowOff>
    </xdr:from>
    <xdr:to>
      <xdr:col>8</xdr:col>
      <xdr:colOff>0</xdr:colOff>
      <xdr:row>32</xdr:row>
      <xdr:rowOff>190500</xdr:rowOff>
    </xdr:to>
    <xdr:sp macro="" textlink="">
      <xdr:nvSpPr>
        <xdr:cNvPr id="86" name="AutoShape 46">
          <a:extLst>
            <a:ext uri="{FF2B5EF4-FFF2-40B4-BE49-F238E27FC236}">
              <a16:creationId xmlns:a16="http://schemas.microsoft.com/office/drawing/2014/main" id="{FD2375A4-ECE5-4937-A316-69EF55A013E9}"/>
            </a:ext>
          </a:extLst>
        </xdr:cNvPr>
        <xdr:cNvSpPr>
          <a:spLocks noChangeArrowheads="1"/>
        </xdr:cNvSpPr>
      </xdr:nvSpPr>
      <xdr:spPr bwMode="auto">
        <a:xfrm>
          <a:off x="69469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31</xdr:row>
      <xdr:rowOff>57150</xdr:rowOff>
    </xdr:from>
    <xdr:to>
      <xdr:col>10</xdr:col>
      <xdr:colOff>0</xdr:colOff>
      <xdr:row>32</xdr:row>
      <xdr:rowOff>190500</xdr:rowOff>
    </xdr:to>
    <xdr:sp macro="" textlink="">
      <xdr:nvSpPr>
        <xdr:cNvPr id="87" name="AutoShape 46">
          <a:extLst>
            <a:ext uri="{FF2B5EF4-FFF2-40B4-BE49-F238E27FC236}">
              <a16:creationId xmlns:a16="http://schemas.microsoft.com/office/drawing/2014/main" id="{4AD0890B-B719-4402-ABBA-61860421AD9A}"/>
            </a:ext>
          </a:extLst>
        </xdr:cNvPr>
        <xdr:cNvSpPr>
          <a:spLocks noChangeArrowheads="1"/>
        </xdr:cNvSpPr>
      </xdr:nvSpPr>
      <xdr:spPr bwMode="auto">
        <a:xfrm>
          <a:off x="92773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31</xdr:row>
      <xdr:rowOff>57150</xdr:rowOff>
    </xdr:from>
    <xdr:to>
      <xdr:col>12</xdr:col>
      <xdr:colOff>0</xdr:colOff>
      <xdr:row>32</xdr:row>
      <xdr:rowOff>190500</xdr:rowOff>
    </xdr:to>
    <xdr:sp macro="" textlink="">
      <xdr:nvSpPr>
        <xdr:cNvPr id="88" name="AutoShape 46">
          <a:extLst>
            <a:ext uri="{FF2B5EF4-FFF2-40B4-BE49-F238E27FC236}">
              <a16:creationId xmlns:a16="http://schemas.microsoft.com/office/drawing/2014/main" id="{42649AAD-C3A6-44E1-82AF-A287F4C69187}"/>
            </a:ext>
          </a:extLst>
        </xdr:cNvPr>
        <xdr:cNvSpPr>
          <a:spLocks noChangeArrowheads="1"/>
        </xdr:cNvSpPr>
      </xdr:nvSpPr>
      <xdr:spPr bwMode="auto">
        <a:xfrm>
          <a:off x="112903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31</xdr:row>
      <xdr:rowOff>57150</xdr:rowOff>
    </xdr:from>
    <xdr:to>
      <xdr:col>14</xdr:col>
      <xdr:colOff>0</xdr:colOff>
      <xdr:row>32</xdr:row>
      <xdr:rowOff>190500</xdr:rowOff>
    </xdr:to>
    <xdr:sp macro="" textlink="">
      <xdr:nvSpPr>
        <xdr:cNvPr id="89" name="AutoShape 46">
          <a:extLst>
            <a:ext uri="{FF2B5EF4-FFF2-40B4-BE49-F238E27FC236}">
              <a16:creationId xmlns:a16="http://schemas.microsoft.com/office/drawing/2014/main" id="{A6BF6C50-C7A3-41DE-B309-9225F6BE966A}"/>
            </a:ext>
          </a:extLst>
        </xdr:cNvPr>
        <xdr:cNvSpPr>
          <a:spLocks noChangeArrowheads="1"/>
        </xdr:cNvSpPr>
      </xdr:nvSpPr>
      <xdr:spPr bwMode="auto">
        <a:xfrm>
          <a:off x="133032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31</xdr:row>
      <xdr:rowOff>57150</xdr:rowOff>
    </xdr:from>
    <xdr:to>
      <xdr:col>16</xdr:col>
      <xdr:colOff>0</xdr:colOff>
      <xdr:row>32</xdr:row>
      <xdr:rowOff>190500</xdr:rowOff>
    </xdr:to>
    <xdr:sp macro="" textlink="">
      <xdr:nvSpPr>
        <xdr:cNvPr id="90" name="AutoShape 46">
          <a:extLst>
            <a:ext uri="{FF2B5EF4-FFF2-40B4-BE49-F238E27FC236}">
              <a16:creationId xmlns:a16="http://schemas.microsoft.com/office/drawing/2014/main" id="{37265AAB-F374-4C1A-8730-FE87C2648C16}"/>
            </a:ext>
          </a:extLst>
        </xdr:cNvPr>
        <xdr:cNvSpPr>
          <a:spLocks noChangeArrowheads="1"/>
        </xdr:cNvSpPr>
      </xdr:nvSpPr>
      <xdr:spPr bwMode="auto">
        <a:xfrm>
          <a:off x="153162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31</xdr:row>
      <xdr:rowOff>57150</xdr:rowOff>
    </xdr:from>
    <xdr:to>
      <xdr:col>18</xdr:col>
      <xdr:colOff>0</xdr:colOff>
      <xdr:row>32</xdr:row>
      <xdr:rowOff>190500</xdr:rowOff>
    </xdr:to>
    <xdr:sp macro="" textlink="">
      <xdr:nvSpPr>
        <xdr:cNvPr id="91" name="AutoShape 46">
          <a:extLst>
            <a:ext uri="{FF2B5EF4-FFF2-40B4-BE49-F238E27FC236}">
              <a16:creationId xmlns:a16="http://schemas.microsoft.com/office/drawing/2014/main" id="{5261CDD5-D744-4B13-B05A-A3D3177ECC2F}"/>
            </a:ext>
          </a:extLst>
        </xdr:cNvPr>
        <xdr:cNvSpPr>
          <a:spLocks noChangeArrowheads="1"/>
        </xdr:cNvSpPr>
      </xdr:nvSpPr>
      <xdr:spPr bwMode="auto">
        <a:xfrm>
          <a:off x="177292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31</xdr:row>
      <xdr:rowOff>57150</xdr:rowOff>
    </xdr:from>
    <xdr:to>
      <xdr:col>20</xdr:col>
      <xdr:colOff>0</xdr:colOff>
      <xdr:row>32</xdr:row>
      <xdr:rowOff>190500</xdr:rowOff>
    </xdr:to>
    <xdr:sp macro="" textlink="">
      <xdr:nvSpPr>
        <xdr:cNvPr id="92" name="AutoShape 46">
          <a:extLst>
            <a:ext uri="{FF2B5EF4-FFF2-40B4-BE49-F238E27FC236}">
              <a16:creationId xmlns:a16="http://schemas.microsoft.com/office/drawing/2014/main" id="{D47D596E-55AB-437A-BCC4-0031700F7A1E}"/>
            </a:ext>
          </a:extLst>
        </xdr:cNvPr>
        <xdr:cNvSpPr>
          <a:spLocks noChangeArrowheads="1"/>
        </xdr:cNvSpPr>
      </xdr:nvSpPr>
      <xdr:spPr bwMode="auto">
        <a:xfrm>
          <a:off x="199580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31</xdr:row>
      <xdr:rowOff>57150</xdr:rowOff>
    </xdr:from>
    <xdr:to>
      <xdr:col>22</xdr:col>
      <xdr:colOff>0</xdr:colOff>
      <xdr:row>32</xdr:row>
      <xdr:rowOff>190500</xdr:rowOff>
    </xdr:to>
    <xdr:sp macro="" textlink="">
      <xdr:nvSpPr>
        <xdr:cNvPr id="93" name="AutoShape 46">
          <a:extLst>
            <a:ext uri="{FF2B5EF4-FFF2-40B4-BE49-F238E27FC236}">
              <a16:creationId xmlns:a16="http://schemas.microsoft.com/office/drawing/2014/main" id="{56E05AE9-3A14-46FB-83EB-9FFFAE7F7ED7}"/>
            </a:ext>
          </a:extLst>
        </xdr:cNvPr>
        <xdr:cNvSpPr>
          <a:spLocks noChangeArrowheads="1"/>
        </xdr:cNvSpPr>
      </xdr:nvSpPr>
      <xdr:spPr bwMode="auto">
        <a:xfrm>
          <a:off x="22542500" y="149098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31</xdr:row>
      <xdr:rowOff>57150</xdr:rowOff>
    </xdr:from>
    <xdr:to>
      <xdr:col>24</xdr:col>
      <xdr:colOff>0</xdr:colOff>
      <xdr:row>32</xdr:row>
      <xdr:rowOff>190500</xdr:rowOff>
    </xdr:to>
    <xdr:sp macro="" textlink="">
      <xdr:nvSpPr>
        <xdr:cNvPr id="94" name="AutoShape 46">
          <a:extLst>
            <a:ext uri="{FF2B5EF4-FFF2-40B4-BE49-F238E27FC236}">
              <a16:creationId xmlns:a16="http://schemas.microsoft.com/office/drawing/2014/main" id="{ED8A2EF3-56A0-4E95-BB53-58CA39AD27BE}"/>
            </a:ext>
          </a:extLst>
        </xdr:cNvPr>
        <xdr:cNvSpPr>
          <a:spLocks noChangeArrowheads="1"/>
        </xdr:cNvSpPr>
      </xdr:nvSpPr>
      <xdr:spPr bwMode="auto">
        <a:xfrm>
          <a:off x="254889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95" name="AutoShape 46">
          <a:extLst>
            <a:ext uri="{FF2B5EF4-FFF2-40B4-BE49-F238E27FC236}">
              <a16:creationId xmlns:a16="http://schemas.microsoft.com/office/drawing/2014/main" id="{EA33C05E-3F5A-4EA0-8F35-1E02920A9193}"/>
            </a:ext>
          </a:extLst>
        </xdr:cNvPr>
        <xdr:cNvSpPr>
          <a:spLocks noChangeArrowheads="1"/>
        </xdr:cNvSpPr>
      </xdr:nvSpPr>
      <xdr:spPr bwMode="auto">
        <a:xfrm>
          <a:off x="276288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96" name="AutoShape 46">
          <a:extLst>
            <a:ext uri="{FF2B5EF4-FFF2-40B4-BE49-F238E27FC236}">
              <a16:creationId xmlns:a16="http://schemas.microsoft.com/office/drawing/2014/main" id="{174A8ECA-2F23-44A3-BDA3-69AFE96CED37}"/>
            </a:ext>
          </a:extLst>
        </xdr:cNvPr>
        <xdr:cNvSpPr>
          <a:spLocks noChangeArrowheads="1"/>
        </xdr:cNvSpPr>
      </xdr:nvSpPr>
      <xdr:spPr bwMode="auto">
        <a:xfrm>
          <a:off x="296418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31</xdr:row>
      <xdr:rowOff>57150</xdr:rowOff>
    </xdr:from>
    <xdr:to>
      <xdr:col>18</xdr:col>
      <xdr:colOff>0</xdr:colOff>
      <xdr:row>32</xdr:row>
      <xdr:rowOff>190500</xdr:rowOff>
    </xdr:to>
    <xdr:sp macro="" textlink="">
      <xdr:nvSpPr>
        <xdr:cNvPr id="97" name="AutoShape 46">
          <a:extLst>
            <a:ext uri="{FF2B5EF4-FFF2-40B4-BE49-F238E27FC236}">
              <a16:creationId xmlns:a16="http://schemas.microsoft.com/office/drawing/2014/main" id="{68FE532A-D9A5-477B-8080-42A29F203C0F}"/>
            </a:ext>
          </a:extLst>
        </xdr:cNvPr>
        <xdr:cNvSpPr>
          <a:spLocks noChangeArrowheads="1"/>
        </xdr:cNvSpPr>
      </xdr:nvSpPr>
      <xdr:spPr bwMode="auto">
        <a:xfrm>
          <a:off x="177292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31</xdr:row>
      <xdr:rowOff>57150</xdr:rowOff>
    </xdr:from>
    <xdr:to>
      <xdr:col>20</xdr:col>
      <xdr:colOff>0</xdr:colOff>
      <xdr:row>32</xdr:row>
      <xdr:rowOff>190500</xdr:rowOff>
    </xdr:to>
    <xdr:sp macro="" textlink="">
      <xdr:nvSpPr>
        <xdr:cNvPr id="98" name="AutoShape 46">
          <a:extLst>
            <a:ext uri="{FF2B5EF4-FFF2-40B4-BE49-F238E27FC236}">
              <a16:creationId xmlns:a16="http://schemas.microsoft.com/office/drawing/2014/main" id="{5A13BA4E-08B8-42DB-93DF-675B10E3E595}"/>
            </a:ext>
          </a:extLst>
        </xdr:cNvPr>
        <xdr:cNvSpPr>
          <a:spLocks noChangeArrowheads="1"/>
        </xdr:cNvSpPr>
      </xdr:nvSpPr>
      <xdr:spPr bwMode="auto">
        <a:xfrm>
          <a:off x="1995805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31</xdr:row>
      <xdr:rowOff>57150</xdr:rowOff>
    </xdr:from>
    <xdr:to>
      <xdr:col>22</xdr:col>
      <xdr:colOff>0</xdr:colOff>
      <xdr:row>32</xdr:row>
      <xdr:rowOff>190500</xdr:rowOff>
    </xdr:to>
    <xdr:sp macro="" textlink="">
      <xdr:nvSpPr>
        <xdr:cNvPr id="99" name="AutoShape 46">
          <a:extLst>
            <a:ext uri="{FF2B5EF4-FFF2-40B4-BE49-F238E27FC236}">
              <a16:creationId xmlns:a16="http://schemas.microsoft.com/office/drawing/2014/main" id="{6F92FA57-1CC4-46B5-8196-E1ED5D16D342}"/>
            </a:ext>
          </a:extLst>
        </xdr:cNvPr>
        <xdr:cNvSpPr>
          <a:spLocks noChangeArrowheads="1"/>
        </xdr:cNvSpPr>
      </xdr:nvSpPr>
      <xdr:spPr bwMode="auto">
        <a:xfrm>
          <a:off x="22542500" y="1490980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31</xdr:row>
      <xdr:rowOff>57150</xdr:rowOff>
    </xdr:from>
    <xdr:to>
      <xdr:col>24</xdr:col>
      <xdr:colOff>0</xdr:colOff>
      <xdr:row>32</xdr:row>
      <xdr:rowOff>190500</xdr:rowOff>
    </xdr:to>
    <xdr:sp macro="" textlink="">
      <xdr:nvSpPr>
        <xdr:cNvPr id="100" name="AutoShape 46">
          <a:extLst>
            <a:ext uri="{FF2B5EF4-FFF2-40B4-BE49-F238E27FC236}">
              <a16:creationId xmlns:a16="http://schemas.microsoft.com/office/drawing/2014/main" id="{8D27FA2D-87CA-4DE7-86E5-67E1A9007319}"/>
            </a:ext>
          </a:extLst>
        </xdr:cNvPr>
        <xdr:cNvSpPr>
          <a:spLocks noChangeArrowheads="1"/>
        </xdr:cNvSpPr>
      </xdr:nvSpPr>
      <xdr:spPr bwMode="auto">
        <a:xfrm>
          <a:off x="25488900" y="14909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101" name="AutoShape 46">
          <a:extLst>
            <a:ext uri="{FF2B5EF4-FFF2-40B4-BE49-F238E27FC236}">
              <a16:creationId xmlns:a16="http://schemas.microsoft.com/office/drawing/2014/main" id="{A442D0F0-BFAA-4F97-8885-ACF01A66FB7C}"/>
            </a:ext>
          </a:extLst>
        </xdr:cNvPr>
        <xdr:cNvSpPr>
          <a:spLocks noChangeArrowheads="1"/>
        </xdr:cNvSpPr>
      </xdr:nvSpPr>
      <xdr:spPr bwMode="auto">
        <a:xfrm>
          <a:off x="27628850" y="14909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102" name="AutoShape 46">
          <a:extLst>
            <a:ext uri="{FF2B5EF4-FFF2-40B4-BE49-F238E27FC236}">
              <a16:creationId xmlns:a16="http://schemas.microsoft.com/office/drawing/2014/main" id="{2C4A50FD-0D0C-434D-977A-269AED01ADE7}"/>
            </a:ext>
          </a:extLst>
        </xdr:cNvPr>
        <xdr:cNvSpPr>
          <a:spLocks noChangeArrowheads="1"/>
        </xdr:cNvSpPr>
      </xdr:nvSpPr>
      <xdr:spPr bwMode="auto">
        <a:xfrm>
          <a:off x="296418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15</xdr:col>
      <xdr:colOff>0</xdr:colOff>
      <xdr:row>31</xdr:row>
      <xdr:rowOff>57150</xdr:rowOff>
    </xdr:from>
    <xdr:to>
      <xdr:col>16</xdr:col>
      <xdr:colOff>0</xdr:colOff>
      <xdr:row>32</xdr:row>
      <xdr:rowOff>190500</xdr:rowOff>
    </xdr:to>
    <xdr:sp macro="" textlink="">
      <xdr:nvSpPr>
        <xdr:cNvPr id="103" name="AutoShape 46">
          <a:extLst>
            <a:ext uri="{FF2B5EF4-FFF2-40B4-BE49-F238E27FC236}">
              <a16:creationId xmlns:a16="http://schemas.microsoft.com/office/drawing/2014/main" id="{C9F70EF8-3DFF-438B-A0F6-780F241F1BA6}"/>
            </a:ext>
          </a:extLst>
        </xdr:cNvPr>
        <xdr:cNvSpPr>
          <a:spLocks noChangeArrowheads="1"/>
        </xdr:cNvSpPr>
      </xdr:nvSpPr>
      <xdr:spPr bwMode="auto">
        <a:xfrm>
          <a:off x="153162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31</xdr:row>
      <xdr:rowOff>57150</xdr:rowOff>
    </xdr:from>
    <xdr:to>
      <xdr:col>18</xdr:col>
      <xdr:colOff>0</xdr:colOff>
      <xdr:row>32</xdr:row>
      <xdr:rowOff>190500</xdr:rowOff>
    </xdr:to>
    <xdr:sp macro="" textlink="">
      <xdr:nvSpPr>
        <xdr:cNvPr id="104" name="AutoShape 46">
          <a:extLst>
            <a:ext uri="{FF2B5EF4-FFF2-40B4-BE49-F238E27FC236}">
              <a16:creationId xmlns:a16="http://schemas.microsoft.com/office/drawing/2014/main" id="{E439DA88-26FB-4788-B431-68AF7E98292E}"/>
            </a:ext>
          </a:extLst>
        </xdr:cNvPr>
        <xdr:cNvSpPr>
          <a:spLocks noChangeArrowheads="1"/>
        </xdr:cNvSpPr>
      </xdr:nvSpPr>
      <xdr:spPr bwMode="auto">
        <a:xfrm>
          <a:off x="177292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31</xdr:row>
      <xdr:rowOff>57150</xdr:rowOff>
    </xdr:from>
    <xdr:to>
      <xdr:col>20</xdr:col>
      <xdr:colOff>0</xdr:colOff>
      <xdr:row>32</xdr:row>
      <xdr:rowOff>190500</xdr:rowOff>
    </xdr:to>
    <xdr:sp macro="" textlink="">
      <xdr:nvSpPr>
        <xdr:cNvPr id="105" name="AutoShape 46">
          <a:extLst>
            <a:ext uri="{FF2B5EF4-FFF2-40B4-BE49-F238E27FC236}">
              <a16:creationId xmlns:a16="http://schemas.microsoft.com/office/drawing/2014/main" id="{F0A885E4-D769-4701-938C-E5B133A45981}"/>
            </a:ext>
          </a:extLst>
        </xdr:cNvPr>
        <xdr:cNvSpPr>
          <a:spLocks noChangeArrowheads="1"/>
        </xdr:cNvSpPr>
      </xdr:nvSpPr>
      <xdr:spPr bwMode="auto">
        <a:xfrm>
          <a:off x="199580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31</xdr:row>
      <xdr:rowOff>57150</xdr:rowOff>
    </xdr:from>
    <xdr:to>
      <xdr:col>22</xdr:col>
      <xdr:colOff>0</xdr:colOff>
      <xdr:row>32</xdr:row>
      <xdr:rowOff>190500</xdr:rowOff>
    </xdr:to>
    <xdr:sp macro="" textlink="">
      <xdr:nvSpPr>
        <xdr:cNvPr id="106" name="AutoShape 46">
          <a:extLst>
            <a:ext uri="{FF2B5EF4-FFF2-40B4-BE49-F238E27FC236}">
              <a16:creationId xmlns:a16="http://schemas.microsoft.com/office/drawing/2014/main" id="{9EC8A0AD-D133-4206-A395-E34C6FA32FFC}"/>
            </a:ext>
          </a:extLst>
        </xdr:cNvPr>
        <xdr:cNvSpPr>
          <a:spLocks noChangeArrowheads="1"/>
        </xdr:cNvSpPr>
      </xdr:nvSpPr>
      <xdr:spPr bwMode="auto">
        <a:xfrm>
          <a:off x="22542500" y="1490980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31</xdr:row>
      <xdr:rowOff>57150</xdr:rowOff>
    </xdr:from>
    <xdr:to>
      <xdr:col>24</xdr:col>
      <xdr:colOff>0</xdr:colOff>
      <xdr:row>32</xdr:row>
      <xdr:rowOff>190500</xdr:rowOff>
    </xdr:to>
    <xdr:sp macro="" textlink="">
      <xdr:nvSpPr>
        <xdr:cNvPr id="107" name="AutoShape 46">
          <a:extLst>
            <a:ext uri="{FF2B5EF4-FFF2-40B4-BE49-F238E27FC236}">
              <a16:creationId xmlns:a16="http://schemas.microsoft.com/office/drawing/2014/main" id="{E22D58D1-1702-4C42-89DF-88CC4380FB1F}"/>
            </a:ext>
          </a:extLst>
        </xdr:cNvPr>
        <xdr:cNvSpPr>
          <a:spLocks noChangeArrowheads="1"/>
        </xdr:cNvSpPr>
      </xdr:nvSpPr>
      <xdr:spPr bwMode="auto">
        <a:xfrm>
          <a:off x="254889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108" name="AutoShape 46">
          <a:extLst>
            <a:ext uri="{FF2B5EF4-FFF2-40B4-BE49-F238E27FC236}">
              <a16:creationId xmlns:a16="http://schemas.microsoft.com/office/drawing/2014/main" id="{C90AE392-9642-4C5E-9B13-4AB42E2EA35B}"/>
            </a:ext>
          </a:extLst>
        </xdr:cNvPr>
        <xdr:cNvSpPr>
          <a:spLocks noChangeArrowheads="1"/>
        </xdr:cNvSpPr>
      </xdr:nvSpPr>
      <xdr:spPr bwMode="auto">
        <a:xfrm>
          <a:off x="276288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109" name="AutoShape 46">
          <a:extLst>
            <a:ext uri="{FF2B5EF4-FFF2-40B4-BE49-F238E27FC236}">
              <a16:creationId xmlns:a16="http://schemas.microsoft.com/office/drawing/2014/main" id="{F37937D3-C861-491E-819A-8C0F0C134790}"/>
            </a:ext>
          </a:extLst>
        </xdr:cNvPr>
        <xdr:cNvSpPr>
          <a:spLocks noChangeArrowheads="1"/>
        </xdr:cNvSpPr>
      </xdr:nvSpPr>
      <xdr:spPr bwMode="auto">
        <a:xfrm>
          <a:off x="296418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38</xdr:row>
      <xdr:rowOff>57150</xdr:rowOff>
    </xdr:from>
    <xdr:to>
      <xdr:col>2</xdr:col>
      <xdr:colOff>0</xdr:colOff>
      <xdr:row>39</xdr:row>
      <xdr:rowOff>190500</xdr:rowOff>
    </xdr:to>
    <xdr:sp macro="" textlink="">
      <xdr:nvSpPr>
        <xdr:cNvPr id="110" name="AutoShape 46">
          <a:extLst>
            <a:ext uri="{FF2B5EF4-FFF2-40B4-BE49-F238E27FC236}">
              <a16:creationId xmlns:a16="http://schemas.microsoft.com/office/drawing/2014/main" id="{6983D619-AFD7-48E3-9D51-AD8813AD107C}"/>
            </a:ext>
          </a:extLst>
        </xdr:cNvPr>
        <xdr:cNvSpPr>
          <a:spLocks noChangeArrowheads="1"/>
        </xdr:cNvSpPr>
      </xdr:nvSpPr>
      <xdr:spPr bwMode="auto">
        <a:xfrm>
          <a:off x="7810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38</xdr:row>
      <xdr:rowOff>57150</xdr:rowOff>
    </xdr:from>
    <xdr:to>
      <xdr:col>4</xdr:col>
      <xdr:colOff>0</xdr:colOff>
      <xdr:row>39</xdr:row>
      <xdr:rowOff>190500</xdr:rowOff>
    </xdr:to>
    <xdr:sp macro="" textlink="">
      <xdr:nvSpPr>
        <xdr:cNvPr id="111" name="AutoShape 46">
          <a:extLst>
            <a:ext uri="{FF2B5EF4-FFF2-40B4-BE49-F238E27FC236}">
              <a16:creationId xmlns:a16="http://schemas.microsoft.com/office/drawing/2014/main" id="{BAFAD059-ED6A-424E-A50F-7F5315D6337D}"/>
            </a:ext>
          </a:extLst>
        </xdr:cNvPr>
        <xdr:cNvSpPr>
          <a:spLocks noChangeArrowheads="1"/>
        </xdr:cNvSpPr>
      </xdr:nvSpPr>
      <xdr:spPr bwMode="auto">
        <a:xfrm>
          <a:off x="27940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38</xdr:row>
      <xdr:rowOff>57150</xdr:rowOff>
    </xdr:from>
    <xdr:to>
      <xdr:col>6</xdr:col>
      <xdr:colOff>0</xdr:colOff>
      <xdr:row>39</xdr:row>
      <xdr:rowOff>190500</xdr:rowOff>
    </xdr:to>
    <xdr:sp macro="" textlink="">
      <xdr:nvSpPr>
        <xdr:cNvPr id="112" name="AutoShape 46">
          <a:extLst>
            <a:ext uri="{FF2B5EF4-FFF2-40B4-BE49-F238E27FC236}">
              <a16:creationId xmlns:a16="http://schemas.microsoft.com/office/drawing/2014/main" id="{57DFBAE5-C857-4213-A4EE-B5E20F0C028D}"/>
            </a:ext>
          </a:extLst>
        </xdr:cNvPr>
        <xdr:cNvSpPr>
          <a:spLocks noChangeArrowheads="1"/>
        </xdr:cNvSpPr>
      </xdr:nvSpPr>
      <xdr:spPr bwMode="auto">
        <a:xfrm>
          <a:off x="49339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38</xdr:row>
      <xdr:rowOff>57150</xdr:rowOff>
    </xdr:from>
    <xdr:to>
      <xdr:col>8</xdr:col>
      <xdr:colOff>0</xdr:colOff>
      <xdr:row>39</xdr:row>
      <xdr:rowOff>190500</xdr:rowOff>
    </xdr:to>
    <xdr:sp macro="" textlink="">
      <xdr:nvSpPr>
        <xdr:cNvPr id="113" name="AutoShape 46">
          <a:extLst>
            <a:ext uri="{FF2B5EF4-FFF2-40B4-BE49-F238E27FC236}">
              <a16:creationId xmlns:a16="http://schemas.microsoft.com/office/drawing/2014/main" id="{12C668BA-7718-4E8D-95F2-1847D917DD81}"/>
            </a:ext>
          </a:extLst>
        </xdr:cNvPr>
        <xdr:cNvSpPr>
          <a:spLocks noChangeArrowheads="1"/>
        </xdr:cNvSpPr>
      </xdr:nvSpPr>
      <xdr:spPr bwMode="auto">
        <a:xfrm>
          <a:off x="69469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38</xdr:row>
      <xdr:rowOff>57150</xdr:rowOff>
    </xdr:from>
    <xdr:to>
      <xdr:col>10</xdr:col>
      <xdr:colOff>0</xdr:colOff>
      <xdr:row>39</xdr:row>
      <xdr:rowOff>190500</xdr:rowOff>
    </xdr:to>
    <xdr:sp macro="" textlink="">
      <xdr:nvSpPr>
        <xdr:cNvPr id="114" name="AutoShape 46">
          <a:extLst>
            <a:ext uri="{FF2B5EF4-FFF2-40B4-BE49-F238E27FC236}">
              <a16:creationId xmlns:a16="http://schemas.microsoft.com/office/drawing/2014/main" id="{EF503A20-855B-49EF-BC31-21A144F5CD06}"/>
            </a:ext>
          </a:extLst>
        </xdr:cNvPr>
        <xdr:cNvSpPr>
          <a:spLocks noChangeArrowheads="1"/>
        </xdr:cNvSpPr>
      </xdr:nvSpPr>
      <xdr:spPr bwMode="auto">
        <a:xfrm>
          <a:off x="92773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38</xdr:row>
      <xdr:rowOff>57150</xdr:rowOff>
    </xdr:from>
    <xdr:to>
      <xdr:col>12</xdr:col>
      <xdr:colOff>0</xdr:colOff>
      <xdr:row>39</xdr:row>
      <xdr:rowOff>190500</xdr:rowOff>
    </xdr:to>
    <xdr:sp macro="" textlink="">
      <xdr:nvSpPr>
        <xdr:cNvPr id="115" name="AutoShape 46">
          <a:extLst>
            <a:ext uri="{FF2B5EF4-FFF2-40B4-BE49-F238E27FC236}">
              <a16:creationId xmlns:a16="http://schemas.microsoft.com/office/drawing/2014/main" id="{C9484FB3-90D9-4A66-99BB-51819C6880F2}"/>
            </a:ext>
          </a:extLst>
        </xdr:cNvPr>
        <xdr:cNvSpPr>
          <a:spLocks noChangeArrowheads="1"/>
        </xdr:cNvSpPr>
      </xdr:nvSpPr>
      <xdr:spPr bwMode="auto">
        <a:xfrm>
          <a:off x="112903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38</xdr:row>
      <xdr:rowOff>57150</xdr:rowOff>
    </xdr:from>
    <xdr:to>
      <xdr:col>14</xdr:col>
      <xdr:colOff>0</xdr:colOff>
      <xdr:row>39</xdr:row>
      <xdr:rowOff>190500</xdr:rowOff>
    </xdr:to>
    <xdr:sp macro="" textlink="">
      <xdr:nvSpPr>
        <xdr:cNvPr id="116" name="AutoShape 46">
          <a:extLst>
            <a:ext uri="{FF2B5EF4-FFF2-40B4-BE49-F238E27FC236}">
              <a16:creationId xmlns:a16="http://schemas.microsoft.com/office/drawing/2014/main" id="{54105996-58DC-4417-A825-68921C89F5D9}"/>
            </a:ext>
          </a:extLst>
        </xdr:cNvPr>
        <xdr:cNvSpPr>
          <a:spLocks noChangeArrowheads="1"/>
        </xdr:cNvSpPr>
      </xdr:nvSpPr>
      <xdr:spPr bwMode="auto">
        <a:xfrm>
          <a:off x="133032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38</xdr:row>
      <xdr:rowOff>57150</xdr:rowOff>
    </xdr:from>
    <xdr:to>
      <xdr:col>16</xdr:col>
      <xdr:colOff>0</xdr:colOff>
      <xdr:row>39</xdr:row>
      <xdr:rowOff>190500</xdr:rowOff>
    </xdr:to>
    <xdr:sp macro="" textlink="">
      <xdr:nvSpPr>
        <xdr:cNvPr id="117" name="AutoShape 46">
          <a:extLst>
            <a:ext uri="{FF2B5EF4-FFF2-40B4-BE49-F238E27FC236}">
              <a16:creationId xmlns:a16="http://schemas.microsoft.com/office/drawing/2014/main" id="{30E25705-9AA5-409F-859D-88D125E484BF}"/>
            </a:ext>
          </a:extLst>
        </xdr:cNvPr>
        <xdr:cNvSpPr>
          <a:spLocks noChangeArrowheads="1"/>
        </xdr:cNvSpPr>
      </xdr:nvSpPr>
      <xdr:spPr bwMode="auto">
        <a:xfrm>
          <a:off x="1531620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18" name="AutoShape 46">
          <a:extLst>
            <a:ext uri="{FF2B5EF4-FFF2-40B4-BE49-F238E27FC236}">
              <a16:creationId xmlns:a16="http://schemas.microsoft.com/office/drawing/2014/main" id="{4CB1A27F-EF03-4EE6-86F4-31C21763CD0A}"/>
            </a:ext>
          </a:extLst>
        </xdr:cNvPr>
        <xdr:cNvSpPr>
          <a:spLocks noChangeArrowheads="1"/>
        </xdr:cNvSpPr>
      </xdr:nvSpPr>
      <xdr:spPr bwMode="auto">
        <a:xfrm>
          <a:off x="17729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19" name="AutoShape 46">
          <a:extLst>
            <a:ext uri="{FF2B5EF4-FFF2-40B4-BE49-F238E27FC236}">
              <a16:creationId xmlns:a16="http://schemas.microsoft.com/office/drawing/2014/main" id="{CB800A60-A5E4-4A80-9046-B21BAA7A3230}"/>
            </a:ext>
          </a:extLst>
        </xdr:cNvPr>
        <xdr:cNvSpPr>
          <a:spLocks noChangeArrowheads="1"/>
        </xdr:cNvSpPr>
      </xdr:nvSpPr>
      <xdr:spPr bwMode="auto">
        <a:xfrm>
          <a:off x="199580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20" name="AutoShape 46">
          <a:extLst>
            <a:ext uri="{FF2B5EF4-FFF2-40B4-BE49-F238E27FC236}">
              <a16:creationId xmlns:a16="http://schemas.microsoft.com/office/drawing/2014/main" id="{4D52E042-5F48-4C9B-8E8D-58531F161591}"/>
            </a:ext>
          </a:extLst>
        </xdr:cNvPr>
        <xdr:cNvSpPr>
          <a:spLocks noChangeArrowheads="1"/>
        </xdr:cNvSpPr>
      </xdr:nvSpPr>
      <xdr:spPr bwMode="auto">
        <a:xfrm>
          <a:off x="22542500" y="183578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38</xdr:row>
      <xdr:rowOff>57150</xdr:rowOff>
    </xdr:from>
    <xdr:to>
      <xdr:col>24</xdr:col>
      <xdr:colOff>0</xdr:colOff>
      <xdr:row>39</xdr:row>
      <xdr:rowOff>190500</xdr:rowOff>
    </xdr:to>
    <xdr:sp macro="" textlink="">
      <xdr:nvSpPr>
        <xdr:cNvPr id="121" name="AutoShape 46">
          <a:extLst>
            <a:ext uri="{FF2B5EF4-FFF2-40B4-BE49-F238E27FC236}">
              <a16:creationId xmlns:a16="http://schemas.microsoft.com/office/drawing/2014/main" id="{473C7110-08E3-4D63-B324-098734627C43}"/>
            </a:ext>
          </a:extLst>
        </xdr:cNvPr>
        <xdr:cNvSpPr>
          <a:spLocks noChangeArrowheads="1"/>
        </xdr:cNvSpPr>
      </xdr:nvSpPr>
      <xdr:spPr bwMode="auto">
        <a:xfrm>
          <a:off x="254889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38</xdr:row>
      <xdr:rowOff>57150</xdr:rowOff>
    </xdr:from>
    <xdr:to>
      <xdr:col>26</xdr:col>
      <xdr:colOff>0</xdr:colOff>
      <xdr:row>39</xdr:row>
      <xdr:rowOff>190500</xdr:rowOff>
    </xdr:to>
    <xdr:sp macro="" textlink="">
      <xdr:nvSpPr>
        <xdr:cNvPr id="122" name="AutoShape 46">
          <a:extLst>
            <a:ext uri="{FF2B5EF4-FFF2-40B4-BE49-F238E27FC236}">
              <a16:creationId xmlns:a16="http://schemas.microsoft.com/office/drawing/2014/main" id="{AB22195F-339A-4CD5-95DA-E7C16D14671C}"/>
            </a:ext>
          </a:extLst>
        </xdr:cNvPr>
        <xdr:cNvSpPr>
          <a:spLocks noChangeArrowheads="1"/>
        </xdr:cNvSpPr>
      </xdr:nvSpPr>
      <xdr:spPr bwMode="auto">
        <a:xfrm>
          <a:off x="276288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38</xdr:row>
      <xdr:rowOff>57150</xdr:rowOff>
    </xdr:from>
    <xdr:to>
      <xdr:col>28</xdr:col>
      <xdr:colOff>0</xdr:colOff>
      <xdr:row>39</xdr:row>
      <xdr:rowOff>190500</xdr:rowOff>
    </xdr:to>
    <xdr:sp macro="" textlink="">
      <xdr:nvSpPr>
        <xdr:cNvPr id="123" name="AutoShape 46">
          <a:extLst>
            <a:ext uri="{FF2B5EF4-FFF2-40B4-BE49-F238E27FC236}">
              <a16:creationId xmlns:a16="http://schemas.microsoft.com/office/drawing/2014/main" id="{2C59CCA5-D235-401E-A7F7-889921E15040}"/>
            </a:ext>
          </a:extLst>
        </xdr:cNvPr>
        <xdr:cNvSpPr>
          <a:spLocks noChangeArrowheads="1"/>
        </xdr:cNvSpPr>
      </xdr:nvSpPr>
      <xdr:spPr bwMode="auto">
        <a:xfrm>
          <a:off x="296418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24" name="AutoShape 46">
          <a:extLst>
            <a:ext uri="{FF2B5EF4-FFF2-40B4-BE49-F238E27FC236}">
              <a16:creationId xmlns:a16="http://schemas.microsoft.com/office/drawing/2014/main" id="{94BF1AE9-AEBC-4CDF-8C49-F797FF21FAF4}"/>
            </a:ext>
          </a:extLst>
        </xdr:cNvPr>
        <xdr:cNvSpPr>
          <a:spLocks noChangeArrowheads="1"/>
        </xdr:cNvSpPr>
      </xdr:nvSpPr>
      <xdr:spPr bwMode="auto">
        <a:xfrm>
          <a:off x="1772920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25" name="AutoShape 46">
          <a:extLst>
            <a:ext uri="{FF2B5EF4-FFF2-40B4-BE49-F238E27FC236}">
              <a16:creationId xmlns:a16="http://schemas.microsoft.com/office/drawing/2014/main" id="{D3552F70-3AE7-40A5-A994-8687EFBCA0C5}"/>
            </a:ext>
          </a:extLst>
        </xdr:cNvPr>
        <xdr:cNvSpPr>
          <a:spLocks noChangeArrowheads="1"/>
        </xdr:cNvSpPr>
      </xdr:nvSpPr>
      <xdr:spPr bwMode="auto">
        <a:xfrm>
          <a:off x="1995805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26" name="AutoShape 46">
          <a:extLst>
            <a:ext uri="{FF2B5EF4-FFF2-40B4-BE49-F238E27FC236}">
              <a16:creationId xmlns:a16="http://schemas.microsoft.com/office/drawing/2014/main" id="{829686B9-73E0-4E6D-ABEC-9CF8EAC08DC1}"/>
            </a:ext>
          </a:extLst>
        </xdr:cNvPr>
        <xdr:cNvSpPr>
          <a:spLocks noChangeArrowheads="1"/>
        </xdr:cNvSpPr>
      </xdr:nvSpPr>
      <xdr:spPr bwMode="auto">
        <a:xfrm>
          <a:off x="22542500" y="1835785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38</xdr:row>
      <xdr:rowOff>57150</xdr:rowOff>
    </xdr:from>
    <xdr:to>
      <xdr:col>24</xdr:col>
      <xdr:colOff>0</xdr:colOff>
      <xdr:row>39</xdr:row>
      <xdr:rowOff>190500</xdr:rowOff>
    </xdr:to>
    <xdr:sp macro="" textlink="">
      <xdr:nvSpPr>
        <xdr:cNvPr id="127" name="AutoShape 46">
          <a:extLst>
            <a:ext uri="{FF2B5EF4-FFF2-40B4-BE49-F238E27FC236}">
              <a16:creationId xmlns:a16="http://schemas.microsoft.com/office/drawing/2014/main" id="{797AC5A5-DDF4-45F5-9A16-D6F234074E59}"/>
            </a:ext>
          </a:extLst>
        </xdr:cNvPr>
        <xdr:cNvSpPr>
          <a:spLocks noChangeArrowheads="1"/>
        </xdr:cNvSpPr>
      </xdr:nvSpPr>
      <xdr:spPr bwMode="auto">
        <a:xfrm>
          <a:off x="25488900" y="183578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38</xdr:row>
      <xdr:rowOff>57150</xdr:rowOff>
    </xdr:from>
    <xdr:to>
      <xdr:col>26</xdr:col>
      <xdr:colOff>0</xdr:colOff>
      <xdr:row>39</xdr:row>
      <xdr:rowOff>190500</xdr:rowOff>
    </xdr:to>
    <xdr:sp macro="" textlink="">
      <xdr:nvSpPr>
        <xdr:cNvPr id="128" name="AutoShape 46">
          <a:extLst>
            <a:ext uri="{FF2B5EF4-FFF2-40B4-BE49-F238E27FC236}">
              <a16:creationId xmlns:a16="http://schemas.microsoft.com/office/drawing/2014/main" id="{999DA684-F89E-4447-B028-13458961058F}"/>
            </a:ext>
          </a:extLst>
        </xdr:cNvPr>
        <xdr:cNvSpPr>
          <a:spLocks noChangeArrowheads="1"/>
        </xdr:cNvSpPr>
      </xdr:nvSpPr>
      <xdr:spPr bwMode="auto">
        <a:xfrm>
          <a:off x="27628850" y="183578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38</xdr:row>
      <xdr:rowOff>57150</xdr:rowOff>
    </xdr:from>
    <xdr:to>
      <xdr:col>28</xdr:col>
      <xdr:colOff>0</xdr:colOff>
      <xdr:row>39</xdr:row>
      <xdr:rowOff>190500</xdr:rowOff>
    </xdr:to>
    <xdr:sp macro="" textlink="">
      <xdr:nvSpPr>
        <xdr:cNvPr id="129" name="AutoShape 46">
          <a:extLst>
            <a:ext uri="{FF2B5EF4-FFF2-40B4-BE49-F238E27FC236}">
              <a16:creationId xmlns:a16="http://schemas.microsoft.com/office/drawing/2014/main" id="{172A9919-4BD8-44B9-93F9-A1ACEBD2928C}"/>
            </a:ext>
          </a:extLst>
        </xdr:cNvPr>
        <xdr:cNvSpPr>
          <a:spLocks noChangeArrowheads="1"/>
        </xdr:cNvSpPr>
      </xdr:nvSpPr>
      <xdr:spPr bwMode="auto">
        <a:xfrm>
          <a:off x="296418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38</xdr:row>
      <xdr:rowOff>57150</xdr:rowOff>
    </xdr:from>
    <xdr:to>
      <xdr:col>16</xdr:col>
      <xdr:colOff>0</xdr:colOff>
      <xdr:row>39</xdr:row>
      <xdr:rowOff>190500</xdr:rowOff>
    </xdr:to>
    <xdr:sp macro="" textlink="">
      <xdr:nvSpPr>
        <xdr:cNvPr id="130" name="AutoShape 46">
          <a:extLst>
            <a:ext uri="{FF2B5EF4-FFF2-40B4-BE49-F238E27FC236}">
              <a16:creationId xmlns:a16="http://schemas.microsoft.com/office/drawing/2014/main" id="{A69618C2-39A6-4BD5-B444-5BE9977225FC}"/>
            </a:ext>
          </a:extLst>
        </xdr:cNvPr>
        <xdr:cNvSpPr>
          <a:spLocks noChangeArrowheads="1"/>
        </xdr:cNvSpPr>
      </xdr:nvSpPr>
      <xdr:spPr bwMode="auto">
        <a:xfrm>
          <a:off x="15316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31" name="AutoShape 46">
          <a:extLst>
            <a:ext uri="{FF2B5EF4-FFF2-40B4-BE49-F238E27FC236}">
              <a16:creationId xmlns:a16="http://schemas.microsoft.com/office/drawing/2014/main" id="{03585C51-84BB-459B-A022-04E142047BCC}"/>
            </a:ext>
          </a:extLst>
        </xdr:cNvPr>
        <xdr:cNvSpPr>
          <a:spLocks noChangeArrowheads="1"/>
        </xdr:cNvSpPr>
      </xdr:nvSpPr>
      <xdr:spPr bwMode="auto">
        <a:xfrm>
          <a:off x="17729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32" name="AutoShape 46">
          <a:extLst>
            <a:ext uri="{FF2B5EF4-FFF2-40B4-BE49-F238E27FC236}">
              <a16:creationId xmlns:a16="http://schemas.microsoft.com/office/drawing/2014/main" id="{AEB2A8F6-B60D-4FC5-9532-F92838476996}"/>
            </a:ext>
          </a:extLst>
        </xdr:cNvPr>
        <xdr:cNvSpPr>
          <a:spLocks noChangeArrowheads="1"/>
        </xdr:cNvSpPr>
      </xdr:nvSpPr>
      <xdr:spPr bwMode="auto">
        <a:xfrm>
          <a:off x="199580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33" name="AutoShape 46">
          <a:extLst>
            <a:ext uri="{FF2B5EF4-FFF2-40B4-BE49-F238E27FC236}">
              <a16:creationId xmlns:a16="http://schemas.microsoft.com/office/drawing/2014/main" id="{0A55F9DD-AB53-4142-BCE9-48EDACC1A8F6}"/>
            </a:ext>
          </a:extLst>
        </xdr:cNvPr>
        <xdr:cNvSpPr>
          <a:spLocks noChangeArrowheads="1"/>
        </xdr:cNvSpPr>
      </xdr:nvSpPr>
      <xdr:spPr bwMode="auto">
        <a:xfrm>
          <a:off x="22542500" y="1835785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38</xdr:row>
      <xdr:rowOff>57150</xdr:rowOff>
    </xdr:from>
    <xdr:to>
      <xdr:col>24</xdr:col>
      <xdr:colOff>0</xdr:colOff>
      <xdr:row>39</xdr:row>
      <xdr:rowOff>190500</xdr:rowOff>
    </xdr:to>
    <xdr:sp macro="" textlink="">
      <xdr:nvSpPr>
        <xdr:cNvPr id="134" name="AutoShape 46">
          <a:extLst>
            <a:ext uri="{FF2B5EF4-FFF2-40B4-BE49-F238E27FC236}">
              <a16:creationId xmlns:a16="http://schemas.microsoft.com/office/drawing/2014/main" id="{E3F271A9-7147-4627-9993-36098A1A8421}"/>
            </a:ext>
          </a:extLst>
        </xdr:cNvPr>
        <xdr:cNvSpPr>
          <a:spLocks noChangeArrowheads="1"/>
        </xdr:cNvSpPr>
      </xdr:nvSpPr>
      <xdr:spPr bwMode="auto">
        <a:xfrm>
          <a:off x="254889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38</xdr:row>
      <xdr:rowOff>57150</xdr:rowOff>
    </xdr:from>
    <xdr:to>
      <xdr:col>26</xdr:col>
      <xdr:colOff>0</xdr:colOff>
      <xdr:row>39</xdr:row>
      <xdr:rowOff>190500</xdr:rowOff>
    </xdr:to>
    <xdr:sp macro="" textlink="">
      <xdr:nvSpPr>
        <xdr:cNvPr id="135" name="AutoShape 46">
          <a:extLst>
            <a:ext uri="{FF2B5EF4-FFF2-40B4-BE49-F238E27FC236}">
              <a16:creationId xmlns:a16="http://schemas.microsoft.com/office/drawing/2014/main" id="{22BC46F5-751E-4D14-9FD3-608B3500B967}"/>
            </a:ext>
          </a:extLst>
        </xdr:cNvPr>
        <xdr:cNvSpPr>
          <a:spLocks noChangeArrowheads="1"/>
        </xdr:cNvSpPr>
      </xdr:nvSpPr>
      <xdr:spPr bwMode="auto">
        <a:xfrm>
          <a:off x="276288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38</xdr:row>
      <xdr:rowOff>57150</xdr:rowOff>
    </xdr:from>
    <xdr:to>
      <xdr:col>28</xdr:col>
      <xdr:colOff>0</xdr:colOff>
      <xdr:row>39</xdr:row>
      <xdr:rowOff>190500</xdr:rowOff>
    </xdr:to>
    <xdr:sp macro="" textlink="">
      <xdr:nvSpPr>
        <xdr:cNvPr id="136" name="AutoShape 46">
          <a:extLst>
            <a:ext uri="{FF2B5EF4-FFF2-40B4-BE49-F238E27FC236}">
              <a16:creationId xmlns:a16="http://schemas.microsoft.com/office/drawing/2014/main" id="{BC670F91-91AD-4FD1-83C2-9F84246655AC}"/>
            </a:ext>
          </a:extLst>
        </xdr:cNvPr>
        <xdr:cNvSpPr>
          <a:spLocks noChangeArrowheads="1"/>
        </xdr:cNvSpPr>
      </xdr:nvSpPr>
      <xdr:spPr bwMode="auto">
        <a:xfrm>
          <a:off x="296418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45</xdr:row>
      <xdr:rowOff>57150</xdr:rowOff>
    </xdr:from>
    <xdr:to>
      <xdr:col>2</xdr:col>
      <xdr:colOff>0</xdr:colOff>
      <xdr:row>46</xdr:row>
      <xdr:rowOff>190500</xdr:rowOff>
    </xdr:to>
    <xdr:sp macro="" textlink="">
      <xdr:nvSpPr>
        <xdr:cNvPr id="137" name="AutoShape 46">
          <a:extLst>
            <a:ext uri="{FF2B5EF4-FFF2-40B4-BE49-F238E27FC236}">
              <a16:creationId xmlns:a16="http://schemas.microsoft.com/office/drawing/2014/main" id="{A45726A6-62D8-4085-A3D2-A37492CEF758}"/>
            </a:ext>
          </a:extLst>
        </xdr:cNvPr>
        <xdr:cNvSpPr>
          <a:spLocks noChangeArrowheads="1"/>
        </xdr:cNvSpPr>
      </xdr:nvSpPr>
      <xdr:spPr bwMode="auto">
        <a:xfrm>
          <a:off x="7810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45</xdr:row>
      <xdr:rowOff>57150</xdr:rowOff>
    </xdr:from>
    <xdr:to>
      <xdr:col>4</xdr:col>
      <xdr:colOff>0</xdr:colOff>
      <xdr:row>46</xdr:row>
      <xdr:rowOff>190500</xdr:rowOff>
    </xdr:to>
    <xdr:sp macro="" textlink="">
      <xdr:nvSpPr>
        <xdr:cNvPr id="138" name="AutoShape 46">
          <a:extLst>
            <a:ext uri="{FF2B5EF4-FFF2-40B4-BE49-F238E27FC236}">
              <a16:creationId xmlns:a16="http://schemas.microsoft.com/office/drawing/2014/main" id="{DAD72303-1867-48E3-B7C8-D3B0821B0C0D}"/>
            </a:ext>
          </a:extLst>
        </xdr:cNvPr>
        <xdr:cNvSpPr>
          <a:spLocks noChangeArrowheads="1"/>
        </xdr:cNvSpPr>
      </xdr:nvSpPr>
      <xdr:spPr bwMode="auto">
        <a:xfrm>
          <a:off x="27940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45</xdr:row>
      <xdr:rowOff>57150</xdr:rowOff>
    </xdr:from>
    <xdr:to>
      <xdr:col>6</xdr:col>
      <xdr:colOff>0</xdr:colOff>
      <xdr:row>46</xdr:row>
      <xdr:rowOff>190500</xdr:rowOff>
    </xdr:to>
    <xdr:sp macro="" textlink="">
      <xdr:nvSpPr>
        <xdr:cNvPr id="139" name="AutoShape 46">
          <a:extLst>
            <a:ext uri="{FF2B5EF4-FFF2-40B4-BE49-F238E27FC236}">
              <a16:creationId xmlns:a16="http://schemas.microsoft.com/office/drawing/2014/main" id="{19BD3DB3-3DBB-4BA4-BE25-154BD83973B4}"/>
            </a:ext>
          </a:extLst>
        </xdr:cNvPr>
        <xdr:cNvSpPr>
          <a:spLocks noChangeArrowheads="1"/>
        </xdr:cNvSpPr>
      </xdr:nvSpPr>
      <xdr:spPr bwMode="auto">
        <a:xfrm>
          <a:off x="49339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45</xdr:row>
      <xdr:rowOff>57150</xdr:rowOff>
    </xdr:from>
    <xdr:to>
      <xdr:col>8</xdr:col>
      <xdr:colOff>0</xdr:colOff>
      <xdr:row>46</xdr:row>
      <xdr:rowOff>190500</xdr:rowOff>
    </xdr:to>
    <xdr:sp macro="" textlink="">
      <xdr:nvSpPr>
        <xdr:cNvPr id="140" name="AutoShape 46">
          <a:extLst>
            <a:ext uri="{FF2B5EF4-FFF2-40B4-BE49-F238E27FC236}">
              <a16:creationId xmlns:a16="http://schemas.microsoft.com/office/drawing/2014/main" id="{E5CF1352-6EAA-46FC-908C-C1155EEB07A2}"/>
            </a:ext>
          </a:extLst>
        </xdr:cNvPr>
        <xdr:cNvSpPr>
          <a:spLocks noChangeArrowheads="1"/>
        </xdr:cNvSpPr>
      </xdr:nvSpPr>
      <xdr:spPr bwMode="auto">
        <a:xfrm>
          <a:off x="69469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45</xdr:row>
      <xdr:rowOff>57150</xdr:rowOff>
    </xdr:from>
    <xdr:to>
      <xdr:col>10</xdr:col>
      <xdr:colOff>0</xdr:colOff>
      <xdr:row>46</xdr:row>
      <xdr:rowOff>190500</xdr:rowOff>
    </xdr:to>
    <xdr:sp macro="" textlink="">
      <xdr:nvSpPr>
        <xdr:cNvPr id="141" name="AutoShape 46">
          <a:extLst>
            <a:ext uri="{FF2B5EF4-FFF2-40B4-BE49-F238E27FC236}">
              <a16:creationId xmlns:a16="http://schemas.microsoft.com/office/drawing/2014/main" id="{4F98DE0F-CF66-4BC0-A7AA-22B3FEC10E25}"/>
            </a:ext>
          </a:extLst>
        </xdr:cNvPr>
        <xdr:cNvSpPr>
          <a:spLocks noChangeArrowheads="1"/>
        </xdr:cNvSpPr>
      </xdr:nvSpPr>
      <xdr:spPr bwMode="auto">
        <a:xfrm>
          <a:off x="92773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45</xdr:row>
      <xdr:rowOff>57150</xdr:rowOff>
    </xdr:from>
    <xdr:to>
      <xdr:col>12</xdr:col>
      <xdr:colOff>0</xdr:colOff>
      <xdr:row>46</xdr:row>
      <xdr:rowOff>190500</xdr:rowOff>
    </xdr:to>
    <xdr:sp macro="" textlink="">
      <xdr:nvSpPr>
        <xdr:cNvPr id="142" name="AutoShape 46">
          <a:extLst>
            <a:ext uri="{FF2B5EF4-FFF2-40B4-BE49-F238E27FC236}">
              <a16:creationId xmlns:a16="http://schemas.microsoft.com/office/drawing/2014/main" id="{83A00C81-A6E4-4769-A316-86CD84F47B26}"/>
            </a:ext>
          </a:extLst>
        </xdr:cNvPr>
        <xdr:cNvSpPr>
          <a:spLocks noChangeArrowheads="1"/>
        </xdr:cNvSpPr>
      </xdr:nvSpPr>
      <xdr:spPr bwMode="auto">
        <a:xfrm>
          <a:off x="112903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45</xdr:row>
      <xdr:rowOff>57150</xdr:rowOff>
    </xdr:from>
    <xdr:to>
      <xdr:col>14</xdr:col>
      <xdr:colOff>0</xdr:colOff>
      <xdr:row>46</xdr:row>
      <xdr:rowOff>190500</xdr:rowOff>
    </xdr:to>
    <xdr:sp macro="" textlink="">
      <xdr:nvSpPr>
        <xdr:cNvPr id="143" name="AutoShape 46">
          <a:extLst>
            <a:ext uri="{FF2B5EF4-FFF2-40B4-BE49-F238E27FC236}">
              <a16:creationId xmlns:a16="http://schemas.microsoft.com/office/drawing/2014/main" id="{E2907CFC-D190-4C6F-9FC0-7CBD2CC51655}"/>
            </a:ext>
          </a:extLst>
        </xdr:cNvPr>
        <xdr:cNvSpPr>
          <a:spLocks noChangeArrowheads="1"/>
        </xdr:cNvSpPr>
      </xdr:nvSpPr>
      <xdr:spPr bwMode="auto">
        <a:xfrm>
          <a:off x="133032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45</xdr:row>
      <xdr:rowOff>57150</xdr:rowOff>
    </xdr:from>
    <xdr:to>
      <xdr:col>16</xdr:col>
      <xdr:colOff>0</xdr:colOff>
      <xdr:row>46</xdr:row>
      <xdr:rowOff>190500</xdr:rowOff>
    </xdr:to>
    <xdr:sp macro="" textlink="">
      <xdr:nvSpPr>
        <xdr:cNvPr id="144" name="AutoShape 46">
          <a:extLst>
            <a:ext uri="{FF2B5EF4-FFF2-40B4-BE49-F238E27FC236}">
              <a16:creationId xmlns:a16="http://schemas.microsoft.com/office/drawing/2014/main" id="{7C7804A8-DF97-4AAB-B224-621E6F230747}"/>
            </a:ext>
          </a:extLst>
        </xdr:cNvPr>
        <xdr:cNvSpPr>
          <a:spLocks noChangeArrowheads="1"/>
        </xdr:cNvSpPr>
      </xdr:nvSpPr>
      <xdr:spPr bwMode="auto">
        <a:xfrm>
          <a:off x="1531620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45</xdr:row>
      <xdr:rowOff>57150</xdr:rowOff>
    </xdr:from>
    <xdr:to>
      <xdr:col>18</xdr:col>
      <xdr:colOff>0</xdr:colOff>
      <xdr:row>46</xdr:row>
      <xdr:rowOff>190500</xdr:rowOff>
    </xdr:to>
    <xdr:sp macro="" textlink="">
      <xdr:nvSpPr>
        <xdr:cNvPr id="145" name="AutoShape 46">
          <a:extLst>
            <a:ext uri="{FF2B5EF4-FFF2-40B4-BE49-F238E27FC236}">
              <a16:creationId xmlns:a16="http://schemas.microsoft.com/office/drawing/2014/main" id="{90CABB20-98F8-4305-8C99-37CAE46BBFB8}"/>
            </a:ext>
          </a:extLst>
        </xdr:cNvPr>
        <xdr:cNvSpPr>
          <a:spLocks noChangeArrowheads="1"/>
        </xdr:cNvSpPr>
      </xdr:nvSpPr>
      <xdr:spPr bwMode="auto">
        <a:xfrm>
          <a:off x="177292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45</xdr:row>
      <xdr:rowOff>57150</xdr:rowOff>
    </xdr:from>
    <xdr:to>
      <xdr:col>20</xdr:col>
      <xdr:colOff>0</xdr:colOff>
      <xdr:row>46</xdr:row>
      <xdr:rowOff>190500</xdr:rowOff>
    </xdr:to>
    <xdr:sp macro="" textlink="">
      <xdr:nvSpPr>
        <xdr:cNvPr id="146" name="AutoShape 46">
          <a:extLst>
            <a:ext uri="{FF2B5EF4-FFF2-40B4-BE49-F238E27FC236}">
              <a16:creationId xmlns:a16="http://schemas.microsoft.com/office/drawing/2014/main" id="{3BFD71F6-F8B7-408B-9D76-276AB46440FE}"/>
            </a:ext>
          </a:extLst>
        </xdr:cNvPr>
        <xdr:cNvSpPr>
          <a:spLocks noChangeArrowheads="1"/>
        </xdr:cNvSpPr>
      </xdr:nvSpPr>
      <xdr:spPr bwMode="auto">
        <a:xfrm>
          <a:off x="199580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45</xdr:row>
      <xdr:rowOff>57150</xdr:rowOff>
    </xdr:from>
    <xdr:to>
      <xdr:col>22</xdr:col>
      <xdr:colOff>0</xdr:colOff>
      <xdr:row>46</xdr:row>
      <xdr:rowOff>190500</xdr:rowOff>
    </xdr:to>
    <xdr:sp macro="" textlink="">
      <xdr:nvSpPr>
        <xdr:cNvPr id="147" name="AutoShape 46">
          <a:extLst>
            <a:ext uri="{FF2B5EF4-FFF2-40B4-BE49-F238E27FC236}">
              <a16:creationId xmlns:a16="http://schemas.microsoft.com/office/drawing/2014/main" id="{F88BB394-C7C2-4A65-8A12-08C8ACF059B5}"/>
            </a:ext>
          </a:extLst>
        </xdr:cNvPr>
        <xdr:cNvSpPr>
          <a:spLocks noChangeArrowheads="1"/>
        </xdr:cNvSpPr>
      </xdr:nvSpPr>
      <xdr:spPr bwMode="auto">
        <a:xfrm>
          <a:off x="22542500" y="223393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45</xdr:row>
      <xdr:rowOff>57150</xdr:rowOff>
    </xdr:from>
    <xdr:to>
      <xdr:col>24</xdr:col>
      <xdr:colOff>0</xdr:colOff>
      <xdr:row>46</xdr:row>
      <xdr:rowOff>190500</xdr:rowOff>
    </xdr:to>
    <xdr:sp macro="" textlink="">
      <xdr:nvSpPr>
        <xdr:cNvPr id="148" name="AutoShape 46">
          <a:extLst>
            <a:ext uri="{FF2B5EF4-FFF2-40B4-BE49-F238E27FC236}">
              <a16:creationId xmlns:a16="http://schemas.microsoft.com/office/drawing/2014/main" id="{09F5C639-8D8F-43C8-B521-D63D42C9FE1A}"/>
            </a:ext>
          </a:extLst>
        </xdr:cNvPr>
        <xdr:cNvSpPr>
          <a:spLocks noChangeArrowheads="1"/>
        </xdr:cNvSpPr>
      </xdr:nvSpPr>
      <xdr:spPr bwMode="auto">
        <a:xfrm>
          <a:off x="254889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45</xdr:row>
      <xdr:rowOff>57150</xdr:rowOff>
    </xdr:from>
    <xdr:to>
      <xdr:col>26</xdr:col>
      <xdr:colOff>0</xdr:colOff>
      <xdr:row>46</xdr:row>
      <xdr:rowOff>190500</xdr:rowOff>
    </xdr:to>
    <xdr:sp macro="" textlink="">
      <xdr:nvSpPr>
        <xdr:cNvPr id="149" name="AutoShape 46">
          <a:extLst>
            <a:ext uri="{FF2B5EF4-FFF2-40B4-BE49-F238E27FC236}">
              <a16:creationId xmlns:a16="http://schemas.microsoft.com/office/drawing/2014/main" id="{E9354BED-EEF4-4DB0-84C7-21E5E4B175F8}"/>
            </a:ext>
          </a:extLst>
        </xdr:cNvPr>
        <xdr:cNvSpPr>
          <a:spLocks noChangeArrowheads="1"/>
        </xdr:cNvSpPr>
      </xdr:nvSpPr>
      <xdr:spPr bwMode="auto">
        <a:xfrm>
          <a:off x="276288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45</xdr:row>
      <xdr:rowOff>57150</xdr:rowOff>
    </xdr:from>
    <xdr:to>
      <xdr:col>28</xdr:col>
      <xdr:colOff>0</xdr:colOff>
      <xdr:row>46</xdr:row>
      <xdr:rowOff>190500</xdr:rowOff>
    </xdr:to>
    <xdr:sp macro="" textlink="">
      <xdr:nvSpPr>
        <xdr:cNvPr id="150" name="AutoShape 46">
          <a:extLst>
            <a:ext uri="{FF2B5EF4-FFF2-40B4-BE49-F238E27FC236}">
              <a16:creationId xmlns:a16="http://schemas.microsoft.com/office/drawing/2014/main" id="{ABAB68AE-B3E6-4487-93E3-3F218D8A270A}"/>
            </a:ext>
          </a:extLst>
        </xdr:cNvPr>
        <xdr:cNvSpPr>
          <a:spLocks noChangeArrowheads="1"/>
        </xdr:cNvSpPr>
      </xdr:nvSpPr>
      <xdr:spPr bwMode="auto">
        <a:xfrm>
          <a:off x="296418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45</xdr:row>
      <xdr:rowOff>57150</xdr:rowOff>
    </xdr:from>
    <xdr:to>
      <xdr:col>18</xdr:col>
      <xdr:colOff>0</xdr:colOff>
      <xdr:row>46</xdr:row>
      <xdr:rowOff>190500</xdr:rowOff>
    </xdr:to>
    <xdr:sp macro="" textlink="">
      <xdr:nvSpPr>
        <xdr:cNvPr id="151" name="AutoShape 46">
          <a:extLst>
            <a:ext uri="{FF2B5EF4-FFF2-40B4-BE49-F238E27FC236}">
              <a16:creationId xmlns:a16="http://schemas.microsoft.com/office/drawing/2014/main" id="{DD76F678-C3AF-4DFD-B58E-371E688A39BD}"/>
            </a:ext>
          </a:extLst>
        </xdr:cNvPr>
        <xdr:cNvSpPr>
          <a:spLocks noChangeArrowheads="1"/>
        </xdr:cNvSpPr>
      </xdr:nvSpPr>
      <xdr:spPr bwMode="auto">
        <a:xfrm>
          <a:off x="1772920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45</xdr:row>
      <xdr:rowOff>57150</xdr:rowOff>
    </xdr:from>
    <xdr:to>
      <xdr:col>20</xdr:col>
      <xdr:colOff>0</xdr:colOff>
      <xdr:row>46</xdr:row>
      <xdr:rowOff>190500</xdr:rowOff>
    </xdr:to>
    <xdr:sp macro="" textlink="">
      <xdr:nvSpPr>
        <xdr:cNvPr id="152" name="AutoShape 46">
          <a:extLst>
            <a:ext uri="{FF2B5EF4-FFF2-40B4-BE49-F238E27FC236}">
              <a16:creationId xmlns:a16="http://schemas.microsoft.com/office/drawing/2014/main" id="{64204AC0-1481-40F2-AC56-171B4CE4C6BA}"/>
            </a:ext>
          </a:extLst>
        </xdr:cNvPr>
        <xdr:cNvSpPr>
          <a:spLocks noChangeArrowheads="1"/>
        </xdr:cNvSpPr>
      </xdr:nvSpPr>
      <xdr:spPr bwMode="auto">
        <a:xfrm>
          <a:off x="1995805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45</xdr:row>
      <xdr:rowOff>57150</xdr:rowOff>
    </xdr:from>
    <xdr:to>
      <xdr:col>24</xdr:col>
      <xdr:colOff>0</xdr:colOff>
      <xdr:row>46</xdr:row>
      <xdr:rowOff>190500</xdr:rowOff>
    </xdr:to>
    <xdr:sp macro="" textlink="">
      <xdr:nvSpPr>
        <xdr:cNvPr id="153" name="AutoShape 46">
          <a:extLst>
            <a:ext uri="{FF2B5EF4-FFF2-40B4-BE49-F238E27FC236}">
              <a16:creationId xmlns:a16="http://schemas.microsoft.com/office/drawing/2014/main" id="{9A37BD98-E28D-4D94-80DB-9A4A4B840A0D}"/>
            </a:ext>
          </a:extLst>
        </xdr:cNvPr>
        <xdr:cNvSpPr>
          <a:spLocks noChangeArrowheads="1"/>
        </xdr:cNvSpPr>
      </xdr:nvSpPr>
      <xdr:spPr bwMode="auto">
        <a:xfrm>
          <a:off x="25488900" y="223393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45</xdr:row>
      <xdr:rowOff>57150</xdr:rowOff>
    </xdr:from>
    <xdr:to>
      <xdr:col>28</xdr:col>
      <xdr:colOff>0</xdr:colOff>
      <xdr:row>46</xdr:row>
      <xdr:rowOff>190500</xdr:rowOff>
    </xdr:to>
    <xdr:sp macro="" textlink="">
      <xdr:nvSpPr>
        <xdr:cNvPr id="154" name="AutoShape 46">
          <a:extLst>
            <a:ext uri="{FF2B5EF4-FFF2-40B4-BE49-F238E27FC236}">
              <a16:creationId xmlns:a16="http://schemas.microsoft.com/office/drawing/2014/main" id="{7B28B439-36D1-4DED-A971-6F8B523299C5}"/>
            </a:ext>
          </a:extLst>
        </xdr:cNvPr>
        <xdr:cNvSpPr>
          <a:spLocks noChangeArrowheads="1"/>
        </xdr:cNvSpPr>
      </xdr:nvSpPr>
      <xdr:spPr bwMode="auto">
        <a:xfrm>
          <a:off x="296418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45</xdr:row>
      <xdr:rowOff>57150</xdr:rowOff>
    </xdr:from>
    <xdr:to>
      <xdr:col>16</xdr:col>
      <xdr:colOff>0</xdr:colOff>
      <xdr:row>46</xdr:row>
      <xdr:rowOff>190500</xdr:rowOff>
    </xdr:to>
    <xdr:sp macro="" textlink="">
      <xdr:nvSpPr>
        <xdr:cNvPr id="155" name="AutoShape 46">
          <a:extLst>
            <a:ext uri="{FF2B5EF4-FFF2-40B4-BE49-F238E27FC236}">
              <a16:creationId xmlns:a16="http://schemas.microsoft.com/office/drawing/2014/main" id="{7239F9FB-C903-4E9E-90D4-1E85CCA95508}"/>
            </a:ext>
          </a:extLst>
        </xdr:cNvPr>
        <xdr:cNvSpPr>
          <a:spLocks noChangeArrowheads="1"/>
        </xdr:cNvSpPr>
      </xdr:nvSpPr>
      <xdr:spPr bwMode="auto">
        <a:xfrm>
          <a:off x="153162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45</xdr:row>
      <xdr:rowOff>57150</xdr:rowOff>
    </xdr:from>
    <xdr:to>
      <xdr:col>18</xdr:col>
      <xdr:colOff>0</xdr:colOff>
      <xdr:row>46</xdr:row>
      <xdr:rowOff>190500</xdr:rowOff>
    </xdr:to>
    <xdr:sp macro="" textlink="">
      <xdr:nvSpPr>
        <xdr:cNvPr id="156" name="AutoShape 46">
          <a:extLst>
            <a:ext uri="{FF2B5EF4-FFF2-40B4-BE49-F238E27FC236}">
              <a16:creationId xmlns:a16="http://schemas.microsoft.com/office/drawing/2014/main" id="{EF274A7E-541F-40AB-B7CA-3E18D8131AA2}"/>
            </a:ext>
          </a:extLst>
        </xdr:cNvPr>
        <xdr:cNvSpPr>
          <a:spLocks noChangeArrowheads="1"/>
        </xdr:cNvSpPr>
      </xdr:nvSpPr>
      <xdr:spPr bwMode="auto">
        <a:xfrm>
          <a:off x="177292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45</xdr:row>
      <xdr:rowOff>57150</xdr:rowOff>
    </xdr:from>
    <xdr:to>
      <xdr:col>20</xdr:col>
      <xdr:colOff>0</xdr:colOff>
      <xdr:row>46</xdr:row>
      <xdr:rowOff>190500</xdr:rowOff>
    </xdr:to>
    <xdr:sp macro="" textlink="">
      <xdr:nvSpPr>
        <xdr:cNvPr id="157" name="AutoShape 46">
          <a:extLst>
            <a:ext uri="{FF2B5EF4-FFF2-40B4-BE49-F238E27FC236}">
              <a16:creationId xmlns:a16="http://schemas.microsoft.com/office/drawing/2014/main" id="{AB919F94-64ED-43E6-8696-4C2775723255}"/>
            </a:ext>
          </a:extLst>
        </xdr:cNvPr>
        <xdr:cNvSpPr>
          <a:spLocks noChangeArrowheads="1"/>
        </xdr:cNvSpPr>
      </xdr:nvSpPr>
      <xdr:spPr bwMode="auto">
        <a:xfrm>
          <a:off x="199580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45</xdr:row>
      <xdr:rowOff>57150</xdr:rowOff>
    </xdr:from>
    <xdr:to>
      <xdr:col>24</xdr:col>
      <xdr:colOff>0</xdr:colOff>
      <xdr:row>46</xdr:row>
      <xdr:rowOff>190500</xdr:rowOff>
    </xdr:to>
    <xdr:sp macro="" textlink="">
      <xdr:nvSpPr>
        <xdr:cNvPr id="158" name="AutoShape 46">
          <a:extLst>
            <a:ext uri="{FF2B5EF4-FFF2-40B4-BE49-F238E27FC236}">
              <a16:creationId xmlns:a16="http://schemas.microsoft.com/office/drawing/2014/main" id="{6ACF1DBB-3AA8-4E52-AD35-2D68742D232B}"/>
            </a:ext>
          </a:extLst>
        </xdr:cNvPr>
        <xdr:cNvSpPr>
          <a:spLocks noChangeArrowheads="1"/>
        </xdr:cNvSpPr>
      </xdr:nvSpPr>
      <xdr:spPr bwMode="auto">
        <a:xfrm>
          <a:off x="254889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54</xdr:row>
      <xdr:rowOff>57150</xdr:rowOff>
    </xdr:from>
    <xdr:to>
      <xdr:col>2</xdr:col>
      <xdr:colOff>0</xdr:colOff>
      <xdr:row>55</xdr:row>
      <xdr:rowOff>190500</xdr:rowOff>
    </xdr:to>
    <xdr:sp macro="" textlink="">
      <xdr:nvSpPr>
        <xdr:cNvPr id="159" name="AutoShape 46">
          <a:extLst>
            <a:ext uri="{FF2B5EF4-FFF2-40B4-BE49-F238E27FC236}">
              <a16:creationId xmlns:a16="http://schemas.microsoft.com/office/drawing/2014/main" id="{B34DF67E-AD4D-43A2-A476-8A632A0E8956}"/>
            </a:ext>
          </a:extLst>
        </xdr:cNvPr>
        <xdr:cNvSpPr>
          <a:spLocks noChangeArrowheads="1"/>
        </xdr:cNvSpPr>
      </xdr:nvSpPr>
      <xdr:spPr bwMode="auto">
        <a:xfrm>
          <a:off x="7810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54</xdr:row>
      <xdr:rowOff>57150</xdr:rowOff>
    </xdr:from>
    <xdr:to>
      <xdr:col>4</xdr:col>
      <xdr:colOff>0</xdr:colOff>
      <xdr:row>55</xdr:row>
      <xdr:rowOff>190500</xdr:rowOff>
    </xdr:to>
    <xdr:sp macro="" textlink="">
      <xdr:nvSpPr>
        <xdr:cNvPr id="160" name="AutoShape 46">
          <a:extLst>
            <a:ext uri="{FF2B5EF4-FFF2-40B4-BE49-F238E27FC236}">
              <a16:creationId xmlns:a16="http://schemas.microsoft.com/office/drawing/2014/main" id="{C73AF82C-0628-43E8-8600-999FBE963B82}"/>
            </a:ext>
          </a:extLst>
        </xdr:cNvPr>
        <xdr:cNvSpPr>
          <a:spLocks noChangeArrowheads="1"/>
        </xdr:cNvSpPr>
      </xdr:nvSpPr>
      <xdr:spPr bwMode="auto">
        <a:xfrm>
          <a:off x="27940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54</xdr:row>
      <xdr:rowOff>57150</xdr:rowOff>
    </xdr:from>
    <xdr:to>
      <xdr:col>6</xdr:col>
      <xdr:colOff>0</xdr:colOff>
      <xdr:row>55</xdr:row>
      <xdr:rowOff>190500</xdr:rowOff>
    </xdr:to>
    <xdr:sp macro="" textlink="">
      <xdr:nvSpPr>
        <xdr:cNvPr id="161" name="AutoShape 46">
          <a:extLst>
            <a:ext uri="{FF2B5EF4-FFF2-40B4-BE49-F238E27FC236}">
              <a16:creationId xmlns:a16="http://schemas.microsoft.com/office/drawing/2014/main" id="{3C1B6F83-EA75-4869-92FE-1AD23B7BA937}"/>
            </a:ext>
          </a:extLst>
        </xdr:cNvPr>
        <xdr:cNvSpPr>
          <a:spLocks noChangeArrowheads="1"/>
        </xdr:cNvSpPr>
      </xdr:nvSpPr>
      <xdr:spPr bwMode="auto">
        <a:xfrm>
          <a:off x="49339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54</xdr:row>
      <xdr:rowOff>57150</xdr:rowOff>
    </xdr:from>
    <xdr:to>
      <xdr:col>8</xdr:col>
      <xdr:colOff>0</xdr:colOff>
      <xdr:row>55</xdr:row>
      <xdr:rowOff>190500</xdr:rowOff>
    </xdr:to>
    <xdr:sp macro="" textlink="">
      <xdr:nvSpPr>
        <xdr:cNvPr id="162" name="AutoShape 46">
          <a:extLst>
            <a:ext uri="{FF2B5EF4-FFF2-40B4-BE49-F238E27FC236}">
              <a16:creationId xmlns:a16="http://schemas.microsoft.com/office/drawing/2014/main" id="{05C25B4A-2FC2-4882-A366-922DC3C1B2C8}"/>
            </a:ext>
          </a:extLst>
        </xdr:cNvPr>
        <xdr:cNvSpPr>
          <a:spLocks noChangeArrowheads="1"/>
        </xdr:cNvSpPr>
      </xdr:nvSpPr>
      <xdr:spPr bwMode="auto">
        <a:xfrm>
          <a:off x="6946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54</xdr:row>
      <xdr:rowOff>57150</xdr:rowOff>
    </xdr:from>
    <xdr:to>
      <xdr:col>10</xdr:col>
      <xdr:colOff>0</xdr:colOff>
      <xdr:row>55</xdr:row>
      <xdr:rowOff>190500</xdr:rowOff>
    </xdr:to>
    <xdr:sp macro="" textlink="">
      <xdr:nvSpPr>
        <xdr:cNvPr id="163" name="AutoShape 46">
          <a:extLst>
            <a:ext uri="{FF2B5EF4-FFF2-40B4-BE49-F238E27FC236}">
              <a16:creationId xmlns:a16="http://schemas.microsoft.com/office/drawing/2014/main" id="{4304D9DB-21A8-46A8-B49A-270352014F4D}"/>
            </a:ext>
          </a:extLst>
        </xdr:cNvPr>
        <xdr:cNvSpPr>
          <a:spLocks noChangeArrowheads="1"/>
        </xdr:cNvSpPr>
      </xdr:nvSpPr>
      <xdr:spPr bwMode="auto">
        <a:xfrm>
          <a:off x="92773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54</xdr:row>
      <xdr:rowOff>57150</xdr:rowOff>
    </xdr:from>
    <xdr:to>
      <xdr:col>12</xdr:col>
      <xdr:colOff>0</xdr:colOff>
      <xdr:row>55</xdr:row>
      <xdr:rowOff>190500</xdr:rowOff>
    </xdr:to>
    <xdr:sp macro="" textlink="">
      <xdr:nvSpPr>
        <xdr:cNvPr id="164" name="AutoShape 46">
          <a:extLst>
            <a:ext uri="{FF2B5EF4-FFF2-40B4-BE49-F238E27FC236}">
              <a16:creationId xmlns:a16="http://schemas.microsoft.com/office/drawing/2014/main" id="{343F931C-112F-4D25-A6FA-1800F9FD54D9}"/>
            </a:ext>
          </a:extLst>
        </xdr:cNvPr>
        <xdr:cNvSpPr>
          <a:spLocks noChangeArrowheads="1"/>
        </xdr:cNvSpPr>
      </xdr:nvSpPr>
      <xdr:spPr bwMode="auto">
        <a:xfrm>
          <a:off x="112903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54</xdr:row>
      <xdr:rowOff>57150</xdr:rowOff>
    </xdr:from>
    <xdr:to>
      <xdr:col>14</xdr:col>
      <xdr:colOff>0</xdr:colOff>
      <xdr:row>55</xdr:row>
      <xdr:rowOff>190500</xdr:rowOff>
    </xdr:to>
    <xdr:sp macro="" textlink="">
      <xdr:nvSpPr>
        <xdr:cNvPr id="165" name="AutoShape 46">
          <a:extLst>
            <a:ext uri="{FF2B5EF4-FFF2-40B4-BE49-F238E27FC236}">
              <a16:creationId xmlns:a16="http://schemas.microsoft.com/office/drawing/2014/main" id="{C102D2BB-35B1-40C9-9BEB-40E3C0D1C3DE}"/>
            </a:ext>
          </a:extLst>
        </xdr:cNvPr>
        <xdr:cNvSpPr>
          <a:spLocks noChangeArrowheads="1"/>
        </xdr:cNvSpPr>
      </xdr:nvSpPr>
      <xdr:spPr bwMode="auto">
        <a:xfrm>
          <a:off x="133032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54</xdr:row>
      <xdr:rowOff>57150</xdr:rowOff>
    </xdr:from>
    <xdr:to>
      <xdr:col>16</xdr:col>
      <xdr:colOff>0</xdr:colOff>
      <xdr:row>55</xdr:row>
      <xdr:rowOff>190500</xdr:rowOff>
    </xdr:to>
    <xdr:sp macro="" textlink="">
      <xdr:nvSpPr>
        <xdr:cNvPr id="166" name="AutoShape 46">
          <a:extLst>
            <a:ext uri="{FF2B5EF4-FFF2-40B4-BE49-F238E27FC236}">
              <a16:creationId xmlns:a16="http://schemas.microsoft.com/office/drawing/2014/main" id="{5FA27F46-AB27-46A8-85E9-E9474174C521}"/>
            </a:ext>
          </a:extLst>
        </xdr:cNvPr>
        <xdr:cNvSpPr>
          <a:spLocks noChangeArrowheads="1"/>
        </xdr:cNvSpPr>
      </xdr:nvSpPr>
      <xdr:spPr bwMode="auto">
        <a:xfrm>
          <a:off x="15316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67" name="AutoShape 46">
          <a:extLst>
            <a:ext uri="{FF2B5EF4-FFF2-40B4-BE49-F238E27FC236}">
              <a16:creationId xmlns:a16="http://schemas.microsoft.com/office/drawing/2014/main" id="{97424646-3562-443D-B470-7E297123CFCB}"/>
            </a:ext>
          </a:extLst>
        </xdr:cNvPr>
        <xdr:cNvSpPr>
          <a:spLocks noChangeArrowheads="1"/>
        </xdr:cNvSpPr>
      </xdr:nvSpPr>
      <xdr:spPr bwMode="auto">
        <a:xfrm>
          <a:off x="177292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68" name="AutoShape 46">
          <a:extLst>
            <a:ext uri="{FF2B5EF4-FFF2-40B4-BE49-F238E27FC236}">
              <a16:creationId xmlns:a16="http://schemas.microsoft.com/office/drawing/2014/main" id="{E730DFD7-73AF-4476-9C02-6EC92DBC8210}"/>
            </a:ext>
          </a:extLst>
        </xdr:cNvPr>
        <xdr:cNvSpPr>
          <a:spLocks noChangeArrowheads="1"/>
        </xdr:cNvSpPr>
      </xdr:nvSpPr>
      <xdr:spPr bwMode="auto">
        <a:xfrm>
          <a:off x="199580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69" name="AutoShape 46">
          <a:extLst>
            <a:ext uri="{FF2B5EF4-FFF2-40B4-BE49-F238E27FC236}">
              <a16:creationId xmlns:a16="http://schemas.microsoft.com/office/drawing/2014/main" id="{A59EDE8B-3275-49A8-A3E3-8138C6A7945C}"/>
            </a:ext>
          </a:extLst>
        </xdr:cNvPr>
        <xdr:cNvSpPr>
          <a:spLocks noChangeArrowheads="1"/>
        </xdr:cNvSpPr>
      </xdr:nvSpPr>
      <xdr:spPr bwMode="auto">
        <a:xfrm>
          <a:off x="22542500" y="2722880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70" name="AutoShape 46">
          <a:extLst>
            <a:ext uri="{FF2B5EF4-FFF2-40B4-BE49-F238E27FC236}">
              <a16:creationId xmlns:a16="http://schemas.microsoft.com/office/drawing/2014/main" id="{706DB68B-B97C-46D1-8A16-016D952ED7EA}"/>
            </a:ext>
          </a:extLst>
        </xdr:cNvPr>
        <xdr:cNvSpPr>
          <a:spLocks noChangeArrowheads="1"/>
        </xdr:cNvSpPr>
      </xdr:nvSpPr>
      <xdr:spPr bwMode="auto">
        <a:xfrm>
          <a:off x="254889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71" name="AutoShape 46">
          <a:extLst>
            <a:ext uri="{FF2B5EF4-FFF2-40B4-BE49-F238E27FC236}">
              <a16:creationId xmlns:a16="http://schemas.microsoft.com/office/drawing/2014/main" id="{037E72E9-9358-49F2-8B6D-7E0C53F1295C}"/>
            </a:ext>
          </a:extLst>
        </xdr:cNvPr>
        <xdr:cNvSpPr>
          <a:spLocks noChangeArrowheads="1"/>
        </xdr:cNvSpPr>
      </xdr:nvSpPr>
      <xdr:spPr bwMode="auto">
        <a:xfrm>
          <a:off x="276288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72" name="AutoShape 46">
          <a:extLst>
            <a:ext uri="{FF2B5EF4-FFF2-40B4-BE49-F238E27FC236}">
              <a16:creationId xmlns:a16="http://schemas.microsoft.com/office/drawing/2014/main" id="{E252978B-480D-4BF3-8859-66BA6002E7DA}"/>
            </a:ext>
          </a:extLst>
        </xdr:cNvPr>
        <xdr:cNvSpPr>
          <a:spLocks noChangeArrowheads="1"/>
        </xdr:cNvSpPr>
      </xdr:nvSpPr>
      <xdr:spPr bwMode="auto">
        <a:xfrm>
          <a:off x="296418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73" name="AutoShape 46">
          <a:extLst>
            <a:ext uri="{FF2B5EF4-FFF2-40B4-BE49-F238E27FC236}">
              <a16:creationId xmlns:a16="http://schemas.microsoft.com/office/drawing/2014/main" id="{33FDDA44-F673-4F25-85E9-891950AD4F77}"/>
            </a:ext>
          </a:extLst>
        </xdr:cNvPr>
        <xdr:cNvSpPr>
          <a:spLocks noChangeArrowheads="1"/>
        </xdr:cNvSpPr>
      </xdr:nvSpPr>
      <xdr:spPr bwMode="auto">
        <a:xfrm>
          <a:off x="17729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74" name="AutoShape 46">
          <a:extLst>
            <a:ext uri="{FF2B5EF4-FFF2-40B4-BE49-F238E27FC236}">
              <a16:creationId xmlns:a16="http://schemas.microsoft.com/office/drawing/2014/main" id="{19A48A52-6C3B-403B-89BD-0784B5C20EEA}"/>
            </a:ext>
          </a:extLst>
        </xdr:cNvPr>
        <xdr:cNvSpPr>
          <a:spLocks noChangeArrowheads="1"/>
        </xdr:cNvSpPr>
      </xdr:nvSpPr>
      <xdr:spPr bwMode="auto">
        <a:xfrm>
          <a:off x="19958050" y="2722880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75" name="AutoShape 46">
          <a:extLst>
            <a:ext uri="{FF2B5EF4-FFF2-40B4-BE49-F238E27FC236}">
              <a16:creationId xmlns:a16="http://schemas.microsoft.com/office/drawing/2014/main" id="{BA6B675C-A976-48FB-B1E9-6079EDB837E9}"/>
            </a:ext>
          </a:extLst>
        </xdr:cNvPr>
        <xdr:cNvSpPr>
          <a:spLocks noChangeArrowheads="1"/>
        </xdr:cNvSpPr>
      </xdr:nvSpPr>
      <xdr:spPr bwMode="auto">
        <a:xfrm>
          <a:off x="22542500" y="27228800"/>
          <a:ext cx="1612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76" name="AutoShape 46">
          <a:extLst>
            <a:ext uri="{FF2B5EF4-FFF2-40B4-BE49-F238E27FC236}">
              <a16:creationId xmlns:a16="http://schemas.microsoft.com/office/drawing/2014/main" id="{87094112-BC38-4599-81E2-CCE91C279D52}"/>
            </a:ext>
          </a:extLst>
        </xdr:cNvPr>
        <xdr:cNvSpPr>
          <a:spLocks noChangeArrowheads="1"/>
        </xdr:cNvSpPr>
      </xdr:nvSpPr>
      <xdr:spPr bwMode="auto">
        <a:xfrm>
          <a:off x="25488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77" name="AutoShape 46">
          <a:extLst>
            <a:ext uri="{FF2B5EF4-FFF2-40B4-BE49-F238E27FC236}">
              <a16:creationId xmlns:a16="http://schemas.microsoft.com/office/drawing/2014/main" id="{E2B95131-7F7D-4302-A766-A9D1ADA7BCB0}"/>
            </a:ext>
          </a:extLst>
        </xdr:cNvPr>
        <xdr:cNvSpPr>
          <a:spLocks noChangeArrowheads="1"/>
        </xdr:cNvSpPr>
      </xdr:nvSpPr>
      <xdr:spPr bwMode="auto">
        <a:xfrm>
          <a:off x="276288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78" name="AutoShape 46">
          <a:extLst>
            <a:ext uri="{FF2B5EF4-FFF2-40B4-BE49-F238E27FC236}">
              <a16:creationId xmlns:a16="http://schemas.microsoft.com/office/drawing/2014/main" id="{13B53F12-EABB-4A9B-9240-B55873DC8162}"/>
            </a:ext>
          </a:extLst>
        </xdr:cNvPr>
        <xdr:cNvSpPr>
          <a:spLocks noChangeArrowheads="1"/>
        </xdr:cNvSpPr>
      </xdr:nvSpPr>
      <xdr:spPr bwMode="auto">
        <a:xfrm>
          <a:off x="296418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54</xdr:row>
      <xdr:rowOff>57150</xdr:rowOff>
    </xdr:from>
    <xdr:to>
      <xdr:col>16</xdr:col>
      <xdr:colOff>0</xdr:colOff>
      <xdr:row>55</xdr:row>
      <xdr:rowOff>190500</xdr:rowOff>
    </xdr:to>
    <xdr:sp macro="" textlink="">
      <xdr:nvSpPr>
        <xdr:cNvPr id="179" name="AutoShape 46">
          <a:extLst>
            <a:ext uri="{FF2B5EF4-FFF2-40B4-BE49-F238E27FC236}">
              <a16:creationId xmlns:a16="http://schemas.microsoft.com/office/drawing/2014/main" id="{7A064A0E-120E-4A99-AA21-1D8CA1C0C2AB}"/>
            </a:ext>
          </a:extLst>
        </xdr:cNvPr>
        <xdr:cNvSpPr>
          <a:spLocks noChangeArrowheads="1"/>
        </xdr:cNvSpPr>
      </xdr:nvSpPr>
      <xdr:spPr bwMode="auto">
        <a:xfrm>
          <a:off x="15316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80" name="AutoShape 46">
          <a:extLst>
            <a:ext uri="{FF2B5EF4-FFF2-40B4-BE49-F238E27FC236}">
              <a16:creationId xmlns:a16="http://schemas.microsoft.com/office/drawing/2014/main" id="{989C64E2-32FA-4080-AC5A-845503B81A51}"/>
            </a:ext>
          </a:extLst>
        </xdr:cNvPr>
        <xdr:cNvSpPr>
          <a:spLocks noChangeArrowheads="1"/>
        </xdr:cNvSpPr>
      </xdr:nvSpPr>
      <xdr:spPr bwMode="auto">
        <a:xfrm>
          <a:off x="17729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81" name="AutoShape 46">
          <a:extLst>
            <a:ext uri="{FF2B5EF4-FFF2-40B4-BE49-F238E27FC236}">
              <a16:creationId xmlns:a16="http://schemas.microsoft.com/office/drawing/2014/main" id="{44B8C9E6-B821-423A-9A59-210ACCEF585A}"/>
            </a:ext>
          </a:extLst>
        </xdr:cNvPr>
        <xdr:cNvSpPr>
          <a:spLocks noChangeArrowheads="1"/>
        </xdr:cNvSpPr>
      </xdr:nvSpPr>
      <xdr:spPr bwMode="auto">
        <a:xfrm>
          <a:off x="199580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82" name="AutoShape 46">
          <a:extLst>
            <a:ext uri="{FF2B5EF4-FFF2-40B4-BE49-F238E27FC236}">
              <a16:creationId xmlns:a16="http://schemas.microsoft.com/office/drawing/2014/main" id="{C6CF4E14-6EEA-4428-895B-C2E9C653AB0C}"/>
            </a:ext>
          </a:extLst>
        </xdr:cNvPr>
        <xdr:cNvSpPr>
          <a:spLocks noChangeArrowheads="1"/>
        </xdr:cNvSpPr>
      </xdr:nvSpPr>
      <xdr:spPr bwMode="auto">
        <a:xfrm>
          <a:off x="22542500" y="2722880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83" name="AutoShape 46">
          <a:extLst>
            <a:ext uri="{FF2B5EF4-FFF2-40B4-BE49-F238E27FC236}">
              <a16:creationId xmlns:a16="http://schemas.microsoft.com/office/drawing/2014/main" id="{AF3B1F6B-B5A1-49E6-A24B-13BAB4294E39}"/>
            </a:ext>
          </a:extLst>
        </xdr:cNvPr>
        <xdr:cNvSpPr>
          <a:spLocks noChangeArrowheads="1"/>
        </xdr:cNvSpPr>
      </xdr:nvSpPr>
      <xdr:spPr bwMode="auto">
        <a:xfrm>
          <a:off x="25488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84" name="AutoShape 46">
          <a:extLst>
            <a:ext uri="{FF2B5EF4-FFF2-40B4-BE49-F238E27FC236}">
              <a16:creationId xmlns:a16="http://schemas.microsoft.com/office/drawing/2014/main" id="{6748EDDF-9387-466D-859E-87123EEC9CE6}"/>
            </a:ext>
          </a:extLst>
        </xdr:cNvPr>
        <xdr:cNvSpPr>
          <a:spLocks noChangeArrowheads="1"/>
        </xdr:cNvSpPr>
      </xdr:nvSpPr>
      <xdr:spPr bwMode="auto">
        <a:xfrm>
          <a:off x="276288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85" name="AutoShape 46">
          <a:extLst>
            <a:ext uri="{FF2B5EF4-FFF2-40B4-BE49-F238E27FC236}">
              <a16:creationId xmlns:a16="http://schemas.microsoft.com/office/drawing/2014/main" id="{78C9295D-5BA4-43B1-BD5C-100BD71BFD68}"/>
            </a:ext>
          </a:extLst>
        </xdr:cNvPr>
        <xdr:cNvSpPr>
          <a:spLocks noChangeArrowheads="1"/>
        </xdr:cNvSpPr>
      </xdr:nvSpPr>
      <xdr:spPr bwMode="auto">
        <a:xfrm>
          <a:off x="296418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62</xdr:row>
      <xdr:rowOff>57150</xdr:rowOff>
    </xdr:from>
    <xdr:to>
      <xdr:col>2</xdr:col>
      <xdr:colOff>0</xdr:colOff>
      <xdr:row>63</xdr:row>
      <xdr:rowOff>190500</xdr:rowOff>
    </xdr:to>
    <xdr:sp macro="" textlink="">
      <xdr:nvSpPr>
        <xdr:cNvPr id="186" name="AutoShape 46">
          <a:extLst>
            <a:ext uri="{FF2B5EF4-FFF2-40B4-BE49-F238E27FC236}">
              <a16:creationId xmlns:a16="http://schemas.microsoft.com/office/drawing/2014/main" id="{136DE433-C84C-4AFC-A676-B598291C9EF3}"/>
            </a:ext>
          </a:extLst>
        </xdr:cNvPr>
        <xdr:cNvSpPr>
          <a:spLocks noChangeArrowheads="1"/>
        </xdr:cNvSpPr>
      </xdr:nvSpPr>
      <xdr:spPr bwMode="auto">
        <a:xfrm>
          <a:off x="7810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62</xdr:row>
      <xdr:rowOff>57150</xdr:rowOff>
    </xdr:from>
    <xdr:to>
      <xdr:col>4</xdr:col>
      <xdr:colOff>0</xdr:colOff>
      <xdr:row>63</xdr:row>
      <xdr:rowOff>190500</xdr:rowOff>
    </xdr:to>
    <xdr:sp macro="" textlink="">
      <xdr:nvSpPr>
        <xdr:cNvPr id="187" name="AutoShape 46">
          <a:extLst>
            <a:ext uri="{FF2B5EF4-FFF2-40B4-BE49-F238E27FC236}">
              <a16:creationId xmlns:a16="http://schemas.microsoft.com/office/drawing/2014/main" id="{65C9E35F-B1AB-4938-82CB-AD1590672EBC}"/>
            </a:ext>
          </a:extLst>
        </xdr:cNvPr>
        <xdr:cNvSpPr>
          <a:spLocks noChangeArrowheads="1"/>
        </xdr:cNvSpPr>
      </xdr:nvSpPr>
      <xdr:spPr bwMode="auto">
        <a:xfrm>
          <a:off x="27940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62</xdr:row>
      <xdr:rowOff>57150</xdr:rowOff>
    </xdr:from>
    <xdr:to>
      <xdr:col>6</xdr:col>
      <xdr:colOff>0</xdr:colOff>
      <xdr:row>63</xdr:row>
      <xdr:rowOff>190500</xdr:rowOff>
    </xdr:to>
    <xdr:sp macro="" textlink="">
      <xdr:nvSpPr>
        <xdr:cNvPr id="188" name="AutoShape 46">
          <a:extLst>
            <a:ext uri="{FF2B5EF4-FFF2-40B4-BE49-F238E27FC236}">
              <a16:creationId xmlns:a16="http://schemas.microsoft.com/office/drawing/2014/main" id="{8A079210-08C0-4B03-90DB-9364E9237431}"/>
            </a:ext>
          </a:extLst>
        </xdr:cNvPr>
        <xdr:cNvSpPr>
          <a:spLocks noChangeArrowheads="1"/>
        </xdr:cNvSpPr>
      </xdr:nvSpPr>
      <xdr:spPr bwMode="auto">
        <a:xfrm>
          <a:off x="49339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62</xdr:row>
      <xdr:rowOff>57150</xdr:rowOff>
    </xdr:from>
    <xdr:to>
      <xdr:col>8</xdr:col>
      <xdr:colOff>0</xdr:colOff>
      <xdr:row>63</xdr:row>
      <xdr:rowOff>190500</xdr:rowOff>
    </xdr:to>
    <xdr:sp macro="" textlink="">
      <xdr:nvSpPr>
        <xdr:cNvPr id="189" name="AutoShape 46">
          <a:extLst>
            <a:ext uri="{FF2B5EF4-FFF2-40B4-BE49-F238E27FC236}">
              <a16:creationId xmlns:a16="http://schemas.microsoft.com/office/drawing/2014/main" id="{3FB8F608-A85B-4451-B805-9851D910E4F3}"/>
            </a:ext>
          </a:extLst>
        </xdr:cNvPr>
        <xdr:cNvSpPr>
          <a:spLocks noChangeArrowheads="1"/>
        </xdr:cNvSpPr>
      </xdr:nvSpPr>
      <xdr:spPr bwMode="auto">
        <a:xfrm>
          <a:off x="6946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62</xdr:row>
      <xdr:rowOff>57150</xdr:rowOff>
    </xdr:from>
    <xdr:to>
      <xdr:col>10</xdr:col>
      <xdr:colOff>0</xdr:colOff>
      <xdr:row>63</xdr:row>
      <xdr:rowOff>190500</xdr:rowOff>
    </xdr:to>
    <xdr:sp macro="" textlink="">
      <xdr:nvSpPr>
        <xdr:cNvPr id="190" name="AutoShape 46">
          <a:extLst>
            <a:ext uri="{FF2B5EF4-FFF2-40B4-BE49-F238E27FC236}">
              <a16:creationId xmlns:a16="http://schemas.microsoft.com/office/drawing/2014/main" id="{0B68ECC0-EA25-4450-B627-97C64D64689E}"/>
            </a:ext>
          </a:extLst>
        </xdr:cNvPr>
        <xdr:cNvSpPr>
          <a:spLocks noChangeArrowheads="1"/>
        </xdr:cNvSpPr>
      </xdr:nvSpPr>
      <xdr:spPr bwMode="auto">
        <a:xfrm>
          <a:off x="92773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62</xdr:row>
      <xdr:rowOff>57150</xdr:rowOff>
    </xdr:from>
    <xdr:to>
      <xdr:col>12</xdr:col>
      <xdr:colOff>0</xdr:colOff>
      <xdr:row>63</xdr:row>
      <xdr:rowOff>190500</xdr:rowOff>
    </xdr:to>
    <xdr:sp macro="" textlink="">
      <xdr:nvSpPr>
        <xdr:cNvPr id="191" name="AutoShape 46">
          <a:extLst>
            <a:ext uri="{FF2B5EF4-FFF2-40B4-BE49-F238E27FC236}">
              <a16:creationId xmlns:a16="http://schemas.microsoft.com/office/drawing/2014/main" id="{48EC1494-ACD7-420F-9F49-9E72B3E87A8B}"/>
            </a:ext>
          </a:extLst>
        </xdr:cNvPr>
        <xdr:cNvSpPr>
          <a:spLocks noChangeArrowheads="1"/>
        </xdr:cNvSpPr>
      </xdr:nvSpPr>
      <xdr:spPr bwMode="auto">
        <a:xfrm>
          <a:off x="112903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62</xdr:row>
      <xdr:rowOff>57150</xdr:rowOff>
    </xdr:from>
    <xdr:to>
      <xdr:col>14</xdr:col>
      <xdr:colOff>0</xdr:colOff>
      <xdr:row>63</xdr:row>
      <xdr:rowOff>190500</xdr:rowOff>
    </xdr:to>
    <xdr:sp macro="" textlink="">
      <xdr:nvSpPr>
        <xdr:cNvPr id="192" name="AutoShape 46">
          <a:extLst>
            <a:ext uri="{FF2B5EF4-FFF2-40B4-BE49-F238E27FC236}">
              <a16:creationId xmlns:a16="http://schemas.microsoft.com/office/drawing/2014/main" id="{20159D1A-B7B8-4F8D-9B05-102FD6DBDD6D}"/>
            </a:ext>
          </a:extLst>
        </xdr:cNvPr>
        <xdr:cNvSpPr>
          <a:spLocks noChangeArrowheads="1"/>
        </xdr:cNvSpPr>
      </xdr:nvSpPr>
      <xdr:spPr bwMode="auto">
        <a:xfrm>
          <a:off x="133032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62</xdr:row>
      <xdr:rowOff>57150</xdr:rowOff>
    </xdr:from>
    <xdr:to>
      <xdr:col>16</xdr:col>
      <xdr:colOff>0</xdr:colOff>
      <xdr:row>63</xdr:row>
      <xdr:rowOff>190500</xdr:rowOff>
    </xdr:to>
    <xdr:sp macro="" textlink="">
      <xdr:nvSpPr>
        <xdr:cNvPr id="193" name="AutoShape 46">
          <a:extLst>
            <a:ext uri="{FF2B5EF4-FFF2-40B4-BE49-F238E27FC236}">
              <a16:creationId xmlns:a16="http://schemas.microsoft.com/office/drawing/2014/main" id="{C1D2FDC7-9DB8-4646-BEAF-D794908E139D}"/>
            </a:ext>
          </a:extLst>
        </xdr:cNvPr>
        <xdr:cNvSpPr>
          <a:spLocks noChangeArrowheads="1"/>
        </xdr:cNvSpPr>
      </xdr:nvSpPr>
      <xdr:spPr bwMode="auto">
        <a:xfrm>
          <a:off x="15316200" y="31330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62</xdr:row>
      <xdr:rowOff>57150</xdr:rowOff>
    </xdr:from>
    <xdr:to>
      <xdr:col>20</xdr:col>
      <xdr:colOff>0</xdr:colOff>
      <xdr:row>63</xdr:row>
      <xdr:rowOff>190500</xdr:rowOff>
    </xdr:to>
    <xdr:sp macro="" textlink="">
      <xdr:nvSpPr>
        <xdr:cNvPr id="194" name="AutoShape 46">
          <a:extLst>
            <a:ext uri="{FF2B5EF4-FFF2-40B4-BE49-F238E27FC236}">
              <a16:creationId xmlns:a16="http://schemas.microsoft.com/office/drawing/2014/main" id="{F5EF3DF6-6051-4CD4-A295-67F32062909A}"/>
            </a:ext>
          </a:extLst>
        </xdr:cNvPr>
        <xdr:cNvSpPr>
          <a:spLocks noChangeArrowheads="1"/>
        </xdr:cNvSpPr>
      </xdr:nvSpPr>
      <xdr:spPr bwMode="auto">
        <a:xfrm>
          <a:off x="199580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195" name="AutoShape 46">
          <a:extLst>
            <a:ext uri="{FF2B5EF4-FFF2-40B4-BE49-F238E27FC236}">
              <a16:creationId xmlns:a16="http://schemas.microsoft.com/office/drawing/2014/main" id="{C2D5175A-C64E-4F47-9B52-8AA806E584F5}"/>
            </a:ext>
          </a:extLst>
        </xdr:cNvPr>
        <xdr:cNvSpPr>
          <a:spLocks noChangeArrowheads="1"/>
        </xdr:cNvSpPr>
      </xdr:nvSpPr>
      <xdr:spPr bwMode="auto">
        <a:xfrm>
          <a:off x="22542500" y="31330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196" name="AutoShape 46">
          <a:extLst>
            <a:ext uri="{FF2B5EF4-FFF2-40B4-BE49-F238E27FC236}">
              <a16:creationId xmlns:a16="http://schemas.microsoft.com/office/drawing/2014/main" id="{6408CDDB-F4A6-49BB-84ED-BDDF55A4DD88}"/>
            </a:ext>
          </a:extLst>
        </xdr:cNvPr>
        <xdr:cNvSpPr>
          <a:spLocks noChangeArrowheads="1"/>
        </xdr:cNvSpPr>
      </xdr:nvSpPr>
      <xdr:spPr bwMode="auto">
        <a:xfrm>
          <a:off x="254889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197" name="AutoShape 46">
          <a:extLst>
            <a:ext uri="{FF2B5EF4-FFF2-40B4-BE49-F238E27FC236}">
              <a16:creationId xmlns:a16="http://schemas.microsoft.com/office/drawing/2014/main" id="{E10538FB-20EE-4D6D-9B92-A909EFEC819E}"/>
            </a:ext>
          </a:extLst>
        </xdr:cNvPr>
        <xdr:cNvSpPr>
          <a:spLocks noChangeArrowheads="1"/>
        </xdr:cNvSpPr>
      </xdr:nvSpPr>
      <xdr:spPr bwMode="auto">
        <a:xfrm>
          <a:off x="276288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198" name="AutoShape 46">
          <a:extLst>
            <a:ext uri="{FF2B5EF4-FFF2-40B4-BE49-F238E27FC236}">
              <a16:creationId xmlns:a16="http://schemas.microsoft.com/office/drawing/2014/main" id="{150E5346-CE37-45BB-89C5-3140627D459A}"/>
            </a:ext>
          </a:extLst>
        </xdr:cNvPr>
        <xdr:cNvSpPr>
          <a:spLocks noChangeArrowheads="1"/>
        </xdr:cNvSpPr>
      </xdr:nvSpPr>
      <xdr:spPr bwMode="auto">
        <a:xfrm>
          <a:off x="296418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62</xdr:row>
      <xdr:rowOff>57150</xdr:rowOff>
    </xdr:from>
    <xdr:to>
      <xdr:col>18</xdr:col>
      <xdr:colOff>0</xdr:colOff>
      <xdr:row>63</xdr:row>
      <xdr:rowOff>190500</xdr:rowOff>
    </xdr:to>
    <xdr:sp macro="" textlink="">
      <xdr:nvSpPr>
        <xdr:cNvPr id="199" name="AutoShape 46">
          <a:extLst>
            <a:ext uri="{FF2B5EF4-FFF2-40B4-BE49-F238E27FC236}">
              <a16:creationId xmlns:a16="http://schemas.microsoft.com/office/drawing/2014/main" id="{0BDB2392-0D9A-46AA-951F-260C7AC326B4}"/>
            </a:ext>
          </a:extLst>
        </xdr:cNvPr>
        <xdr:cNvSpPr>
          <a:spLocks noChangeArrowheads="1"/>
        </xdr:cNvSpPr>
      </xdr:nvSpPr>
      <xdr:spPr bwMode="auto">
        <a:xfrm>
          <a:off x="177292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200" name="AutoShape 46">
          <a:extLst>
            <a:ext uri="{FF2B5EF4-FFF2-40B4-BE49-F238E27FC236}">
              <a16:creationId xmlns:a16="http://schemas.microsoft.com/office/drawing/2014/main" id="{321BE13F-28C8-435D-A687-A512CDEDA36E}"/>
            </a:ext>
          </a:extLst>
        </xdr:cNvPr>
        <xdr:cNvSpPr>
          <a:spLocks noChangeArrowheads="1"/>
        </xdr:cNvSpPr>
      </xdr:nvSpPr>
      <xdr:spPr bwMode="auto">
        <a:xfrm>
          <a:off x="22542500" y="313309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201" name="AutoShape 46">
          <a:extLst>
            <a:ext uri="{FF2B5EF4-FFF2-40B4-BE49-F238E27FC236}">
              <a16:creationId xmlns:a16="http://schemas.microsoft.com/office/drawing/2014/main" id="{0CD17EEF-9147-4574-A1EB-FA0A8215D1C8}"/>
            </a:ext>
          </a:extLst>
        </xdr:cNvPr>
        <xdr:cNvSpPr>
          <a:spLocks noChangeArrowheads="1"/>
        </xdr:cNvSpPr>
      </xdr:nvSpPr>
      <xdr:spPr bwMode="auto">
        <a:xfrm>
          <a:off x="25488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202" name="AutoShape 46">
          <a:extLst>
            <a:ext uri="{FF2B5EF4-FFF2-40B4-BE49-F238E27FC236}">
              <a16:creationId xmlns:a16="http://schemas.microsoft.com/office/drawing/2014/main" id="{74D8668F-C56C-4336-B3FC-C252D1174070}"/>
            </a:ext>
          </a:extLst>
        </xdr:cNvPr>
        <xdr:cNvSpPr>
          <a:spLocks noChangeArrowheads="1"/>
        </xdr:cNvSpPr>
      </xdr:nvSpPr>
      <xdr:spPr bwMode="auto">
        <a:xfrm>
          <a:off x="276288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203" name="AutoShape 46">
          <a:extLst>
            <a:ext uri="{FF2B5EF4-FFF2-40B4-BE49-F238E27FC236}">
              <a16:creationId xmlns:a16="http://schemas.microsoft.com/office/drawing/2014/main" id="{D309C59F-CE96-494C-A2B7-23CD4AA8AAA7}"/>
            </a:ext>
          </a:extLst>
        </xdr:cNvPr>
        <xdr:cNvSpPr>
          <a:spLocks noChangeArrowheads="1"/>
        </xdr:cNvSpPr>
      </xdr:nvSpPr>
      <xdr:spPr bwMode="auto">
        <a:xfrm>
          <a:off x="29641800" y="31330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62</xdr:row>
      <xdr:rowOff>57150</xdr:rowOff>
    </xdr:from>
    <xdr:to>
      <xdr:col>16</xdr:col>
      <xdr:colOff>0</xdr:colOff>
      <xdr:row>63</xdr:row>
      <xdr:rowOff>190500</xdr:rowOff>
    </xdr:to>
    <xdr:sp macro="" textlink="">
      <xdr:nvSpPr>
        <xdr:cNvPr id="204" name="AutoShape 46">
          <a:extLst>
            <a:ext uri="{FF2B5EF4-FFF2-40B4-BE49-F238E27FC236}">
              <a16:creationId xmlns:a16="http://schemas.microsoft.com/office/drawing/2014/main" id="{268FE73D-6FBC-4D4E-A6DA-9E6A97153C66}"/>
            </a:ext>
          </a:extLst>
        </xdr:cNvPr>
        <xdr:cNvSpPr>
          <a:spLocks noChangeArrowheads="1"/>
        </xdr:cNvSpPr>
      </xdr:nvSpPr>
      <xdr:spPr bwMode="auto">
        <a:xfrm>
          <a:off x="153162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62</xdr:row>
      <xdr:rowOff>57150</xdr:rowOff>
    </xdr:from>
    <xdr:to>
      <xdr:col>20</xdr:col>
      <xdr:colOff>0</xdr:colOff>
      <xdr:row>63</xdr:row>
      <xdr:rowOff>190500</xdr:rowOff>
    </xdr:to>
    <xdr:sp macro="" textlink="">
      <xdr:nvSpPr>
        <xdr:cNvPr id="205" name="AutoShape 46">
          <a:extLst>
            <a:ext uri="{FF2B5EF4-FFF2-40B4-BE49-F238E27FC236}">
              <a16:creationId xmlns:a16="http://schemas.microsoft.com/office/drawing/2014/main" id="{B4EFF941-9DFC-4E29-BC53-3C0C6450C608}"/>
            </a:ext>
          </a:extLst>
        </xdr:cNvPr>
        <xdr:cNvSpPr>
          <a:spLocks noChangeArrowheads="1"/>
        </xdr:cNvSpPr>
      </xdr:nvSpPr>
      <xdr:spPr bwMode="auto">
        <a:xfrm>
          <a:off x="199580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206" name="AutoShape 46">
          <a:extLst>
            <a:ext uri="{FF2B5EF4-FFF2-40B4-BE49-F238E27FC236}">
              <a16:creationId xmlns:a16="http://schemas.microsoft.com/office/drawing/2014/main" id="{149C1004-7105-4C0D-855F-A2B39EB60E64}"/>
            </a:ext>
          </a:extLst>
        </xdr:cNvPr>
        <xdr:cNvSpPr>
          <a:spLocks noChangeArrowheads="1"/>
        </xdr:cNvSpPr>
      </xdr:nvSpPr>
      <xdr:spPr bwMode="auto">
        <a:xfrm>
          <a:off x="22542500" y="313309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207" name="AutoShape 46">
          <a:extLst>
            <a:ext uri="{FF2B5EF4-FFF2-40B4-BE49-F238E27FC236}">
              <a16:creationId xmlns:a16="http://schemas.microsoft.com/office/drawing/2014/main" id="{D58B06A3-468A-422B-A684-FC482A0A904B}"/>
            </a:ext>
          </a:extLst>
        </xdr:cNvPr>
        <xdr:cNvSpPr>
          <a:spLocks noChangeArrowheads="1"/>
        </xdr:cNvSpPr>
      </xdr:nvSpPr>
      <xdr:spPr bwMode="auto">
        <a:xfrm>
          <a:off x="25488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208" name="AutoShape 46">
          <a:extLst>
            <a:ext uri="{FF2B5EF4-FFF2-40B4-BE49-F238E27FC236}">
              <a16:creationId xmlns:a16="http://schemas.microsoft.com/office/drawing/2014/main" id="{9411A2AF-0E8C-4B0E-8AEA-ED1B47E1E447}"/>
            </a:ext>
          </a:extLst>
        </xdr:cNvPr>
        <xdr:cNvSpPr>
          <a:spLocks noChangeArrowheads="1"/>
        </xdr:cNvSpPr>
      </xdr:nvSpPr>
      <xdr:spPr bwMode="auto">
        <a:xfrm>
          <a:off x="276288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209" name="AutoShape 46">
          <a:extLst>
            <a:ext uri="{FF2B5EF4-FFF2-40B4-BE49-F238E27FC236}">
              <a16:creationId xmlns:a16="http://schemas.microsoft.com/office/drawing/2014/main" id="{A6D77A61-640E-4E5B-8379-1D9593502BBF}"/>
            </a:ext>
          </a:extLst>
        </xdr:cNvPr>
        <xdr:cNvSpPr>
          <a:spLocks noChangeArrowheads="1"/>
        </xdr:cNvSpPr>
      </xdr:nvSpPr>
      <xdr:spPr bwMode="auto">
        <a:xfrm>
          <a:off x="296418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70</xdr:row>
      <xdr:rowOff>57150</xdr:rowOff>
    </xdr:from>
    <xdr:to>
      <xdr:col>2</xdr:col>
      <xdr:colOff>0</xdr:colOff>
      <xdr:row>71</xdr:row>
      <xdr:rowOff>190500</xdr:rowOff>
    </xdr:to>
    <xdr:sp macro="" textlink="">
      <xdr:nvSpPr>
        <xdr:cNvPr id="210" name="AutoShape 46">
          <a:extLst>
            <a:ext uri="{FF2B5EF4-FFF2-40B4-BE49-F238E27FC236}">
              <a16:creationId xmlns:a16="http://schemas.microsoft.com/office/drawing/2014/main" id="{216794C1-1EEB-49B8-9F58-E122B16AB174}"/>
            </a:ext>
          </a:extLst>
        </xdr:cNvPr>
        <xdr:cNvSpPr>
          <a:spLocks noChangeArrowheads="1"/>
        </xdr:cNvSpPr>
      </xdr:nvSpPr>
      <xdr:spPr bwMode="auto">
        <a:xfrm>
          <a:off x="781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70</xdr:row>
      <xdr:rowOff>57150</xdr:rowOff>
    </xdr:from>
    <xdr:to>
      <xdr:col>4</xdr:col>
      <xdr:colOff>0</xdr:colOff>
      <xdr:row>71</xdr:row>
      <xdr:rowOff>190500</xdr:rowOff>
    </xdr:to>
    <xdr:sp macro="" textlink="">
      <xdr:nvSpPr>
        <xdr:cNvPr id="211" name="AutoShape 46">
          <a:extLst>
            <a:ext uri="{FF2B5EF4-FFF2-40B4-BE49-F238E27FC236}">
              <a16:creationId xmlns:a16="http://schemas.microsoft.com/office/drawing/2014/main" id="{4233FE84-9D2F-4473-9240-0C0BE199B6F2}"/>
            </a:ext>
          </a:extLst>
        </xdr:cNvPr>
        <xdr:cNvSpPr>
          <a:spLocks noChangeArrowheads="1"/>
        </xdr:cNvSpPr>
      </xdr:nvSpPr>
      <xdr:spPr bwMode="auto">
        <a:xfrm>
          <a:off x="27940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70</xdr:row>
      <xdr:rowOff>57150</xdr:rowOff>
    </xdr:from>
    <xdr:to>
      <xdr:col>6</xdr:col>
      <xdr:colOff>0</xdr:colOff>
      <xdr:row>71</xdr:row>
      <xdr:rowOff>190500</xdr:rowOff>
    </xdr:to>
    <xdr:sp macro="" textlink="">
      <xdr:nvSpPr>
        <xdr:cNvPr id="212" name="AutoShape 46">
          <a:extLst>
            <a:ext uri="{FF2B5EF4-FFF2-40B4-BE49-F238E27FC236}">
              <a16:creationId xmlns:a16="http://schemas.microsoft.com/office/drawing/2014/main" id="{E4AC05F0-105D-465E-BFAF-7A378D3F530F}"/>
            </a:ext>
          </a:extLst>
        </xdr:cNvPr>
        <xdr:cNvSpPr>
          <a:spLocks noChangeArrowheads="1"/>
        </xdr:cNvSpPr>
      </xdr:nvSpPr>
      <xdr:spPr bwMode="auto">
        <a:xfrm>
          <a:off x="49339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70</xdr:row>
      <xdr:rowOff>57150</xdr:rowOff>
    </xdr:from>
    <xdr:to>
      <xdr:col>8</xdr:col>
      <xdr:colOff>0</xdr:colOff>
      <xdr:row>71</xdr:row>
      <xdr:rowOff>190500</xdr:rowOff>
    </xdr:to>
    <xdr:sp macro="" textlink="">
      <xdr:nvSpPr>
        <xdr:cNvPr id="213" name="AutoShape 46">
          <a:extLst>
            <a:ext uri="{FF2B5EF4-FFF2-40B4-BE49-F238E27FC236}">
              <a16:creationId xmlns:a16="http://schemas.microsoft.com/office/drawing/2014/main" id="{25CEFD97-BAAF-42EB-AC18-3883446700DC}"/>
            </a:ext>
          </a:extLst>
        </xdr:cNvPr>
        <xdr:cNvSpPr>
          <a:spLocks noChangeArrowheads="1"/>
        </xdr:cNvSpPr>
      </xdr:nvSpPr>
      <xdr:spPr bwMode="auto">
        <a:xfrm>
          <a:off x="6946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70</xdr:row>
      <xdr:rowOff>57150</xdr:rowOff>
    </xdr:from>
    <xdr:to>
      <xdr:col>10</xdr:col>
      <xdr:colOff>0</xdr:colOff>
      <xdr:row>71</xdr:row>
      <xdr:rowOff>190500</xdr:rowOff>
    </xdr:to>
    <xdr:sp macro="" textlink="">
      <xdr:nvSpPr>
        <xdr:cNvPr id="214" name="AutoShape 46">
          <a:extLst>
            <a:ext uri="{FF2B5EF4-FFF2-40B4-BE49-F238E27FC236}">
              <a16:creationId xmlns:a16="http://schemas.microsoft.com/office/drawing/2014/main" id="{262AEE17-8500-43AA-9572-CAF9E41CBF12}"/>
            </a:ext>
          </a:extLst>
        </xdr:cNvPr>
        <xdr:cNvSpPr>
          <a:spLocks noChangeArrowheads="1"/>
        </xdr:cNvSpPr>
      </xdr:nvSpPr>
      <xdr:spPr bwMode="auto">
        <a:xfrm>
          <a:off x="92773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70</xdr:row>
      <xdr:rowOff>57150</xdr:rowOff>
    </xdr:from>
    <xdr:to>
      <xdr:col>12</xdr:col>
      <xdr:colOff>0</xdr:colOff>
      <xdr:row>71</xdr:row>
      <xdr:rowOff>190500</xdr:rowOff>
    </xdr:to>
    <xdr:sp macro="" textlink="">
      <xdr:nvSpPr>
        <xdr:cNvPr id="215" name="AutoShape 46">
          <a:extLst>
            <a:ext uri="{FF2B5EF4-FFF2-40B4-BE49-F238E27FC236}">
              <a16:creationId xmlns:a16="http://schemas.microsoft.com/office/drawing/2014/main" id="{FEECD9F2-D818-44FB-89A1-AC5D061C3894}"/>
            </a:ext>
          </a:extLst>
        </xdr:cNvPr>
        <xdr:cNvSpPr>
          <a:spLocks noChangeArrowheads="1"/>
        </xdr:cNvSpPr>
      </xdr:nvSpPr>
      <xdr:spPr bwMode="auto">
        <a:xfrm>
          <a:off x="112903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70</xdr:row>
      <xdr:rowOff>57150</xdr:rowOff>
    </xdr:from>
    <xdr:to>
      <xdr:col>14</xdr:col>
      <xdr:colOff>0</xdr:colOff>
      <xdr:row>71</xdr:row>
      <xdr:rowOff>190500</xdr:rowOff>
    </xdr:to>
    <xdr:sp macro="" textlink="">
      <xdr:nvSpPr>
        <xdr:cNvPr id="216" name="AutoShape 46">
          <a:extLst>
            <a:ext uri="{FF2B5EF4-FFF2-40B4-BE49-F238E27FC236}">
              <a16:creationId xmlns:a16="http://schemas.microsoft.com/office/drawing/2014/main" id="{5DD1226E-298A-42DA-B7D0-79A829CB8663}"/>
            </a:ext>
          </a:extLst>
        </xdr:cNvPr>
        <xdr:cNvSpPr>
          <a:spLocks noChangeArrowheads="1"/>
        </xdr:cNvSpPr>
      </xdr:nvSpPr>
      <xdr:spPr bwMode="auto">
        <a:xfrm>
          <a:off x="133032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70</xdr:row>
      <xdr:rowOff>57150</xdr:rowOff>
    </xdr:from>
    <xdr:to>
      <xdr:col>16</xdr:col>
      <xdr:colOff>0</xdr:colOff>
      <xdr:row>71</xdr:row>
      <xdr:rowOff>190500</xdr:rowOff>
    </xdr:to>
    <xdr:sp macro="" textlink="">
      <xdr:nvSpPr>
        <xdr:cNvPr id="217" name="AutoShape 46">
          <a:extLst>
            <a:ext uri="{FF2B5EF4-FFF2-40B4-BE49-F238E27FC236}">
              <a16:creationId xmlns:a16="http://schemas.microsoft.com/office/drawing/2014/main" id="{16F132A4-1AEA-4F91-BCF5-20ABE13AD2A8}"/>
            </a:ext>
          </a:extLst>
        </xdr:cNvPr>
        <xdr:cNvSpPr>
          <a:spLocks noChangeArrowheads="1"/>
        </xdr:cNvSpPr>
      </xdr:nvSpPr>
      <xdr:spPr bwMode="auto">
        <a:xfrm>
          <a:off x="15316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18" name="AutoShape 46">
          <a:extLst>
            <a:ext uri="{FF2B5EF4-FFF2-40B4-BE49-F238E27FC236}">
              <a16:creationId xmlns:a16="http://schemas.microsoft.com/office/drawing/2014/main" id="{68634288-669E-4635-AC0B-F9C2BBF1E702}"/>
            </a:ext>
          </a:extLst>
        </xdr:cNvPr>
        <xdr:cNvSpPr>
          <a:spLocks noChangeArrowheads="1"/>
        </xdr:cNvSpPr>
      </xdr:nvSpPr>
      <xdr:spPr bwMode="auto">
        <a:xfrm>
          <a:off x="177292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19" name="AutoShape 46">
          <a:extLst>
            <a:ext uri="{FF2B5EF4-FFF2-40B4-BE49-F238E27FC236}">
              <a16:creationId xmlns:a16="http://schemas.microsoft.com/office/drawing/2014/main" id="{4DD5EEBA-0713-430C-928E-AFDECB1A9549}"/>
            </a:ext>
          </a:extLst>
        </xdr:cNvPr>
        <xdr:cNvSpPr>
          <a:spLocks noChangeArrowheads="1"/>
        </xdr:cNvSpPr>
      </xdr:nvSpPr>
      <xdr:spPr bwMode="auto">
        <a:xfrm>
          <a:off x="1995805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20" name="AutoShape 46">
          <a:extLst>
            <a:ext uri="{FF2B5EF4-FFF2-40B4-BE49-F238E27FC236}">
              <a16:creationId xmlns:a16="http://schemas.microsoft.com/office/drawing/2014/main" id="{3DACDD65-45BD-4857-B44C-02D797431EA5}"/>
            </a:ext>
          </a:extLst>
        </xdr:cNvPr>
        <xdr:cNvSpPr>
          <a:spLocks noChangeArrowheads="1"/>
        </xdr:cNvSpPr>
      </xdr:nvSpPr>
      <xdr:spPr bwMode="auto">
        <a:xfrm>
          <a:off x="22542500" y="353695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21" name="AutoShape 46">
          <a:extLst>
            <a:ext uri="{FF2B5EF4-FFF2-40B4-BE49-F238E27FC236}">
              <a16:creationId xmlns:a16="http://schemas.microsoft.com/office/drawing/2014/main" id="{B5E29C50-FB1C-4354-8AAC-04A822113236}"/>
            </a:ext>
          </a:extLst>
        </xdr:cNvPr>
        <xdr:cNvSpPr>
          <a:spLocks noChangeArrowheads="1"/>
        </xdr:cNvSpPr>
      </xdr:nvSpPr>
      <xdr:spPr bwMode="auto">
        <a:xfrm>
          <a:off x="254889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22" name="AutoShape 46">
          <a:extLst>
            <a:ext uri="{FF2B5EF4-FFF2-40B4-BE49-F238E27FC236}">
              <a16:creationId xmlns:a16="http://schemas.microsoft.com/office/drawing/2014/main" id="{0D04C629-CCED-4C1A-887A-E3F6D2608246}"/>
            </a:ext>
          </a:extLst>
        </xdr:cNvPr>
        <xdr:cNvSpPr>
          <a:spLocks noChangeArrowheads="1"/>
        </xdr:cNvSpPr>
      </xdr:nvSpPr>
      <xdr:spPr bwMode="auto">
        <a:xfrm>
          <a:off x="2762885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23" name="AutoShape 46">
          <a:extLst>
            <a:ext uri="{FF2B5EF4-FFF2-40B4-BE49-F238E27FC236}">
              <a16:creationId xmlns:a16="http://schemas.microsoft.com/office/drawing/2014/main" id="{DF5D5E69-8D37-467B-8EC9-BB9C7438ADF5}"/>
            </a:ext>
          </a:extLst>
        </xdr:cNvPr>
        <xdr:cNvSpPr>
          <a:spLocks noChangeArrowheads="1"/>
        </xdr:cNvSpPr>
      </xdr:nvSpPr>
      <xdr:spPr bwMode="auto">
        <a:xfrm>
          <a:off x="296418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24" name="AutoShape 46">
          <a:extLst>
            <a:ext uri="{FF2B5EF4-FFF2-40B4-BE49-F238E27FC236}">
              <a16:creationId xmlns:a16="http://schemas.microsoft.com/office/drawing/2014/main" id="{73E8BFDE-032A-446E-A739-1D514D59CF59}"/>
            </a:ext>
          </a:extLst>
        </xdr:cNvPr>
        <xdr:cNvSpPr>
          <a:spLocks noChangeArrowheads="1"/>
        </xdr:cNvSpPr>
      </xdr:nvSpPr>
      <xdr:spPr bwMode="auto">
        <a:xfrm>
          <a:off x="17729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25" name="AutoShape 46">
          <a:extLst>
            <a:ext uri="{FF2B5EF4-FFF2-40B4-BE49-F238E27FC236}">
              <a16:creationId xmlns:a16="http://schemas.microsoft.com/office/drawing/2014/main" id="{EDFE53C9-2F74-4540-B3C9-85C6733B9DAD}"/>
            </a:ext>
          </a:extLst>
        </xdr:cNvPr>
        <xdr:cNvSpPr>
          <a:spLocks noChangeArrowheads="1"/>
        </xdr:cNvSpPr>
      </xdr:nvSpPr>
      <xdr:spPr bwMode="auto">
        <a:xfrm>
          <a:off x="19958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26" name="AutoShape 46">
          <a:extLst>
            <a:ext uri="{FF2B5EF4-FFF2-40B4-BE49-F238E27FC236}">
              <a16:creationId xmlns:a16="http://schemas.microsoft.com/office/drawing/2014/main" id="{175D2B84-9351-4199-9419-D69241A6BBB7}"/>
            </a:ext>
          </a:extLst>
        </xdr:cNvPr>
        <xdr:cNvSpPr>
          <a:spLocks noChangeArrowheads="1"/>
        </xdr:cNvSpPr>
      </xdr:nvSpPr>
      <xdr:spPr bwMode="auto">
        <a:xfrm>
          <a:off x="22542500" y="353695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27" name="AutoShape 46">
          <a:extLst>
            <a:ext uri="{FF2B5EF4-FFF2-40B4-BE49-F238E27FC236}">
              <a16:creationId xmlns:a16="http://schemas.microsoft.com/office/drawing/2014/main" id="{62B25139-D87C-4BA3-992D-B8784A197AD2}"/>
            </a:ext>
          </a:extLst>
        </xdr:cNvPr>
        <xdr:cNvSpPr>
          <a:spLocks noChangeArrowheads="1"/>
        </xdr:cNvSpPr>
      </xdr:nvSpPr>
      <xdr:spPr bwMode="auto">
        <a:xfrm>
          <a:off x="25488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28" name="AutoShape 46">
          <a:extLst>
            <a:ext uri="{FF2B5EF4-FFF2-40B4-BE49-F238E27FC236}">
              <a16:creationId xmlns:a16="http://schemas.microsoft.com/office/drawing/2014/main" id="{E9E6D47F-5C8E-49FB-8BE2-276CA3C3D4C9}"/>
            </a:ext>
          </a:extLst>
        </xdr:cNvPr>
        <xdr:cNvSpPr>
          <a:spLocks noChangeArrowheads="1"/>
        </xdr:cNvSpPr>
      </xdr:nvSpPr>
      <xdr:spPr bwMode="auto">
        <a:xfrm>
          <a:off x="276288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29" name="AutoShape 46">
          <a:extLst>
            <a:ext uri="{FF2B5EF4-FFF2-40B4-BE49-F238E27FC236}">
              <a16:creationId xmlns:a16="http://schemas.microsoft.com/office/drawing/2014/main" id="{FBD71838-35E8-4C47-BA83-7AB7FCB70D1E}"/>
            </a:ext>
          </a:extLst>
        </xdr:cNvPr>
        <xdr:cNvSpPr>
          <a:spLocks noChangeArrowheads="1"/>
        </xdr:cNvSpPr>
      </xdr:nvSpPr>
      <xdr:spPr bwMode="auto">
        <a:xfrm>
          <a:off x="296418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70</xdr:row>
      <xdr:rowOff>57150</xdr:rowOff>
    </xdr:from>
    <xdr:to>
      <xdr:col>16</xdr:col>
      <xdr:colOff>0</xdr:colOff>
      <xdr:row>71</xdr:row>
      <xdr:rowOff>190500</xdr:rowOff>
    </xdr:to>
    <xdr:sp macro="" textlink="">
      <xdr:nvSpPr>
        <xdr:cNvPr id="230" name="AutoShape 46">
          <a:extLst>
            <a:ext uri="{FF2B5EF4-FFF2-40B4-BE49-F238E27FC236}">
              <a16:creationId xmlns:a16="http://schemas.microsoft.com/office/drawing/2014/main" id="{A18519D7-020E-4F68-AED5-812830AD2AD5}"/>
            </a:ext>
          </a:extLst>
        </xdr:cNvPr>
        <xdr:cNvSpPr>
          <a:spLocks noChangeArrowheads="1"/>
        </xdr:cNvSpPr>
      </xdr:nvSpPr>
      <xdr:spPr bwMode="auto">
        <a:xfrm>
          <a:off x="15316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31" name="AutoShape 46">
          <a:extLst>
            <a:ext uri="{FF2B5EF4-FFF2-40B4-BE49-F238E27FC236}">
              <a16:creationId xmlns:a16="http://schemas.microsoft.com/office/drawing/2014/main" id="{C44C723B-0BB1-43FF-9E28-DC857606EC97}"/>
            </a:ext>
          </a:extLst>
        </xdr:cNvPr>
        <xdr:cNvSpPr>
          <a:spLocks noChangeArrowheads="1"/>
        </xdr:cNvSpPr>
      </xdr:nvSpPr>
      <xdr:spPr bwMode="auto">
        <a:xfrm>
          <a:off x="17729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32" name="AutoShape 46">
          <a:extLst>
            <a:ext uri="{FF2B5EF4-FFF2-40B4-BE49-F238E27FC236}">
              <a16:creationId xmlns:a16="http://schemas.microsoft.com/office/drawing/2014/main" id="{49D191C5-17FB-4F5D-B179-EF92B062CCE6}"/>
            </a:ext>
          </a:extLst>
        </xdr:cNvPr>
        <xdr:cNvSpPr>
          <a:spLocks noChangeArrowheads="1"/>
        </xdr:cNvSpPr>
      </xdr:nvSpPr>
      <xdr:spPr bwMode="auto">
        <a:xfrm>
          <a:off x="19958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33" name="AutoShape 46">
          <a:extLst>
            <a:ext uri="{FF2B5EF4-FFF2-40B4-BE49-F238E27FC236}">
              <a16:creationId xmlns:a16="http://schemas.microsoft.com/office/drawing/2014/main" id="{BBFA118D-D03F-4C83-BEDA-4C8BD561C0A0}"/>
            </a:ext>
          </a:extLst>
        </xdr:cNvPr>
        <xdr:cNvSpPr>
          <a:spLocks noChangeArrowheads="1"/>
        </xdr:cNvSpPr>
      </xdr:nvSpPr>
      <xdr:spPr bwMode="auto">
        <a:xfrm>
          <a:off x="22542500" y="353695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34" name="AutoShape 46">
          <a:extLst>
            <a:ext uri="{FF2B5EF4-FFF2-40B4-BE49-F238E27FC236}">
              <a16:creationId xmlns:a16="http://schemas.microsoft.com/office/drawing/2014/main" id="{E178ADCB-70E0-4AB4-B0E1-8FE6528695F1}"/>
            </a:ext>
          </a:extLst>
        </xdr:cNvPr>
        <xdr:cNvSpPr>
          <a:spLocks noChangeArrowheads="1"/>
        </xdr:cNvSpPr>
      </xdr:nvSpPr>
      <xdr:spPr bwMode="auto">
        <a:xfrm>
          <a:off x="25488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35" name="AutoShape 46">
          <a:extLst>
            <a:ext uri="{FF2B5EF4-FFF2-40B4-BE49-F238E27FC236}">
              <a16:creationId xmlns:a16="http://schemas.microsoft.com/office/drawing/2014/main" id="{1ACCB2BD-E4D7-42D8-AA80-14B689CC47C2}"/>
            </a:ext>
          </a:extLst>
        </xdr:cNvPr>
        <xdr:cNvSpPr>
          <a:spLocks noChangeArrowheads="1"/>
        </xdr:cNvSpPr>
      </xdr:nvSpPr>
      <xdr:spPr bwMode="auto">
        <a:xfrm>
          <a:off x="276288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36" name="AutoShape 46">
          <a:extLst>
            <a:ext uri="{FF2B5EF4-FFF2-40B4-BE49-F238E27FC236}">
              <a16:creationId xmlns:a16="http://schemas.microsoft.com/office/drawing/2014/main" id="{2AFFB5AE-EE83-40EE-9CE2-849B861F0B13}"/>
            </a:ext>
          </a:extLst>
        </xdr:cNvPr>
        <xdr:cNvSpPr>
          <a:spLocks noChangeArrowheads="1"/>
        </xdr:cNvSpPr>
      </xdr:nvSpPr>
      <xdr:spPr bwMode="auto">
        <a:xfrm>
          <a:off x="296418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79</xdr:row>
      <xdr:rowOff>57150</xdr:rowOff>
    </xdr:from>
    <xdr:to>
      <xdr:col>2</xdr:col>
      <xdr:colOff>0</xdr:colOff>
      <xdr:row>80</xdr:row>
      <xdr:rowOff>190500</xdr:rowOff>
    </xdr:to>
    <xdr:sp macro="" textlink="">
      <xdr:nvSpPr>
        <xdr:cNvPr id="237" name="AutoShape 46">
          <a:extLst>
            <a:ext uri="{FF2B5EF4-FFF2-40B4-BE49-F238E27FC236}">
              <a16:creationId xmlns:a16="http://schemas.microsoft.com/office/drawing/2014/main" id="{76FCBCD2-BAC2-4F6C-AD20-E86AC889EBC5}"/>
            </a:ext>
          </a:extLst>
        </xdr:cNvPr>
        <xdr:cNvSpPr>
          <a:spLocks noChangeArrowheads="1"/>
        </xdr:cNvSpPr>
      </xdr:nvSpPr>
      <xdr:spPr bwMode="auto">
        <a:xfrm>
          <a:off x="7810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79</xdr:row>
      <xdr:rowOff>57150</xdr:rowOff>
    </xdr:from>
    <xdr:to>
      <xdr:col>4</xdr:col>
      <xdr:colOff>0</xdr:colOff>
      <xdr:row>80</xdr:row>
      <xdr:rowOff>190500</xdr:rowOff>
    </xdr:to>
    <xdr:sp macro="" textlink="">
      <xdr:nvSpPr>
        <xdr:cNvPr id="238" name="AutoShape 46">
          <a:extLst>
            <a:ext uri="{FF2B5EF4-FFF2-40B4-BE49-F238E27FC236}">
              <a16:creationId xmlns:a16="http://schemas.microsoft.com/office/drawing/2014/main" id="{5BD1EA1E-0F2B-48B8-86E8-5FFDE8C3D659}"/>
            </a:ext>
          </a:extLst>
        </xdr:cNvPr>
        <xdr:cNvSpPr>
          <a:spLocks noChangeArrowheads="1"/>
        </xdr:cNvSpPr>
      </xdr:nvSpPr>
      <xdr:spPr bwMode="auto">
        <a:xfrm>
          <a:off x="27940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79</xdr:row>
      <xdr:rowOff>57150</xdr:rowOff>
    </xdr:from>
    <xdr:to>
      <xdr:col>8</xdr:col>
      <xdr:colOff>0</xdr:colOff>
      <xdr:row>80</xdr:row>
      <xdr:rowOff>190500</xdr:rowOff>
    </xdr:to>
    <xdr:sp macro="" textlink="">
      <xdr:nvSpPr>
        <xdr:cNvPr id="239" name="AutoShape 46">
          <a:extLst>
            <a:ext uri="{FF2B5EF4-FFF2-40B4-BE49-F238E27FC236}">
              <a16:creationId xmlns:a16="http://schemas.microsoft.com/office/drawing/2014/main" id="{4AFA9F23-222F-4186-BE09-E5E927BA52C3}"/>
            </a:ext>
          </a:extLst>
        </xdr:cNvPr>
        <xdr:cNvSpPr>
          <a:spLocks noChangeArrowheads="1"/>
        </xdr:cNvSpPr>
      </xdr:nvSpPr>
      <xdr:spPr bwMode="auto">
        <a:xfrm>
          <a:off x="69469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79</xdr:row>
      <xdr:rowOff>57150</xdr:rowOff>
    </xdr:from>
    <xdr:to>
      <xdr:col>12</xdr:col>
      <xdr:colOff>0</xdr:colOff>
      <xdr:row>80</xdr:row>
      <xdr:rowOff>190500</xdr:rowOff>
    </xdr:to>
    <xdr:sp macro="" textlink="">
      <xdr:nvSpPr>
        <xdr:cNvPr id="240" name="AutoShape 46">
          <a:extLst>
            <a:ext uri="{FF2B5EF4-FFF2-40B4-BE49-F238E27FC236}">
              <a16:creationId xmlns:a16="http://schemas.microsoft.com/office/drawing/2014/main" id="{FBEA0730-96EC-4463-9F57-1F4811BECC58}"/>
            </a:ext>
          </a:extLst>
        </xdr:cNvPr>
        <xdr:cNvSpPr>
          <a:spLocks noChangeArrowheads="1"/>
        </xdr:cNvSpPr>
      </xdr:nvSpPr>
      <xdr:spPr bwMode="auto">
        <a:xfrm>
          <a:off x="112903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79</xdr:row>
      <xdr:rowOff>57150</xdr:rowOff>
    </xdr:from>
    <xdr:to>
      <xdr:col>14</xdr:col>
      <xdr:colOff>0</xdr:colOff>
      <xdr:row>80</xdr:row>
      <xdr:rowOff>190500</xdr:rowOff>
    </xdr:to>
    <xdr:sp macro="" textlink="">
      <xdr:nvSpPr>
        <xdr:cNvPr id="241" name="AutoShape 46">
          <a:extLst>
            <a:ext uri="{FF2B5EF4-FFF2-40B4-BE49-F238E27FC236}">
              <a16:creationId xmlns:a16="http://schemas.microsoft.com/office/drawing/2014/main" id="{CF70EACB-CDE0-4889-810E-AEA9B8FA45CC}"/>
            </a:ext>
          </a:extLst>
        </xdr:cNvPr>
        <xdr:cNvSpPr>
          <a:spLocks noChangeArrowheads="1"/>
        </xdr:cNvSpPr>
      </xdr:nvSpPr>
      <xdr:spPr bwMode="auto">
        <a:xfrm>
          <a:off x="133032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79</xdr:row>
      <xdr:rowOff>57150</xdr:rowOff>
    </xdr:from>
    <xdr:to>
      <xdr:col>16</xdr:col>
      <xdr:colOff>0</xdr:colOff>
      <xdr:row>80</xdr:row>
      <xdr:rowOff>190500</xdr:rowOff>
    </xdr:to>
    <xdr:sp macro="" textlink="">
      <xdr:nvSpPr>
        <xdr:cNvPr id="242" name="AutoShape 46">
          <a:extLst>
            <a:ext uri="{FF2B5EF4-FFF2-40B4-BE49-F238E27FC236}">
              <a16:creationId xmlns:a16="http://schemas.microsoft.com/office/drawing/2014/main" id="{EC3AB954-8DF6-49C3-A10D-EC9DF30834A3}"/>
            </a:ext>
          </a:extLst>
        </xdr:cNvPr>
        <xdr:cNvSpPr>
          <a:spLocks noChangeArrowheads="1"/>
        </xdr:cNvSpPr>
      </xdr:nvSpPr>
      <xdr:spPr bwMode="auto">
        <a:xfrm>
          <a:off x="153162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79</xdr:row>
      <xdr:rowOff>57150</xdr:rowOff>
    </xdr:from>
    <xdr:to>
      <xdr:col>18</xdr:col>
      <xdr:colOff>0</xdr:colOff>
      <xdr:row>80</xdr:row>
      <xdr:rowOff>190500</xdr:rowOff>
    </xdr:to>
    <xdr:sp macro="" textlink="">
      <xdr:nvSpPr>
        <xdr:cNvPr id="243" name="AutoShape 46">
          <a:extLst>
            <a:ext uri="{FF2B5EF4-FFF2-40B4-BE49-F238E27FC236}">
              <a16:creationId xmlns:a16="http://schemas.microsoft.com/office/drawing/2014/main" id="{32B5D961-383D-4D4F-A167-89BED8D5C589}"/>
            </a:ext>
          </a:extLst>
        </xdr:cNvPr>
        <xdr:cNvSpPr>
          <a:spLocks noChangeArrowheads="1"/>
        </xdr:cNvSpPr>
      </xdr:nvSpPr>
      <xdr:spPr bwMode="auto">
        <a:xfrm>
          <a:off x="177292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44" name="AutoShape 46">
          <a:extLst>
            <a:ext uri="{FF2B5EF4-FFF2-40B4-BE49-F238E27FC236}">
              <a16:creationId xmlns:a16="http://schemas.microsoft.com/office/drawing/2014/main" id="{C70A2329-8BC4-4286-8A8B-E13D524979DB}"/>
            </a:ext>
          </a:extLst>
        </xdr:cNvPr>
        <xdr:cNvSpPr>
          <a:spLocks noChangeArrowheads="1"/>
        </xdr:cNvSpPr>
      </xdr:nvSpPr>
      <xdr:spPr bwMode="auto">
        <a:xfrm>
          <a:off x="1995805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45" name="AutoShape 46">
          <a:extLst>
            <a:ext uri="{FF2B5EF4-FFF2-40B4-BE49-F238E27FC236}">
              <a16:creationId xmlns:a16="http://schemas.microsoft.com/office/drawing/2014/main" id="{F758D8C8-3163-4483-8626-9BA1BA98CE98}"/>
            </a:ext>
          </a:extLst>
        </xdr:cNvPr>
        <xdr:cNvSpPr>
          <a:spLocks noChangeArrowheads="1"/>
        </xdr:cNvSpPr>
      </xdr:nvSpPr>
      <xdr:spPr bwMode="auto">
        <a:xfrm>
          <a:off x="22542500" y="398462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46" name="AutoShape 46">
          <a:extLst>
            <a:ext uri="{FF2B5EF4-FFF2-40B4-BE49-F238E27FC236}">
              <a16:creationId xmlns:a16="http://schemas.microsoft.com/office/drawing/2014/main" id="{266DC334-9A6B-4630-AAF0-6B029B7DB231}"/>
            </a:ext>
          </a:extLst>
        </xdr:cNvPr>
        <xdr:cNvSpPr>
          <a:spLocks noChangeArrowheads="1"/>
        </xdr:cNvSpPr>
      </xdr:nvSpPr>
      <xdr:spPr bwMode="auto">
        <a:xfrm>
          <a:off x="2548890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47" name="AutoShape 46">
          <a:extLst>
            <a:ext uri="{FF2B5EF4-FFF2-40B4-BE49-F238E27FC236}">
              <a16:creationId xmlns:a16="http://schemas.microsoft.com/office/drawing/2014/main" id="{E12EE7B2-9F28-4B65-9915-231911D59C9E}"/>
            </a:ext>
          </a:extLst>
        </xdr:cNvPr>
        <xdr:cNvSpPr>
          <a:spLocks noChangeArrowheads="1"/>
        </xdr:cNvSpPr>
      </xdr:nvSpPr>
      <xdr:spPr bwMode="auto">
        <a:xfrm>
          <a:off x="2762885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48" name="AutoShape 46">
          <a:extLst>
            <a:ext uri="{FF2B5EF4-FFF2-40B4-BE49-F238E27FC236}">
              <a16:creationId xmlns:a16="http://schemas.microsoft.com/office/drawing/2014/main" id="{8A70E388-B22E-460A-BE3C-BDB5E209FE23}"/>
            </a:ext>
          </a:extLst>
        </xdr:cNvPr>
        <xdr:cNvSpPr>
          <a:spLocks noChangeArrowheads="1"/>
        </xdr:cNvSpPr>
      </xdr:nvSpPr>
      <xdr:spPr bwMode="auto">
        <a:xfrm>
          <a:off x="2964180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49" name="AutoShape 46">
          <a:extLst>
            <a:ext uri="{FF2B5EF4-FFF2-40B4-BE49-F238E27FC236}">
              <a16:creationId xmlns:a16="http://schemas.microsoft.com/office/drawing/2014/main" id="{6F6F1F82-3349-434F-A9AF-012363E55A98}"/>
            </a:ext>
          </a:extLst>
        </xdr:cNvPr>
        <xdr:cNvSpPr>
          <a:spLocks noChangeArrowheads="1"/>
        </xdr:cNvSpPr>
      </xdr:nvSpPr>
      <xdr:spPr bwMode="auto">
        <a:xfrm>
          <a:off x="1995805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50" name="AutoShape 46">
          <a:extLst>
            <a:ext uri="{FF2B5EF4-FFF2-40B4-BE49-F238E27FC236}">
              <a16:creationId xmlns:a16="http://schemas.microsoft.com/office/drawing/2014/main" id="{CDB72AFA-8885-4FE5-8D4F-7AB41987F579}"/>
            </a:ext>
          </a:extLst>
        </xdr:cNvPr>
        <xdr:cNvSpPr>
          <a:spLocks noChangeArrowheads="1"/>
        </xdr:cNvSpPr>
      </xdr:nvSpPr>
      <xdr:spPr bwMode="auto">
        <a:xfrm>
          <a:off x="22542500" y="398462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51" name="AutoShape 46">
          <a:extLst>
            <a:ext uri="{FF2B5EF4-FFF2-40B4-BE49-F238E27FC236}">
              <a16:creationId xmlns:a16="http://schemas.microsoft.com/office/drawing/2014/main" id="{0870ED05-37CB-4D8D-84D6-6E6C2434926B}"/>
            </a:ext>
          </a:extLst>
        </xdr:cNvPr>
        <xdr:cNvSpPr>
          <a:spLocks noChangeArrowheads="1"/>
        </xdr:cNvSpPr>
      </xdr:nvSpPr>
      <xdr:spPr bwMode="auto">
        <a:xfrm>
          <a:off x="254889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52" name="AutoShape 46">
          <a:extLst>
            <a:ext uri="{FF2B5EF4-FFF2-40B4-BE49-F238E27FC236}">
              <a16:creationId xmlns:a16="http://schemas.microsoft.com/office/drawing/2014/main" id="{0E7B6EC3-94DA-4E36-B5F3-173078E7B0CF}"/>
            </a:ext>
          </a:extLst>
        </xdr:cNvPr>
        <xdr:cNvSpPr>
          <a:spLocks noChangeArrowheads="1"/>
        </xdr:cNvSpPr>
      </xdr:nvSpPr>
      <xdr:spPr bwMode="auto">
        <a:xfrm>
          <a:off x="2762885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53" name="AutoShape 46">
          <a:extLst>
            <a:ext uri="{FF2B5EF4-FFF2-40B4-BE49-F238E27FC236}">
              <a16:creationId xmlns:a16="http://schemas.microsoft.com/office/drawing/2014/main" id="{A19678B6-4F73-410A-BCBA-415AB13C9A8F}"/>
            </a:ext>
          </a:extLst>
        </xdr:cNvPr>
        <xdr:cNvSpPr>
          <a:spLocks noChangeArrowheads="1"/>
        </xdr:cNvSpPr>
      </xdr:nvSpPr>
      <xdr:spPr bwMode="auto">
        <a:xfrm>
          <a:off x="296418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79</xdr:row>
      <xdr:rowOff>57150</xdr:rowOff>
    </xdr:from>
    <xdr:to>
      <xdr:col>18</xdr:col>
      <xdr:colOff>0</xdr:colOff>
      <xdr:row>80</xdr:row>
      <xdr:rowOff>190500</xdr:rowOff>
    </xdr:to>
    <xdr:sp macro="" textlink="">
      <xdr:nvSpPr>
        <xdr:cNvPr id="254" name="AutoShape 46">
          <a:extLst>
            <a:ext uri="{FF2B5EF4-FFF2-40B4-BE49-F238E27FC236}">
              <a16:creationId xmlns:a16="http://schemas.microsoft.com/office/drawing/2014/main" id="{72270015-2B76-4807-83B6-06066D37F872}"/>
            </a:ext>
          </a:extLst>
        </xdr:cNvPr>
        <xdr:cNvSpPr>
          <a:spLocks noChangeArrowheads="1"/>
        </xdr:cNvSpPr>
      </xdr:nvSpPr>
      <xdr:spPr bwMode="auto">
        <a:xfrm>
          <a:off x="177292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55" name="AutoShape 46">
          <a:extLst>
            <a:ext uri="{FF2B5EF4-FFF2-40B4-BE49-F238E27FC236}">
              <a16:creationId xmlns:a16="http://schemas.microsoft.com/office/drawing/2014/main" id="{AC8C975D-A3E9-44B6-8411-26EB1218A023}"/>
            </a:ext>
          </a:extLst>
        </xdr:cNvPr>
        <xdr:cNvSpPr>
          <a:spLocks noChangeArrowheads="1"/>
        </xdr:cNvSpPr>
      </xdr:nvSpPr>
      <xdr:spPr bwMode="auto">
        <a:xfrm>
          <a:off x="199580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56" name="AutoShape 46">
          <a:extLst>
            <a:ext uri="{FF2B5EF4-FFF2-40B4-BE49-F238E27FC236}">
              <a16:creationId xmlns:a16="http://schemas.microsoft.com/office/drawing/2014/main" id="{E80C1AE0-E37B-428D-B299-6D50BB6A5684}"/>
            </a:ext>
          </a:extLst>
        </xdr:cNvPr>
        <xdr:cNvSpPr>
          <a:spLocks noChangeArrowheads="1"/>
        </xdr:cNvSpPr>
      </xdr:nvSpPr>
      <xdr:spPr bwMode="auto">
        <a:xfrm>
          <a:off x="22542500" y="398462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57" name="AutoShape 46">
          <a:extLst>
            <a:ext uri="{FF2B5EF4-FFF2-40B4-BE49-F238E27FC236}">
              <a16:creationId xmlns:a16="http://schemas.microsoft.com/office/drawing/2014/main" id="{DEACE599-1128-470A-999A-237498008038}"/>
            </a:ext>
          </a:extLst>
        </xdr:cNvPr>
        <xdr:cNvSpPr>
          <a:spLocks noChangeArrowheads="1"/>
        </xdr:cNvSpPr>
      </xdr:nvSpPr>
      <xdr:spPr bwMode="auto">
        <a:xfrm>
          <a:off x="254889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58" name="AutoShape 46">
          <a:extLst>
            <a:ext uri="{FF2B5EF4-FFF2-40B4-BE49-F238E27FC236}">
              <a16:creationId xmlns:a16="http://schemas.microsoft.com/office/drawing/2014/main" id="{C3FA27A9-83D4-46C4-879A-8B71EC902A75}"/>
            </a:ext>
          </a:extLst>
        </xdr:cNvPr>
        <xdr:cNvSpPr>
          <a:spLocks noChangeArrowheads="1"/>
        </xdr:cNvSpPr>
      </xdr:nvSpPr>
      <xdr:spPr bwMode="auto">
        <a:xfrm>
          <a:off x="276288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59" name="AutoShape 46">
          <a:extLst>
            <a:ext uri="{FF2B5EF4-FFF2-40B4-BE49-F238E27FC236}">
              <a16:creationId xmlns:a16="http://schemas.microsoft.com/office/drawing/2014/main" id="{8C711748-0EC7-402C-AD3C-B6CCA5CA4FDD}"/>
            </a:ext>
          </a:extLst>
        </xdr:cNvPr>
        <xdr:cNvSpPr>
          <a:spLocks noChangeArrowheads="1"/>
        </xdr:cNvSpPr>
      </xdr:nvSpPr>
      <xdr:spPr bwMode="auto">
        <a:xfrm>
          <a:off x="296418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87</xdr:row>
      <xdr:rowOff>57150</xdr:rowOff>
    </xdr:from>
    <xdr:to>
      <xdr:col>2</xdr:col>
      <xdr:colOff>0</xdr:colOff>
      <xdr:row>88</xdr:row>
      <xdr:rowOff>190500</xdr:rowOff>
    </xdr:to>
    <xdr:sp macro="" textlink="">
      <xdr:nvSpPr>
        <xdr:cNvPr id="260" name="AutoShape 46">
          <a:extLst>
            <a:ext uri="{FF2B5EF4-FFF2-40B4-BE49-F238E27FC236}">
              <a16:creationId xmlns:a16="http://schemas.microsoft.com/office/drawing/2014/main" id="{B53900C7-0CFD-4715-B209-EA9F45DAFEDD}"/>
            </a:ext>
          </a:extLst>
        </xdr:cNvPr>
        <xdr:cNvSpPr>
          <a:spLocks noChangeArrowheads="1"/>
        </xdr:cNvSpPr>
      </xdr:nvSpPr>
      <xdr:spPr bwMode="auto">
        <a:xfrm>
          <a:off x="7810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87</xdr:row>
      <xdr:rowOff>57150</xdr:rowOff>
    </xdr:from>
    <xdr:to>
      <xdr:col>4</xdr:col>
      <xdr:colOff>0</xdr:colOff>
      <xdr:row>88</xdr:row>
      <xdr:rowOff>190500</xdr:rowOff>
    </xdr:to>
    <xdr:sp macro="" textlink="">
      <xdr:nvSpPr>
        <xdr:cNvPr id="261" name="AutoShape 46">
          <a:extLst>
            <a:ext uri="{FF2B5EF4-FFF2-40B4-BE49-F238E27FC236}">
              <a16:creationId xmlns:a16="http://schemas.microsoft.com/office/drawing/2014/main" id="{B1AD3D89-1260-4E80-B2AF-A664A71A0BF8}"/>
            </a:ext>
          </a:extLst>
        </xdr:cNvPr>
        <xdr:cNvSpPr>
          <a:spLocks noChangeArrowheads="1"/>
        </xdr:cNvSpPr>
      </xdr:nvSpPr>
      <xdr:spPr bwMode="auto">
        <a:xfrm>
          <a:off x="27940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87</xdr:row>
      <xdr:rowOff>57150</xdr:rowOff>
    </xdr:from>
    <xdr:to>
      <xdr:col>8</xdr:col>
      <xdr:colOff>0</xdr:colOff>
      <xdr:row>88</xdr:row>
      <xdr:rowOff>190500</xdr:rowOff>
    </xdr:to>
    <xdr:sp macro="" textlink="">
      <xdr:nvSpPr>
        <xdr:cNvPr id="262" name="AutoShape 46">
          <a:extLst>
            <a:ext uri="{FF2B5EF4-FFF2-40B4-BE49-F238E27FC236}">
              <a16:creationId xmlns:a16="http://schemas.microsoft.com/office/drawing/2014/main" id="{2AF900BC-C371-486D-BA17-ABF566802408}"/>
            </a:ext>
          </a:extLst>
        </xdr:cNvPr>
        <xdr:cNvSpPr>
          <a:spLocks noChangeArrowheads="1"/>
        </xdr:cNvSpPr>
      </xdr:nvSpPr>
      <xdr:spPr bwMode="auto">
        <a:xfrm>
          <a:off x="69469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87</xdr:row>
      <xdr:rowOff>57150</xdr:rowOff>
    </xdr:from>
    <xdr:to>
      <xdr:col>10</xdr:col>
      <xdr:colOff>0</xdr:colOff>
      <xdr:row>88</xdr:row>
      <xdr:rowOff>190500</xdr:rowOff>
    </xdr:to>
    <xdr:sp macro="" textlink="">
      <xdr:nvSpPr>
        <xdr:cNvPr id="263" name="AutoShape 46">
          <a:extLst>
            <a:ext uri="{FF2B5EF4-FFF2-40B4-BE49-F238E27FC236}">
              <a16:creationId xmlns:a16="http://schemas.microsoft.com/office/drawing/2014/main" id="{126E307E-D23F-4933-A156-DBA6BDDB74C6}"/>
            </a:ext>
          </a:extLst>
        </xdr:cNvPr>
        <xdr:cNvSpPr>
          <a:spLocks noChangeArrowheads="1"/>
        </xdr:cNvSpPr>
      </xdr:nvSpPr>
      <xdr:spPr bwMode="auto">
        <a:xfrm>
          <a:off x="92773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87</xdr:row>
      <xdr:rowOff>57150</xdr:rowOff>
    </xdr:from>
    <xdr:to>
      <xdr:col>12</xdr:col>
      <xdr:colOff>0</xdr:colOff>
      <xdr:row>88</xdr:row>
      <xdr:rowOff>190500</xdr:rowOff>
    </xdr:to>
    <xdr:sp macro="" textlink="">
      <xdr:nvSpPr>
        <xdr:cNvPr id="264" name="AutoShape 46">
          <a:extLst>
            <a:ext uri="{FF2B5EF4-FFF2-40B4-BE49-F238E27FC236}">
              <a16:creationId xmlns:a16="http://schemas.microsoft.com/office/drawing/2014/main" id="{0B5B514A-F143-42BD-8A01-F677C0D3441A}"/>
            </a:ext>
          </a:extLst>
        </xdr:cNvPr>
        <xdr:cNvSpPr>
          <a:spLocks noChangeArrowheads="1"/>
        </xdr:cNvSpPr>
      </xdr:nvSpPr>
      <xdr:spPr bwMode="auto">
        <a:xfrm>
          <a:off x="112903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87</xdr:row>
      <xdr:rowOff>57150</xdr:rowOff>
    </xdr:from>
    <xdr:to>
      <xdr:col>14</xdr:col>
      <xdr:colOff>0</xdr:colOff>
      <xdr:row>88</xdr:row>
      <xdr:rowOff>190500</xdr:rowOff>
    </xdr:to>
    <xdr:sp macro="" textlink="">
      <xdr:nvSpPr>
        <xdr:cNvPr id="265" name="AutoShape 46">
          <a:extLst>
            <a:ext uri="{FF2B5EF4-FFF2-40B4-BE49-F238E27FC236}">
              <a16:creationId xmlns:a16="http://schemas.microsoft.com/office/drawing/2014/main" id="{CD6A9DF1-A260-4D02-8D2D-BA9E1131F9E2}"/>
            </a:ext>
          </a:extLst>
        </xdr:cNvPr>
        <xdr:cNvSpPr>
          <a:spLocks noChangeArrowheads="1"/>
        </xdr:cNvSpPr>
      </xdr:nvSpPr>
      <xdr:spPr bwMode="auto">
        <a:xfrm>
          <a:off x="133032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87</xdr:row>
      <xdr:rowOff>57150</xdr:rowOff>
    </xdr:from>
    <xdr:to>
      <xdr:col>16</xdr:col>
      <xdr:colOff>0</xdr:colOff>
      <xdr:row>88</xdr:row>
      <xdr:rowOff>190500</xdr:rowOff>
    </xdr:to>
    <xdr:sp macro="" textlink="">
      <xdr:nvSpPr>
        <xdr:cNvPr id="266" name="AutoShape 46">
          <a:extLst>
            <a:ext uri="{FF2B5EF4-FFF2-40B4-BE49-F238E27FC236}">
              <a16:creationId xmlns:a16="http://schemas.microsoft.com/office/drawing/2014/main" id="{3BEADAE1-91E0-4CFF-9B2A-B6ADA534ED21}"/>
            </a:ext>
          </a:extLst>
        </xdr:cNvPr>
        <xdr:cNvSpPr>
          <a:spLocks noChangeArrowheads="1"/>
        </xdr:cNvSpPr>
      </xdr:nvSpPr>
      <xdr:spPr bwMode="auto">
        <a:xfrm>
          <a:off x="153162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87</xdr:row>
      <xdr:rowOff>57150</xdr:rowOff>
    </xdr:from>
    <xdr:to>
      <xdr:col>18</xdr:col>
      <xdr:colOff>0</xdr:colOff>
      <xdr:row>88</xdr:row>
      <xdr:rowOff>190500</xdr:rowOff>
    </xdr:to>
    <xdr:sp macro="" textlink="">
      <xdr:nvSpPr>
        <xdr:cNvPr id="267" name="AutoShape 46">
          <a:extLst>
            <a:ext uri="{FF2B5EF4-FFF2-40B4-BE49-F238E27FC236}">
              <a16:creationId xmlns:a16="http://schemas.microsoft.com/office/drawing/2014/main" id="{F1F415B8-6A09-447F-88DA-077A79E01DD7}"/>
            </a:ext>
          </a:extLst>
        </xdr:cNvPr>
        <xdr:cNvSpPr>
          <a:spLocks noChangeArrowheads="1"/>
        </xdr:cNvSpPr>
      </xdr:nvSpPr>
      <xdr:spPr bwMode="auto">
        <a:xfrm>
          <a:off x="177292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68" name="AutoShape 46">
          <a:extLst>
            <a:ext uri="{FF2B5EF4-FFF2-40B4-BE49-F238E27FC236}">
              <a16:creationId xmlns:a16="http://schemas.microsoft.com/office/drawing/2014/main" id="{330E8868-E0D6-49FE-8354-D3ECD47FE222}"/>
            </a:ext>
          </a:extLst>
        </xdr:cNvPr>
        <xdr:cNvSpPr>
          <a:spLocks noChangeArrowheads="1"/>
        </xdr:cNvSpPr>
      </xdr:nvSpPr>
      <xdr:spPr bwMode="auto">
        <a:xfrm>
          <a:off x="1995805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69" name="AutoShape 46">
          <a:extLst>
            <a:ext uri="{FF2B5EF4-FFF2-40B4-BE49-F238E27FC236}">
              <a16:creationId xmlns:a16="http://schemas.microsoft.com/office/drawing/2014/main" id="{9C8EAA36-2C3D-4A44-BF76-A863E788DE51}"/>
            </a:ext>
          </a:extLst>
        </xdr:cNvPr>
        <xdr:cNvSpPr>
          <a:spLocks noChangeArrowheads="1"/>
        </xdr:cNvSpPr>
      </xdr:nvSpPr>
      <xdr:spPr bwMode="auto">
        <a:xfrm>
          <a:off x="22542500" y="437515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70" name="AutoShape 46">
          <a:extLst>
            <a:ext uri="{FF2B5EF4-FFF2-40B4-BE49-F238E27FC236}">
              <a16:creationId xmlns:a16="http://schemas.microsoft.com/office/drawing/2014/main" id="{93108B09-81B3-4D82-A0A1-43D184E31AFF}"/>
            </a:ext>
          </a:extLst>
        </xdr:cNvPr>
        <xdr:cNvSpPr>
          <a:spLocks noChangeArrowheads="1"/>
        </xdr:cNvSpPr>
      </xdr:nvSpPr>
      <xdr:spPr bwMode="auto">
        <a:xfrm>
          <a:off x="2548890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71" name="AutoShape 46">
          <a:extLst>
            <a:ext uri="{FF2B5EF4-FFF2-40B4-BE49-F238E27FC236}">
              <a16:creationId xmlns:a16="http://schemas.microsoft.com/office/drawing/2014/main" id="{AC436B26-EADA-4EC3-A7A1-CC78C3605C78}"/>
            </a:ext>
          </a:extLst>
        </xdr:cNvPr>
        <xdr:cNvSpPr>
          <a:spLocks noChangeArrowheads="1"/>
        </xdr:cNvSpPr>
      </xdr:nvSpPr>
      <xdr:spPr bwMode="auto">
        <a:xfrm>
          <a:off x="2762885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72" name="AutoShape 46">
          <a:extLst>
            <a:ext uri="{FF2B5EF4-FFF2-40B4-BE49-F238E27FC236}">
              <a16:creationId xmlns:a16="http://schemas.microsoft.com/office/drawing/2014/main" id="{D816A4A9-A8CB-4C0F-BFAF-9E41499F98A2}"/>
            </a:ext>
          </a:extLst>
        </xdr:cNvPr>
        <xdr:cNvSpPr>
          <a:spLocks noChangeArrowheads="1"/>
        </xdr:cNvSpPr>
      </xdr:nvSpPr>
      <xdr:spPr bwMode="auto">
        <a:xfrm>
          <a:off x="2964180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73" name="AutoShape 46">
          <a:extLst>
            <a:ext uri="{FF2B5EF4-FFF2-40B4-BE49-F238E27FC236}">
              <a16:creationId xmlns:a16="http://schemas.microsoft.com/office/drawing/2014/main" id="{D2DC1C31-76FF-4E06-A54B-BD70EDAD9D42}"/>
            </a:ext>
          </a:extLst>
        </xdr:cNvPr>
        <xdr:cNvSpPr>
          <a:spLocks noChangeArrowheads="1"/>
        </xdr:cNvSpPr>
      </xdr:nvSpPr>
      <xdr:spPr bwMode="auto">
        <a:xfrm>
          <a:off x="31813500" y="437515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74" name="AutoShape 46">
          <a:extLst>
            <a:ext uri="{FF2B5EF4-FFF2-40B4-BE49-F238E27FC236}">
              <a16:creationId xmlns:a16="http://schemas.microsoft.com/office/drawing/2014/main" id="{7434EF0F-9B16-4745-8D53-80C26AAC1899}"/>
            </a:ext>
          </a:extLst>
        </xdr:cNvPr>
        <xdr:cNvSpPr>
          <a:spLocks noChangeArrowheads="1"/>
        </xdr:cNvSpPr>
      </xdr:nvSpPr>
      <xdr:spPr bwMode="auto">
        <a:xfrm>
          <a:off x="1995805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75" name="AutoShape 46">
          <a:extLst>
            <a:ext uri="{FF2B5EF4-FFF2-40B4-BE49-F238E27FC236}">
              <a16:creationId xmlns:a16="http://schemas.microsoft.com/office/drawing/2014/main" id="{D9EFC29D-3D2F-4F32-A43B-199DEB8B2203}"/>
            </a:ext>
          </a:extLst>
        </xdr:cNvPr>
        <xdr:cNvSpPr>
          <a:spLocks noChangeArrowheads="1"/>
        </xdr:cNvSpPr>
      </xdr:nvSpPr>
      <xdr:spPr bwMode="auto">
        <a:xfrm>
          <a:off x="22542500" y="437515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76" name="AutoShape 46">
          <a:extLst>
            <a:ext uri="{FF2B5EF4-FFF2-40B4-BE49-F238E27FC236}">
              <a16:creationId xmlns:a16="http://schemas.microsoft.com/office/drawing/2014/main" id="{DCE27297-5611-465E-833F-B42116B6DE8C}"/>
            </a:ext>
          </a:extLst>
        </xdr:cNvPr>
        <xdr:cNvSpPr>
          <a:spLocks noChangeArrowheads="1"/>
        </xdr:cNvSpPr>
      </xdr:nvSpPr>
      <xdr:spPr bwMode="auto">
        <a:xfrm>
          <a:off x="254889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77" name="AutoShape 46">
          <a:extLst>
            <a:ext uri="{FF2B5EF4-FFF2-40B4-BE49-F238E27FC236}">
              <a16:creationId xmlns:a16="http://schemas.microsoft.com/office/drawing/2014/main" id="{8D528A00-CAEB-4FB7-9DCD-7CA54D52F0D9}"/>
            </a:ext>
          </a:extLst>
        </xdr:cNvPr>
        <xdr:cNvSpPr>
          <a:spLocks noChangeArrowheads="1"/>
        </xdr:cNvSpPr>
      </xdr:nvSpPr>
      <xdr:spPr bwMode="auto">
        <a:xfrm>
          <a:off x="2762885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78" name="AutoShape 46">
          <a:extLst>
            <a:ext uri="{FF2B5EF4-FFF2-40B4-BE49-F238E27FC236}">
              <a16:creationId xmlns:a16="http://schemas.microsoft.com/office/drawing/2014/main" id="{FF984EE8-AF00-4083-AD5C-1F448E009413}"/>
            </a:ext>
          </a:extLst>
        </xdr:cNvPr>
        <xdr:cNvSpPr>
          <a:spLocks noChangeArrowheads="1"/>
        </xdr:cNvSpPr>
      </xdr:nvSpPr>
      <xdr:spPr bwMode="auto">
        <a:xfrm>
          <a:off x="296418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79" name="AutoShape 46">
          <a:extLst>
            <a:ext uri="{FF2B5EF4-FFF2-40B4-BE49-F238E27FC236}">
              <a16:creationId xmlns:a16="http://schemas.microsoft.com/office/drawing/2014/main" id="{22A1DDCA-10ED-43F0-96C0-6DC821612040}"/>
            </a:ext>
          </a:extLst>
        </xdr:cNvPr>
        <xdr:cNvSpPr>
          <a:spLocks noChangeArrowheads="1"/>
        </xdr:cNvSpPr>
      </xdr:nvSpPr>
      <xdr:spPr bwMode="auto">
        <a:xfrm>
          <a:off x="31813500" y="4375150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87</xdr:row>
      <xdr:rowOff>57150</xdr:rowOff>
    </xdr:from>
    <xdr:to>
      <xdr:col>18</xdr:col>
      <xdr:colOff>0</xdr:colOff>
      <xdr:row>88</xdr:row>
      <xdr:rowOff>190500</xdr:rowOff>
    </xdr:to>
    <xdr:sp macro="" textlink="">
      <xdr:nvSpPr>
        <xdr:cNvPr id="280" name="AutoShape 46">
          <a:extLst>
            <a:ext uri="{FF2B5EF4-FFF2-40B4-BE49-F238E27FC236}">
              <a16:creationId xmlns:a16="http://schemas.microsoft.com/office/drawing/2014/main" id="{9A0A5E01-2959-43B5-B1BF-6A3A6660ED8E}"/>
            </a:ext>
          </a:extLst>
        </xdr:cNvPr>
        <xdr:cNvSpPr>
          <a:spLocks noChangeArrowheads="1"/>
        </xdr:cNvSpPr>
      </xdr:nvSpPr>
      <xdr:spPr bwMode="auto">
        <a:xfrm>
          <a:off x="177292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81" name="AutoShape 46">
          <a:extLst>
            <a:ext uri="{FF2B5EF4-FFF2-40B4-BE49-F238E27FC236}">
              <a16:creationId xmlns:a16="http://schemas.microsoft.com/office/drawing/2014/main" id="{269718A5-55AC-4513-86F7-B4BF3C578FAC}"/>
            </a:ext>
          </a:extLst>
        </xdr:cNvPr>
        <xdr:cNvSpPr>
          <a:spLocks noChangeArrowheads="1"/>
        </xdr:cNvSpPr>
      </xdr:nvSpPr>
      <xdr:spPr bwMode="auto">
        <a:xfrm>
          <a:off x="199580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82" name="AutoShape 46">
          <a:extLst>
            <a:ext uri="{FF2B5EF4-FFF2-40B4-BE49-F238E27FC236}">
              <a16:creationId xmlns:a16="http://schemas.microsoft.com/office/drawing/2014/main" id="{A4391777-5715-4968-84FF-24B35619C30A}"/>
            </a:ext>
          </a:extLst>
        </xdr:cNvPr>
        <xdr:cNvSpPr>
          <a:spLocks noChangeArrowheads="1"/>
        </xdr:cNvSpPr>
      </xdr:nvSpPr>
      <xdr:spPr bwMode="auto">
        <a:xfrm>
          <a:off x="22542500" y="437515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83" name="AutoShape 46">
          <a:extLst>
            <a:ext uri="{FF2B5EF4-FFF2-40B4-BE49-F238E27FC236}">
              <a16:creationId xmlns:a16="http://schemas.microsoft.com/office/drawing/2014/main" id="{974ED626-E48E-4E2D-B780-203AE0DFDE8C}"/>
            </a:ext>
          </a:extLst>
        </xdr:cNvPr>
        <xdr:cNvSpPr>
          <a:spLocks noChangeArrowheads="1"/>
        </xdr:cNvSpPr>
      </xdr:nvSpPr>
      <xdr:spPr bwMode="auto">
        <a:xfrm>
          <a:off x="254889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84" name="AutoShape 46">
          <a:extLst>
            <a:ext uri="{FF2B5EF4-FFF2-40B4-BE49-F238E27FC236}">
              <a16:creationId xmlns:a16="http://schemas.microsoft.com/office/drawing/2014/main" id="{9665F93B-B8AE-4FF8-A0D1-475345E1EF74}"/>
            </a:ext>
          </a:extLst>
        </xdr:cNvPr>
        <xdr:cNvSpPr>
          <a:spLocks noChangeArrowheads="1"/>
        </xdr:cNvSpPr>
      </xdr:nvSpPr>
      <xdr:spPr bwMode="auto">
        <a:xfrm>
          <a:off x="276288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85" name="AutoShape 46">
          <a:extLst>
            <a:ext uri="{FF2B5EF4-FFF2-40B4-BE49-F238E27FC236}">
              <a16:creationId xmlns:a16="http://schemas.microsoft.com/office/drawing/2014/main" id="{74D4093F-E65D-4BA3-A3CA-28FCB6D06FFE}"/>
            </a:ext>
          </a:extLst>
        </xdr:cNvPr>
        <xdr:cNvSpPr>
          <a:spLocks noChangeArrowheads="1"/>
        </xdr:cNvSpPr>
      </xdr:nvSpPr>
      <xdr:spPr bwMode="auto">
        <a:xfrm>
          <a:off x="296418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86" name="AutoShape 46">
          <a:extLst>
            <a:ext uri="{FF2B5EF4-FFF2-40B4-BE49-F238E27FC236}">
              <a16:creationId xmlns:a16="http://schemas.microsoft.com/office/drawing/2014/main" id="{A0508BBE-CCE5-4743-90E2-A77BC18DBBE4}"/>
            </a:ext>
          </a:extLst>
        </xdr:cNvPr>
        <xdr:cNvSpPr>
          <a:spLocks noChangeArrowheads="1"/>
        </xdr:cNvSpPr>
      </xdr:nvSpPr>
      <xdr:spPr bwMode="auto">
        <a:xfrm>
          <a:off x="31813500" y="43751500"/>
          <a:ext cx="1035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96</xdr:row>
      <xdr:rowOff>57150</xdr:rowOff>
    </xdr:from>
    <xdr:to>
      <xdr:col>2</xdr:col>
      <xdr:colOff>0</xdr:colOff>
      <xdr:row>97</xdr:row>
      <xdr:rowOff>190500</xdr:rowOff>
    </xdr:to>
    <xdr:sp macro="" textlink="">
      <xdr:nvSpPr>
        <xdr:cNvPr id="287" name="AutoShape 46">
          <a:extLst>
            <a:ext uri="{FF2B5EF4-FFF2-40B4-BE49-F238E27FC236}">
              <a16:creationId xmlns:a16="http://schemas.microsoft.com/office/drawing/2014/main" id="{44D3952B-E224-49DB-ABE8-6E663A99A214}"/>
            </a:ext>
          </a:extLst>
        </xdr:cNvPr>
        <xdr:cNvSpPr>
          <a:spLocks noChangeArrowheads="1"/>
        </xdr:cNvSpPr>
      </xdr:nvSpPr>
      <xdr:spPr bwMode="auto">
        <a:xfrm>
          <a:off x="7810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96</xdr:row>
      <xdr:rowOff>57150</xdr:rowOff>
    </xdr:from>
    <xdr:to>
      <xdr:col>4</xdr:col>
      <xdr:colOff>0</xdr:colOff>
      <xdr:row>97</xdr:row>
      <xdr:rowOff>190500</xdr:rowOff>
    </xdr:to>
    <xdr:sp macro="" textlink="">
      <xdr:nvSpPr>
        <xdr:cNvPr id="288" name="AutoShape 46">
          <a:extLst>
            <a:ext uri="{FF2B5EF4-FFF2-40B4-BE49-F238E27FC236}">
              <a16:creationId xmlns:a16="http://schemas.microsoft.com/office/drawing/2014/main" id="{C73569A8-781E-4E21-8ECE-E3C7253B97EB}"/>
            </a:ext>
          </a:extLst>
        </xdr:cNvPr>
        <xdr:cNvSpPr>
          <a:spLocks noChangeArrowheads="1"/>
        </xdr:cNvSpPr>
      </xdr:nvSpPr>
      <xdr:spPr bwMode="auto">
        <a:xfrm>
          <a:off x="27940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96</xdr:row>
      <xdr:rowOff>57150</xdr:rowOff>
    </xdr:from>
    <xdr:to>
      <xdr:col>6</xdr:col>
      <xdr:colOff>0</xdr:colOff>
      <xdr:row>97</xdr:row>
      <xdr:rowOff>190500</xdr:rowOff>
    </xdr:to>
    <xdr:sp macro="" textlink="">
      <xdr:nvSpPr>
        <xdr:cNvPr id="289" name="AutoShape 46">
          <a:extLst>
            <a:ext uri="{FF2B5EF4-FFF2-40B4-BE49-F238E27FC236}">
              <a16:creationId xmlns:a16="http://schemas.microsoft.com/office/drawing/2014/main" id="{A08772B2-9450-47E8-B55B-F0DEC783537D}"/>
            </a:ext>
          </a:extLst>
        </xdr:cNvPr>
        <xdr:cNvSpPr>
          <a:spLocks noChangeArrowheads="1"/>
        </xdr:cNvSpPr>
      </xdr:nvSpPr>
      <xdr:spPr bwMode="auto">
        <a:xfrm>
          <a:off x="49339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96</xdr:row>
      <xdr:rowOff>57150</xdr:rowOff>
    </xdr:from>
    <xdr:to>
      <xdr:col>8</xdr:col>
      <xdr:colOff>0</xdr:colOff>
      <xdr:row>97</xdr:row>
      <xdr:rowOff>190500</xdr:rowOff>
    </xdr:to>
    <xdr:sp macro="" textlink="">
      <xdr:nvSpPr>
        <xdr:cNvPr id="290" name="AutoShape 46">
          <a:extLst>
            <a:ext uri="{FF2B5EF4-FFF2-40B4-BE49-F238E27FC236}">
              <a16:creationId xmlns:a16="http://schemas.microsoft.com/office/drawing/2014/main" id="{43BD0567-605E-457E-A73E-17A7245F2C23}"/>
            </a:ext>
          </a:extLst>
        </xdr:cNvPr>
        <xdr:cNvSpPr>
          <a:spLocks noChangeArrowheads="1"/>
        </xdr:cNvSpPr>
      </xdr:nvSpPr>
      <xdr:spPr bwMode="auto">
        <a:xfrm>
          <a:off x="69469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96</xdr:row>
      <xdr:rowOff>57150</xdr:rowOff>
    </xdr:from>
    <xdr:to>
      <xdr:col>10</xdr:col>
      <xdr:colOff>0</xdr:colOff>
      <xdr:row>97</xdr:row>
      <xdr:rowOff>190500</xdr:rowOff>
    </xdr:to>
    <xdr:sp macro="" textlink="">
      <xdr:nvSpPr>
        <xdr:cNvPr id="291" name="AutoShape 46">
          <a:extLst>
            <a:ext uri="{FF2B5EF4-FFF2-40B4-BE49-F238E27FC236}">
              <a16:creationId xmlns:a16="http://schemas.microsoft.com/office/drawing/2014/main" id="{D9E85BE2-6B03-4265-8FFB-6FA64E02D0A4}"/>
            </a:ext>
          </a:extLst>
        </xdr:cNvPr>
        <xdr:cNvSpPr>
          <a:spLocks noChangeArrowheads="1"/>
        </xdr:cNvSpPr>
      </xdr:nvSpPr>
      <xdr:spPr bwMode="auto">
        <a:xfrm>
          <a:off x="92773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96</xdr:row>
      <xdr:rowOff>57150</xdr:rowOff>
    </xdr:from>
    <xdr:to>
      <xdr:col>14</xdr:col>
      <xdr:colOff>0</xdr:colOff>
      <xdr:row>97</xdr:row>
      <xdr:rowOff>190500</xdr:rowOff>
    </xdr:to>
    <xdr:sp macro="" textlink="">
      <xdr:nvSpPr>
        <xdr:cNvPr id="292" name="AutoShape 46">
          <a:extLst>
            <a:ext uri="{FF2B5EF4-FFF2-40B4-BE49-F238E27FC236}">
              <a16:creationId xmlns:a16="http://schemas.microsoft.com/office/drawing/2014/main" id="{D18AB5A1-DE69-4CE2-9815-15437A1242FF}"/>
            </a:ext>
          </a:extLst>
        </xdr:cNvPr>
        <xdr:cNvSpPr>
          <a:spLocks noChangeArrowheads="1"/>
        </xdr:cNvSpPr>
      </xdr:nvSpPr>
      <xdr:spPr bwMode="auto">
        <a:xfrm>
          <a:off x="133032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96</xdr:row>
      <xdr:rowOff>57150</xdr:rowOff>
    </xdr:from>
    <xdr:to>
      <xdr:col>16</xdr:col>
      <xdr:colOff>0</xdr:colOff>
      <xdr:row>97</xdr:row>
      <xdr:rowOff>190500</xdr:rowOff>
    </xdr:to>
    <xdr:sp macro="" textlink="">
      <xdr:nvSpPr>
        <xdr:cNvPr id="293" name="AutoShape 46">
          <a:extLst>
            <a:ext uri="{FF2B5EF4-FFF2-40B4-BE49-F238E27FC236}">
              <a16:creationId xmlns:a16="http://schemas.microsoft.com/office/drawing/2014/main" id="{4F53F3C9-1BA8-4B86-ABEB-133EA39E8214}"/>
            </a:ext>
          </a:extLst>
        </xdr:cNvPr>
        <xdr:cNvSpPr>
          <a:spLocks noChangeArrowheads="1"/>
        </xdr:cNvSpPr>
      </xdr:nvSpPr>
      <xdr:spPr bwMode="auto">
        <a:xfrm>
          <a:off x="153162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294" name="AutoShape 46">
          <a:extLst>
            <a:ext uri="{FF2B5EF4-FFF2-40B4-BE49-F238E27FC236}">
              <a16:creationId xmlns:a16="http://schemas.microsoft.com/office/drawing/2014/main" id="{C92A7E5F-5008-46A2-9E14-2F4DEDEE8398}"/>
            </a:ext>
          </a:extLst>
        </xdr:cNvPr>
        <xdr:cNvSpPr>
          <a:spLocks noChangeArrowheads="1"/>
        </xdr:cNvSpPr>
      </xdr:nvSpPr>
      <xdr:spPr bwMode="auto">
        <a:xfrm>
          <a:off x="177292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295" name="AutoShape 46">
          <a:extLst>
            <a:ext uri="{FF2B5EF4-FFF2-40B4-BE49-F238E27FC236}">
              <a16:creationId xmlns:a16="http://schemas.microsoft.com/office/drawing/2014/main" id="{0ECE7DF3-55F1-4FE8-A806-3B4F4EBC75AA}"/>
            </a:ext>
          </a:extLst>
        </xdr:cNvPr>
        <xdr:cNvSpPr>
          <a:spLocks noChangeArrowheads="1"/>
        </xdr:cNvSpPr>
      </xdr:nvSpPr>
      <xdr:spPr bwMode="auto">
        <a:xfrm>
          <a:off x="1995805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296" name="AutoShape 46">
          <a:extLst>
            <a:ext uri="{FF2B5EF4-FFF2-40B4-BE49-F238E27FC236}">
              <a16:creationId xmlns:a16="http://schemas.microsoft.com/office/drawing/2014/main" id="{94311BE4-7304-4C00-AB13-62C9AEF5350E}"/>
            </a:ext>
          </a:extLst>
        </xdr:cNvPr>
        <xdr:cNvSpPr>
          <a:spLocks noChangeArrowheads="1"/>
        </xdr:cNvSpPr>
      </xdr:nvSpPr>
      <xdr:spPr bwMode="auto">
        <a:xfrm>
          <a:off x="22542500" y="47745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297" name="AutoShape 46">
          <a:extLst>
            <a:ext uri="{FF2B5EF4-FFF2-40B4-BE49-F238E27FC236}">
              <a16:creationId xmlns:a16="http://schemas.microsoft.com/office/drawing/2014/main" id="{944EAEA7-E47F-4657-84B1-0BFB1286E2FF}"/>
            </a:ext>
          </a:extLst>
        </xdr:cNvPr>
        <xdr:cNvSpPr>
          <a:spLocks noChangeArrowheads="1"/>
        </xdr:cNvSpPr>
      </xdr:nvSpPr>
      <xdr:spPr bwMode="auto">
        <a:xfrm>
          <a:off x="296418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298" name="AutoShape 46">
          <a:extLst>
            <a:ext uri="{FF2B5EF4-FFF2-40B4-BE49-F238E27FC236}">
              <a16:creationId xmlns:a16="http://schemas.microsoft.com/office/drawing/2014/main" id="{59F0C873-FC4C-4246-AB44-B67866A24AC1}"/>
            </a:ext>
          </a:extLst>
        </xdr:cNvPr>
        <xdr:cNvSpPr>
          <a:spLocks noChangeArrowheads="1"/>
        </xdr:cNvSpPr>
      </xdr:nvSpPr>
      <xdr:spPr bwMode="auto">
        <a:xfrm>
          <a:off x="31813500" y="477456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299" name="AutoShape 46">
          <a:extLst>
            <a:ext uri="{FF2B5EF4-FFF2-40B4-BE49-F238E27FC236}">
              <a16:creationId xmlns:a16="http://schemas.microsoft.com/office/drawing/2014/main" id="{C35BDD71-3BCF-4367-806E-E5D2F9A5FAF0}"/>
            </a:ext>
          </a:extLst>
        </xdr:cNvPr>
        <xdr:cNvSpPr>
          <a:spLocks noChangeArrowheads="1"/>
        </xdr:cNvSpPr>
      </xdr:nvSpPr>
      <xdr:spPr bwMode="auto">
        <a:xfrm>
          <a:off x="33851850" y="47745650"/>
          <a:ext cx="10795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300" name="AutoShape 46">
          <a:extLst>
            <a:ext uri="{FF2B5EF4-FFF2-40B4-BE49-F238E27FC236}">
              <a16:creationId xmlns:a16="http://schemas.microsoft.com/office/drawing/2014/main" id="{3340E04E-519C-47F4-BFEC-CE6292C99FE5}"/>
            </a:ext>
          </a:extLst>
        </xdr:cNvPr>
        <xdr:cNvSpPr>
          <a:spLocks noChangeArrowheads="1"/>
        </xdr:cNvSpPr>
      </xdr:nvSpPr>
      <xdr:spPr bwMode="auto">
        <a:xfrm>
          <a:off x="177292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301" name="AutoShape 46">
          <a:extLst>
            <a:ext uri="{FF2B5EF4-FFF2-40B4-BE49-F238E27FC236}">
              <a16:creationId xmlns:a16="http://schemas.microsoft.com/office/drawing/2014/main" id="{00378C85-5825-4D28-A216-F2E438857724}"/>
            </a:ext>
          </a:extLst>
        </xdr:cNvPr>
        <xdr:cNvSpPr>
          <a:spLocks noChangeArrowheads="1"/>
        </xdr:cNvSpPr>
      </xdr:nvSpPr>
      <xdr:spPr bwMode="auto">
        <a:xfrm>
          <a:off x="1995805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302" name="AutoShape 46">
          <a:extLst>
            <a:ext uri="{FF2B5EF4-FFF2-40B4-BE49-F238E27FC236}">
              <a16:creationId xmlns:a16="http://schemas.microsoft.com/office/drawing/2014/main" id="{A3C1C1E2-E971-48E5-97E0-77CE171155CE}"/>
            </a:ext>
          </a:extLst>
        </xdr:cNvPr>
        <xdr:cNvSpPr>
          <a:spLocks noChangeArrowheads="1"/>
        </xdr:cNvSpPr>
      </xdr:nvSpPr>
      <xdr:spPr bwMode="auto">
        <a:xfrm>
          <a:off x="22542500" y="47745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303" name="AutoShape 46">
          <a:extLst>
            <a:ext uri="{FF2B5EF4-FFF2-40B4-BE49-F238E27FC236}">
              <a16:creationId xmlns:a16="http://schemas.microsoft.com/office/drawing/2014/main" id="{E563275B-0DE7-4FD1-A6D6-C5E8ABA8E3F4}"/>
            </a:ext>
          </a:extLst>
        </xdr:cNvPr>
        <xdr:cNvSpPr>
          <a:spLocks noChangeArrowheads="1"/>
        </xdr:cNvSpPr>
      </xdr:nvSpPr>
      <xdr:spPr bwMode="auto">
        <a:xfrm>
          <a:off x="296418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304" name="AutoShape 46">
          <a:extLst>
            <a:ext uri="{FF2B5EF4-FFF2-40B4-BE49-F238E27FC236}">
              <a16:creationId xmlns:a16="http://schemas.microsoft.com/office/drawing/2014/main" id="{88F1D8C1-B066-4B24-AF70-354A27D0FB1D}"/>
            </a:ext>
          </a:extLst>
        </xdr:cNvPr>
        <xdr:cNvSpPr>
          <a:spLocks noChangeArrowheads="1"/>
        </xdr:cNvSpPr>
      </xdr:nvSpPr>
      <xdr:spPr bwMode="auto">
        <a:xfrm>
          <a:off x="31813500" y="4774565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305" name="AutoShape 46">
          <a:extLst>
            <a:ext uri="{FF2B5EF4-FFF2-40B4-BE49-F238E27FC236}">
              <a16:creationId xmlns:a16="http://schemas.microsoft.com/office/drawing/2014/main" id="{997B5225-AC9E-41E4-9A6F-4A8B9D2DB16A}"/>
            </a:ext>
          </a:extLst>
        </xdr:cNvPr>
        <xdr:cNvSpPr>
          <a:spLocks noChangeArrowheads="1"/>
        </xdr:cNvSpPr>
      </xdr:nvSpPr>
      <xdr:spPr bwMode="auto">
        <a:xfrm>
          <a:off x="33851850" y="47745650"/>
          <a:ext cx="10795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96</xdr:row>
      <xdr:rowOff>57150</xdr:rowOff>
    </xdr:from>
    <xdr:to>
      <xdr:col>16</xdr:col>
      <xdr:colOff>0</xdr:colOff>
      <xdr:row>97</xdr:row>
      <xdr:rowOff>190500</xdr:rowOff>
    </xdr:to>
    <xdr:sp macro="" textlink="">
      <xdr:nvSpPr>
        <xdr:cNvPr id="306" name="AutoShape 46">
          <a:extLst>
            <a:ext uri="{FF2B5EF4-FFF2-40B4-BE49-F238E27FC236}">
              <a16:creationId xmlns:a16="http://schemas.microsoft.com/office/drawing/2014/main" id="{C61739CA-9A44-4868-9841-39E4C0DFECE6}"/>
            </a:ext>
          </a:extLst>
        </xdr:cNvPr>
        <xdr:cNvSpPr>
          <a:spLocks noChangeArrowheads="1"/>
        </xdr:cNvSpPr>
      </xdr:nvSpPr>
      <xdr:spPr bwMode="auto">
        <a:xfrm>
          <a:off x="153162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307" name="AutoShape 46">
          <a:extLst>
            <a:ext uri="{FF2B5EF4-FFF2-40B4-BE49-F238E27FC236}">
              <a16:creationId xmlns:a16="http://schemas.microsoft.com/office/drawing/2014/main" id="{77A0E858-AF81-4C0B-919F-350BC1AD577F}"/>
            </a:ext>
          </a:extLst>
        </xdr:cNvPr>
        <xdr:cNvSpPr>
          <a:spLocks noChangeArrowheads="1"/>
        </xdr:cNvSpPr>
      </xdr:nvSpPr>
      <xdr:spPr bwMode="auto">
        <a:xfrm>
          <a:off x="177292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308" name="AutoShape 46">
          <a:extLst>
            <a:ext uri="{FF2B5EF4-FFF2-40B4-BE49-F238E27FC236}">
              <a16:creationId xmlns:a16="http://schemas.microsoft.com/office/drawing/2014/main" id="{C4FADFEF-1713-4EC6-A325-4D2A095B0A31}"/>
            </a:ext>
          </a:extLst>
        </xdr:cNvPr>
        <xdr:cNvSpPr>
          <a:spLocks noChangeArrowheads="1"/>
        </xdr:cNvSpPr>
      </xdr:nvSpPr>
      <xdr:spPr bwMode="auto">
        <a:xfrm>
          <a:off x="199580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309" name="AutoShape 46">
          <a:extLst>
            <a:ext uri="{FF2B5EF4-FFF2-40B4-BE49-F238E27FC236}">
              <a16:creationId xmlns:a16="http://schemas.microsoft.com/office/drawing/2014/main" id="{13FEF51A-A80D-4BCD-A4D9-F1D49F12D208}"/>
            </a:ext>
          </a:extLst>
        </xdr:cNvPr>
        <xdr:cNvSpPr>
          <a:spLocks noChangeArrowheads="1"/>
        </xdr:cNvSpPr>
      </xdr:nvSpPr>
      <xdr:spPr bwMode="auto">
        <a:xfrm>
          <a:off x="22542500" y="477456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310" name="AutoShape 46">
          <a:extLst>
            <a:ext uri="{FF2B5EF4-FFF2-40B4-BE49-F238E27FC236}">
              <a16:creationId xmlns:a16="http://schemas.microsoft.com/office/drawing/2014/main" id="{D4B99027-EE0F-4887-BF97-2491C84A3758}"/>
            </a:ext>
          </a:extLst>
        </xdr:cNvPr>
        <xdr:cNvSpPr>
          <a:spLocks noChangeArrowheads="1"/>
        </xdr:cNvSpPr>
      </xdr:nvSpPr>
      <xdr:spPr bwMode="auto">
        <a:xfrm>
          <a:off x="296418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311" name="AutoShape 46">
          <a:extLst>
            <a:ext uri="{FF2B5EF4-FFF2-40B4-BE49-F238E27FC236}">
              <a16:creationId xmlns:a16="http://schemas.microsoft.com/office/drawing/2014/main" id="{63814345-CC25-4DED-BD04-66DAA0DA1C47}"/>
            </a:ext>
          </a:extLst>
        </xdr:cNvPr>
        <xdr:cNvSpPr>
          <a:spLocks noChangeArrowheads="1"/>
        </xdr:cNvSpPr>
      </xdr:nvSpPr>
      <xdr:spPr bwMode="auto">
        <a:xfrm>
          <a:off x="31813500" y="477456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312" name="AutoShape 46">
          <a:extLst>
            <a:ext uri="{FF2B5EF4-FFF2-40B4-BE49-F238E27FC236}">
              <a16:creationId xmlns:a16="http://schemas.microsoft.com/office/drawing/2014/main" id="{596BAF48-8B22-4998-81D9-DD9FA22D23DF}"/>
            </a:ext>
          </a:extLst>
        </xdr:cNvPr>
        <xdr:cNvSpPr>
          <a:spLocks noChangeArrowheads="1"/>
        </xdr:cNvSpPr>
      </xdr:nvSpPr>
      <xdr:spPr bwMode="auto">
        <a:xfrm>
          <a:off x="33851850" y="47745650"/>
          <a:ext cx="10795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104</xdr:row>
      <xdr:rowOff>57150</xdr:rowOff>
    </xdr:from>
    <xdr:to>
      <xdr:col>2</xdr:col>
      <xdr:colOff>0</xdr:colOff>
      <xdr:row>105</xdr:row>
      <xdr:rowOff>190500</xdr:rowOff>
    </xdr:to>
    <xdr:sp macro="" textlink="">
      <xdr:nvSpPr>
        <xdr:cNvPr id="313" name="AutoShape 46">
          <a:extLst>
            <a:ext uri="{FF2B5EF4-FFF2-40B4-BE49-F238E27FC236}">
              <a16:creationId xmlns:a16="http://schemas.microsoft.com/office/drawing/2014/main" id="{BE09A343-DD92-41F3-8293-767482958385}"/>
            </a:ext>
          </a:extLst>
        </xdr:cNvPr>
        <xdr:cNvSpPr>
          <a:spLocks noChangeArrowheads="1"/>
        </xdr:cNvSpPr>
      </xdr:nvSpPr>
      <xdr:spPr bwMode="auto">
        <a:xfrm>
          <a:off x="78105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104</xdr:row>
      <xdr:rowOff>57150</xdr:rowOff>
    </xdr:from>
    <xdr:to>
      <xdr:col>4</xdr:col>
      <xdr:colOff>0</xdr:colOff>
      <xdr:row>105</xdr:row>
      <xdr:rowOff>190500</xdr:rowOff>
    </xdr:to>
    <xdr:sp macro="" textlink="">
      <xdr:nvSpPr>
        <xdr:cNvPr id="314" name="AutoShape 46">
          <a:extLst>
            <a:ext uri="{FF2B5EF4-FFF2-40B4-BE49-F238E27FC236}">
              <a16:creationId xmlns:a16="http://schemas.microsoft.com/office/drawing/2014/main" id="{4EE56953-901E-45D7-930D-6D71DD07F659}"/>
            </a:ext>
          </a:extLst>
        </xdr:cNvPr>
        <xdr:cNvSpPr>
          <a:spLocks noChangeArrowheads="1"/>
        </xdr:cNvSpPr>
      </xdr:nvSpPr>
      <xdr:spPr bwMode="auto">
        <a:xfrm>
          <a:off x="279400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104</xdr:row>
      <xdr:rowOff>57150</xdr:rowOff>
    </xdr:from>
    <xdr:to>
      <xdr:col>6</xdr:col>
      <xdr:colOff>0</xdr:colOff>
      <xdr:row>105</xdr:row>
      <xdr:rowOff>190500</xdr:rowOff>
    </xdr:to>
    <xdr:sp macro="" textlink="">
      <xdr:nvSpPr>
        <xdr:cNvPr id="315" name="AutoShape 46">
          <a:extLst>
            <a:ext uri="{FF2B5EF4-FFF2-40B4-BE49-F238E27FC236}">
              <a16:creationId xmlns:a16="http://schemas.microsoft.com/office/drawing/2014/main" id="{F4931877-22D0-4F20-91A3-062ABA69DA3D}"/>
            </a:ext>
          </a:extLst>
        </xdr:cNvPr>
        <xdr:cNvSpPr>
          <a:spLocks noChangeArrowheads="1"/>
        </xdr:cNvSpPr>
      </xdr:nvSpPr>
      <xdr:spPr bwMode="auto">
        <a:xfrm>
          <a:off x="493395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8</xdr:col>
      <xdr:colOff>0</xdr:colOff>
      <xdr:row>104</xdr:row>
      <xdr:rowOff>57150</xdr:rowOff>
    </xdr:from>
    <xdr:to>
      <xdr:col>9</xdr:col>
      <xdr:colOff>0</xdr:colOff>
      <xdr:row>105</xdr:row>
      <xdr:rowOff>190500</xdr:rowOff>
    </xdr:to>
    <xdr:sp macro="" textlink="">
      <xdr:nvSpPr>
        <xdr:cNvPr id="316" name="AutoShape 46">
          <a:extLst>
            <a:ext uri="{FF2B5EF4-FFF2-40B4-BE49-F238E27FC236}">
              <a16:creationId xmlns:a16="http://schemas.microsoft.com/office/drawing/2014/main" id="{490E8219-B2F3-4917-AE8C-97723764765C}"/>
            </a:ext>
          </a:extLst>
        </xdr:cNvPr>
        <xdr:cNvSpPr>
          <a:spLocks noChangeArrowheads="1"/>
        </xdr:cNvSpPr>
      </xdr:nvSpPr>
      <xdr:spPr bwMode="auto">
        <a:xfrm>
          <a:off x="8178800" y="51549300"/>
          <a:ext cx="10985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0</xdr:colOff>
      <xdr:row>104</xdr:row>
      <xdr:rowOff>57150</xdr:rowOff>
    </xdr:from>
    <xdr:to>
      <xdr:col>11</xdr:col>
      <xdr:colOff>0</xdr:colOff>
      <xdr:row>105</xdr:row>
      <xdr:rowOff>190500</xdr:rowOff>
    </xdr:to>
    <xdr:sp macro="" textlink="">
      <xdr:nvSpPr>
        <xdr:cNvPr id="317" name="AutoShape 46">
          <a:extLst>
            <a:ext uri="{FF2B5EF4-FFF2-40B4-BE49-F238E27FC236}">
              <a16:creationId xmlns:a16="http://schemas.microsoft.com/office/drawing/2014/main" id="{75DB8BCF-C371-4BD4-A8C6-7D6333390B3A}"/>
            </a:ext>
          </a:extLst>
        </xdr:cNvPr>
        <xdr:cNvSpPr>
          <a:spLocks noChangeArrowheads="1"/>
        </xdr:cNvSpPr>
      </xdr:nvSpPr>
      <xdr:spPr bwMode="auto">
        <a:xfrm>
          <a:off x="1050925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18" name="AutoShape 46">
          <a:extLst>
            <a:ext uri="{FF2B5EF4-FFF2-40B4-BE49-F238E27FC236}">
              <a16:creationId xmlns:a16="http://schemas.microsoft.com/office/drawing/2014/main" id="{FA5D8CD8-9EFB-4EC9-A297-3FB5955F2D00}"/>
            </a:ext>
          </a:extLst>
        </xdr:cNvPr>
        <xdr:cNvSpPr>
          <a:spLocks noChangeArrowheads="1"/>
        </xdr:cNvSpPr>
      </xdr:nvSpPr>
      <xdr:spPr bwMode="auto">
        <a:xfrm>
          <a:off x="12522200" y="515493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19" name="AutoShape 46">
          <a:extLst>
            <a:ext uri="{FF2B5EF4-FFF2-40B4-BE49-F238E27FC236}">
              <a16:creationId xmlns:a16="http://schemas.microsoft.com/office/drawing/2014/main" id="{8C5BD879-ECDF-446D-A285-2CDCABD0FE06}"/>
            </a:ext>
          </a:extLst>
        </xdr:cNvPr>
        <xdr:cNvSpPr>
          <a:spLocks noChangeArrowheads="1"/>
        </xdr:cNvSpPr>
      </xdr:nvSpPr>
      <xdr:spPr bwMode="auto">
        <a:xfrm>
          <a:off x="14535150" y="515493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20" name="AutoShape 46">
          <a:extLst>
            <a:ext uri="{FF2B5EF4-FFF2-40B4-BE49-F238E27FC236}">
              <a16:creationId xmlns:a16="http://schemas.microsoft.com/office/drawing/2014/main" id="{B831082A-820E-4298-B602-B569B9700F4B}"/>
            </a:ext>
          </a:extLst>
        </xdr:cNvPr>
        <xdr:cNvSpPr>
          <a:spLocks noChangeArrowheads="1"/>
        </xdr:cNvSpPr>
      </xdr:nvSpPr>
      <xdr:spPr bwMode="auto">
        <a:xfrm>
          <a:off x="16548100" y="51549300"/>
          <a:ext cx="11811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21" name="AutoShape 46">
          <a:extLst>
            <a:ext uri="{FF2B5EF4-FFF2-40B4-BE49-F238E27FC236}">
              <a16:creationId xmlns:a16="http://schemas.microsoft.com/office/drawing/2014/main" id="{0726E993-C855-4AF1-AE24-611DB3FE6533}"/>
            </a:ext>
          </a:extLst>
        </xdr:cNvPr>
        <xdr:cNvSpPr>
          <a:spLocks noChangeArrowheads="1"/>
        </xdr:cNvSpPr>
      </xdr:nvSpPr>
      <xdr:spPr bwMode="auto">
        <a:xfrm>
          <a:off x="18961100" y="51549300"/>
          <a:ext cx="9969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22" name="AutoShape 46">
          <a:extLst>
            <a:ext uri="{FF2B5EF4-FFF2-40B4-BE49-F238E27FC236}">
              <a16:creationId xmlns:a16="http://schemas.microsoft.com/office/drawing/2014/main" id="{6DA22E10-77C2-4526-86CD-87A76A0FCA1A}"/>
            </a:ext>
          </a:extLst>
        </xdr:cNvPr>
        <xdr:cNvSpPr>
          <a:spLocks noChangeArrowheads="1"/>
        </xdr:cNvSpPr>
      </xdr:nvSpPr>
      <xdr:spPr bwMode="auto">
        <a:xfrm>
          <a:off x="21189950" y="51549300"/>
          <a:ext cx="1352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23" name="AutoShape 46">
          <a:extLst>
            <a:ext uri="{FF2B5EF4-FFF2-40B4-BE49-F238E27FC236}">
              <a16:creationId xmlns:a16="http://schemas.microsoft.com/office/drawing/2014/main" id="{C31612E0-FDCC-46A4-82B2-EB05730FE56D}"/>
            </a:ext>
          </a:extLst>
        </xdr:cNvPr>
        <xdr:cNvSpPr>
          <a:spLocks noChangeArrowheads="1"/>
        </xdr:cNvSpPr>
      </xdr:nvSpPr>
      <xdr:spPr bwMode="auto">
        <a:xfrm>
          <a:off x="24155400" y="51549300"/>
          <a:ext cx="13335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24" name="AutoShape 46">
          <a:extLst>
            <a:ext uri="{FF2B5EF4-FFF2-40B4-BE49-F238E27FC236}">
              <a16:creationId xmlns:a16="http://schemas.microsoft.com/office/drawing/2014/main" id="{64D11507-B625-41BE-A74D-8C1919B89EBC}"/>
            </a:ext>
          </a:extLst>
        </xdr:cNvPr>
        <xdr:cNvSpPr>
          <a:spLocks noChangeArrowheads="1"/>
        </xdr:cNvSpPr>
      </xdr:nvSpPr>
      <xdr:spPr bwMode="auto">
        <a:xfrm>
          <a:off x="1252220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25" name="AutoShape 46">
          <a:extLst>
            <a:ext uri="{FF2B5EF4-FFF2-40B4-BE49-F238E27FC236}">
              <a16:creationId xmlns:a16="http://schemas.microsoft.com/office/drawing/2014/main" id="{BE529B6B-84CC-4582-88C5-0173AA4F33DA}"/>
            </a:ext>
          </a:extLst>
        </xdr:cNvPr>
        <xdr:cNvSpPr>
          <a:spLocks noChangeArrowheads="1"/>
        </xdr:cNvSpPr>
      </xdr:nvSpPr>
      <xdr:spPr bwMode="auto">
        <a:xfrm>
          <a:off x="1453515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26" name="AutoShape 46">
          <a:extLst>
            <a:ext uri="{FF2B5EF4-FFF2-40B4-BE49-F238E27FC236}">
              <a16:creationId xmlns:a16="http://schemas.microsoft.com/office/drawing/2014/main" id="{E415C741-77A8-4F95-9E77-407278ACC3A4}"/>
            </a:ext>
          </a:extLst>
        </xdr:cNvPr>
        <xdr:cNvSpPr>
          <a:spLocks noChangeArrowheads="1"/>
        </xdr:cNvSpPr>
      </xdr:nvSpPr>
      <xdr:spPr bwMode="auto">
        <a:xfrm>
          <a:off x="16548100" y="51549300"/>
          <a:ext cx="11811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27" name="AutoShape 46">
          <a:extLst>
            <a:ext uri="{FF2B5EF4-FFF2-40B4-BE49-F238E27FC236}">
              <a16:creationId xmlns:a16="http://schemas.microsoft.com/office/drawing/2014/main" id="{4498C7D9-C908-4EAD-A2DD-C85F23AD8F05}"/>
            </a:ext>
          </a:extLst>
        </xdr:cNvPr>
        <xdr:cNvSpPr>
          <a:spLocks noChangeArrowheads="1"/>
        </xdr:cNvSpPr>
      </xdr:nvSpPr>
      <xdr:spPr bwMode="auto">
        <a:xfrm>
          <a:off x="18961100" y="51549300"/>
          <a:ext cx="9969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28" name="AutoShape 46">
          <a:extLst>
            <a:ext uri="{FF2B5EF4-FFF2-40B4-BE49-F238E27FC236}">
              <a16:creationId xmlns:a16="http://schemas.microsoft.com/office/drawing/2014/main" id="{C5863260-3709-424A-A19B-8D4FAF9F8D62}"/>
            </a:ext>
          </a:extLst>
        </xdr:cNvPr>
        <xdr:cNvSpPr>
          <a:spLocks noChangeArrowheads="1"/>
        </xdr:cNvSpPr>
      </xdr:nvSpPr>
      <xdr:spPr bwMode="auto">
        <a:xfrm>
          <a:off x="21189950" y="51549300"/>
          <a:ext cx="13525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29" name="AutoShape 46">
          <a:extLst>
            <a:ext uri="{FF2B5EF4-FFF2-40B4-BE49-F238E27FC236}">
              <a16:creationId xmlns:a16="http://schemas.microsoft.com/office/drawing/2014/main" id="{63217F4C-513F-4CE1-9F76-0FC1EE7289CE}"/>
            </a:ext>
          </a:extLst>
        </xdr:cNvPr>
        <xdr:cNvSpPr>
          <a:spLocks noChangeArrowheads="1"/>
        </xdr:cNvSpPr>
      </xdr:nvSpPr>
      <xdr:spPr bwMode="auto">
        <a:xfrm>
          <a:off x="24155400" y="51549300"/>
          <a:ext cx="13335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10</xdr:col>
      <xdr:colOff>0</xdr:colOff>
      <xdr:row>104</xdr:row>
      <xdr:rowOff>57150</xdr:rowOff>
    </xdr:from>
    <xdr:to>
      <xdr:col>11</xdr:col>
      <xdr:colOff>0</xdr:colOff>
      <xdr:row>105</xdr:row>
      <xdr:rowOff>190500</xdr:rowOff>
    </xdr:to>
    <xdr:sp macro="" textlink="">
      <xdr:nvSpPr>
        <xdr:cNvPr id="330" name="AutoShape 46">
          <a:extLst>
            <a:ext uri="{FF2B5EF4-FFF2-40B4-BE49-F238E27FC236}">
              <a16:creationId xmlns:a16="http://schemas.microsoft.com/office/drawing/2014/main" id="{DEAFC8F4-EF56-49B4-8894-8D98875B90F4}"/>
            </a:ext>
          </a:extLst>
        </xdr:cNvPr>
        <xdr:cNvSpPr>
          <a:spLocks noChangeArrowheads="1"/>
        </xdr:cNvSpPr>
      </xdr:nvSpPr>
      <xdr:spPr bwMode="auto">
        <a:xfrm>
          <a:off x="1050925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31" name="AutoShape 46">
          <a:extLst>
            <a:ext uri="{FF2B5EF4-FFF2-40B4-BE49-F238E27FC236}">
              <a16:creationId xmlns:a16="http://schemas.microsoft.com/office/drawing/2014/main" id="{A2F37EAE-38CC-443F-BFC3-D80A65928A16}"/>
            </a:ext>
          </a:extLst>
        </xdr:cNvPr>
        <xdr:cNvSpPr>
          <a:spLocks noChangeArrowheads="1"/>
        </xdr:cNvSpPr>
      </xdr:nvSpPr>
      <xdr:spPr bwMode="auto">
        <a:xfrm>
          <a:off x="1252220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32" name="AutoShape 46">
          <a:extLst>
            <a:ext uri="{FF2B5EF4-FFF2-40B4-BE49-F238E27FC236}">
              <a16:creationId xmlns:a16="http://schemas.microsoft.com/office/drawing/2014/main" id="{968CFF57-A1D2-4C80-B5C8-032AF7A2F9C8}"/>
            </a:ext>
          </a:extLst>
        </xdr:cNvPr>
        <xdr:cNvSpPr>
          <a:spLocks noChangeArrowheads="1"/>
        </xdr:cNvSpPr>
      </xdr:nvSpPr>
      <xdr:spPr bwMode="auto">
        <a:xfrm>
          <a:off x="1453515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33" name="AutoShape 46">
          <a:extLst>
            <a:ext uri="{FF2B5EF4-FFF2-40B4-BE49-F238E27FC236}">
              <a16:creationId xmlns:a16="http://schemas.microsoft.com/office/drawing/2014/main" id="{D0A5CA2A-F85D-47AE-87AA-588F1B61BC8F}"/>
            </a:ext>
          </a:extLst>
        </xdr:cNvPr>
        <xdr:cNvSpPr>
          <a:spLocks noChangeArrowheads="1"/>
        </xdr:cNvSpPr>
      </xdr:nvSpPr>
      <xdr:spPr bwMode="auto">
        <a:xfrm>
          <a:off x="16548100" y="51549300"/>
          <a:ext cx="11811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34" name="AutoShape 46">
          <a:extLst>
            <a:ext uri="{FF2B5EF4-FFF2-40B4-BE49-F238E27FC236}">
              <a16:creationId xmlns:a16="http://schemas.microsoft.com/office/drawing/2014/main" id="{A04ED461-175E-4F8F-B479-17589E87725D}"/>
            </a:ext>
          </a:extLst>
        </xdr:cNvPr>
        <xdr:cNvSpPr>
          <a:spLocks noChangeArrowheads="1"/>
        </xdr:cNvSpPr>
      </xdr:nvSpPr>
      <xdr:spPr bwMode="auto">
        <a:xfrm>
          <a:off x="18961100" y="51549300"/>
          <a:ext cx="9969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35" name="AutoShape 46">
          <a:extLst>
            <a:ext uri="{FF2B5EF4-FFF2-40B4-BE49-F238E27FC236}">
              <a16:creationId xmlns:a16="http://schemas.microsoft.com/office/drawing/2014/main" id="{7C0C8374-2D96-410E-AA41-316FDBCB582A}"/>
            </a:ext>
          </a:extLst>
        </xdr:cNvPr>
        <xdr:cNvSpPr>
          <a:spLocks noChangeArrowheads="1"/>
        </xdr:cNvSpPr>
      </xdr:nvSpPr>
      <xdr:spPr bwMode="auto">
        <a:xfrm>
          <a:off x="21189950" y="51549300"/>
          <a:ext cx="1352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36" name="AutoShape 46">
          <a:extLst>
            <a:ext uri="{FF2B5EF4-FFF2-40B4-BE49-F238E27FC236}">
              <a16:creationId xmlns:a16="http://schemas.microsoft.com/office/drawing/2014/main" id="{831E37F9-B4ED-45D9-A671-36E989BE8127}"/>
            </a:ext>
          </a:extLst>
        </xdr:cNvPr>
        <xdr:cNvSpPr>
          <a:spLocks noChangeArrowheads="1"/>
        </xdr:cNvSpPr>
      </xdr:nvSpPr>
      <xdr:spPr bwMode="auto">
        <a:xfrm>
          <a:off x="24155400" y="51549300"/>
          <a:ext cx="13335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112</xdr:row>
      <xdr:rowOff>57150</xdr:rowOff>
    </xdr:from>
    <xdr:to>
      <xdr:col>2</xdr:col>
      <xdr:colOff>0</xdr:colOff>
      <xdr:row>113</xdr:row>
      <xdr:rowOff>190500</xdr:rowOff>
    </xdr:to>
    <xdr:sp macro="" textlink="">
      <xdr:nvSpPr>
        <xdr:cNvPr id="337" name="AutoShape 46">
          <a:extLst>
            <a:ext uri="{FF2B5EF4-FFF2-40B4-BE49-F238E27FC236}">
              <a16:creationId xmlns:a16="http://schemas.microsoft.com/office/drawing/2014/main" id="{2780455C-6CB6-4074-A894-3DE4C43497AB}"/>
            </a:ext>
          </a:extLst>
        </xdr:cNvPr>
        <xdr:cNvSpPr>
          <a:spLocks noChangeArrowheads="1"/>
        </xdr:cNvSpPr>
      </xdr:nvSpPr>
      <xdr:spPr bwMode="auto">
        <a:xfrm>
          <a:off x="7810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112</xdr:row>
      <xdr:rowOff>57150</xdr:rowOff>
    </xdr:from>
    <xdr:to>
      <xdr:col>4</xdr:col>
      <xdr:colOff>0</xdr:colOff>
      <xdr:row>113</xdr:row>
      <xdr:rowOff>190500</xdr:rowOff>
    </xdr:to>
    <xdr:sp macro="" textlink="">
      <xdr:nvSpPr>
        <xdr:cNvPr id="338" name="AutoShape 46">
          <a:extLst>
            <a:ext uri="{FF2B5EF4-FFF2-40B4-BE49-F238E27FC236}">
              <a16:creationId xmlns:a16="http://schemas.microsoft.com/office/drawing/2014/main" id="{04B4B7B2-E76A-47BC-BE27-7A37C3AC57E1}"/>
            </a:ext>
          </a:extLst>
        </xdr:cNvPr>
        <xdr:cNvSpPr>
          <a:spLocks noChangeArrowheads="1"/>
        </xdr:cNvSpPr>
      </xdr:nvSpPr>
      <xdr:spPr bwMode="auto">
        <a:xfrm>
          <a:off x="27940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112</xdr:row>
      <xdr:rowOff>57150</xdr:rowOff>
    </xdr:from>
    <xdr:to>
      <xdr:col>6</xdr:col>
      <xdr:colOff>0</xdr:colOff>
      <xdr:row>113</xdr:row>
      <xdr:rowOff>190500</xdr:rowOff>
    </xdr:to>
    <xdr:sp macro="" textlink="">
      <xdr:nvSpPr>
        <xdr:cNvPr id="339" name="AutoShape 46">
          <a:extLst>
            <a:ext uri="{FF2B5EF4-FFF2-40B4-BE49-F238E27FC236}">
              <a16:creationId xmlns:a16="http://schemas.microsoft.com/office/drawing/2014/main" id="{E51C2F7C-A8E6-44ED-8A61-64022832CEA2}"/>
            </a:ext>
          </a:extLst>
        </xdr:cNvPr>
        <xdr:cNvSpPr>
          <a:spLocks noChangeArrowheads="1"/>
        </xdr:cNvSpPr>
      </xdr:nvSpPr>
      <xdr:spPr bwMode="auto">
        <a:xfrm>
          <a:off x="49339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112</xdr:row>
      <xdr:rowOff>57150</xdr:rowOff>
    </xdr:from>
    <xdr:to>
      <xdr:col>8</xdr:col>
      <xdr:colOff>0</xdr:colOff>
      <xdr:row>113</xdr:row>
      <xdr:rowOff>190500</xdr:rowOff>
    </xdr:to>
    <xdr:sp macro="" textlink="">
      <xdr:nvSpPr>
        <xdr:cNvPr id="340" name="AutoShape 46">
          <a:extLst>
            <a:ext uri="{FF2B5EF4-FFF2-40B4-BE49-F238E27FC236}">
              <a16:creationId xmlns:a16="http://schemas.microsoft.com/office/drawing/2014/main" id="{9167599D-B417-43DB-BE64-3C7BFCFE5424}"/>
            </a:ext>
          </a:extLst>
        </xdr:cNvPr>
        <xdr:cNvSpPr>
          <a:spLocks noChangeArrowheads="1"/>
        </xdr:cNvSpPr>
      </xdr:nvSpPr>
      <xdr:spPr bwMode="auto">
        <a:xfrm>
          <a:off x="69469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112</xdr:row>
      <xdr:rowOff>57150</xdr:rowOff>
    </xdr:from>
    <xdr:to>
      <xdr:col>10</xdr:col>
      <xdr:colOff>0</xdr:colOff>
      <xdr:row>113</xdr:row>
      <xdr:rowOff>190500</xdr:rowOff>
    </xdr:to>
    <xdr:sp macro="" textlink="">
      <xdr:nvSpPr>
        <xdr:cNvPr id="341" name="AutoShape 46">
          <a:extLst>
            <a:ext uri="{FF2B5EF4-FFF2-40B4-BE49-F238E27FC236}">
              <a16:creationId xmlns:a16="http://schemas.microsoft.com/office/drawing/2014/main" id="{E90FDB0C-BFEC-4421-B5C0-B20F88418591}"/>
            </a:ext>
          </a:extLst>
        </xdr:cNvPr>
        <xdr:cNvSpPr>
          <a:spLocks noChangeArrowheads="1"/>
        </xdr:cNvSpPr>
      </xdr:nvSpPr>
      <xdr:spPr bwMode="auto">
        <a:xfrm>
          <a:off x="92773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112</xdr:row>
      <xdr:rowOff>57150</xdr:rowOff>
    </xdr:from>
    <xdr:to>
      <xdr:col>12</xdr:col>
      <xdr:colOff>0</xdr:colOff>
      <xdr:row>113</xdr:row>
      <xdr:rowOff>190500</xdr:rowOff>
    </xdr:to>
    <xdr:sp macro="" textlink="">
      <xdr:nvSpPr>
        <xdr:cNvPr id="342" name="AutoShape 46">
          <a:extLst>
            <a:ext uri="{FF2B5EF4-FFF2-40B4-BE49-F238E27FC236}">
              <a16:creationId xmlns:a16="http://schemas.microsoft.com/office/drawing/2014/main" id="{E4AB5B4C-8A7B-4DAC-9434-46FD707AB427}"/>
            </a:ext>
          </a:extLst>
        </xdr:cNvPr>
        <xdr:cNvSpPr>
          <a:spLocks noChangeArrowheads="1"/>
        </xdr:cNvSpPr>
      </xdr:nvSpPr>
      <xdr:spPr bwMode="auto">
        <a:xfrm>
          <a:off x="112903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112</xdr:row>
      <xdr:rowOff>57150</xdr:rowOff>
    </xdr:from>
    <xdr:to>
      <xdr:col>14</xdr:col>
      <xdr:colOff>0</xdr:colOff>
      <xdr:row>113</xdr:row>
      <xdr:rowOff>190500</xdr:rowOff>
    </xdr:to>
    <xdr:sp macro="" textlink="">
      <xdr:nvSpPr>
        <xdr:cNvPr id="343" name="AutoShape 46">
          <a:extLst>
            <a:ext uri="{FF2B5EF4-FFF2-40B4-BE49-F238E27FC236}">
              <a16:creationId xmlns:a16="http://schemas.microsoft.com/office/drawing/2014/main" id="{8562CA05-52EE-4FA2-8224-0E6E0AFB1EEA}"/>
            </a:ext>
          </a:extLst>
        </xdr:cNvPr>
        <xdr:cNvSpPr>
          <a:spLocks noChangeArrowheads="1"/>
        </xdr:cNvSpPr>
      </xdr:nvSpPr>
      <xdr:spPr bwMode="auto">
        <a:xfrm>
          <a:off x="133032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112</xdr:row>
      <xdr:rowOff>57150</xdr:rowOff>
    </xdr:from>
    <xdr:to>
      <xdr:col>16</xdr:col>
      <xdr:colOff>0</xdr:colOff>
      <xdr:row>113</xdr:row>
      <xdr:rowOff>190500</xdr:rowOff>
    </xdr:to>
    <xdr:sp macro="" textlink="">
      <xdr:nvSpPr>
        <xdr:cNvPr id="344" name="AutoShape 46">
          <a:extLst>
            <a:ext uri="{FF2B5EF4-FFF2-40B4-BE49-F238E27FC236}">
              <a16:creationId xmlns:a16="http://schemas.microsoft.com/office/drawing/2014/main" id="{9B3DC9E8-BB3B-42DA-AD11-6A00C4476B5C}"/>
            </a:ext>
          </a:extLst>
        </xdr:cNvPr>
        <xdr:cNvSpPr>
          <a:spLocks noChangeArrowheads="1"/>
        </xdr:cNvSpPr>
      </xdr:nvSpPr>
      <xdr:spPr bwMode="auto">
        <a:xfrm>
          <a:off x="153162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45" name="AutoShape 46">
          <a:extLst>
            <a:ext uri="{FF2B5EF4-FFF2-40B4-BE49-F238E27FC236}">
              <a16:creationId xmlns:a16="http://schemas.microsoft.com/office/drawing/2014/main" id="{DB4C2674-CB2C-4BBA-B3AC-0950B0EF202D}"/>
            </a:ext>
          </a:extLst>
        </xdr:cNvPr>
        <xdr:cNvSpPr>
          <a:spLocks noChangeArrowheads="1"/>
        </xdr:cNvSpPr>
      </xdr:nvSpPr>
      <xdr:spPr bwMode="auto">
        <a:xfrm>
          <a:off x="177292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46" name="AutoShape 46">
          <a:extLst>
            <a:ext uri="{FF2B5EF4-FFF2-40B4-BE49-F238E27FC236}">
              <a16:creationId xmlns:a16="http://schemas.microsoft.com/office/drawing/2014/main" id="{CD90AC97-F325-4687-ADF9-6F5435025051}"/>
            </a:ext>
          </a:extLst>
        </xdr:cNvPr>
        <xdr:cNvSpPr>
          <a:spLocks noChangeArrowheads="1"/>
        </xdr:cNvSpPr>
      </xdr:nvSpPr>
      <xdr:spPr bwMode="auto">
        <a:xfrm>
          <a:off x="1995805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47" name="AutoShape 46">
          <a:extLst>
            <a:ext uri="{FF2B5EF4-FFF2-40B4-BE49-F238E27FC236}">
              <a16:creationId xmlns:a16="http://schemas.microsoft.com/office/drawing/2014/main" id="{63319E00-F40C-4BBD-B6C9-144EC1AC3E6E}"/>
            </a:ext>
          </a:extLst>
        </xdr:cNvPr>
        <xdr:cNvSpPr>
          <a:spLocks noChangeArrowheads="1"/>
        </xdr:cNvSpPr>
      </xdr:nvSpPr>
      <xdr:spPr bwMode="auto">
        <a:xfrm>
          <a:off x="22542500" y="5654675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48" name="AutoShape 46">
          <a:extLst>
            <a:ext uri="{FF2B5EF4-FFF2-40B4-BE49-F238E27FC236}">
              <a16:creationId xmlns:a16="http://schemas.microsoft.com/office/drawing/2014/main" id="{17DC9CFE-3278-4F6B-AFFA-0E158B0EA316}"/>
            </a:ext>
          </a:extLst>
        </xdr:cNvPr>
        <xdr:cNvSpPr>
          <a:spLocks noChangeArrowheads="1"/>
        </xdr:cNvSpPr>
      </xdr:nvSpPr>
      <xdr:spPr bwMode="auto">
        <a:xfrm>
          <a:off x="254889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49" name="AutoShape 46">
          <a:extLst>
            <a:ext uri="{FF2B5EF4-FFF2-40B4-BE49-F238E27FC236}">
              <a16:creationId xmlns:a16="http://schemas.microsoft.com/office/drawing/2014/main" id="{5C061BD8-8149-4AC6-A23D-610C5C175405}"/>
            </a:ext>
          </a:extLst>
        </xdr:cNvPr>
        <xdr:cNvSpPr>
          <a:spLocks noChangeArrowheads="1"/>
        </xdr:cNvSpPr>
      </xdr:nvSpPr>
      <xdr:spPr bwMode="auto">
        <a:xfrm>
          <a:off x="2762885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50" name="AutoShape 46">
          <a:extLst>
            <a:ext uri="{FF2B5EF4-FFF2-40B4-BE49-F238E27FC236}">
              <a16:creationId xmlns:a16="http://schemas.microsoft.com/office/drawing/2014/main" id="{4FA1F732-CC74-4D85-92E4-937BCF634EA2}"/>
            </a:ext>
          </a:extLst>
        </xdr:cNvPr>
        <xdr:cNvSpPr>
          <a:spLocks noChangeArrowheads="1"/>
        </xdr:cNvSpPr>
      </xdr:nvSpPr>
      <xdr:spPr bwMode="auto">
        <a:xfrm>
          <a:off x="296418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51" name="AutoShape 46">
          <a:extLst>
            <a:ext uri="{FF2B5EF4-FFF2-40B4-BE49-F238E27FC236}">
              <a16:creationId xmlns:a16="http://schemas.microsoft.com/office/drawing/2014/main" id="{ADAB78CE-7FF1-4B06-A4C5-127C3D86271E}"/>
            </a:ext>
          </a:extLst>
        </xdr:cNvPr>
        <xdr:cNvSpPr>
          <a:spLocks noChangeArrowheads="1"/>
        </xdr:cNvSpPr>
      </xdr:nvSpPr>
      <xdr:spPr bwMode="auto">
        <a:xfrm>
          <a:off x="177292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52" name="AutoShape 46">
          <a:extLst>
            <a:ext uri="{FF2B5EF4-FFF2-40B4-BE49-F238E27FC236}">
              <a16:creationId xmlns:a16="http://schemas.microsoft.com/office/drawing/2014/main" id="{D680C952-53E6-47C8-B723-7213971EE246}"/>
            </a:ext>
          </a:extLst>
        </xdr:cNvPr>
        <xdr:cNvSpPr>
          <a:spLocks noChangeArrowheads="1"/>
        </xdr:cNvSpPr>
      </xdr:nvSpPr>
      <xdr:spPr bwMode="auto">
        <a:xfrm>
          <a:off x="1995805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53" name="AutoShape 46">
          <a:extLst>
            <a:ext uri="{FF2B5EF4-FFF2-40B4-BE49-F238E27FC236}">
              <a16:creationId xmlns:a16="http://schemas.microsoft.com/office/drawing/2014/main" id="{47ACA9A2-61EA-4895-A2BB-33A9BC34A5AC}"/>
            </a:ext>
          </a:extLst>
        </xdr:cNvPr>
        <xdr:cNvSpPr>
          <a:spLocks noChangeArrowheads="1"/>
        </xdr:cNvSpPr>
      </xdr:nvSpPr>
      <xdr:spPr bwMode="auto">
        <a:xfrm>
          <a:off x="22542500" y="56546750"/>
          <a:ext cx="1612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54" name="AutoShape 46">
          <a:extLst>
            <a:ext uri="{FF2B5EF4-FFF2-40B4-BE49-F238E27FC236}">
              <a16:creationId xmlns:a16="http://schemas.microsoft.com/office/drawing/2014/main" id="{08454455-4CFA-48D1-AA2B-F02DDA008351}"/>
            </a:ext>
          </a:extLst>
        </xdr:cNvPr>
        <xdr:cNvSpPr>
          <a:spLocks noChangeArrowheads="1"/>
        </xdr:cNvSpPr>
      </xdr:nvSpPr>
      <xdr:spPr bwMode="auto">
        <a:xfrm>
          <a:off x="254889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55" name="AutoShape 46">
          <a:extLst>
            <a:ext uri="{FF2B5EF4-FFF2-40B4-BE49-F238E27FC236}">
              <a16:creationId xmlns:a16="http://schemas.microsoft.com/office/drawing/2014/main" id="{71AAE680-D8A5-4850-A132-C2F4CE7BE959}"/>
            </a:ext>
          </a:extLst>
        </xdr:cNvPr>
        <xdr:cNvSpPr>
          <a:spLocks noChangeArrowheads="1"/>
        </xdr:cNvSpPr>
      </xdr:nvSpPr>
      <xdr:spPr bwMode="auto">
        <a:xfrm>
          <a:off x="2762885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56" name="AutoShape 46">
          <a:extLst>
            <a:ext uri="{FF2B5EF4-FFF2-40B4-BE49-F238E27FC236}">
              <a16:creationId xmlns:a16="http://schemas.microsoft.com/office/drawing/2014/main" id="{9CF3A759-EF5F-46D5-A32D-8C3A05C530DD}"/>
            </a:ext>
          </a:extLst>
        </xdr:cNvPr>
        <xdr:cNvSpPr>
          <a:spLocks noChangeArrowheads="1"/>
        </xdr:cNvSpPr>
      </xdr:nvSpPr>
      <xdr:spPr bwMode="auto">
        <a:xfrm>
          <a:off x="296418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112</xdr:row>
      <xdr:rowOff>57150</xdr:rowOff>
    </xdr:from>
    <xdr:to>
      <xdr:col>16</xdr:col>
      <xdr:colOff>0</xdr:colOff>
      <xdr:row>113</xdr:row>
      <xdr:rowOff>190500</xdr:rowOff>
    </xdr:to>
    <xdr:sp macro="" textlink="">
      <xdr:nvSpPr>
        <xdr:cNvPr id="357" name="AutoShape 46">
          <a:extLst>
            <a:ext uri="{FF2B5EF4-FFF2-40B4-BE49-F238E27FC236}">
              <a16:creationId xmlns:a16="http://schemas.microsoft.com/office/drawing/2014/main" id="{D87547D5-51CB-4169-B904-098B0B355092}"/>
            </a:ext>
          </a:extLst>
        </xdr:cNvPr>
        <xdr:cNvSpPr>
          <a:spLocks noChangeArrowheads="1"/>
        </xdr:cNvSpPr>
      </xdr:nvSpPr>
      <xdr:spPr bwMode="auto">
        <a:xfrm>
          <a:off x="153162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58" name="AutoShape 46">
          <a:extLst>
            <a:ext uri="{FF2B5EF4-FFF2-40B4-BE49-F238E27FC236}">
              <a16:creationId xmlns:a16="http://schemas.microsoft.com/office/drawing/2014/main" id="{8B8FFC77-3A5A-420E-948E-EE976CC00306}"/>
            </a:ext>
          </a:extLst>
        </xdr:cNvPr>
        <xdr:cNvSpPr>
          <a:spLocks noChangeArrowheads="1"/>
        </xdr:cNvSpPr>
      </xdr:nvSpPr>
      <xdr:spPr bwMode="auto">
        <a:xfrm>
          <a:off x="177292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59" name="AutoShape 46">
          <a:extLst>
            <a:ext uri="{FF2B5EF4-FFF2-40B4-BE49-F238E27FC236}">
              <a16:creationId xmlns:a16="http://schemas.microsoft.com/office/drawing/2014/main" id="{EA9A6F6A-A860-4825-80D2-55452E2CF89B}"/>
            </a:ext>
          </a:extLst>
        </xdr:cNvPr>
        <xdr:cNvSpPr>
          <a:spLocks noChangeArrowheads="1"/>
        </xdr:cNvSpPr>
      </xdr:nvSpPr>
      <xdr:spPr bwMode="auto">
        <a:xfrm>
          <a:off x="199580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60" name="AutoShape 46">
          <a:extLst>
            <a:ext uri="{FF2B5EF4-FFF2-40B4-BE49-F238E27FC236}">
              <a16:creationId xmlns:a16="http://schemas.microsoft.com/office/drawing/2014/main" id="{533C1738-EC20-418C-8D91-8D5B6C5BBEF8}"/>
            </a:ext>
          </a:extLst>
        </xdr:cNvPr>
        <xdr:cNvSpPr>
          <a:spLocks noChangeArrowheads="1"/>
        </xdr:cNvSpPr>
      </xdr:nvSpPr>
      <xdr:spPr bwMode="auto">
        <a:xfrm>
          <a:off x="22542500" y="56546750"/>
          <a:ext cx="1612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61" name="AutoShape 46">
          <a:extLst>
            <a:ext uri="{FF2B5EF4-FFF2-40B4-BE49-F238E27FC236}">
              <a16:creationId xmlns:a16="http://schemas.microsoft.com/office/drawing/2014/main" id="{29CA81FD-E058-4ED2-B4EC-85E30FB200AA}"/>
            </a:ext>
          </a:extLst>
        </xdr:cNvPr>
        <xdr:cNvSpPr>
          <a:spLocks noChangeArrowheads="1"/>
        </xdr:cNvSpPr>
      </xdr:nvSpPr>
      <xdr:spPr bwMode="auto">
        <a:xfrm>
          <a:off x="254889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62" name="AutoShape 46">
          <a:extLst>
            <a:ext uri="{FF2B5EF4-FFF2-40B4-BE49-F238E27FC236}">
              <a16:creationId xmlns:a16="http://schemas.microsoft.com/office/drawing/2014/main" id="{A2EF53CB-52E9-4F3F-8F2C-87E24621034D}"/>
            </a:ext>
          </a:extLst>
        </xdr:cNvPr>
        <xdr:cNvSpPr>
          <a:spLocks noChangeArrowheads="1"/>
        </xdr:cNvSpPr>
      </xdr:nvSpPr>
      <xdr:spPr bwMode="auto">
        <a:xfrm>
          <a:off x="276288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63" name="AutoShape 46">
          <a:extLst>
            <a:ext uri="{FF2B5EF4-FFF2-40B4-BE49-F238E27FC236}">
              <a16:creationId xmlns:a16="http://schemas.microsoft.com/office/drawing/2014/main" id="{EF4A67E3-91C1-491C-8BA6-FE2B45057D95}"/>
            </a:ext>
          </a:extLst>
        </xdr:cNvPr>
        <xdr:cNvSpPr>
          <a:spLocks noChangeArrowheads="1"/>
        </xdr:cNvSpPr>
      </xdr:nvSpPr>
      <xdr:spPr bwMode="auto">
        <a:xfrm>
          <a:off x="296418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120</xdr:row>
      <xdr:rowOff>57150</xdr:rowOff>
    </xdr:from>
    <xdr:to>
      <xdr:col>2</xdr:col>
      <xdr:colOff>0</xdr:colOff>
      <xdr:row>121</xdr:row>
      <xdr:rowOff>190500</xdr:rowOff>
    </xdr:to>
    <xdr:sp macro="" textlink="">
      <xdr:nvSpPr>
        <xdr:cNvPr id="364" name="AutoShape 46">
          <a:extLst>
            <a:ext uri="{FF2B5EF4-FFF2-40B4-BE49-F238E27FC236}">
              <a16:creationId xmlns:a16="http://schemas.microsoft.com/office/drawing/2014/main" id="{491C0D23-BB77-47A9-A46B-346745511E76}"/>
            </a:ext>
          </a:extLst>
        </xdr:cNvPr>
        <xdr:cNvSpPr>
          <a:spLocks noChangeArrowheads="1"/>
        </xdr:cNvSpPr>
      </xdr:nvSpPr>
      <xdr:spPr bwMode="auto">
        <a:xfrm>
          <a:off x="7810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120</xdr:row>
      <xdr:rowOff>57150</xdr:rowOff>
    </xdr:from>
    <xdr:to>
      <xdr:col>4</xdr:col>
      <xdr:colOff>0</xdr:colOff>
      <xdr:row>121</xdr:row>
      <xdr:rowOff>190500</xdr:rowOff>
    </xdr:to>
    <xdr:sp macro="" textlink="">
      <xdr:nvSpPr>
        <xdr:cNvPr id="365" name="AutoShape 46">
          <a:extLst>
            <a:ext uri="{FF2B5EF4-FFF2-40B4-BE49-F238E27FC236}">
              <a16:creationId xmlns:a16="http://schemas.microsoft.com/office/drawing/2014/main" id="{27615F18-72E0-4435-B7B2-F3556679362C}"/>
            </a:ext>
          </a:extLst>
        </xdr:cNvPr>
        <xdr:cNvSpPr>
          <a:spLocks noChangeArrowheads="1"/>
        </xdr:cNvSpPr>
      </xdr:nvSpPr>
      <xdr:spPr bwMode="auto">
        <a:xfrm>
          <a:off x="27940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120</xdr:row>
      <xdr:rowOff>57150</xdr:rowOff>
    </xdr:from>
    <xdr:to>
      <xdr:col>6</xdr:col>
      <xdr:colOff>0</xdr:colOff>
      <xdr:row>121</xdr:row>
      <xdr:rowOff>190500</xdr:rowOff>
    </xdr:to>
    <xdr:sp macro="" textlink="">
      <xdr:nvSpPr>
        <xdr:cNvPr id="366" name="AutoShape 46">
          <a:extLst>
            <a:ext uri="{FF2B5EF4-FFF2-40B4-BE49-F238E27FC236}">
              <a16:creationId xmlns:a16="http://schemas.microsoft.com/office/drawing/2014/main" id="{4F516A7D-DFEC-454C-BF24-13C804019D35}"/>
            </a:ext>
          </a:extLst>
        </xdr:cNvPr>
        <xdr:cNvSpPr>
          <a:spLocks noChangeArrowheads="1"/>
        </xdr:cNvSpPr>
      </xdr:nvSpPr>
      <xdr:spPr bwMode="auto">
        <a:xfrm>
          <a:off x="49339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120</xdr:row>
      <xdr:rowOff>57150</xdr:rowOff>
    </xdr:from>
    <xdr:to>
      <xdr:col>8</xdr:col>
      <xdr:colOff>0</xdr:colOff>
      <xdr:row>121</xdr:row>
      <xdr:rowOff>190500</xdr:rowOff>
    </xdr:to>
    <xdr:sp macro="" textlink="">
      <xdr:nvSpPr>
        <xdr:cNvPr id="367" name="AutoShape 46">
          <a:extLst>
            <a:ext uri="{FF2B5EF4-FFF2-40B4-BE49-F238E27FC236}">
              <a16:creationId xmlns:a16="http://schemas.microsoft.com/office/drawing/2014/main" id="{C8D60BA3-379E-4412-B06B-83B4E750285D}"/>
            </a:ext>
          </a:extLst>
        </xdr:cNvPr>
        <xdr:cNvSpPr>
          <a:spLocks noChangeArrowheads="1"/>
        </xdr:cNvSpPr>
      </xdr:nvSpPr>
      <xdr:spPr bwMode="auto">
        <a:xfrm>
          <a:off x="69469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120</xdr:row>
      <xdr:rowOff>57150</xdr:rowOff>
    </xdr:from>
    <xdr:to>
      <xdr:col>10</xdr:col>
      <xdr:colOff>0</xdr:colOff>
      <xdr:row>121</xdr:row>
      <xdr:rowOff>190500</xdr:rowOff>
    </xdr:to>
    <xdr:sp macro="" textlink="">
      <xdr:nvSpPr>
        <xdr:cNvPr id="368" name="AutoShape 46">
          <a:extLst>
            <a:ext uri="{FF2B5EF4-FFF2-40B4-BE49-F238E27FC236}">
              <a16:creationId xmlns:a16="http://schemas.microsoft.com/office/drawing/2014/main" id="{7C7B668C-F077-4CE3-A9ED-724412251A13}"/>
            </a:ext>
          </a:extLst>
        </xdr:cNvPr>
        <xdr:cNvSpPr>
          <a:spLocks noChangeArrowheads="1"/>
        </xdr:cNvSpPr>
      </xdr:nvSpPr>
      <xdr:spPr bwMode="auto">
        <a:xfrm>
          <a:off x="92773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120</xdr:row>
      <xdr:rowOff>57150</xdr:rowOff>
    </xdr:from>
    <xdr:to>
      <xdr:col>12</xdr:col>
      <xdr:colOff>0</xdr:colOff>
      <xdr:row>121</xdr:row>
      <xdr:rowOff>190500</xdr:rowOff>
    </xdr:to>
    <xdr:sp macro="" textlink="">
      <xdr:nvSpPr>
        <xdr:cNvPr id="369" name="AutoShape 46">
          <a:extLst>
            <a:ext uri="{FF2B5EF4-FFF2-40B4-BE49-F238E27FC236}">
              <a16:creationId xmlns:a16="http://schemas.microsoft.com/office/drawing/2014/main" id="{74983432-A99E-405C-B827-BC1B8DCD51A4}"/>
            </a:ext>
          </a:extLst>
        </xdr:cNvPr>
        <xdr:cNvSpPr>
          <a:spLocks noChangeArrowheads="1"/>
        </xdr:cNvSpPr>
      </xdr:nvSpPr>
      <xdr:spPr bwMode="auto">
        <a:xfrm>
          <a:off x="112903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120</xdr:row>
      <xdr:rowOff>57150</xdr:rowOff>
    </xdr:from>
    <xdr:to>
      <xdr:col>14</xdr:col>
      <xdr:colOff>0</xdr:colOff>
      <xdr:row>121</xdr:row>
      <xdr:rowOff>190500</xdr:rowOff>
    </xdr:to>
    <xdr:sp macro="" textlink="">
      <xdr:nvSpPr>
        <xdr:cNvPr id="370" name="AutoShape 46">
          <a:extLst>
            <a:ext uri="{FF2B5EF4-FFF2-40B4-BE49-F238E27FC236}">
              <a16:creationId xmlns:a16="http://schemas.microsoft.com/office/drawing/2014/main" id="{0A902866-B2BD-4966-AAD7-64A4939FF7FE}"/>
            </a:ext>
          </a:extLst>
        </xdr:cNvPr>
        <xdr:cNvSpPr>
          <a:spLocks noChangeArrowheads="1"/>
        </xdr:cNvSpPr>
      </xdr:nvSpPr>
      <xdr:spPr bwMode="auto">
        <a:xfrm>
          <a:off x="133032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120</xdr:row>
      <xdr:rowOff>57150</xdr:rowOff>
    </xdr:from>
    <xdr:to>
      <xdr:col>16</xdr:col>
      <xdr:colOff>0</xdr:colOff>
      <xdr:row>121</xdr:row>
      <xdr:rowOff>190500</xdr:rowOff>
    </xdr:to>
    <xdr:sp macro="" textlink="">
      <xdr:nvSpPr>
        <xdr:cNvPr id="371" name="AutoShape 46">
          <a:extLst>
            <a:ext uri="{FF2B5EF4-FFF2-40B4-BE49-F238E27FC236}">
              <a16:creationId xmlns:a16="http://schemas.microsoft.com/office/drawing/2014/main" id="{54FA89BD-3585-4662-8633-D9099266021A}"/>
            </a:ext>
          </a:extLst>
        </xdr:cNvPr>
        <xdr:cNvSpPr>
          <a:spLocks noChangeArrowheads="1"/>
        </xdr:cNvSpPr>
      </xdr:nvSpPr>
      <xdr:spPr bwMode="auto">
        <a:xfrm>
          <a:off x="153162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72" name="AutoShape 46">
          <a:extLst>
            <a:ext uri="{FF2B5EF4-FFF2-40B4-BE49-F238E27FC236}">
              <a16:creationId xmlns:a16="http://schemas.microsoft.com/office/drawing/2014/main" id="{20A01D7D-DBF6-4A22-B46B-D2084068CC6F}"/>
            </a:ext>
          </a:extLst>
        </xdr:cNvPr>
        <xdr:cNvSpPr>
          <a:spLocks noChangeArrowheads="1"/>
        </xdr:cNvSpPr>
      </xdr:nvSpPr>
      <xdr:spPr bwMode="auto">
        <a:xfrm>
          <a:off x="177292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73" name="AutoShape 46">
          <a:extLst>
            <a:ext uri="{FF2B5EF4-FFF2-40B4-BE49-F238E27FC236}">
              <a16:creationId xmlns:a16="http://schemas.microsoft.com/office/drawing/2014/main" id="{20791027-D56D-40C4-8C90-07DD94C7544D}"/>
            </a:ext>
          </a:extLst>
        </xdr:cNvPr>
        <xdr:cNvSpPr>
          <a:spLocks noChangeArrowheads="1"/>
        </xdr:cNvSpPr>
      </xdr:nvSpPr>
      <xdr:spPr bwMode="auto">
        <a:xfrm>
          <a:off x="199580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74" name="AutoShape 46">
          <a:extLst>
            <a:ext uri="{FF2B5EF4-FFF2-40B4-BE49-F238E27FC236}">
              <a16:creationId xmlns:a16="http://schemas.microsoft.com/office/drawing/2014/main" id="{37BFE259-9F2B-4DF6-B390-2521D9CD832A}"/>
            </a:ext>
          </a:extLst>
        </xdr:cNvPr>
        <xdr:cNvSpPr>
          <a:spLocks noChangeArrowheads="1"/>
        </xdr:cNvSpPr>
      </xdr:nvSpPr>
      <xdr:spPr bwMode="auto">
        <a:xfrm>
          <a:off x="22542500" y="6059170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75" name="AutoShape 46">
          <a:extLst>
            <a:ext uri="{FF2B5EF4-FFF2-40B4-BE49-F238E27FC236}">
              <a16:creationId xmlns:a16="http://schemas.microsoft.com/office/drawing/2014/main" id="{49670BF8-E3D8-4A68-BDB8-0F01F757A6F1}"/>
            </a:ext>
          </a:extLst>
        </xdr:cNvPr>
        <xdr:cNvSpPr>
          <a:spLocks noChangeArrowheads="1"/>
        </xdr:cNvSpPr>
      </xdr:nvSpPr>
      <xdr:spPr bwMode="auto">
        <a:xfrm>
          <a:off x="254889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76" name="AutoShape 46">
          <a:extLst>
            <a:ext uri="{FF2B5EF4-FFF2-40B4-BE49-F238E27FC236}">
              <a16:creationId xmlns:a16="http://schemas.microsoft.com/office/drawing/2014/main" id="{CE0F4DA6-2B28-4563-A72D-4FFC97E9D272}"/>
            </a:ext>
          </a:extLst>
        </xdr:cNvPr>
        <xdr:cNvSpPr>
          <a:spLocks noChangeArrowheads="1"/>
        </xdr:cNvSpPr>
      </xdr:nvSpPr>
      <xdr:spPr bwMode="auto">
        <a:xfrm>
          <a:off x="276288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77" name="AutoShape 46">
          <a:extLst>
            <a:ext uri="{FF2B5EF4-FFF2-40B4-BE49-F238E27FC236}">
              <a16:creationId xmlns:a16="http://schemas.microsoft.com/office/drawing/2014/main" id="{52C2979D-C76F-46EC-801E-C8C6046654A9}"/>
            </a:ext>
          </a:extLst>
        </xdr:cNvPr>
        <xdr:cNvSpPr>
          <a:spLocks noChangeArrowheads="1"/>
        </xdr:cNvSpPr>
      </xdr:nvSpPr>
      <xdr:spPr bwMode="auto">
        <a:xfrm>
          <a:off x="296418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78" name="AutoShape 46">
          <a:extLst>
            <a:ext uri="{FF2B5EF4-FFF2-40B4-BE49-F238E27FC236}">
              <a16:creationId xmlns:a16="http://schemas.microsoft.com/office/drawing/2014/main" id="{39365C25-8ABC-4900-9119-C5526BA553A2}"/>
            </a:ext>
          </a:extLst>
        </xdr:cNvPr>
        <xdr:cNvSpPr>
          <a:spLocks noChangeArrowheads="1"/>
        </xdr:cNvSpPr>
      </xdr:nvSpPr>
      <xdr:spPr bwMode="auto">
        <a:xfrm>
          <a:off x="177292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79" name="AutoShape 46">
          <a:extLst>
            <a:ext uri="{FF2B5EF4-FFF2-40B4-BE49-F238E27FC236}">
              <a16:creationId xmlns:a16="http://schemas.microsoft.com/office/drawing/2014/main" id="{F24B4A88-C762-4843-B987-EC187A619421}"/>
            </a:ext>
          </a:extLst>
        </xdr:cNvPr>
        <xdr:cNvSpPr>
          <a:spLocks noChangeArrowheads="1"/>
        </xdr:cNvSpPr>
      </xdr:nvSpPr>
      <xdr:spPr bwMode="auto">
        <a:xfrm>
          <a:off x="1995805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80" name="AutoShape 46">
          <a:extLst>
            <a:ext uri="{FF2B5EF4-FFF2-40B4-BE49-F238E27FC236}">
              <a16:creationId xmlns:a16="http://schemas.microsoft.com/office/drawing/2014/main" id="{FD1A2079-E5AE-4AE6-83F2-47377C08C6D1}"/>
            </a:ext>
          </a:extLst>
        </xdr:cNvPr>
        <xdr:cNvSpPr>
          <a:spLocks noChangeArrowheads="1"/>
        </xdr:cNvSpPr>
      </xdr:nvSpPr>
      <xdr:spPr bwMode="auto">
        <a:xfrm>
          <a:off x="22542500" y="6059170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81" name="AutoShape 46">
          <a:extLst>
            <a:ext uri="{FF2B5EF4-FFF2-40B4-BE49-F238E27FC236}">
              <a16:creationId xmlns:a16="http://schemas.microsoft.com/office/drawing/2014/main" id="{308A6AAD-C05D-454A-9E47-9B094D673BC0}"/>
            </a:ext>
          </a:extLst>
        </xdr:cNvPr>
        <xdr:cNvSpPr>
          <a:spLocks noChangeArrowheads="1"/>
        </xdr:cNvSpPr>
      </xdr:nvSpPr>
      <xdr:spPr bwMode="auto">
        <a:xfrm>
          <a:off x="254889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82" name="AutoShape 46">
          <a:extLst>
            <a:ext uri="{FF2B5EF4-FFF2-40B4-BE49-F238E27FC236}">
              <a16:creationId xmlns:a16="http://schemas.microsoft.com/office/drawing/2014/main" id="{0E0F1AAA-0892-40F8-B22F-90DEFAE8AE3B}"/>
            </a:ext>
          </a:extLst>
        </xdr:cNvPr>
        <xdr:cNvSpPr>
          <a:spLocks noChangeArrowheads="1"/>
        </xdr:cNvSpPr>
      </xdr:nvSpPr>
      <xdr:spPr bwMode="auto">
        <a:xfrm>
          <a:off x="2762885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83" name="AutoShape 46">
          <a:extLst>
            <a:ext uri="{FF2B5EF4-FFF2-40B4-BE49-F238E27FC236}">
              <a16:creationId xmlns:a16="http://schemas.microsoft.com/office/drawing/2014/main" id="{69C1C313-87AC-47F6-8EA5-9ED96FD99716}"/>
            </a:ext>
          </a:extLst>
        </xdr:cNvPr>
        <xdr:cNvSpPr>
          <a:spLocks noChangeArrowheads="1"/>
        </xdr:cNvSpPr>
      </xdr:nvSpPr>
      <xdr:spPr bwMode="auto">
        <a:xfrm>
          <a:off x="296418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120</xdr:row>
      <xdr:rowOff>57150</xdr:rowOff>
    </xdr:from>
    <xdr:to>
      <xdr:col>16</xdr:col>
      <xdr:colOff>0</xdr:colOff>
      <xdr:row>121</xdr:row>
      <xdr:rowOff>190500</xdr:rowOff>
    </xdr:to>
    <xdr:sp macro="" textlink="">
      <xdr:nvSpPr>
        <xdr:cNvPr id="384" name="AutoShape 46">
          <a:extLst>
            <a:ext uri="{FF2B5EF4-FFF2-40B4-BE49-F238E27FC236}">
              <a16:creationId xmlns:a16="http://schemas.microsoft.com/office/drawing/2014/main" id="{6BD3414F-E6FB-4D09-9D03-7C10C839D7F0}"/>
            </a:ext>
          </a:extLst>
        </xdr:cNvPr>
        <xdr:cNvSpPr>
          <a:spLocks noChangeArrowheads="1"/>
        </xdr:cNvSpPr>
      </xdr:nvSpPr>
      <xdr:spPr bwMode="auto">
        <a:xfrm>
          <a:off x="153162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85" name="AutoShape 46">
          <a:extLst>
            <a:ext uri="{FF2B5EF4-FFF2-40B4-BE49-F238E27FC236}">
              <a16:creationId xmlns:a16="http://schemas.microsoft.com/office/drawing/2014/main" id="{9FBBAECF-79AF-42BB-9C9B-4B90F11AB6FA}"/>
            </a:ext>
          </a:extLst>
        </xdr:cNvPr>
        <xdr:cNvSpPr>
          <a:spLocks noChangeArrowheads="1"/>
        </xdr:cNvSpPr>
      </xdr:nvSpPr>
      <xdr:spPr bwMode="auto">
        <a:xfrm>
          <a:off x="177292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86" name="AutoShape 46">
          <a:extLst>
            <a:ext uri="{FF2B5EF4-FFF2-40B4-BE49-F238E27FC236}">
              <a16:creationId xmlns:a16="http://schemas.microsoft.com/office/drawing/2014/main" id="{6C5883A4-A819-4D45-BF78-31DDA4B03A18}"/>
            </a:ext>
          </a:extLst>
        </xdr:cNvPr>
        <xdr:cNvSpPr>
          <a:spLocks noChangeArrowheads="1"/>
        </xdr:cNvSpPr>
      </xdr:nvSpPr>
      <xdr:spPr bwMode="auto">
        <a:xfrm>
          <a:off x="199580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87" name="AutoShape 46">
          <a:extLst>
            <a:ext uri="{FF2B5EF4-FFF2-40B4-BE49-F238E27FC236}">
              <a16:creationId xmlns:a16="http://schemas.microsoft.com/office/drawing/2014/main" id="{B74CDCC3-115A-41FE-B4E8-D0F7CD37B06A}"/>
            </a:ext>
          </a:extLst>
        </xdr:cNvPr>
        <xdr:cNvSpPr>
          <a:spLocks noChangeArrowheads="1"/>
        </xdr:cNvSpPr>
      </xdr:nvSpPr>
      <xdr:spPr bwMode="auto">
        <a:xfrm>
          <a:off x="22542500" y="60591700"/>
          <a:ext cx="1612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88" name="AutoShape 46">
          <a:extLst>
            <a:ext uri="{FF2B5EF4-FFF2-40B4-BE49-F238E27FC236}">
              <a16:creationId xmlns:a16="http://schemas.microsoft.com/office/drawing/2014/main" id="{8489261E-9459-40D1-A155-2A2DF098408B}"/>
            </a:ext>
          </a:extLst>
        </xdr:cNvPr>
        <xdr:cNvSpPr>
          <a:spLocks noChangeArrowheads="1"/>
        </xdr:cNvSpPr>
      </xdr:nvSpPr>
      <xdr:spPr bwMode="auto">
        <a:xfrm>
          <a:off x="254889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89" name="AutoShape 46">
          <a:extLst>
            <a:ext uri="{FF2B5EF4-FFF2-40B4-BE49-F238E27FC236}">
              <a16:creationId xmlns:a16="http://schemas.microsoft.com/office/drawing/2014/main" id="{88DB5473-AE44-41CD-A5BA-EE75FEEFCD5B}"/>
            </a:ext>
          </a:extLst>
        </xdr:cNvPr>
        <xdr:cNvSpPr>
          <a:spLocks noChangeArrowheads="1"/>
        </xdr:cNvSpPr>
      </xdr:nvSpPr>
      <xdr:spPr bwMode="auto">
        <a:xfrm>
          <a:off x="276288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90" name="AutoShape 46">
          <a:extLst>
            <a:ext uri="{FF2B5EF4-FFF2-40B4-BE49-F238E27FC236}">
              <a16:creationId xmlns:a16="http://schemas.microsoft.com/office/drawing/2014/main" id="{3B9D3B55-9C0C-4630-BDC1-C647D05E708B}"/>
            </a:ext>
          </a:extLst>
        </xdr:cNvPr>
        <xdr:cNvSpPr>
          <a:spLocks noChangeArrowheads="1"/>
        </xdr:cNvSpPr>
      </xdr:nvSpPr>
      <xdr:spPr bwMode="auto">
        <a:xfrm>
          <a:off x="296418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129</xdr:row>
      <xdr:rowOff>57150</xdr:rowOff>
    </xdr:from>
    <xdr:to>
      <xdr:col>2</xdr:col>
      <xdr:colOff>0</xdr:colOff>
      <xdr:row>130</xdr:row>
      <xdr:rowOff>190500</xdr:rowOff>
    </xdr:to>
    <xdr:sp macro="" textlink="">
      <xdr:nvSpPr>
        <xdr:cNvPr id="391" name="AutoShape 46">
          <a:extLst>
            <a:ext uri="{FF2B5EF4-FFF2-40B4-BE49-F238E27FC236}">
              <a16:creationId xmlns:a16="http://schemas.microsoft.com/office/drawing/2014/main" id="{8BCD9B89-05A0-48CF-8FB0-D3CC0940E7BE}"/>
            </a:ext>
          </a:extLst>
        </xdr:cNvPr>
        <xdr:cNvSpPr>
          <a:spLocks noChangeArrowheads="1"/>
        </xdr:cNvSpPr>
      </xdr:nvSpPr>
      <xdr:spPr bwMode="auto">
        <a:xfrm>
          <a:off x="7810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129</xdr:row>
      <xdr:rowOff>57150</xdr:rowOff>
    </xdr:from>
    <xdr:to>
      <xdr:col>4</xdr:col>
      <xdr:colOff>0</xdr:colOff>
      <xdr:row>130</xdr:row>
      <xdr:rowOff>190500</xdr:rowOff>
    </xdr:to>
    <xdr:sp macro="" textlink="">
      <xdr:nvSpPr>
        <xdr:cNvPr id="392" name="AutoShape 46">
          <a:extLst>
            <a:ext uri="{FF2B5EF4-FFF2-40B4-BE49-F238E27FC236}">
              <a16:creationId xmlns:a16="http://schemas.microsoft.com/office/drawing/2014/main" id="{BE07B124-4D17-4648-AE98-7488D8E68FA1}"/>
            </a:ext>
          </a:extLst>
        </xdr:cNvPr>
        <xdr:cNvSpPr>
          <a:spLocks noChangeArrowheads="1"/>
        </xdr:cNvSpPr>
      </xdr:nvSpPr>
      <xdr:spPr bwMode="auto">
        <a:xfrm>
          <a:off x="27940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129</xdr:row>
      <xdr:rowOff>57150</xdr:rowOff>
    </xdr:from>
    <xdr:to>
      <xdr:col>6</xdr:col>
      <xdr:colOff>0</xdr:colOff>
      <xdr:row>130</xdr:row>
      <xdr:rowOff>190500</xdr:rowOff>
    </xdr:to>
    <xdr:sp macro="" textlink="">
      <xdr:nvSpPr>
        <xdr:cNvPr id="393" name="AutoShape 46">
          <a:extLst>
            <a:ext uri="{FF2B5EF4-FFF2-40B4-BE49-F238E27FC236}">
              <a16:creationId xmlns:a16="http://schemas.microsoft.com/office/drawing/2014/main" id="{BFFB2D40-3AA3-4B2C-8208-EFCE85304A97}"/>
            </a:ext>
          </a:extLst>
        </xdr:cNvPr>
        <xdr:cNvSpPr>
          <a:spLocks noChangeArrowheads="1"/>
        </xdr:cNvSpPr>
      </xdr:nvSpPr>
      <xdr:spPr bwMode="auto">
        <a:xfrm>
          <a:off x="49339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129</xdr:row>
      <xdr:rowOff>57150</xdr:rowOff>
    </xdr:from>
    <xdr:to>
      <xdr:col>8</xdr:col>
      <xdr:colOff>0</xdr:colOff>
      <xdr:row>130</xdr:row>
      <xdr:rowOff>190500</xdr:rowOff>
    </xdr:to>
    <xdr:sp macro="" textlink="">
      <xdr:nvSpPr>
        <xdr:cNvPr id="394" name="AutoShape 46">
          <a:extLst>
            <a:ext uri="{FF2B5EF4-FFF2-40B4-BE49-F238E27FC236}">
              <a16:creationId xmlns:a16="http://schemas.microsoft.com/office/drawing/2014/main" id="{3C8FE312-5943-4BF3-8097-49E8239D0B9D}"/>
            </a:ext>
          </a:extLst>
        </xdr:cNvPr>
        <xdr:cNvSpPr>
          <a:spLocks noChangeArrowheads="1"/>
        </xdr:cNvSpPr>
      </xdr:nvSpPr>
      <xdr:spPr bwMode="auto">
        <a:xfrm>
          <a:off x="69469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129</xdr:row>
      <xdr:rowOff>57150</xdr:rowOff>
    </xdr:from>
    <xdr:to>
      <xdr:col>10</xdr:col>
      <xdr:colOff>0</xdr:colOff>
      <xdr:row>130</xdr:row>
      <xdr:rowOff>190500</xdr:rowOff>
    </xdr:to>
    <xdr:sp macro="" textlink="">
      <xdr:nvSpPr>
        <xdr:cNvPr id="395" name="AutoShape 46">
          <a:extLst>
            <a:ext uri="{FF2B5EF4-FFF2-40B4-BE49-F238E27FC236}">
              <a16:creationId xmlns:a16="http://schemas.microsoft.com/office/drawing/2014/main" id="{41EACBBF-BF19-4332-950B-F151F65E5626}"/>
            </a:ext>
          </a:extLst>
        </xdr:cNvPr>
        <xdr:cNvSpPr>
          <a:spLocks noChangeArrowheads="1"/>
        </xdr:cNvSpPr>
      </xdr:nvSpPr>
      <xdr:spPr bwMode="auto">
        <a:xfrm>
          <a:off x="92773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129</xdr:row>
      <xdr:rowOff>57150</xdr:rowOff>
    </xdr:from>
    <xdr:to>
      <xdr:col>12</xdr:col>
      <xdr:colOff>0</xdr:colOff>
      <xdr:row>130</xdr:row>
      <xdr:rowOff>190500</xdr:rowOff>
    </xdr:to>
    <xdr:sp macro="" textlink="">
      <xdr:nvSpPr>
        <xdr:cNvPr id="396" name="AutoShape 46">
          <a:extLst>
            <a:ext uri="{FF2B5EF4-FFF2-40B4-BE49-F238E27FC236}">
              <a16:creationId xmlns:a16="http://schemas.microsoft.com/office/drawing/2014/main" id="{E759F91A-D101-4F39-9BE9-B43DDF37E593}"/>
            </a:ext>
          </a:extLst>
        </xdr:cNvPr>
        <xdr:cNvSpPr>
          <a:spLocks noChangeArrowheads="1"/>
        </xdr:cNvSpPr>
      </xdr:nvSpPr>
      <xdr:spPr bwMode="auto">
        <a:xfrm>
          <a:off x="112903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129</xdr:row>
      <xdr:rowOff>57150</xdr:rowOff>
    </xdr:from>
    <xdr:to>
      <xdr:col>14</xdr:col>
      <xdr:colOff>0</xdr:colOff>
      <xdr:row>130</xdr:row>
      <xdr:rowOff>190500</xdr:rowOff>
    </xdr:to>
    <xdr:sp macro="" textlink="">
      <xdr:nvSpPr>
        <xdr:cNvPr id="397" name="AutoShape 46">
          <a:extLst>
            <a:ext uri="{FF2B5EF4-FFF2-40B4-BE49-F238E27FC236}">
              <a16:creationId xmlns:a16="http://schemas.microsoft.com/office/drawing/2014/main" id="{DEFD3F86-2A90-496C-9F35-4FE23A603404}"/>
            </a:ext>
          </a:extLst>
        </xdr:cNvPr>
        <xdr:cNvSpPr>
          <a:spLocks noChangeArrowheads="1"/>
        </xdr:cNvSpPr>
      </xdr:nvSpPr>
      <xdr:spPr bwMode="auto">
        <a:xfrm>
          <a:off x="133032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129</xdr:row>
      <xdr:rowOff>57150</xdr:rowOff>
    </xdr:from>
    <xdr:to>
      <xdr:col>16</xdr:col>
      <xdr:colOff>0</xdr:colOff>
      <xdr:row>130</xdr:row>
      <xdr:rowOff>190500</xdr:rowOff>
    </xdr:to>
    <xdr:sp macro="" textlink="">
      <xdr:nvSpPr>
        <xdr:cNvPr id="398" name="AutoShape 46">
          <a:extLst>
            <a:ext uri="{FF2B5EF4-FFF2-40B4-BE49-F238E27FC236}">
              <a16:creationId xmlns:a16="http://schemas.microsoft.com/office/drawing/2014/main" id="{06B0AE93-128C-45DC-8078-1554449240F6}"/>
            </a:ext>
          </a:extLst>
        </xdr:cNvPr>
        <xdr:cNvSpPr>
          <a:spLocks noChangeArrowheads="1"/>
        </xdr:cNvSpPr>
      </xdr:nvSpPr>
      <xdr:spPr bwMode="auto">
        <a:xfrm>
          <a:off x="153162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399" name="AutoShape 46">
          <a:extLst>
            <a:ext uri="{FF2B5EF4-FFF2-40B4-BE49-F238E27FC236}">
              <a16:creationId xmlns:a16="http://schemas.microsoft.com/office/drawing/2014/main" id="{F3B33AFC-450A-4E51-B1B2-A5752BEB30DA}"/>
            </a:ext>
          </a:extLst>
        </xdr:cNvPr>
        <xdr:cNvSpPr>
          <a:spLocks noChangeArrowheads="1"/>
        </xdr:cNvSpPr>
      </xdr:nvSpPr>
      <xdr:spPr bwMode="auto">
        <a:xfrm>
          <a:off x="17729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00" name="AutoShape 46">
          <a:extLst>
            <a:ext uri="{FF2B5EF4-FFF2-40B4-BE49-F238E27FC236}">
              <a16:creationId xmlns:a16="http://schemas.microsoft.com/office/drawing/2014/main" id="{8435448C-8EDA-4F35-993E-10FE41EA1870}"/>
            </a:ext>
          </a:extLst>
        </xdr:cNvPr>
        <xdr:cNvSpPr>
          <a:spLocks noChangeArrowheads="1"/>
        </xdr:cNvSpPr>
      </xdr:nvSpPr>
      <xdr:spPr bwMode="auto">
        <a:xfrm>
          <a:off x="199580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01" name="AutoShape 46">
          <a:extLst>
            <a:ext uri="{FF2B5EF4-FFF2-40B4-BE49-F238E27FC236}">
              <a16:creationId xmlns:a16="http://schemas.microsoft.com/office/drawing/2014/main" id="{85E113AC-64E5-423E-851F-90AB899E2311}"/>
            </a:ext>
          </a:extLst>
        </xdr:cNvPr>
        <xdr:cNvSpPr>
          <a:spLocks noChangeArrowheads="1"/>
        </xdr:cNvSpPr>
      </xdr:nvSpPr>
      <xdr:spPr bwMode="auto">
        <a:xfrm>
          <a:off x="22542500" y="652526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02" name="AutoShape 46">
          <a:extLst>
            <a:ext uri="{FF2B5EF4-FFF2-40B4-BE49-F238E27FC236}">
              <a16:creationId xmlns:a16="http://schemas.microsoft.com/office/drawing/2014/main" id="{EBD9E4C2-46C6-4435-9254-28771953D7F9}"/>
            </a:ext>
          </a:extLst>
        </xdr:cNvPr>
        <xdr:cNvSpPr>
          <a:spLocks noChangeArrowheads="1"/>
        </xdr:cNvSpPr>
      </xdr:nvSpPr>
      <xdr:spPr bwMode="auto">
        <a:xfrm>
          <a:off x="254889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03" name="AutoShape 46">
          <a:extLst>
            <a:ext uri="{FF2B5EF4-FFF2-40B4-BE49-F238E27FC236}">
              <a16:creationId xmlns:a16="http://schemas.microsoft.com/office/drawing/2014/main" id="{D195FBA7-AAD9-4391-BACB-A3E912BC6834}"/>
            </a:ext>
          </a:extLst>
        </xdr:cNvPr>
        <xdr:cNvSpPr>
          <a:spLocks noChangeArrowheads="1"/>
        </xdr:cNvSpPr>
      </xdr:nvSpPr>
      <xdr:spPr bwMode="auto">
        <a:xfrm>
          <a:off x="296418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404" name="AutoShape 46">
          <a:extLst>
            <a:ext uri="{FF2B5EF4-FFF2-40B4-BE49-F238E27FC236}">
              <a16:creationId xmlns:a16="http://schemas.microsoft.com/office/drawing/2014/main" id="{625D964D-1E85-4E18-942F-FA39ED850E95}"/>
            </a:ext>
          </a:extLst>
        </xdr:cNvPr>
        <xdr:cNvSpPr>
          <a:spLocks noChangeArrowheads="1"/>
        </xdr:cNvSpPr>
      </xdr:nvSpPr>
      <xdr:spPr bwMode="auto">
        <a:xfrm>
          <a:off x="177292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05" name="AutoShape 46">
          <a:extLst>
            <a:ext uri="{FF2B5EF4-FFF2-40B4-BE49-F238E27FC236}">
              <a16:creationId xmlns:a16="http://schemas.microsoft.com/office/drawing/2014/main" id="{D4284BE0-2E5D-4332-8D51-BE04EE18A48F}"/>
            </a:ext>
          </a:extLst>
        </xdr:cNvPr>
        <xdr:cNvSpPr>
          <a:spLocks noChangeArrowheads="1"/>
        </xdr:cNvSpPr>
      </xdr:nvSpPr>
      <xdr:spPr bwMode="auto">
        <a:xfrm>
          <a:off x="1995805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06" name="AutoShape 46">
          <a:extLst>
            <a:ext uri="{FF2B5EF4-FFF2-40B4-BE49-F238E27FC236}">
              <a16:creationId xmlns:a16="http://schemas.microsoft.com/office/drawing/2014/main" id="{8F440899-134B-409B-83E5-378C523DD050}"/>
            </a:ext>
          </a:extLst>
        </xdr:cNvPr>
        <xdr:cNvSpPr>
          <a:spLocks noChangeArrowheads="1"/>
        </xdr:cNvSpPr>
      </xdr:nvSpPr>
      <xdr:spPr bwMode="auto">
        <a:xfrm>
          <a:off x="22542500" y="652526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07" name="AutoShape 46">
          <a:extLst>
            <a:ext uri="{FF2B5EF4-FFF2-40B4-BE49-F238E27FC236}">
              <a16:creationId xmlns:a16="http://schemas.microsoft.com/office/drawing/2014/main" id="{190ADE22-97E8-4729-A03E-82F8CE203661}"/>
            </a:ext>
          </a:extLst>
        </xdr:cNvPr>
        <xdr:cNvSpPr>
          <a:spLocks noChangeArrowheads="1"/>
        </xdr:cNvSpPr>
      </xdr:nvSpPr>
      <xdr:spPr bwMode="auto">
        <a:xfrm>
          <a:off x="254889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08" name="AutoShape 46">
          <a:extLst>
            <a:ext uri="{FF2B5EF4-FFF2-40B4-BE49-F238E27FC236}">
              <a16:creationId xmlns:a16="http://schemas.microsoft.com/office/drawing/2014/main" id="{B9022E33-8206-41D7-BBA2-B8F8A39EFD78}"/>
            </a:ext>
          </a:extLst>
        </xdr:cNvPr>
        <xdr:cNvSpPr>
          <a:spLocks noChangeArrowheads="1"/>
        </xdr:cNvSpPr>
      </xdr:nvSpPr>
      <xdr:spPr bwMode="auto">
        <a:xfrm>
          <a:off x="296418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129</xdr:row>
      <xdr:rowOff>57150</xdr:rowOff>
    </xdr:from>
    <xdr:to>
      <xdr:col>16</xdr:col>
      <xdr:colOff>0</xdr:colOff>
      <xdr:row>130</xdr:row>
      <xdr:rowOff>190500</xdr:rowOff>
    </xdr:to>
    <xdr:sp macro="" textlink="">
      <xdr:nvSpPr>
        <xdr:cNvPr id="409" name="AutoShape 46">
          <a:extLst>
            <a:ext uri="{FF2B5EF4-FFF2-40B4-BE49-F238E27FC236}">
              <a16:creationId xmlns:a16="http://schemas.microsoft.com/office/drawing/2014/main" id="{F70E93C1-EB41-4AB2-A447-221ED0C9D0B4}"/>
            </a:ext>
          </a:extLst>
        </xdr:cNvPr>
        <xdr:cNvSpPr>
          <a:spLocks noChangeArrowheads="1"/>
        </xdr:cNvSpPr>
      </xdr:nvSpPr>
      <xdr:spPr bwMode="auto">
        <a:xfrm>
          <a:off x="15316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410" name="AutoShape 46">
          <a:extLst>
            <a:ext uri="{FF2B5EF4-FFF2-40B4-BE49-F238E27FC236}">
              <a16:creationId xmlns:a16="http://schemas.microsoft.com/office/drawing/2014/main" id="{130726E6-B550-4E84-A18B-470ABA75F0CC}"/>
            </a:ext>
          </a:extLst>
        </xdr:cNvPr>
        <xdr:cNvSpPr>
          <a:spLocks noChangeArrowheads="1"/>
        </xdr:cNvSpPr>
      </xdr:nvSpPr>
      <xdr:spPr bwMode="auto">
        <a:xfrm>
          <a:off x="17729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11" name="AutoShape 46">
          <a:extLst>
            <a:ext uri="{FF2B5EF4-FFF2-40B4-BE49-F238E27FC236}">
              <a16:creationId xmlns:a16="http://schemas.microsoft.com/office/drawing/2014/main" id="{B0973705-06CC-4A26-910D-6EC4F9BE843F}"/>
            </a:ext>
          </a:extLst>
        </xdr:cNvPr>
        <xdr:cNvSpPr>
          <a:spLocks noChangeArrowheads="1"/>
        </xdr:cNvSpPr>
      </xdr:nvSpPr>
      <xdr:spPr bwMode="auto">
        <a:xfrm>
          <a:off x="19958050" y="65252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12" name="AutoShape 46">
          <a:extLst>
            <a:ext uri="{FF2B5EF4-FFF2-40B4-BE49-F238E27FC236}">
              <a16:creationId xmlns:a16="http://schemas.microsoft.com/office/drawing/2014/main" id="{41338D78-53CD-4D8C-881A-2DD69B21812E}"/>
            </a:ext>
          </a:extLst>
        </xdr:cNvPr>
        <xdr:cNvSpPr>
          <a:spLocks noChangeArrowheads="1"/>
        </xdr:cNvSpPr>
      </xdr:nvSpPr>
      <xdr:spPr bwMode="auto">
        <a:xfrm>
          <a:off x="22542500" y="652526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13" name="AutoShape 46">
          <a:extLst>
            <a:ext uri="{FF2B5EF4-FFF2-40B4-BE49-F238E27FC236}">
              <a16:creationId xmlns:a16="http://schemas.microsoft.com/office/drawing/2014/main" id="{C8AAA84B-3717-4F0B-85BB-5D395E4E84CC}"/>
            </a:ext>
          </a:extLst>
        </xdr:cNvPr>
        <xdr:cNvSpPr>
          <a:spLocks noChangeArrowheads="1"/>
        </xdr:cNvSpPr>
      </xdr:nvSpPr>
      <xdr:spPr bwMode="auto">
        <a:xfrm>
          <a:off x="25488900" y="65252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14" name="AutoShape 46">
          <a:extLst>
            <a:ext uri="{FF2B5EF4-FFF2-40B4-BE49-F238E27FC236}">
              <a16:creationId xmlns:a16="http://schemas.microsoft.com/office/drawing/2014/main" id="{E20BD17E-4E4C-49F7-A28E-C46D736160FC}"/>
            </a:ext>
          </a:extLst>
        </xdr:cNvPr>
        <xdr:cNvSpPr>
          <a:spLocks noChangeArrowheads="1"/>
        </xdr:cNvSpPr>
      </xdr:nvSpPr>
      <xdr:spPr bwMode="auto">
        <a:xfrm>
          <a:off x="296418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138</xdr:row>
      <xdr:rowOff>57150</xdr:rowOff>
    </xdr:from>
    <xdr:to>
      <xdr:col>2</xdr:col>
      <xdr:colOff>0</xdr:colOff>
      <xdr:row>139</xdr:row>
      <xdr:rowOff>190500</xdr:rowOff>
    </xdr:to>
    <xdr:sp macro="" textlink="">
      <xdr:nvSpPr>
        <xdr:cNvPr id="415" name="AutoShape 46">
          <a:extLst>
            <a:ext uri="{FF2B5EF4-FFF2-40B4-BE49-F238E27FC236}">
              <a16:creationId xmlns:a16="http://schemas.microsoft.com/office/drawing/2014/main" id="{377440B4-A1F8-46FB-98AC-B9767B0C03A4}"/>
            </a:ext>
          </a:extLst>
        </xdr:cNvPr>
        <xdr:cNvSpPr>
          <a:spLocks noChangeArrowheads="1"/>
        </xdr:cNvSpPr>
      </xdr:nvSpPr>
      <xdr:spPr bwMode="auto">
        <a:xfrm>
          <a:off x="7810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138</xdr:row>
      <xdr:rowOff>57150</xdr:rowOff>
    </xdr:from>
    <xdr:to>
      <xdr:col>6</xdr:col>
      <xdr:colOff>0</xdr:colOff>
      <xdr:row>139</xdr:row>
      <xdr:rowOff>190500</xdr:rowOff>
    </xdr:to>
    <xdr:sp macro="" textlink="">
      <xdr:nvSpPr>
        <xdr:cNvPr id="416" name="AutoShape 46">
          <a:extLst>
            <a:ext uri="{FF2B5EF4-FFF2-40B4-BE49-F238E27FC236}">
              <a16:creationId xmlns:a16="http://schemas.microsoft.com/office/drawing/2014/main" id="{8A6DED49-2092-465C-82D3-A0347A1C0A68}"/>
            </a:ext>
          </a:extLst>
        </xdr:cNvPr>
        <xdr:cNvSpPr>
          <a:spLocks noChangeArrowheads="1"/>
        </xdr:cNvSpPr>
      </xdr:nvSpPr>
      <xdr:spPr bwMode="auto">
        <a:xfrm>
          <a:off x="49339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138</xdr:row>
      <xdr:rowOff>57150</xdr:rowOff>
    </xdr:from>
    <xdr:to>
      <xdr:col>8</xdr:col>
      <xdr:colOff>0</xdr:colOff>
      <xdr:row>139</xdr:row>
      <xdr:rowOff>190500</xdr:rowOff>
    </xdr:to>
    <xdr:sp macro="" textlink="">
      <xdr:nvSpPr>
        <xdr:cNvPr id="417" name="AutoShape 46">
          <a:extLst>
            <a:ext uri="{FF2B5EF4-FFF2-40B4-BE49-F238E27FC236}">
              <a16:creationId xmlns:a16="http://schemas.microsoft.com/office/drawing/2014/main" id="{13EA3644-E23A-438D-B694-D1899337D7BB}"/>
            </a:ext>
          </a:extLst>
        </xdr:cNvPr>
        <xdr:cNvSpPr>
          <a:spLocks noChangeArrowheads="1"/>
        </xdr:cNvSpPr>
      </xdr:nvSpPr>
      <xdr:spPr bwMode="auto">
        <a:xfrm>
          <a:off x="69469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138</xdr:row>
      <xdr:rowOff>57150</xdr:rowOff>
    </xdr:from>
    <xdr:to>
      <xdr:col>10</xdr:col>
      <xdr:colOff>0</xdr:colOff>
      <xdr:row>139</xdr:row>
      <xdr:rowOff>190500</xdr:rowOff>
    </xdr:to>
    <xdr:sp macro="" textlink="">
      <xdr:nvSpPr>
        <xdr:cNvPr id="418" name="AutoShape 46">
          <a:extLst>
            <a:ext uri="{FF2B5EF4-FFF2-40B4-BE49-F238E27FC236}">
              <a16:creationId xmlns:a16="http://schemas.microsoft.com/office/drawing/2014/main" id="{7E2C1833-AD0E-4964-99B0-9ADC9A34D790}"/>
            </a:ext>
          </a:extLst>
        </xdr:cNvPr>
        <xdr:cNvSpPr>
          <a:spLocks noChangeArrowheads="1"/>
        </xdr:cNvSpPr>
      </xdr:nvSpPr>
      <xdr:spPr bwMode="auto">
        <a:xfrm>
          <a:off x="92773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714375</xdr:colOff>
      <xdr:row>138</xdr:row>
      <xdr:rowOff>104776</xdr:rowOff>
    </xdr:from>
    <xdr:to>
      <xdr:col>12</xdr:col>
      <xdr:colOff>47625</xdr:colOff>
      <xdr:row>139</xdr:row>
      <xdr:rowOff>158751</xdr:rowOff>
    </xdr:to>
    <xdr:sp macro="" textlink="">
      <xdr:nvSpPr>
        <xdr:cNvPr id="419" name="AutoShape 46">
          <a:extLst>
            <a:ext uri="{FF2B5EF4-FFF2-40B4-BE49-F238E27FC236}">
              <a16:creationId xmlns:a16="http://schemas.microsoft.com/office/drawing/2014/main" id="{48D08A2E-4D8B-4FC3-B4D5-44405D88A908}"/>
            </a:ext>
          </a:extLst>
        </xdr:cNvPr>
        <xdr:cNvSpPr>
          <a:spLocks noChangeArrowheads="1"/>
        </xdr:cNvSpPr>
      </xdr:nvSpPr>
      <xdr:spPr bwMode="auto">
        <a:xfrm>
          <a:off x="11223625" y="69688076"/>
          <a:ext cx="1346200" cy="479425"/>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138</xdr:row>
      <xdr:rowOff>57150</xdr:rowOff>
    </xdr:from>
    <xdr:to>
      <xdr:col>14</xdr:col>
      <xdr:colOff>0</xdr:colOff>
      <xdr:row>139</xdr:row>
      <xdr:rowOff>190500</xdr:rowOff>
    </xdr:to>
    <xdr:sp macro="" textlink="">
      <xdr:nvSpPr>
        <xdr:cNvPr id="420" name="AutoShape 46">
          <a:extLst>
            <a:ext uri="{FF2B5EF4-FFF2-40B4-BE49-F238E27FC236}">
              <a16:creationId xmlns:a16="http://schemas.microsoft.com/office/drawing/2014/main" id="{2DEC0F79-96E1-4A3F-A7A3-7E7DF473D46A}"/>
            </a:ext>
          </a:extLst>
        </xdr:cNvPr>
        <xdr:cNvSpPr>
          <a:spLocks noChangeArrowheads="1"/>
        </xdr:cNvSpPr>
      </xdr:nvSpPr>
      <xdr:spPr bwMode="auto">
        <a:xfrm>
          <a:off x="133032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138</xdr:row>
      <xdr:rowOff>57150</xdr:rowOff>
    </xdr:from>
    <xdr:to>
      <xdr:col>16</xdr:col>
      <xdr:colOff>0</xdr:colOff>
      <xdr:row>139</xdr:row>
      <xdr:rowOff>190500</xdr:rowOff>
    </xdr:to>
    <xdr:sp macro="" textlink="">
      <xdr:nvSpPr>
        <xdr:cNvPr id="421" name="AutoShape 46">
          <a:extLst>
            <a:ext uri="{FF2B5EF4-FFF2-40B4-BE49-F238E27FC236}">
              <a16:creationId xmlns:a16="http://schemas.microsoft.com/office/drawing/2014/main" id="{F21ADF6F-BE56-444F-A73D-389DEFF26704}"/>
            </a:ext>
          </a:extLst>
        </xdr:cNvPr>
        <xdr:cNvSpPr>
          <a:spLocks noChangeArrowheads="1"/>
        </xdr:cNvSpPr>
      </xdr:nvSpPr>
      <xdr:spPr bwMode="auto">
        <a:xfrm>
          <a:off x="153162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22" name="AutoShape 46">
          <a:extLst>
            <a:ext uri="{FF2B5EF4-FFF2-40B4-BE49-F238E27FC236}">
              <a16:creationId xmlns:a16="http://schemas.microsoft.com/office/drawing/2014/main" id="{BD71D7C6-2D7E-456E-A0A1-AF25E26913C4}"/>
            </a:ext>
          </a:extLst>
        </xdr:cNvPr>
        <xdr:cNvSpPr>
          <a:spLocks noChangeArrowheads="1"/>
        </xdr:cNvSpPr>
      </xdr:nvSpPr>
      <xdr:spPr bwMode="auto">
        <a:xfrm>
          <a:off x="177292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23" name="AutoShape 46">
          <a:extLst>
            <a:ext uri="{FF2B5EF4-FFF2-40B4-BE49-F238E27FC236}">
              <a16:creationId xmlns:a16="http://schemas.microsoft.com/office/drawing/2014/main" id="{98CB7AD0-5DFA-495B-9E7B-A4E24A3F14DE}"/>
            </a:ext>
          </a:extLst>
        </xdr:cNvPr>
        <xdr:cNvSpPr>
          <a:spLocks noChangeArrowheads="1"/>
        </xdr:cNvSpPr>
      </xdr:nvSpPr>
      <xdr:spPr bwMode="auto">
        <a:xfrm>
          <a:off x="199580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138</xdr:row>
      <xdr:rowOff>57150</xdr:rowOff>
    </xdr:from>
    <xdr:to>
      <xdr:col>22</xdr:col>
      <xdr:colOff>0</xdr:colOff>
      <xdr:row>139</xdr:row>
      <xdr:rowOff>190500</xdr:rowOff>
    </xdr:to>
    <xdr:sp macro="" textlink="">
      <xdr:nvSpPr>
        <xdr:cNvPr id="424" name="AutoShape 46">
          <a:extLst>
            <a:ext uri="{FF2B5EF4-FFF2-40B4-BE49-F238E27FC236}">
              <a16:creationId xmlns:a16="http://schemas.microsoft.com/office/drawing/2014/main" id="{A742DA95-0FEA-45B8-8388-BEF39AC2DAE5}"/>
            </a:ext>
          </a:extLst>
        </xdr:cNvPr>
        <xdr:cNvSpPr>
          <a:spLocks noChangeArrowheads="1"/>
        </xdr:cNvSpPr>
      </xdr:nvSpPr>
      <xdr:spPr bwMode="auto">
        <a:xfrm>
          <a:off x="22542500" y="696404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25" name="AutoShape 46">
          <a:extLst>
            <a:ext uri="{FF2B5EF4-FFF2-40B4-BE49-F238E27FC236}">
              <a16:creationId xmlns:a16="http://schemas.microsoft.com/office/drawing/2014/main" id="{2001ED7B-3454-41BA-B4DA-8050104D5929}"/>
            </a:ext>
          </a:extLst>
        </xdr:cNvPr>
        <xdr:cNvSpPr>
          <a:spLocks noChangeArrowheads="1"/>
        </xdr:cNvSpPr>
      </xdr:nvSpPr>
      <xdr:spPr bwMode="auto">
        <a:xfrm>
          <a:off x="254889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26" name="AutoShape 46">
          <a:extLst>
            <a:ext uri="{FF2B5EF4-FFF2-40B4-BE49-F238E27FC236}">
              <a16:creationId xmlns:a16="http://schemas.microsoft.com/office/drawing/2014/main" id="{4D336F17-D52D-4191-AA3A-4EFFFAB92D75}"/>
            </a:ext>
          </a:extLst>
        </xdr:cNvPr>
        <xdr:cNvSpPr>
          <a:spLocks noChangeArrowheads="1"/>
        </xdr:cNvSpPr>
      </xdr:nvSpPr>
      <xdr:spPr bwMode="auto">
        <a:xfrm>
          <a:off x="276288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27" name="AutoShape 46">
          <a:extLst>
            <a:ext uri="{FF2B5EF4-FFF2-40B4-BE49-F238E27FC236}">
              <a16:creationId xmlns:a16="http://schemas.microsoft.com/office/drawing/2014/main" id="{1C0873AC-42F9-4691-8B48-479C41ACD807}"/>
            </a:ext>
          </a:extLst>
        </xdr:cNvPr>
        <xdr:cNvSpPr>
          <a:spLocks noChangeArrowheads="1"/>
        </xdr:cNvSpPr>
      </xdr:nvSpPr>
      <xdr:spPr bwMode="auto">
        <a:xfrm>
          <a:off x="296418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28" name="AutoShape 46">
          <a:extLst>
            <a:ext uri="{FF2B5EF4-FFF2-40B4-BE49-F238E27FC236}">
              <a16:creationId xmlns:a16="http://schemas.microsoft.com/office/drawing/2014/main" id="{30E53392-8818-4CC7-8FFE-449FCC2B328D}"/>
            </a:ext>
          </a:extLst>
        </xdr:cNvPr>
        <xdr:cNvSpPr>
          <a:spLocks noChangeArrowheads="1"/>
        </xdr:cNvSpPr>
      </xdr:nvSpPr>
      <xdr:spPr bwMode="auto">
        <a:xfrm>
          <a:off x="177292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29" name="AutoShape 46">
          <a:extLst>
            <a:ext uri="{FF2B5EF4-FFF2-40B4-BE49-F238E27FC236}">
              <a16:creationId xmlns:a16="http://schemas.microsoft.com/office/drawing/2014/main" id="{565F0322-A144-4739-AEE2-3CBAE5E621E4}"/>
            </a:ext>
          </a:extLst>
        </xdr:cNvPr>
        <xdr:cNvSpPr>
          <a:spLocks noChangeArrowheads="1"/>
        </xdr:cNvSpPr>
      </xdr:nvSpPr>
      <xdr:spPr bwMode="auto">
        <a:xfrm>
          <a:off x="1995805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30" name="AutoShape 46">
          <a:extLst>
            <a:ext uri="{FF2B5EF4-FFF2-40B4-BE49-F238E27FC236}">
              <a16:creationId xmlns:a16="http://schemas.microsoft.com/office/drawing/2014/main" id="{414F3757-ECCC-4016-B94A-94AD585743BD}"/>
            </a:ext>
          </a:extLst>
        </xdr:cNvPr>
        <xdr:cNvSpPr>
          <a:spLocks noChangeArrowheads="1"/>
        </xdr:cNvSpPr>
      </xdr:nvSpPr>
      <xdr:spPr bwMode="auto">
        <a:xfrm>
          <a:off x="254889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31" name="AutoShape 46">
          <a:extLst>
            <a:ext uri="{FF2B5EF4-FFF2-40B4-BE49-F238E27FC236}">
              <a16:creationId xmlns:a16="http://schemas.microsoft.com/office/drawing/2014/main" id="{4C5D0EB5-0F84-4EDC-9C51-6E225303258A}"/>
            </a:ext>
          </a:extLst>
        </xdr:cNvPr>
        <xdr:cNvSpPr>
          <a:spLocks noChangeArrowheads="1"/>
        </xdr:cNvSpPr>
      </xdr:nvSpPr>
      <xdr:spPr bwMode="auto">
        <a:xfrm>
          <a:off x="2762885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32" name="AutoShape 46">
          <a:extLst>
            <a:ext uri="{FF2B5EF4-FFF2-40B4-BE49-F238E27FC236}">
              <a16:creationId xmlns:a16="http://schemas.microsoft.com/office/drawing/2014/main" id="{F24EBC73-409F-483A-A8E4-1AF1E3298253}"/>
            </a:ext>
          </a:extLst>
        </xdr:cNvPr>
        <xdr:cNvSpPr>
          <a:spLocks noChangeArrowheads="1"/>
        </xdr:cNvSpPr>
      </xdr:nvSpPr>
      <xdr:spPr bwMode="auto">
        <a:xfrm>
          <a:off x="296418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138</xdr:row>
      <xdr:rowOff>57150</xdr:rowOff>
    </xdr:from>
    <xdr:to>
      <xdr:col>16</xdr:col>
      <xdr:colOff>0</xdr:colOff>
      <xdr:row>139</xdr:row>
      <xdr:rowOff>190500</xdr:rowOff>
    </xdr:to>
    <xdr:sp macro="" textlink="">
      <xdr:nvSpPr>
        <xdr:cNvPr id="433" name="AutoShape 46">
          <a:extLst>
            <a:ext uri="{FF2B5EF4-FFF2-40B4-BE49-F238E27FC236}">
              <a16:creationId xmlns:a16="http://schemas.microsoft.com/office/drawing/2014/main" id="{1AD912AE-FC6D-488A-861F-17F31BCF08A9}"/>
            </a:ext>
          </a:extLst>
        </xdr:cNvPr>
        <xdr:cNvSpPr>
          <a:spLocks noChangeArrowheads="1"/>
        </xdr:cNvSpPr>
      </xdr:nvSpPr>
      <xdr:spPr bwMode="auto">
        <a:xfrm>
          <a:off x="153162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34" name="AutoShape 46">
          <a:extLst>
            <a:ext uri="{FF2B5EF4-FFF2-40B4-BE49-F238E27FC236}">
              <a16:creationId xmlns:a16="http://schemas.microsoft.com/office/drawing/2014/main" id="{4DA9666F-0989-4DA5-81A2-505033A1BC69}"/>
            </a:ext>
          </a:extLst>
        </xdr:cNvPr>
        <xdr:cNvSpPr>
          <a:spLocks noChangeArrowheads="1"/>
        </xdr:cNvSpPr>
      </xdr:nvSpPr>
      <xdr:spPr bwMode="auto">
        <a:xfrm>
          <a:off x="177292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35" name="AutoShape 46">
          <a:extLst>
            <a:ext uri="{FF2B5EF4-FFF2-40B4-BE49-F238E27FC236}">
              <a16:creationId xmlns:a16="http://schemas.microsoft.com/office/drawing/2014/main" id="{24957B01-0BC8-48EB-BC2D-BE447D8ED2D7}"/>
            </a:ext>
          </a:extLst>
        </xdr:cNvPr>
        <xdr:cNvSpPr>
          <a:spLocks noChangeArrowheads="1"/>
        </xdr:cNvSpPr>
      </xdr:nvSpPr>
      <xdr:spPr bwMode="auto">
        <a:xfrm>
          <a:off x="199580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36" name="AutoShape 46">
          <a:extLst>
            <a:ext uri="{FF2B5EF4-FFF2-40B4-BE49-F238E27FC236}">
              <a16:creationId xmlns:a16="http://schemas.microsoft.com/office/drawing/2014/main" id="{D7790C3B-CF22-4932-AF82-135FC945DC15}"/>
            </a:ext>
          </a:extLst>
        </xdr:cNvPr>
        <xdr:cNvSpPr>
          <a:spLocks noChangeArrowheads="1"/>
        </xdr:cNvSpPr>
      </xdr:nvSpPr>
      <xdr:spPr bwMode="auto">
        <a:xfrm>
          <a:off x="254889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37" name="AutoShape 46">
          <a:extLst>
            <a:ext uri="{FF2B5EF4-FFF2-40B4-BE49-F238E27FC236}">
              <a16:creationId xmlns:a16="http://schemas.microsoft.com/office/drawing/2014/main" id="{35B4FA2D-F303-4164-BD9A-D2030839F7F2}"/>
            </a:ext>
          </a:extLst>
        </xdr:cNvPr>
        <xdr:cNvSpPr>
          <a:spLocks noChangeArrowheads="1"/>
        </xdr:cNvSpPr>
      </xdr:nvSpPr>
      <xdr:spPr bwMode="auto">
        <a:xfrm>
          <a:off x="276288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38" name="AutoShape 46">
          <a:extLst>
            <a:ext uri="{FF2B5EF4-FFF2-40B4-BE49-F238E27FC236}">
              <a16:creationId xmlns:a16="http://schemas.microsoft.com/office/drawing/2014/main" id="{A2B3C0F7-AB71-4B9C-8B0D-84B2C1E86A31}"/>
            </a:ext>
          </a:extLst>
        </xdr:cNvPr>
        <xdr:cNvSpPr>
          <a:spLocks noChangeArrowheads="1"/>
        </xdr:cNvSpPr>
      </xdr:nvSpPr>
      <xdr:spPr bwMode="auto">
        <a:xfrm>
          <a:off x="296418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147</xdr:row>
      <xdr:rowOff>57150</xdr:rowOff>
    </xdr:from>
    <xdr:to>
      <xdr:col>2</xdr:col>
      <xdr:colOff>0</xdr:colOff>
      <xdr:row>148</xdr:row>
      <xdr:rowOff>190500</xdr:rowOff>
    </xdr:to>
    <xdr:sp macro="" textlink="">
      <xdr:nvSpPr>
        <xdr:cNvPr id="439" name="AutoShape 46">
          <a:extLst>
            <a:ext uri="{FF2B5EF4-FFF2-40B4-BE49-F238E27FC236}">
              <a16:creationId xmlns:a16="http://schemas.microsoft.com/office/drawing/2014/main" id="{914A947B-89DA-460C-8301-282883D3C342}"/>
            </a:ext>
          </a:extLst>
        </xdr:cNvPr>
        <xdr:cNvSpPr>
          <a:spLocks noChangeArrowheads="1"/>
        </xdr:cNvSpPr>
      </xdr:nvSpPr>
      <xdr:spPr bwMode="auto">
        <a:xfrm>
          <a:off x="7810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147</xdr:row>
      <xdr:rowOff>57150</xdr:rowOff>
    </xdr:from>
    <xdr:to>
      <xdr:col>4</xdr:col>
      <xdr:colOff>0</xdr:colOff>
      <xdr:row>148</xdr:row>
      <xdr:rowOff>190500</xdr:rowOff>
    </xdr:to>
    <xdr:sp macro="" textlink="">
      <xdr:nvSpPr>
        <xdr:cNvPr id="440" name="AutoShape 46">
          <a:extLst>
            <a:ext uri="{FF2B5EF4-FFF2-40B4-BE49-F238E27FC236}">
              <a16:creationId xmlns:a16="http://schemas.microsoft.com/office/drawing/2014/main" id="{FF9106BD-3E38-486A-BD57-7B9F38E490F3}"/>
            </a:ext>
          </a:extLst>
        </xdr:cNvPr>
        <xdr:cNvSpPr>
          <a:spLocks noChangeArrowheads="1"/>
        </xdr:cNvSpPr>
      </xdr:nvSpPr>
      <xdr:spPr bwMode="auto">
        <a:xfrm>
          <a:off x="27940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147</xdr:row>
      <xdr:rowOff>57150</xdr:rowOff>
    </xdr:from>
    <xdr:to>
      <xdr:col>6</xdr:col>
      <xdr:colOff>0</xdr:colOff>
      <xdr:row>148</xdr:row>
      <xdr:rowOff>190500</xdr:rowOff>
    </xdr:to>
    <xdr:sp macro="" textlink="">
      <xdr:nvSpPr>
        <xdr:cNvPr id="441" name="AutoShape 46">
          <a:extLst>
            <a:ext uri="{FF2B5EF4-FFF2-40B4-BE49-F238E27FC236}">
              <a16:creationId xmlns:a16="http://schemas.microsoft.com/office/drawing/2014/main" id="{EF627AEB-B137-4E1A-A78A-14D5EF4594E5}"/>
            </a:ext>
          </a:extLst>
        </xdr:cNvPr>
        <xdr:cNvSpPr>
          <a:spLocks noChangeArrowheads="1"/>
        </xdr:cNvSpPr>
      </xdr:nvSpPr>
      <xdr:spPr bwMode="auto">
        <a:xfrm>
          <a:off x="49339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147</xdr:row>
      <xdr:rowOff>57150</xdr:rowOff>
    </xdr:from>
    <xdr:to>
      <xdr:col>8</xdr:col>
      <xdr:colOff>0</xdr:colOff>
      <xdr:row>148</xdr:row>
      <xdr:rowOff>190500</xdr:rowOff>
    </xdr:to>
    <xdr:sp macro="" textlink="">
      <xdr:nvSpPr>
        <xdr:cNvPr id="442" name="AutoShape 46">
          <a:extLst>
            <a:ext uri="{FF2B5EF4-FFF2-40B4-BE49-F238E27FC236}">
              <a16:creationId xmlns:a16="http://schemas.microsoft.com/office/drawing/2014/main" id="{0BECE6B5-5F39-4FD0-BB8D-672A1C4DC920}"/>
            </a:ext>
          </a:extLst>
        </xdr:cNvPr>
        <xdr:cNvSpPr>
          <a:spLocks noChangeArrowheads="1"/>
        </xdr:cNvSpPr>
      </xdr:nvSpPr>
      <xdr:spPr bwMode="auto">
        <a:xfrm>
          <a:off x="69469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147</xdr:row>
      <xdr:rowOff>57150</xdr:rowOff>
    </xdr:from>
    <xdr:to>
      <xdr:col>10</xdr:col>
      <xdr:colOff>0</xdr:colOff>
      <xdr:row>148</xdr:row>
      <xdr:rowOff>190500</xdr:rowOff>
    </xdr:to>
    <xdr:sp macro="" textlink="">
      <xdr:nvSpPr>
        <xdr:cNvPr id="443" name="AutoShape 46">
          <a:extLst>
            <a:ext uri="{FF2B5EF4-FFF2-40B4-BE49-F238E27FC236}">
              <a16:creationId xmlns:a16="http://schemas.microsoft.com/office/drawing/2014/main" id="{92777BEA-58A4-4FC5-A5F2-F399197D1170}"/>
            </a:ext>
          </a:extLst>
        </xdr:cNvPr>
        <xdr:cNvSpPr>
          <a:spLocks noChangeArrowheads="1"/>
        </xdr:cNvSpPr>
      </xdr:nvSpPr>
      <xdr:spPr bwMode="auto">
        <a:xfrm>
          <a:off x="92773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147</xdr:row>
      <xdr:rowOff>57150</xdr:rowOff>
    </xdr:from>
    <xdr:to>
      <xdr:col>12</xdr:col>
      <xdr:colOff>0</xdr:colOff>
      <xdr:row>148</xdr:row>
      <xdr:rowOff>190500</xdr:rowOff>
    </xdr:to>
    <xdr:sp macro="" textlink="">
      <xdr:nvSpPr>
        <xdr:cNvPr id="444" name="AutoShape 46">
          <a:extLst>
            <a:ext uri="{FF2B5EF4-FFF2-40B4-BE49-F238E27FC236}">
              <a16:creationId xmlns:a16="http://schemas.microsoft.com/office/drawing/2014/main" id="{50EA8085-042E-4A0C-BB88-9BB733E92F9B}"/>
            </a:ext>
          </a:extLst>
        </xdr:cNvPr>
        <xdr:cNvSpPr>
          <a:spLocks noChangeArrowheads="1"/>
        </xdr:cNvSpPr>
      </xdr:nvSpPr>
      <xdr:spPr bwMode="auto">
        <a:xfrm>
          <a:off x="112903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147</xdr:row>
      <xdr:rowOff>57150</xdr:rowOff>
    </xdr:from>
    <xdr:to>
      <xdr:col>14</xdr:col>
      <xdr:colOff>0</xdr:colOff>
      <xdr:row>148</xdr:row>
      <xdr:rowOff>190500</xdr:rowOff>
    </xdr:to>
    <xdr:sp macro="" textlink="">
      <xdr:nvSpPr>
        <xdr:cNvPr id="445" name="AutoShape 46">
          <a:extLst>
            <a:ext uri="{FF2B5EF4-FFF2-40B4-BE49-F238E27FC236}">
              <a16:creationId xmlns:a16="http://schemas.microsoft.com/office/drawing/2014/main" id="{B7444694-ED3E-4E4E-B12E-C2B92496C954}"/>
            </a:ext>
          </a:extLst>
        </xdr:cNvPr>
        <xdr:cNvSpPr>
          <a:spLocks noChangeArrowheads="1"/>
        </xdr:cNvSpPr>
      </xdr:nvSpPr>
      <xdr:spPr bwMode="auto">
        <a:xfrm>
          <a:off x="133032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147</xdr:row>
      <xdr:rowOff>57150</xdr:rowOff>
    </xdr:from>
    <xdr:to>
      <xdr:col>16</xdr:col>
      <xdr:colOff>0</xdr:colOff>
      <xdr:row>148</xdr:row>
      <xdr:rowOff>190500</xdr:rowOff>
    </xdr:to>
    <xdr:sp macro="" textlink="">
      <xdr:nvSpPr>
        <xdr:cNvPr id="446" name="AutoShape 46">
          <a:extLst>
            <a:ext uri="{FF2B5EF4-FFF2-40B4-BE49-F238E27FC236}">
              <a16:creationId xmlns:a16="http://schemas.microsoft.com/office/drawing/2014/main" id="{4360248C-3C57-486E-BE9D-26172A563ED2}"/>
            </a:ext>
          </a:extLst>
        </xdr:cNvPr>
        <xdr:cNvSpPr>
          <a:spLocks noChangeArrowheads="1"/>
        </xdr:cNvSpPr>
      </xdr:nvSpPr>
      <xdr:spPr bwMode="auto">
        <a:xfrm>
          <a:off x="153162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47" name="AutoShape 46">
          <a:extLst>
            <a:ext uri="{FF2B5EF4-FFF2-40B4-BE49-F238E27FC236}">
              <a16:creationId xmlns:a16="http://schemas.microsoft.com/office/drawing/2014/main" id="{F08B3E62-486E-443C-9AB5-771F496B9BE6}"/>
            </a:ext>
          </a:extLst>
        </xdr:cNvPr>
        <xdr:cNvSpPr>
          <a:spLocks noChangeArrowheads="1"/>
        </xdr:cNvSpPr>
      </xdr:nvSpPr>
      <xdr:spPr bwMode="auto">
        <a:xfrm>
          <a:off x="177292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48" name="AutoShape 46">
          <a:extLst>
            <a:ext uri="{FF2B5EF4-FFF2-40B4-BE49-F238E27FC236}">
              <a16:creationId xmlns:a16="http://schemas.microsoft.com/office/drawing/2014/main" id="{43073996-562B-4DD9-A360-A495D0B06AEB}"/>
            </a:ext>
          </a:extLst>
        </xdr:cNvPr>
        <xdr:cNvSpPr>
          <a:spLocks noChangeArrowheads="1"/>
        </xdr:cNvSpPr>
      </xdr:nvSpPr>
      <xdr:spPr bwMode="auto">
        <a:xfrm>
          <a:off x="1995805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49" name="AutoShape 46">
          <a:extLst>
            <a:ext uri="{FF2B5EF4-FFF2-40B4-BE49-F238E27FC236}">
              <a16:creationId xmlns:a16="http://schemas.microsoft.com/office/drawing/2014/main" id="{2DD4675E-D314-4FF0-8160-1C92E7C51104}"/>
            </a:ext>
          </a:extLst>
        </xdr:cNvPr>
        <xdr:cNvSpPr>
          <a:spLocks noChangeArrowheads="1"/>
        </xdr:cNvSpPr>
      </xdr:nvSpPr>
      <xdr:spPr bwMode="auto">
        <a:xfrm>
          <a:off x="22542500" y="7326630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50" name="AutoShape 46">
          <a:extLst>
            <a:ext uri="{FF2B5EF4-FFF2-40B4-BE49-F238E27FC236}">
              <a16:creationId xmlns:a16="http://schemas.microsoft.com/office/drawing/2014/main" id="{6EDE7E36-A885-4BE9-B503-D9DBC07E4411}"/>
            </a:ext>
          </a:extLst>
        </xdr:cNvPr>
        <xdr:cNvSpPr>
          <a:spLocks noChangeArrowheads="1"/>
        </xdr:cNvSpPr>
      </xdr:nvSpPr>
      <xdr:spPr bwMode="auto">
        <a:xfrm>
          <a:off x="254889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51" name="AutoShape 46">
          <a:extLst>
            <a:ext uri="{FF2B5EF4-FFF2-40B4-BE49-F238E27FC236}">
              <a16:creationId xmlns:a16="http://schemas.microsoft.com/office/drawing/2014/main" id="{A5B42071-F055-48BF-B332-2EDC92B5D767}"/>
            </a:ext>
          </a:extLst>
        </xdr:cNvPr>
        <xdr:cNvSpPr>
          <a:spLocks noChangeArrowheads="1"/>
        </xdr:cNvSpPr>
      </xdr:nvSpPr>
      <xdr:spPr bwMode="auto">
        <a:xfrm>
          <a:off x="2762885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52" name="AutoShape 46">
          <a:extLst>
            <a:ext uri="{FF2B5EF4-FFF2-40B4-BE49-F238E27FC236}">
              <a16:creationId xmlns:a16="http://schemas.microsoft.com/office/drawing/2014/main" id="{F8E3EBC5-7D12-4268-A142-497FFA8BDB9B}"/>
            </a:ext>
          </a:extLst>
        </xdr:cNvPr>
        <xdr:cNvSpPr>
          <a:spLocks noChangeArrowheads="1"/>
        </xdr:cNvSpPr>
      </xdr:nvSpPr>
      <xdr:spPr bwMode="auto">
        <a:xfrm>
          <a:off x="296418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53" name="AutoShape 46">
          <a:extLst>
            <a:ext uri="{FF2B5EF4-FFF2-40B4-BE49-F238E27FC236}">
              <a16:creationId xmlns:a16="http://schemas.microsoft.com/office/drawing/2014/main" id="{FCABF31F-1105-4384-B779-86A450D07D0B}"/>
            </a:ext>
          </a:extLst>
        </xdr:cNvPr>
        <xdr:cNvSpPr>
          <a:spLocks noChangeArrowheads="1"/>
        </xdr:cNvSpPr>
      </xdr:nvSpPr>
      <xdr:spPr bwMode="auto">
        <a:xfrm>
          <a:off x="177292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54" name="AutoShape 46">
          <a:extLst>
            <a:ext uri="{FF2B5EF4-FFF2-40B4-BE49-F238E27FC236}">
              <a16:creationId xmlns:a16="http://schemas.microsoft.com/office/drawing/2014/main" id="{174F55DD-248C-46AD-840E-E5142B9F14FE}"/>
            </a:ext>
          </a:extLst>
        </xdr:cNvPr>
        <xdr:cNvSpPr>
          <a:spLocks noChangeArrowheads="1"/>
        </xdr:cNvSpPr>
      </xdr:nvSpPr>
      <xdr:spPr bwMode="auto">
        <a:xfrm>
          <a:off x="1995805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55" name="AutoShape 46">
          <a:extLst>
            <a:ext uri="{FF2B5EF4-FFF2-40B4-BE49-F238E27FC236}">
              <a16:creationId xmlns:a16="http://schemas.microsoft.com/office/drawing/2014/main" id="{D38D65F8-8683-438E-8A83-9835683B92F8}"/>
            </a:ext>
          </a:extLst>
        </xdr:cNvPr>
        <xdr:cNvSpPr>
          <a:spLocks noChangeArrowheads="1"/>
        </xdr:cNvSpPr>
      </xdr:nvSpPr>
      <xdr:spPr bwMode="auto">
        <a:xfrm>
          <a:off x="22542500" y="7326630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56" name="AutoShape 46">
          <a:extLst>
            <a:ext uri="{FF2B5EF4-FFF2-40B4-BE49-F238E27FC236}">
              <a16:creationId xmlns:a16="http://schemas.microsoft.com/office/drawing/2014/main" id="{BF23C6CF-A73C-414F-9BDF-9F332CCE0047}"/>
            </a:ext>
          </a:extLst>
        </xdr:cNvPr>
        <xdr:cNvSpPr>
          <a:spLocks noChangeArrowheads="1"/>
        </xdr:cNvSpPr>
      </xdr:nvSpPr>
      <xdr:spPr bwMode="auto">
        <a:xfrm>
          <a:off x="254889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57" name="AutoShape 46">
          <a:extLst>
            <a:ext uri="{FF2B5EF4-FFF2-40B4-BE49-F238E27FC236}">
              <a16:creationId xmlns:a16="http://schemas.microsoft.com/office/drawing/2014/main" id="{7C97BF6E-20FD-4E10-B3E3-5C6CAF1E2C9F}"/>
            </a:ext>
          </a:extLst>
        </xdr:cNvPr>
        <xdr:cNvSpPr>
          <a:spLocks noChangeArrowheads="1"/>
        </xdr:cNvSpPr>
      </xdr:nvSpPr>
      <xdr:spPr bwMode="auto">
        <a:xfrm>
          <a:off x="2762885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58" name="AutoShape 46">
          <a:extLst>
            <a:ext uri="{FF2B5EF4-FFF2-40B4-BE49-F238E27FC236}">
              <a16:creationId xmlns:a16="http://schemas.microsoft.com/office/drawing/2014/main" id="{135253AB-D7AB-400E-A165-87409232F097}"/>
            </a:ext>
          </a:extLst>
        </xdr:cNvPr>
        <xdr:cNvSpPr>
          <a:spLocks noChangeArrowheads="1"/>
        </xdr:cNvSpPr>
      </xdr:nvSpPr>
      <xdr:spPr bwMode="auto">
        <a:xfrm>
          <a:off x="296418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147</xdr:row>
      <xdr:rowOff>57150</xdr:rowOff>
    </xdr:from>
    <xdr:to>
      <xdr:col>16</xdr:col>
      <xdr:colOff>0</xdr:colOff>
      <xdr:row>148</xdr:row>
      <xdr:rowOff>190500</xdr:rowOff>
    </xdr:to>
    <xdr:sp macro="" textlink="">
      <xdr:nvSpPr>
        <xdr:cNvPr id="459" name="AutoShape 46">
          <a:extLst>
            <a:ext uri="{FF2B5EF4-FFF2-40B4-BE49-F238E27FC236}">
              <a16:creationId xmlns:a16="http://schemas.microsoft.com/office/drawing/2014/main" id="{B7E2DAC3-7D9F-4B5E-84C0-CE64F200DC01}"/>
            </a:ext>
          </a:extLst>
        </xdr:cNvPr>
        <xdr:cNvSpPr>
          <a:spLocks noChangeArrowheads="1"/>
        </xdr:cNvSpPr>
      </xdr:nvSpPr>
      <xdr:spPr bwMode="auto">
        <a:xfrm>
          <a:off x="153162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60" name="AutoShape 46">
          <a:extLst>
            <a:ext uri="{FF2B5EF4-FFF2-40B4-BE49-F238E27FC236}">
              <a16:creationId xmlns:a16="http://schemas.microsoft.com/office/drawing/2014/main" id="{476F404B-43BD-4A46-B679-CB972B743B3F}"/>
            </a:ext>
          </a:extLst>
        </xdr:cNvPr>
        <xdr:cNvSpPr>
          <a:spLocks noChangeArrowheads="1"/>
        </xdr:cNvSpPr>
      </xdr:nvSpPr>
      <xdr:spPr bwMode="auto">
        <a:xfrm>
          <a:off x="177292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61" name="AutoShape 46">
          <a:extLst>
            <a:ext uri="{FF2B5EF4-FFF2-40B4-BE49-F238E27FC236}">
              <a16:creationId xmlns:a16="http://schemas.microsoft.com/office/drawing/2014/main" id="{3CD59B67-DDD9-4AD8-9920-1006CDA747E9}"/>
            </a:ext>
          </a:extLst>
        </xdr:cNvPr>
        <xdr:cNvSpPr>
          <a:spLocks noChangeArrowheads="1"/>
        </xdr:cNvSpPr>
      </xdr:nvSpPr>
      <xdr:spPr bwMode="auto">
        <a:xfrm>
          <a:off x="199580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62" name="AutoShape 46">
          <a:extLst>
            <a:ext uri="{FF2B5EF4-FFF2-40B4-BE49-F238E27FC236}">
              <a16:creationId xmlns:a16="http://schemas.microsoft.com/office/drawing/2014/main" id="{4A1BCB3B-5697-4088-B87E-453182B717E9}"/>
            </a:ext>
          </a:extLst>
        </xdr:cNvPr>
        <xdr:cNvSpPr>
          <a:spLocks noChangeArrowheads="1"/>
        </xdr:cNvSpPr>
      </xdr:nvSpPr>
      <xdr:spPr bwMode="auto">
        <a:xfrm>
          <a:off x="22542500" y="73266300"/>
          <a:ext cx="1612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63" name="AutoShape 46">
          <a:extLst>
            <a:ext uri="{FF2B5EF4-FFF2-40B4-BE49-F238E27FC236}">
              <a16:creationId xmlns:a16="http://schemas.microsoft.com/office/drawing/2014/main" id="{D9EE9F1C-E0D6-4EAC-B93B-4FA0E9594AC3}"/>
            </a:ext>
          </a:extLst>
        </xdr:cNvPr>
        <xdr:cNvSpPr>
          <a:spLocks noChangeArrowheads="1"/>
        </xdr:cNvSpPr>
      </xdr:nvSpPr>
      <xdr:spPr bwMode="auto">
        <a:xfrm>
          <a:off x="254889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64" name="AutoShape 46">
          <a:extLst>
            <a:ext uri="{FF2B5EF4-FFF2-40B4-BE49-F238E27FC236}">
              <a16:creationId xmlns:a16="http://schemas.microsoft.com/office/drawing/2014/main" id="{36E6CCFB-94FF-46D4-9FFD-CD332A7EA0CB}"/>
            </a:ext>
          </a:extLst>
        </xdr:cNvPr>
        <xdr:cNvSpPr>
          <a:spLocks noChangeArrowheads="1"/>
        </xdr:cNvSpPr>
      </xdr:nvSpPr>
      <xdr:spPr bwMode="auto">
        <a:xfrm>
          <a:off x="276288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65" name="AutoShape 46">
          <a:extLst>
            <a:ext uri="{FF2B5EF4-FFF2-40B4-BE49-F238E27FC236}">
              <a16:creationId xmlns:a16="http://schemas.microsoft.com/office/drawing/2014/main" id="{C4495BA5-3EAD-4986-8446-8E60928E61EB}"/>
            </a:ext>
          </a:extLst>
        </xdr:cNvPr>
        <xdr:cNvSpPr>
          <a:spLocks noChangeArrowheads="1"/>
        </xdr:cNvSpPr>
      </xdr:nvSpPr>
      <xdr:spPr bwMode="auto">
        <a:xfrm>
          <a:off x="296418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156</xdr:row>
      <xdr:rowOff>57150</xdr:rowOff>
    </xdr:from>
    <xdr:to>
      <xdr:col>2</xdr:col>
      <xdr:colOff>0</xdr:colOff>
      <xdr:row>157</xdr:row>
      <xdr:rowOff>190500</xdr:rowOff>
    </xdr:to>
    <xdr:sp macro="" textlink="">
      <xdr:nvSpPr>
        <xdr:cNvPr id="466" name="AutoShape 46">
          <a:extLst>
            <a:ext uri="{FF2B5EF4-FFF2-40B4-BE49-F238E27FC236}">
              <a16:creationId xmlns:a16="http://schemas.microsoft.com/office/drawing/2014/main" id="{45B7A4A5-0F43-4751-8261-FA9215E5E3E1}"/>
            </a:ext>
          </a:extLst>
        </xdr:cNvPr>
        <xdr:cNvSpPr>
          <a:spLocks noChangeArrowheads="1"/>
        </xdr:cNvSpPr>
      </xdr:nvSpPr>
      <xdr:spPr bwMode="auto">
        <a:xfrm>
          <a:off x="7810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156</xdr:row>
      <xdr:rowOff>57150</xdr:rowOff>
    </xdr:from>
    <xdr:to>
      <xdr:col>4</xdr:col>
      <xdr:colOff>0</xdr:colOff>
      <xdr:row>157</xdr:row>
      <xdr:rowOff>190500</xdr:rowOff>
    </xdr:to>
    <xdr:sp macro="" textlink="">
      <xdr:nvSpPr>
        <xdr:cNvPr id="467" name="AutoShape 46">
          <a:extLst>
            <a:ext uri="{FF2B5EF4-FFF2-40B4-BE49-F238E27FC236}">
              <a16:creationId xmlns:a16="http://schemas.microsoft.com/office/drawing/2014/main" id="{6DD5932A-F826-459F-9BEF-D8A95D076D05}"/>
            </a:ext>
          </a:extLst>
        </xdr:cNvPr>
        <xdr:cNvSpPr>
          <a:spLocks noChangeArrowheads="1"/>
        </xdr:cNvSpPr>
      </xdr:nvSpPr>
      <xdr:spPr bwMode="auto">
        <a:xfrm>
          <a:off x="27940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156</xdr:row>
      <xdr:rowOff>57150</xdr:rowOff>
    </xdr:from>
    <xdr:to>
      <xdr:col>6</xdr:col>
      <xdr:colOff>0</xdr:colOff>
      <xdr:row>157</xdr:row>
      <xdr:rowOff>190500</xdr:rowOff>
    </xdr:to>
    <xdr:sp macro="" textlink="">
      <xdr:nvSpPr>
        <xdr:cNvPr id="468" name="AutoShape 46">
          <a:extLst>
            <a:ext uri="{FF2B5EF4-FFF2-40B4-BE49-F238E27FC236}">
              <a16:creationId xmlns:a16="http://schemas.microsoft.com/office/drawing/2014/main" id="{5553E7B8-1BC8-4E1B-9963-C618D1821478}"/>
            </a:ext>
          </a:extLst>
        </xdr:cNvPr>
        <xdr:cNvSpPr>
          <a:spLocks noChangeArrowheads="1"/>
        </xdr:cNvSpPr>
      </xdr:nvSpPr>
      <xdr:spPr bwMode="auto">
        <a:xfrm>
          <a:off x="49339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156</xdr:row>
      <xdr:rowOff>57150</xdr:rowOff>
    </xdr:from>
    <xdr:to>
      <xdr:col>8</xdr:col>
      <xdr:colOff>0</xdr:colOff>
      <xdr:row>157</xdr:row>
      <xdr:rowOff>190500</xdr:rowOff>
    </xdr:to>
    <xdr:sp macro="" textlink="">
      <xdr:nvSpPr>
        <xdr:cNvPr id="469" name="AutoShape 46">
          <a:extLst>
            <a:ext uri="{FF2B5EF4-FFF2-40B4-BE49-F238E27FC236}">
              <a16:creationId xmlns:a16="http://schemas.microsoft.com/office/drawing/2014/main" id="{8DB43A44-91E5-4837-917E-F4453FDE227A}"/>
            </a:ext>
          </a:extLst>
        </xdr:cNvPr>
        <xdr:cNvSpPr>
          <a:spLocks noChangeArrowheads="1"/>
        </xdr:cNvSpPr>
      </xdr:nvSpPr>
      <xdr:spPr bwMode="auto">
        <a:xfrm>
          <a:off x="69469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156</xdr:row>
      <xdr:rowOff>57150</xdr:rowOff>
    </xdr:from>
    <xdr:to>
      <xdr:col>10</xdr:col>
      <xdr:colOff>0</xdr:colOff>
      <xdr:row>157</xdr:row>
      <xdr:rowOff>190500</xdr:rowOff>
    </xdr:to>
    <xdr:sp macro="" textlink="">
      <xdr:nvSpPr>
        <xdr:cNvPr id="470" name="AutoShape 46">
          <a:extLst>
            <a:ext uri="{FF2B5EF4-FFF2-40B4-BE49-F238E27FC236}">
              <a16:creationId xmlns:a16="http://schemas.microsoft.com/office/drawing/2014/main" id="{537B7BBC-68DB-426A-8D73-E11E913067BE}"/>
            </a:ext>
          </a:extLst>
        </xdr:cNvPr>
        <xdr:cNvSpPr>
          <a:spLocks noChangeArrowheads="1"/>
        </xdr:cNvSpPr>
      </xdr:nvSpPr>
      <xdr:spPr bwMode="auto">
        <a:xfrm>
          <a:off x="92773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156</xdr:row>
      <xdr:rowOff>57150</xdr:rowOff>
    </xdr:from>
    <xdr:to>
      <xdr:col>12</xdr:col>
      <xdr:colOff>0</xdr:colOff>
      <xdr:row>157</xdr:row>
      <xdr:rowOff>190500</xdr:rowOff>
    </xdr:to>
    <xdr:sp macro="" textlink="">
      <xdr:nvSpPr>
        <xdr:cNvPr id="471" name="AutoShape 46">
          <a:extLst>
            <a:ext uri="{FF2B5EF4-FFF2-40B4-BE49-F238E27FC236}">
              <a16:creationId xmlns:a16="http://schemas.microsoft.com/office/drawing/2014/main" id="{B3D760FE-B5BE-4638-8EF8-164873BC5248}"/>
            </a:ext>
          </a:extLst>
        </xdr:cNvPr>
        <xdr:cNvSpPr>
          <a:spLocks noChangeArrowheads="1"/>
        </xdr:cNvSpPr>
      </xdr:nvSpPr>
      <xdr:spPr bwMode="auto">
        <a:xfrm>
          <a:off x="112903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156</xdr:row>
      <xdr:rowOff>57150</xdr:rowOff>
    </xdr:from>
    <xdr:to>
      <xdr:col>14</xdr:col>
      <xdr:colOff>0</xdr:colOff>
      <xdr:row>157</xdr:row>
      <xdr:rowOff>190500</xdr:rowOff>
    </xdr:to>
    <xdr:sp macro="" textlink="">
      <xdr:nvSpPr>
        <xdr:cNvPr id="472" name="AutoShape 46">
          <a:extLst>
            <a:ext uri="{FF2B5EF4-FFF2-40B4-BE49-F238E27FC236}">
              <a16:creationId xmlns:a16="http://schemas.microsoft.com/office/drawing/2014/main" id="{2A5D2E91-5C24-474F-95E4-5118BB4A9AFB}"/>
            </a:ext>
          </a:extLst>
        </xdr:cNvPr>
        <xdr:cNvSpPr>
          <a:spLocks noChangeArrowheads="1"/>
        </xdr:cNvSpPr>
      </xdr:nvSpPr>
      <xdr:spPr bwMode="auto">
        <a:xfrm>
          <a:off x="133032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73" name="AutoShape 46">
          <a:extLst>
            <a:ext uri="{FF2B5EF4-FFF2-40B4-BE49-F238E27FC236}">
              <a16:creationId xmlns:a16="http://schemas.microsoft.com/office/drawing/2014/main" id="{B77458EC-07C8-41C3-8530-AACFA5AAFE78}"/>
            </a:ext>
          </a:extLst>
        </xdr:cNvPr>
        <xdr:cNvSpPr>
          <a:spLocks noChangeArrowheads="1"/>
        </xdr:cNvSpPr>
      </xdr:nvSpPr>
      <xdr:spPr bwMode="auto">
        <a:xfrm>
          <a:off x="153162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74" name="AutoShape 46">
          <a:extLst>
            <a:ext uri="{FF2B5EF4-FFF2-40B4-BE49-F238E27FC236}">
              <a16:creationId xmlns:a16="http://schemas.microsoft.com/office/drawing/2014/main" id="{7FD0786A-245E-48CB-A4B2-B5B27D664030}"/>
            </a:ext>
          </a:extLst>
        </xdr:cNvPr>
        <xdr:cNvSpPr>
          <a:spLocks noChangeArrowheads="1"/>
        </xdr:cNvSpPr>
      </xdr:nvSpPr>
      <xdr:spPr bwMode="auto">
        <a:xfrm>
          <a:off x="177292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75" name="AutoShape 46">
          <a:extLst>
            <a:ext uri="{FF2B5EF4-FFF2-40B4-BE49-F238E27FC236}">
              <a16:creationId xmlns:a16="http://schemas.microsoft.com/office/drawing/2014/main" id="{6D07D3C2-8BC8-40E2-B48F-B5151D9FDCC6}"/>
            </a:ext>
          </a:extLst>
        </xdr:cNvPr>
        <xdr:cNvSpPr>
          <a:spLocks noChangeArrowheads="1"/>
        </xdr:cNvSpPr>
      </xdr:nvSpPr>
      <xdr:spPr bwMode="auto">
        <a:xfrm>
          <a:off x="1995805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76" name="AutoShape 46">
          <a:extLst>
            <a:ext uri="{FF2B5EF4-FFF2-40B4-BE49-F238E27FC236}">
              <a16:creationId xmlns:a16="http://schemas.microsoft.com/office/drawing/2014/main" id="{5CDB5AB8-3310-4B46-9A66-F06F5E005E71}"/>
            </a:ext>
          </a:extLst>
        </xdr:cNvPr>
        <xdr:cNvSpPr>
          <a:spLocks noChangeArrowheads="1"/>
        </xdr:cNvSpPr>
      </xdr:nvSpPr>
      <xdr:spPr bwMode="auto">
        <a:xfrm>
          <a:off x="22542500" y="7755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77" name="AutoShape 46">
          <a:extLst>
            <a:ext uri="{FF2B5EF4-FFF2-40B4-BE49-F238E27FC236}">
              <a16:creationId xmlns:a16="http://schemas.microsoft.com/office/drawing/2014/main" id="{D1A33A45-78E7-4F69-A4A2-2E1119C05DFD}"/>
            </a:ext>
          </a:extLst>
        </xdr:cNvPr>
        <xdr:cNvSpPr>
          <a:spLocks noChangeArrowheads="1"/>
        </xdr:cNvSpPr>
      </xdr:nvSpPr>
      <xdr:spPr bwMode="auto">
        <a:xfrm>
          <a:off x="254889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78" name="AutoShape 46">
          <a:extLst>
            <a:ext uri="{FF2B5EF4-FFF2-40B4-BE49-F238E27FC236}">
              <a16:creationId xmlns:a16="http://schemas.microsoft.com/office/drawing/2014/main" id="{F9159FEB-5B03-48B7-AD1E-6D86C396E792}"/>
            </a:ext>
          </a:extLst>
        </xdr:cNvPr>
        <xdr:cNvSpPr>
          <a:spLocks noChangeArrowheads="1"/>
        </xdr:cNvSpPr>
      </xdr:nvSpPr>
      <xdr:spPr bwMode="auto">
        <a:xfrm>
          <a:off x="2762885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79" name="AutoShape 46">
          <a:extLst>
            <a:ext uri="{FF2B5EF4-FFF2-40B4-BE49-F238E27FC236}">
              <a16:creationId xmlns:a16="http://schemas.microsoft.com/office/drawing/2014/main" id="{55BD3718-A06B-441E-89E9-F824E60D6226}"/>
            </a:ext>
          </a:extLst>
        </xdr:cNvPr>
        <xdr:cNvSpPr>
          <a:spLocks noChangeArrowheads="1"/>
        </xdr:cNvSpPr>
      </xdr:nvSpPr>
      <xdr:spPr bwMode="auto">
        <a:xfrm>
          <a:off x="296418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80" name="AutoShape 46">
          <a:extLst>
            <a:ext uri="{FF2B5EF4-FFF2-40B4-BE49-F238E27FC236}">
              <a16:creationId xmlns:a16="http://schemas.microsoft.com/office/drawing/2014/main" id="{E4A87711-7274-45ED-9CD3-318BC8E07009}"/>
            </a:ext>
          </a:extLst>
        </xdr:cNvPr>
        <xdr:cNvSpPr>
          <a:spLocks noChangeArrowheads="1"/>
        </xdr:cNvSpPr>
      </xdr:nvSpPr>
      <xdr:spPr bwMode="auto">
        <a:xfrm>
          <a:off x="177292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81" name="AutoShape 46">
          <a:extLst>
            <a:ext uri="{FF2B5EF4-FFF2-40B4-BE49-F238E27FC236}">
              <a16:creationId xmlns:a16="http://schemas.microsoft.com/office/drawing/2014/main" id="{E878C0F6-423E-4CA3-83BF-D75C4AA5BE37}"/>
            </a:ext>
          </a:extLst>
        </xdr:cNvPr>
        <xdr:cNvSpPr>
          <a:spLocks noChangeArrowheads="1"/>
        </xdr:cNvSpPr>
      </xdr:nvSpPr>
      <xdr:spPr bwMode="auto">
        <a:xfrm>
          <a:off x="1995805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82" name="AutoShape 46">
          <a:extLst>
            <a:ext uri="{FF2B5EF4-FFF2-40B4-BE49-F238E27FC236}">
              <a16:creationId xmlns:a16="http://schemas.microsoft.com/office/drawing/2014/main" id="{0374C5F2-F4C1-4C9A-8111-03274DD02CE6}"/>
            </a:ext>
          </a:extLst>
        </xdr:cNvPr>
        <xdr:cNvSpPr>
          <a:spLocks noChangeArrowheads="1"/>
        </xdr:cNvSpPr>
      </xdr:nvSpPr>
      <xdr:spPr bwMode="auto">
        <a:xfrm>
          <a:off x="22542500" y="775589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83" name="AutoShape 46">
          <a:extLst>
            <a:ext uri="{FF2B5EF4-FFF2-40B4-BE49-F238E27FC236}">
              <a16:creationId xmlns:a16="http://schemas.microsoft.com/office/drawing/2014/main" id="{A498B82A-BB3F-4B85-80E5-07CA76BA4E46}"/>
            </a:ext>
          </a:extLst>
        </xdr:cNvPr>
        <xdr:cNvSpPr>
          <a:spLocks noChangeArrowheads="1"/>
        </xdr:cNvSpPr>
      </xdr:nvSpPr>
      <xdr:spPr bwMode="auto">
        <a:xfrm>
          <a:off x="254889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84" name="AutoShape 46">
          <a:extLst>
            <a:ext uri="{FF2B5EF4-FFF2-40B4-BE49-F238E27FC236}">
              <a16:creationId xmlns:a16="http://schemas.microsoft.com/office/drawing/2014/main" id="{1CD043F0-859B-4BB8-8EFD-1264B01529E5}"/>
            </a:ext>
          </a:extLst>
        </xdr:cNvPr>
        <xdr:cNvSpPr>
          <a:spLocks noChangeArrowheads="1"/>
        </xdr:cNvSpPr>
      </xdr:nvSpPr>
      <xdr:spPr bwMode="auto">
        <a:xfrm>
          <a:off x="2762885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85" name="AutoShape 46">
          <a:extLst>
            <a:ext uri="{FF2B5EF4-FFF2-40B4-BE49-F238E27FC236}">
              <a16:creationId xmlns:a16="http://schemas.microsoft.com/office/drawing/2014/main" id="{8C4FA697-F7C1-4374-96C2-0E731D27CEBE}"/>
            </a:ext>
          </a:extLst>
        </xdr:cNvPr>
        <xdr:cNvSpPr>
          <a:spLocks noChangeArrowheads="1"/>
        </xdr:cNvSpPr>
      </xdr:nvSpPr>
      <xdr:spPr bwMode="auto">
        <a:xfrm>
          <a:off x="296418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86" name="AutoShape 46">
          <a:extLst>
            <a:ext uri="{FF2B5EF4-FFF2-40B4-BE49-F238E27FC236}">
              <a16:creationId xmlns:a16="http://schemas.microsoft.com/office/drawing/2014/main" id="{4890517B-29FF-47E9-8AA6-21BEC8BCA9DA}"/>
            </a:ext>
          </a:extLst>
        </xdr:cNvPr>
        <xdr:cNvSpPr>
          <a:spLocks noChangeArrowheads="1"/>
        </xdr:cNvSpPr>
      </xdr:nvSpPr>
      <xdr:spPr bwMode="auto">
        <a:xfrm>
          <a:off x="153162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87" name="AutoShape 46">
          <a:extLst>
            <a:ext uri="{FF2B5EF4-FFF2-40B4-BE49-F238E27FC236}">
              <a16:creationId xmlns:a16="http://schemas.microsoft.com/office/drawing/2014/main" id="{9C13D089-F0DC-4C5D-9BF1-1DD85C86C2EB}"/>
            </a:ext>
          </a:extLst>
        </xdr:cNvPr>
        <xdr:cNvSpPr>
          <a:spLocks noChangeArrowheads="1"/>
        </xdr:cNvSpPr>
      </xdr:nvSpPr>
      <xdr:spPr bwMode="auto">
        <a:xfrm>
          <a:off x="177292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88" name="AutoShape 46">
          <a:extLst>
            <a:ext uri="{FF2B5EF4-FFF2-40B4-BE49-F238E27FC236}">
              <a16:creationId xmlns:a16="http://schemas.microsoft.com/office/drawing/2014/main" id="{3844B441-22CC-4AEC-AE65-CDF2A8366D74}"/>
            </a:ext>
          </a:extLst>
        </xdr:cNvPr>
        <xdr:cNvSpPr>
          <a:spLocks noChangeArrowheads="1"/>
        </xdr:cNvSpPr>
      </xdr:nvSpPr>
      <xdr:spPr bwMode="auto">
        <a:xfrm>
          <a:off x="199580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89" name="AutoShape 46">
          <a:extLst>
            <a:ext uri="{FF2B5EF4-FFF2-40B4-BE49-F238E27FC236}">
              <a16:creationId xmlns:a16="http://schemas.microsoft.com/office/drawing/2014/main" id="{BA26D63F-E037-4A6A-9A36-1BAC274F8363}"/>
            </a:ext>
          </a:extLst>
        </xdr:cNvPr>
        <xdr:cNvSpPr>
          <a:spLocks noChangeArrowheads="1"/>
        </xdr:cNvSpPr>
      </xdr:nvSpPr>
      <xdr:spPr bwMode="auto">
        <a:xfrm>
          <a:off x="22542500" y="775589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90" name="AutoShape 46">
          <a:extLst>
            <a:ext uri="{FF2B5EF4-FFF2-40B4-BE49-F238E27FC236}">
              <a16:creationId xmlns:a16="http://schemas.microsoft.com/office/drawing/2014/main" id="{DC0374CE-D891-4318-963A-3BDF61265997}"/>
            </a:ext>
          </a:extLst>
        </xdr:cNvPr>
        <xdr:cNvSpPr>
          <a:spLocks noChangeArrowheads="1"/>
        </xdr:cNvSpPr>
      </xdr:nvSpPr>
      <xdr:spPr bwMode="auto">
        <a:xfrm>
          <a:off x="254889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91" name="AutoShape 46">
          <a:extLst>
            <a:ext uri="{FF2B5EF4-FFF2-40B4-BE49-F238E27FC236}">
              <a16:creationId xmlns:a16="http://schemas.microsoft.com/office/drawing/2014/main" id="{55EC6253-87EE-41B0-B49C-033E68810831}"/>
            </a:ext>
          </a:extLst>
        </xdr:cNvPr>
        <xdr:cNvSpPr>
          <a:spLocks noChangeArrowheads="1"/>
        </xdr:cNvSpPr>
      </xdr:nvSpPr>
      <xdr:spPr bwMode="auto">
        <a:xfrm>
          <a:off x="276288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92" name="AutoShape 46">
          <a:extLst>
            <a:ext uri="{FF2B5EF4-FFF2-40B4-BE49-F238E27FC236}">
              <a16:creationId xmlns:a16="http://schemas.microsoft.com/office/drawing/2014/main" id="{FAFCC2B5-F4BA-478B-BECE-306B1886E6FD}"/>
            </a:ext>
          </a:extLst>
        </xdr:cNvPr>
        <xdr:cNvSpPr>
          <a:spLocks noChangeArrowheads="1"/>
        </xdr:cNvSpPr>
      </xdr:nvSpPr>
      <xdr:spPr bwMode="auto">
        <a:xfrm>
          <a:off x="296418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165</xdr:row>
      <xdr:rowOff>57150</xdr:rowOff>
    </xdr:from>
    <xdr:to>
      <xdr:col>2</xdr:col>
      <xdr:colOff>0</xdr:colOff>
      <xdr:row>166</xdr:row>
      <xdr:rowOff>190500</xdr:rowOff>
    </xdr:to>
    <xdr:sp macro="" textlink="">
      <xdr:nvSpPr>
        <xdr:cNvPr id="493" name="AutoShape 46">
          <a:extLst>
            <a:ext uri="{FF2B5EF4-FFF2-40B4-BE49-F238E27FC236}">
              <a16:creationId xmlns:a16="http://schemas.microsoft.com/office/drawing/2014/main" id="{BCAFB688-6242-4653-9377-CE231FD79E50}"/>
            </a:ext>
          </a:extLst>
        </xdr:cNvPr>
        <xdr:cNvSpPr>
          <a:spLocks noChangeArrowheads="1"/>
        </xdr:cNvSpPr>
      </xdr:nvSpPr>
      <xdr:spPr bwMode="auto">
        <a:xfrm>
          <a:off x="7810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165</xdr:row>
      <xdr:rowOff>57150</xdr:rowOff>
    </xdr:from>
    <xdr:to>
      <xdr:col>4</xdr:col>
      <xdr:colOff>0</xdr:colOff>
      <xdr:row>166</xdr:row>
      <xdr:rowOff>190500</xdr:rowOff>
    </xdr:to>
    <xdr:sp macro="" textlink="">
      <xdr:nvSpPr>
        <xdr:cNvPr id="494" name="AutoShape 46">
          <a:extLst>
            <a:ext uri="{FF2B5EF4-FFF2-40B4-BE49-F238E27FC236}">
              <a16:creationId xmlns:a16="http://schemas.microsoft.com/office/drawing/2014/main" id="{574F0391-E2F7-41BA-A050-F9DFD60AA92B}"/>
            </a:ext>
          </a:extLst>
        </xdr:cNvPr>
        <xdr:cNvSpPr>
          <a:spLocks noChangeArrowheads="1"/>
        </xdr:cNvSpPr>
      </xdr:nvSpPr>
      <xdr:spPr bwMode="auto">
        <a:xfrm>
          <a:off x="279400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165</xdr:row>
      <xdr:rowOff>57150</xdr:rowOff>
    </xdr:from>
    <xdr:to>
      <xdr:col>6</xdr:col>
      <xdr:colOff>0</xdr:colOff>
      <xdr:row>166</xdr:row>
      <xdr:rowOff>190500</xdr:rowOff>
    </xdr:to>
    <xdr:sp macro="" textlink="">
      <xdr:nvSpPr>
        <xdr:cNvPr id="495" name="AutoShape 46">
          <a:extLst>
            <a:ext uri="{FF2B5EF4-FFF2-40B4-BE49-F238E27FC236}">
              <a16:creationId xmlns:a16="http://schemas.microsoft.com/office/drawing/2014/main" id="{B7D7452F-B54F-42F1-841E-489F248D5009}"/>
            </a:ext>
          </a:extLst>
        </xdr:cNvPr>
        <xdr:cNvSpPr>
          <a:spLocks noChangeArrowheads="1"/>
        </xdr:cNvSpPr>
      </xdr:nvSpPr>
      <xdr:spPr bwMode="auto">
        <a:xfrm>
          <a:off x="49339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165</xdr:row>
      <xdr:rowOff>57150</xdr:rowOff>
    </xdr:from>
    <xdr:to>
      <xdr:col>8</xdr:col>
      <xdr:colOff>0</xdr:colOff>
      <xdr:row>166</xdr:row>
      <xdr:rowOff>190500</xdr:rowOff>
    </xdr:to>
    <xdr:sp macro="" textlink="">
      <xdr:nvSpPr>
        <xdr:cNvPr id="496" name="AutoShape 46">
          <a:extLst>
            <a:ext uri="{FF2B5EF4-FFF2-40B4-BE49-F238E27FC236}">
              <a16:creationId xmlns:a16="http://schemas.microsoft.com/office/drawing/2014/main" id="{EC68D3A8-ABA5-4013-A08A-C7352BB8DA6A}"/>
            </a:ext>
          </a:extLst>
        </xdr:cNvPr>
        <xdr:cNvSpPr>
          <a:spLocks noChangeArrowheads="1"/>
        </xdr:cNvSpPr>
      </xdr:nvSpPr>
      <xdr:spPr bwMode="auto">
        <a:xfrm>
          <a:off x="694690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165</xdr:row>
      <xdr:rowOff>57150</xdr:rowOff>
    </xdr:from>
    <xdr:to>
      <xdr:col>10</xdr:col>
      <xdr:colOff>0</xdr:colOff>
      <xdr:row>166</xdr:row>
      <xdr:rowOff>190500</xdr:rowOff>
    </xdr:to>
    <xdr:sp macro="" textlink="">
      <xdr:nvSpPr>
        <xdr:cNvPr id="497" name="AutoShape 46">
          <a:extLst>
            <a:ext uri="{FF2B5EF4-FFF2-40B4-BE49-F238E27FC236}">
              <a16:creationId xmlns:a16="http://schemas.microsoft.com/office/drawing/2014/main" id="{A0817181-C18F-4B01-992A-306833161779}"/>
            </a:ext>
          </a:extLst>
        </xdr:cNvPr>
        <xdr:cNvSpPr>
          <a:spLocks noChangeArrowheads="1"/>
        </xdr:cNvSpPr>
      </xdr:nvSpPr>
      <xdr:spPr bwMode="auto">
        <a:xfrm>
          <a:off x="92773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165</xdr:row>
      <xdr:rowOff>57150</xdr:rowOff>
    </xdr:from>
    <xdr:to>
      <xdr:col>12</xdr:col>
      <xdr:colOff>0</xdr:colOff>
      <xdr:row>166</xdr:row>
      <xdr:rowOff>190500</xdr:rowOff>
    </xdr:to>
    <xdr:sp macro="" textlink="">
      <xdr:nvSpPr>
        <xdr:cNvPr id="498" name="AutoShape 46">
          <a:extLst>
            <a:ext uri="{FF2B5EF4-FFF2-40B4-BE49-F238E27FC236}">
              <a16:creationId xmlns:a16="http://schemas.microsoft.com/office/drawing/2014/main" id="{B9E24EB2-473D-4B20-8199-01C9F54D23BD}"/>
            </a:ext>
          </a:extLst>
        </xdr:cNvPr>
        <xdr:cNvSpPr>
          <a:spLocks noChangeArrowheads="1"/>
        </xdr:cNvSpPr>
      </xdr:nvSpPr>
      <xdr:spPr bwMode="auto">
        <a:xfrm>
          <a:off x="112903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165</xdr:row>
      <xdr:rowOff>57150</xdr:rowOff>
    </xdr:from>
    <xdr:to>
      <xdr:col>14</xdr:col>
      <xdr:colOff>0</xdr:colOff>
      <xdr:row>166</xdr:row>
      <xdr:rowOff>190500</xdr:rowOff>
    </xdr:to>
    <xdr:sp macro="" textlink="">
      <xdr:nvSpPr>
        <xdr:cNvPr id="499" name="AutoShape 46">
          <a:extLst>
            <a:ext uri="{FF2B5EF4-FFF2-40B4-BE49-F238E27FC236}">
              <a16:creationId xmlns:a16="http://schemas.microsoft.com/office/drawing/2014/main" id="{10902F70-B3D3-40BF-9CDF-2827FC4569E2}"/>
            </a:ext>
          </a:extLst>
        </xdr:cNvPr>
        <xdr:cNvSpPr>
          <a:spLocks noChangeArrowheads="1"/>
        </xdr:cNvSpPr>
      </xdr:nvSpPr>
      <xdr:spPr bwMode="auto">
        <a:xfrm>
          <a:off x="133032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165</xdr:row>
      <xdr:rowOff>57150</xdr:rowOff>
    </xdr:from>
    <xdr:to>
      <xdr:col>16</xdr:col>
      <xdr:colOff>0</xdr:colOff>
      <xdr:row>166</xdr:row>
      <xdr:rowOff>190500</xdr:rowOff>
    </xdr:to>
    <xdr:sp macro="" textlink="">
      <xdr:nvSpPr>
        <xdr:cNvPr id="500" name="AutoShape 46">
          <a:extLst>
            <a:ext uri="{FF2B5EF4-FFF2-40B4-BE49-F238E27FC236}">
              <a16:creationId xmlns:a16="http://schemas.microsoft.com/office/drawing/2014/main" id="{8307843C-9F12-43D6-A5D4-63A91D893794}"/>
            </a:ext>
          </a:extLst>
        </xdr:cNvPr>
        <xdr:cNvSpPr>
          <a:spLocks noChangeArrowheads="1"/>
        </xdr:cNvSpPr>
      </xdr:nvSpPr>
      <xdr:spPr bwMode="auto">
        <a:xfrm>
          <a:off x="15316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01" name="AutoShape 46">
          <a:extLst>
            <a:ext uri="{FF2B5EF4-FFF2-40B4-BE49-F238E27FC236}">
              <a16:creationId xmlns:a16="http://schemas.microsoft.com/office/drawing/2014/main" id="{EE2F651E-7130-4300-919B-16F838000B15}"/>
            </a:ext>
          </a:extLst>
        </xdr:cNvPr>
        <xdr:cNvSpPr>
          <a:spLocks noChangeArrowheads="1"/>
        </xdr:cNvSpPr>
      </xdr:nvSpPr>
      <xdr:spPr bwMode="auto">
        <a:xfrm>
          <a:off x="177292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02" name="AutoShape 46">
          <a:extLst>
            <a:ext uri="{FF2B5EF4-FFF2-40B4-BE49-F238E27FC236}">
              <a16:creationId xmlns:a16="http://schemas.microsoft.com/office/drawing/2014/main" id="{D7B45776-91C5-4D9D-BF36-91D80157B8CF}"/>
            </a:ext>
          </a:extLst>
        </xdr:cNvPr>
        <xdr:cNvSpPr>
          <a:spLocks noChangeArrowheads="1"/>
        </xdr:cNvSpPr>
      </xdr:nvSpPr>
      <xdr:spPr bwMode="auto">
        <a:xfrm>
          <a:off x="1995805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03" name="AutoShape 46">
          <a:extLst>
            <a:ext uri="{FF2B5EF4-FFF2-40B4-BE49-F238E27FC236}">
              <a16:creationId xmlns:a16="http://schemas.microsoft.com/office/drawing/2014/main" id="{6B43F0C0-B7D0-4CDB-A844-383404F4F193}"/>
            </a:ext>
          </a:extLst>
        </xdr:cNvPr>
        <xdr:cNvSpPr>
          <a:spLocks noChangeArrowheads="1"/>
        </xdr:cNvSpPr>
      </xdr:nvSpPr>
      <xdr:spPr bwMode="auto">
        <a:xfrm>
          <a:off x="22542500" y="821499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04" name="AutoShape 46">
          <a:extLst>
            <a:ext uri="{FF2B5EF4-FFF2-40B4-BE49-F238E27FC236}">
              <a16:creationId xmlns:a16="http://schemas.microsoft.com/office/drawing/2014/main" id="{57AE23FC-CB32-4925-88E0-7B9DB5AACA5C}"/>
            </a:ext>
          </a:extLst>
        </xdr:cNvPr>
        <xdr:cNvSpPr>
          <a:spLocks noChangeArrowheads="1"/>
        </xdr:cNvSpPr>
      </xdr:nvSpPr>
      <xdr:spPr bwMode="auto">
        <a:xfrm>
          <a:off x="254889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05" name="AutoShape 46">
          <a:extLst>
            <a:ext uri="{FF2B5EF4-FFF2-40B4-BE49-F238E27FC236}">
              <a16:creationId xmlns:a16="http://schemas.microsoft.com/office/drawing/2014/main" id="{892D1D1A-4843-4B2D-BB8E-76652A67B53F}"/>
            </a:ext>
          </a:extLst>
        </xdr:cNvPr>
        <xdr:cNvSpPr>
          <a:spLocks noChangeArrowheads="1"/>
        </xdr:cNvSpPr>
      </xdr:nvSpPr>
      <xdr:spPr bwMode="auto">
        <a:xfrm>
          <a:off x="2762885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06" name="AutoShape 46">
          <a:extLst>
            <a:ext uri="{FF2B5EF4-FFF2-40B4-BE49-F238E27FC236}">
              <a16:creationId xmlns:a16="http://schemas.microsoft.com/office/drawing/2014/main" id="{63F99024-8FE7-4387-8820-8443D97ABD2A}"/>
            </a:ext>
          </a:extLst>
        </xdr:cNvPr>
        <xdr:cNvSpPr>
          <a:spLocks noChangeArrowheads="1"/>
        </xdr:cNvSpPr>
      </xdr:nvSpPr>
      <xdr:spPr bwMode="auto">
        <a:xfrm>
          <a:off x="296418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07" name="AutoShape 46">
          <a:extLst>
            <a:ext uri="{FF2B5EF4-FFF2-40B4-BE49-F238E27FC236}">
              <a16:creationId xmlns:a16="http://schemas.microsoft.com/office/drawing/2014/main" id="{81052944-26D2-4548-9A55-EC67C0DBFF73}"/>
            </a:ext>
          </a:extLst>
        </xdr:cNvPr>
        <xdr:cNvSpPr>
          <a:spLocks noChangeArrowheads="1"/>
        </xdr:cNvSpPr>
      </xdr:nvSpPr>
      <xdr:spPr bwMode="auto">
        <a:xfrm>
          <a:off x="17729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08" name="AutoShape 46">
          <a:extLst>
            <a:ext uri="{FF2B5EF4-FFF2-40B4-BE49-F238E27FC236}">
              <a16:creationId xmlns:a16="http://schemas.microsoft.com/office/drawing/2014/main" id="{73AC3783-3E50-406D-9C4E-BC8A179DFFB8}"/>
            </a:ext>
          </a:extLst>
        </xdr:cNvPr>
        <xdr:cNvSpPr>
          <a:spLocks noChangeArrowheads="1"/>
        </xdr:cNvSpPr>
      </xdr:nvSpPr>
      <xdr:spPr bwMode="auto">
        <a:xfrm>
          <a:off x="199580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09" name="AutoShape 46">
          <a:extLst>
            <a:ext uri="{FF2B5EF4-FFF2-40B4-BE49-F238E27FC236}">
              <a16:creationId xmlns:a16="http://schemas.microsoft.com/office/drawing/2014/main" id="{EBC97963-5D0C-456B-B2E0-1B0332FA42C6}"/>
            </a:ext>
          </a:extLst>
        </xdr:cNvPr>
        <xdr:cNvSpPr>
          <a:spLocks noChangeArrowheads="1"/>
        </xdr:cNvSpPr>
      </xdr:nvSpPr>
      <xdr:spPr bwMode="auto">
        <a:xfrm>
          <a:off x="22542500" y="821499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10" name="AutoShape 46">
          <a:extLst>
            <a:ext uri="{FF2B5EF4-FFF2-40B4-BE49-F238E27FC236}">
              <a16:creationId xmlns:a16="http://schemas.microsoft.com/office/drawing/2014/main" id="{831B192A-4FC2-42C2-B31A-AFC669448F1E}"/>
            </a:ext>
          </a:extLst>
        </xdr:cNvPr>
        <xdr:cNvSpPr>
          <a:spLocks noChangeArrowheads="1"/>
        </xdr:cNvSpPr>
      </xdr:nvSpPr>
      <xdr:spPr bwMode="auto">
        <a:xfrm>
          <a:off x="254889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11" name="AutoShape 46">
          <a:extLst>
            <a:ext uri="{FF2B5EF4-FFF2-40B4-BE49-F238E27FC236}">
              <a16:creationId xmlns:a16="http://schemas.microsoft.com/office/drawing/2014/main" id="{58DEA6D9-D351-4C1D-BB59-7C38EE2221A4}"/>
            </a:ext>
          </a:extLst>
        </xdr:cNvPr>
        <xdr:cNvSpPr>
          <a:spLocks noChangeArrowheads="1"/>
        </xdr:cNvSpPr>
      </xdr:nvSpPr>
      <xdr:spPr bwMode="auto">
        <a:xfrm>
          <a:off x="276288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12" name="AutoShape 46">
          <a:extLst>
            <a:ext uri="{FF2B5EF4-FFF2-40B4-BE49-F238E27FC236}">
              <a16:creationId xmlns:a16="http://schemas.microsoft.com/office/drawing/2014/main" id="{822528BA-5EE5-4B76-BCFC-C9995385835E}"/>
            </a:ext>
          </a:extLst>
        </xdr:cNvPr>
        <xdr:cNvSpPr>
          <a:spLocks noChangeArrowheads="1"/>
        </xdr:cNvSpPr>
      </xdr:nvSpPr>
      <xdr:spPr bwMode="auto">
        <a:xfrm>
          <a:off x="296418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165</xdr:row>
      <xdr:rowOff>57150</xdr:rowOff>
    </xdr:from>
    <xdr:to>
      <xdr:col>16</xdr:col>
      <xdr:colOff>0</xdr:colOff>
      <xdr:row>166</xdr:row>
      <xdr:rowOff>190500</xdr:rowOff>
    </xdr:to>
    <xdr:sp macro="" textlink="">
      <xdr:nvSpPr>
        <xdr:cNvPr id="513" name="AutoShape 46">
          <a:extLst>
            <a:ext uri="{FF2B5EF4-FFF2-40B4-BE49-F238E27FC236}">
              <a16:creationId xmlns:a16="http://schemas.microsoft.com/office/drawing/2014/main" id="{C9C87FC0-9AB0-4B10-A13E-81BDA37137C2}"/>
            </a:ext>
          </a:extLst>
        </xdr:cNvPr>
        <xdr:cNvSpPr>
          <a:spLocks noChangeArrowheads="1"/>
        </xdr:cNvSpPr>
      </xdr:nvSpPr>
      <xdr:spPr bwMode="auto">
        <a:xfrm>
          <a:off x="15316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14" name="AutoShape 46">
          <a:extLst>
            <a:ext uri="{FF2B5EF4-FFF2-40B4-BE49-F238E27FC236}">
              <a16:creationId xmlns:a16="http://schemas.microsoft.com/office/drawing/2014/main" id="{A5E0C6B0-43D9-4569-9A66-80BA7EF398F4}"/>
            </a:ext>
          </a:extLst>
        </xdr:cNvPr>
        <xdr:cNvSpPr>
          <a:spLocks noChangeArrowheads="1"/>
        </xdr:cNvSpPr>
      </xdr:nvSpPr>
      <xdr:spPr bwMode="auto">
        <a:xfrm>
          <a:off x="17729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15" name="AutoShape 46">
          <a:extLst>
            <a:ext uri="{FF2B5EF4-FFF2-40B4-BE49-F238E27FC236}">
              <a16:creationId xmlns:a16="http://schemas.microsoft.com/office/drawing/2014/main" id="{B8083DE2-A890-4779-B862-D5202260A70A}"/>
            </a:ext>
          </a:extLst>
        </xdr:cNvPr>
        <xdr:cNvSpPr>
          <a:spLocks noChangeArrowheads="1"/>
        </xdr:cNvSpPr>
      </xdr:nvSpPr>
      <xdr:spPr bwMode="auto">
        <a:xfrm>
          <a:off x="199580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16" name="AutoShape 46">
          <a:extLst>
            <a:ext uri="{FF2B5EF4-FFF2-40B4-BE49-F238E27FC236}">
              <a16:creationId xmlns:a16="http://schemas.microsoft.com/office/drawing/2014/main" id="{F027BFE0-C863-415C-A7A0-BC5F6E801FFE}"/>
            </a:ext>
          </a:extLst>
        </xdr:cNvPr>
        <xdr:cNvSpPr>
          <a:spLocks noChangeArrowheads="1"/>
        </xdr:cNvSpPr>
      </xdr:nvSpPr>
      <xdr:spPr bwMode="auto">
        <a:xfrm>
          <a:off x="22542500" y="821499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17" name="AutoShape 46">
          <a:extLst>
            <a:ext uri="{FF2B5EF4-FFF2-40B4-BE49-F238E27FC236}">
              <a16:creationId xmlns:a16="http://schemas.microsoft.com/office/drawing/2014/main" id="{61B6F346-9003-4F68-BB50-DD113C7472A1}"/>
            </a:ext>
          </a:extLst>
        </xdr:cNvPr>
        <xdr:cNvSpPr>
          <a:spLocks noChangeArrowheads="1"/>
        </xdr:cNvSpPr>
      </xdr:nvSpPr>
      <xdr:spPr bwMode="auto">
        <a:xfrm>
          <a:off x="254889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18" name="AutoShape 46">
          <a:extLst>
            <a:ext uri="{FF2B5EF4-FFF2-40B4-BE49-F238E27FC236}">
              <a16:creationId xmlns:a16="http://schemas.microsoft.com/office/drawing/2014/main" id="{AC1A64A2-2B6C-41D5-8061-DAA3CD730707}"/>
            </a:ext>
          </a:extLst>
        </xdr:cNvPr>
        <xdr:cNvSpPr>
          <a:spLocks noChangeArrowheads="1"/>
        </xdr:cNvSpPr>
      </xdr:nvSpPr>
      <xdr:spPr bwMode="auto">
        <a:xfrm>
          <a:off x="276288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19" name="AutoShape 46">
          <a:extLst>
            <a:ext uri="{FF2B5EF4-FFF2-40B4-BE49-F238E27FC236}">
              <a16:creationId xmlns:a16="http://schemas.microsoft.com/office/drawing/2014/main" id="{1D4CD74E-560E-4893-A5E5-3AED149E57B6}"/>
            </a:ext>
          </a:extLst>
        </xdr:cNvPr>
        <xdr:cNvSpPr>
          <a:spLocks noChangeArrowheads="1"/>
        </xdr:cNvSpPr>
      </xdr:nvSpPr>
      <xdr:spPr bwMode="auto">
        <a:xfrm>
          <a:off x="296418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173</xdr:row>
      <xdr:rowOff>57150</xdr:rowOff>
    </xdr:from>
    <xdr:to>
      <xdr:col>2</xdr:col>
      <xdr:colOff>0</xdr:colOff>
      <xdr:row>174</xdr:row>
      <xdr:rowOff>190500</xdr:rowOff>
    </xdr:to>
    <xdr:sp macro="" textlink="">
      <xdr:nvSpPr>
        <xdr:cNvPr id="520" name="AutoShape 46">
          <a:extLst>
            <a:ext uri="{FF2B5EF4-FFF2-40B4-BE49-F238E27FC236}">
              <a16:creationId xmlns:a16="http://schemas.microsoft.com/office/drawing/2014/main" id="{712B299B-2A1C-49F3-B6A5-77B06BF7D654}"/>
            </a:ext>
          </a:extLst>
        </xdr:cNvPr>
        <xdr:cNvSpPr>
          <a:spLocks noChangeArrowheads="1"/>
        </xdr:cNvSpPr>
      </xdr:nvSpPr>
      <xdr:spPr bwMode="auto">
        <a:xfrm>
          <a:off x="7810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173</xdr:row>
      <xdr:rowOff>57150</xdr:rowOff>
    </xdr:from>
    <xdr:to>
      <xdr:col>4</xdr:col>
      <xdr:colOff>0</xdr:colOff>
      <xdr:row>174</xdr:row>
      <xdr:rowOff>190500</xdr:rowOff>
    </xdr:to>
    <xdr:sp macro="" textlink="">
      <xdr:nvSpPr>
        <xdr:cNvPr id="521" name="AutoShape 46">
          <a:extLst>
            <a:ext uri="{FF2B5EF4-FFF2-40B4-BE49-F238E27FC236}">
              <a16:creationId xmlns:a16="http://schemas.microsoft.com/office/drawing/2014/main" id="{FCC747EC-8290-4F28-9877-058BAAD04400}"/>
            </a:ext>
          </a:extLst>
        </xdr:cNvPr>
        <xdr:cNvSpPr>
          <a:spLocks noChangeArrowheads="1"/>
        </xdr:cNvSpPr>
      </xdr:nvSpPr>
      <xdr:spPr bwMode="auto">
        <a:xfrm>
          <a:off x="27940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5</xdr:col>
      <xdr:colOff>0</xdr:colOff>
      <xdr:row>173</xdr:row>
      <xdr:rowOff>57150</xdr:rowOff>
    </xdr:from>
    <xdr:to>
      <xdr:col>6</xdr:col>
      <xdr:colOff>0</xdr:colOff>
      <xdr:row>174</xdr:row>
      <xdr:rowOff>190500</xdr:rowOff>
    </xdr:to>
    <xdr:sp macro="" textlink="">
      <xdr:nvSpPr>
        <xdr:cNvPr id="522" name="AutoShape 46">
          <a:extLst>
            <a:ext uri="{FF2B5EF4-FFF2-40B4-BE49-F238E27FC236}">
              <a16:creationId xmlns:a16="http://schemas.microsoft.com/office/drawing/2014/main" id="{1B41FBDD-8469-478D-9B93-B248237593D2}"/>
            </a:ext>
          </a:extLst>
        </xdr:cNvPr>
        <xdr:cNvSpPr>
          <a:spLocks noChangeArrowheads="1"/>
        </xdr:cNvSpPr>
      </xdr:nvSpPr>
      <xdr:spPr bwMode="auto">
        <a:xfrm>
          <a:off x="4933950" y="8659495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173</xdr:row>
      <xdr:rowOff>57150</xdr:rowOff>
    </xdr:from>
    <xdr:to>
      <xdr:col>8</xdr:col>
      <xdr:colOff>0</xdr:colOff>
      <xdr:row>174</xdr:row>
      <xdr:rowOff>190500</xdr:rowOff>
    </xdr:to>
    <xdr:sp macro="" textlink="">
      <xdr:nvSpPr>
        <xdr:cNvPr id="523" name="AutoShape 46">
          <a:extLst>
            <a:ext uri="{FF2B5EF4-FFF2-40B4-BE49-F238E27FC236}">
              <a16:creationId xmlns:a16="http://schemas.microsoft.com/office/drawing/2014/main" id="{FA3793BD-7481-41AD-B04D-9401510DE603}"/>
            </a:ext>
          </a:extLst>
        </xdr:cNvPr>
        <xdr:cNvSpPr>
          <a:spLocks noChangeArrowheads="1"/>
        </xdr:cNvSpPr>
      </xdr:nvSpPr>
      <xdr:spPr bwMode="auto">
        <a:xfrm>
          <a:off x="69469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173</xdr:row>
      <xdr:rowOff>57150</xdr:rowOff>
    </xdr:from>
    <xdr:to>
      <xdr:col>10</xdr:col>
      <xdr:colOff>0</xdr:colOff>
      <xdr:row>174</xdr:row>
      <xdr:rowOff>190500</xdr:rowOff>
    </xdr:to>
    <xdr:sp macro="" textlink="">
      <xdr:nvSpPr>
        <xdr:cNvPr id="524" name="AutoShape 46">
          <a:extLst>
            <a:ext uri="{FF2B5EF4-FFF2-40B4-BE49-F238E27FC236}">
              <a16:creationId xmlns:a16="http://schemas.microsoft.com/office/drawing/2014/main" id="{3A020D60-FB10-41A4-BE00-7B674D124FF1}"/>
            </a:ext>
          </a:extLst>
        </xdr:cNvPr>
        <xdr:cNvSpPr>
          <a:spLocks noChangeArrowheads="1"/>
        </xdr:cNvSpPr>
      </xdr:nvSpPr>
      <xdr:spPr bwMode="auto">
        <a:xfrm>
          <a:off x="92773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173</xdr:row>
      <xdr:rowOff>57150</xdr:rowOff>
    </xdr:from>
    <xdr:to>
      <xdr:col>12</xdr:col>
      <xdr:colOff>0</xdr:colOff>
      <xdr:row>174</xdr:row>
      <xdr:rowOff>190500</xdr:rowOff>
    </xdr:to>
    <xdr:sp macro="" textlink="">
      <xdr:nvSpPr>
        <xdr:cNvPr id="525" name="AutoShape 46">
          <a:extLst>
            <a:ext uri="{FF2B5EF4-FFF2-40B4-BE49-F238E27FC236}">
              <a16:creationId xmlns:a16="http://schemas.microsoft.com/office/drawing/2014/main" id="{6AAEB1DF-8829-41AE-B02E-EC9694D857A0}"/>
            </a:ext>
          </a:extLst>
        </xdr:cNvPr>
        <xdr:cNvSpPr>
          <a:spLocks noChangeArrowheads="1"/>
        </xdr:cNvSpPr>
      </xdr:nvSpPr>
      <xdr:spPr bwMode="auto">
        <a:xfrm>
          <a:off x="112903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173</xdr:row>
      <xdr:rowOff>57150</xdr:rowOff>
    </xdr:from>
    <xdr:to>
      <xdr:col>14</xdr:col>
      <xdr:colOff>0</xdr:colOff>
      <xdr:row>174</xdr:row>
      <xdr:rowOff>190500</xdr:rowOff>
    </xdr:to>
    <xdr:sp macro="" textlink="">
      <xdr:nvSpPr>
        <xdr:cNvPr id="526" name="AutoShape 46">
          <a:extLst>
            <a:ext uri="{FF2B5EF4-FFF2-40B4-BE49-F238E27FC236}">
              <a16:creationId xmlns:a16="http://schemas.microsoft.com/office/drawing/2014/main" id="{B7C424F7-70BE-4556-AE71-ED878620F925}"/>
            </a:ext>
          </a:extLst>
        </xdr:cNvPr>
        <xdr:cNvSpPr>
          <a:spLocks noChangeArrowheads="1"/>
        </xdr:cNvSpPr>
      </xdr:nvSpPr>
      <xdr:spPr bwMode="auto">
        <a:xfrm>
          <a:off x="1330325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15</xdr:col>
      <xdr:colOff>0</xdr:colOff>
      <xdr:row>173</xdr:row>
      <xdr:rowOff>57150</xdr:rowOff>
    </xdr:from>
    <xdr:to>
      <xdr:col>16</xdr:col>
      <xdr:colOff>0</xdr:colOff>
      <xdr:row>174</xdr:row>
      <xdr:rowOff>190500</xdr:rowOff>
    </xdr:to>
    <xdr:sp macro="" textlink="">
      <xdr:nvSpPr>
        <xdr:cNvPr id="527" name="AutoShape 46">
          <a:extLst>
            <a:ext uri="{FF2B5EF4-FFF2-40B4-BE49-F238E27FC236}">
              <a16:creationId xmlns:a16="http://schemas.microsoft.com/office/drawing/2014/main" id="{E7E0A6B1-55DD-42EB-8C1D-78E79BD48169}"/>
            </a:ext>
          </a:extLst>
        </xdr:cNvPr>
        <xdr:cNvSpPr>
          <a:spLocks noChangeArrowheads="1"/>
        </xdr:cNvSpPr>
      </xdr:nvSpPr>
      <xdr:spPr bwMode="auto">
        <a:xfrm>
          <a:off x="153162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173</xdr:row>
      <xdr:rowOff>57150</xdr:rowOff>
    </xdr:from>
    <xdr:to>
      <xdr:col>18</xdr:col>
      <xdr:colOff>0</xdr:colOff>
      <xdr:row>174</xdr:row>
      <xdr:rowOff>190500</xdr:rowOff>
    </xdr:to>
    <xdr:sp macro="" textlink="">
      <xdr:nvSpPr>
        <xdr:cNvPr id="528" name="AutoShape 46">
          <a:extLst>
            <a:ext uri="{FF2B5EF4-FFF2-40B4-BE49-F238E27FC236}">
              <a16:creationId xmlns:a16="http://schemas.microsoft.com/office/drawing/2014/main" id="{DFEAFD23-D31D-4D25-A4C3-4D0811E8F519}"/>
            </a:ext>
          </a:extLst>
        </xdr:cNvPr>
        <xdr:cNvSpPr>
          <a:spLocks noChangeArrowheads="1"/>
        </xdr:cNvSpPr>
      </xdr:nvSpPr>
      <xdr:spPr bwMode="auto">
        <a:xfrm>
          <a:off x="177292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29" name="AutoShape 46">
          <a:extLst>
            <a:ext uri="{FF2B5EF4-FFF2-40B4-BE49-F238E27FC236}">
              <a16:creationId xmlns:a16="http://schemas.microsoft.com/office/drawing/2014/main" id="{952018C4-420C-4EA5-BE1E-F46E2492F4E9}"/>
            </a:ext>
          </a:extLst>
        </xdr:cNvPr>
        <xdr:cNvSpPr>
          <a:spLocks noChangeArrowheads="1"/>
        </xdr:cNvSpPr>
      </xdr:nvSpPr>
      <xdr:spPr bwMode="auto">
        <a:xfrm>
          <a:off x="199580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30" name="AutoShape 46">
          <a:extLst>
            <a:ext uri="{FF2B5EF4-FFF2-40B4-BE49-F238E27FC236}">
              <a16:creationId xmlns:a16="http://schemas.microsoft.com/office/drawing/2014/main" id="{B739907E-EFBB-4894-8806-E3DF07CBDD96}"/>
            </a:ext>
          </a:extLst>
        </xdr:cNvPr>
        <xdr:cNvSpPr>
          <a:spLocks noChangeArrowheads="1"/>
        </xdr:cNvSpPr>
      </xdr:nvSpPr>
      <xdr:spPr bwMode="auto">
        <a:xfrm>
          <a:off x="22542500" y="8659495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31" name="AutoShape 46">
          <a:extLst>
            <a:ext uri="{FF2B5EF4-FFF2-40B4-BE49-F238E27FC236}">
              <a16:creationId xmlns:a16="http://schemas.microsoft.com/office/drawing/2014/main" id="{B8DA4FF7-D767-4F1E-BA4A-5A1C9C24E346}"/>
            </a:ext>
          </a:extLst>
        </xdr:cNvPr>
        <xdr:cNvSpPr>
          <a:spLocks noChangeArrowheads="1"/>
        </xdr:cNvSpPr>
      </xdr:nvSpPr>
      <xdr:spPr bwMode="auto">
        <a:xfrm>
          <a:off x="254889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32" name="AutoShape 46">
          <a:extLst>
            <a:ext uri="{FF2B5EF4-FFF2-40B4-BE49-F238E27FC236}">
              <a16:creationId xmlns:a16="http://schemas.microsoft.com/office/drawing/2014/main" id="{2D32FBFF-B05D-4DC9-B57B-3557DE8F3622}"/>
            </a:ext>
          </a:extLst>
        </xdr:cNvPr>
        <xdr:cNvSpPr>
          <a:spLocks noChangeArrowheads="1"/>
        </xdr:cNvSpPr>
      </xdr:nvSpPr>
      <xdr:spPr bwMode="auto">
        <a:xfrm>
          <a:off x="276288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33" name="AutoShape 46">
          <a:extLst>
            <a:ext uri="{FF2B5EF4-FFF2-40B4-BE49-F238E27FC236}">
              <a16:creationId xmlns:a16="http://schemas.microsoft.com/office/drawing/2014/main" id="{57A57BF2-7531-471F-BB4A-F14C836B8F3A}"/>
            </a:ext>
          </a:extLst>
        </xdr:cNvPr>
        <xdr:cNvSpPr>
          <a:spLocks noChangeArrowheads="1"/>
        </xdr:cNvSpPr>
      </xdr:nvSpPr>
      <xdr:spPr bwMode="auto">
        <a:xfrm>
          <a:off x="29641800" y="86594950"/>
          <a:ext cx="1231900" cy="533400"/>
        </a:xfrm>
        <a:prstGeom prst="triangle">
          <a:avLst>
            <a:gd name="adj" fmla="val 50000"/>
          </a:avLst>
        </a:prstGeom>
        <a:solidFill>
          <a:sysClr val="window" lastClr="FFFFFF"/>
        </a:solidFill>
        <a:ln w="9525">
          <a:solidFill>
            <a:srgbClr val="000000"/>
          </a:solidFill>
          <a:miter lim="800000"/>
          <a:headEnd/>
          <a:tailEnd/>
        </a:ln>
      </xdr:spPr>
      <xdr:txBody>
        <a:bodyPr/>
        <a:lstStyle/>
        <a:p>
          <a:r>
            <a:rPr lang="en-IN" sz="2400"/>
            <a:t>R</a:t>
          </a:r>
        </a:p>
      </xdr:txBody>
    </xdr:sp>
    <xdr:clientData/>
  </xdr:twoCellAnchor>
  <xdr:twoCellAnchor>
    <xdr:from>
      <xdr:col>17</xdr:col>
      <xdr:colOff>0</xdr:colOff>
      <xdr:row>173</xdr:row>
      <xdr:rowOff>57150</xdr:rowOff>
    </xdr:from>
    <xdr:to>
      <xdr:col>18</xdr:col>
      <xdr:colOff>0</xdr:colOff>
      <xdr:row>174</xdr:row>
      <xdr:rowOff>190500</xdr:rowOff>
    </xdr:to>
    <xdr:sp macro="" textlink="">
      <xdr:nvSpPr>
        <xdr:cNvPr id="534" name="AutoShape 46">
          <a:extLst>
            <a:ext uri="{FF2B5EF4-FFF2-40B4-BE49-F238E27FC236}">
              <a16:creationId xmlns:a16="http://schemas.microsoft.com/office/drawing/2014/main" id="{E10A6400-AC07-4214-91CF-F842DC0EAE7F}"/>
            </a:ext>
          </a:extLst>
        </xdr:cNvPr>
        <xdr:cNvSpPr>
          <a:spLocks noChangeArrowheads="1"/>
        </xdr:cNvSpPr>
      </xdr:nvSpPr>
      <xdr:spPr bwMode="auto">
        <a:xfrm>
          <a:off x="177292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35" name="AutoShape 46">
          <a:extLst>
            <a:ext uri="{FF2B5EF4-FFF2-40B4-BE49-F238E27FC236}">
              <a16:creationId xmlns:a16="http://schemas.microsoft.com/office/drawing/2014/main" id="{9862A1B0-4147-4DF2-BE8C-2F46088F924A}"/>
            </a:ext>
          </a:extLst>
        </xdr:cNvPr>
        <xdr:cNvSpPr>
          <a:spLocks noChangeArrowheads="1"/>
        </xdr:cNvSpPr>
      </xdr:nvSpPr>
      <xdr:spPr bwMode="auto">
        <a:xfrm>
          <a:off x="199580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36" name="AutoShape 46">
          <a:extLst>
            <a:ext uri="{FF2B5EF4-FFF2-40B4-BE49-F238E27FC236}">
              <a16:creationId xmlns:a16="http://schemas.microsoft.com/office/drawing/2014/main" id="{4597B1D2-EE7D-4B19-A9F2-167A48385888}"/>
            </a:ext>
          </a:extLst>
        </xdr:cNvPr>
        <xdr:cNvSpPr>
          <a:spLocks noChangeArrowheads="1"/>
        </xdr:cNvSpPr>
      </xdr:nvSpPr>
      <xdr:spPr bwMode="auto">
        <a:xfrm>
          <a:off x="22542500" y="8659495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37" name="AutoShape 46">
          <a:extLst>
            <a:ext uri="{FF2B5EF4-FFF2-40B4-BE49-F238E27FC236}">
              <a16:creationId xmlns:a16="http://schemas.microsoft.com/office/drawing/2014/main" id="{7D69F766-6302-4A20-B26E-3AEBBBBC95B8}"/>
            </a:ext>
          </a:extLst>
        </xdr:cNvPr>
        <xdr:cNvSpPr>
          <a:spLocks noChangeArrowheads="1"/>
        </xdr:cNvSpPr>
      </xdr:nvSpPr>
      <xdr:spPr bwMode="auto">
        <a:xfrm>
          <a:off x="254889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38" name="AutoShape 46">
          <a:extLst>
            <a:ext uri="{FF2B5EF4-FFF2-40B4-BE49-F238E27FC236}">
              <a16:creationId xmlns:a16="http://schemas.microsoft.com/office/drawing/2014/main" id="{05DBF079-E18B-4AA9-B66F-14503E39E513}"/>
            </a:ext>
          </a:extLst>
        </xdr:cNvPr>
        <xdr:cNvSpPr>
          <a:spLocks noChangeArrowheads="1"/>
        </xdr:cNvSpPr>
      </xdr:nvSpPr>
      <xdr:spPr bwMode="auto">
        <a:xfrm>
          <a:off x="276288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39" name="AutoShape 46">
          <a:extLst>
            <a:ext uri="{FF2B5EF4-FFF2-40B4-BE49-F238E27FC236}">
              <a16:creationId xmlns:a16="http://schemas.microsoft.com/office/drawing/2014/main" id="{D587C342-5321-45E7-8795-E9AF83BBC9BF}"/>
            </a:ext>
          </a:extLst>
        </xdr:cNvPr>
        <xdr:cNvSpPr>
          <a:spLocks noChangeArrowheads="1"/>
        </xdr:cNvSpPr>
      </xdr:nvSpPr>
      <xdr:spPr bwMode="auto">
        <a:xfrm>
          <a:off x="29641800" y="86594950"/>
          <a:ext cx="1231900" cy="5334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173</xdr:row>
      <xdr:rowOff>57150</xdr:rowOff>
    </xdr:from>
    <xdr:to>
      <xdr:col>16</xdr:col>
      <xdr:colOff>0</xdr:colOff>
      <xdr:row>174</xdr:row>
      <xdr:rowOff>190500</xdr:rowOff>
    </xdr:to>
    <xdr:sp macro="" textlink="">
      <xdr:nvSpPr>
        <xdr:cNvPr id="540" name="AutoShape 46">
          <a:extLst>
            <a:ext uri="{FF2B5EF4-FFF2-40B4-BE49-F238E27FC236}">
              <a16:creationId xmlns:a16="http://schemas.microsoft.com/office/drawing/2014/main" id="{2A4C936C-A011-4281-A216-B0341E4BD280}"/>
            </a:ext>
          </a:extLst>
        </xdr:cNvPr>
        <xdr:cNvSpPr>
          <a:spLocks noChangeArrowheads="1"/>
        </xdr:cNvSpPr>
      </xdr:nvSpPr>
      <xdr:spPr bwMode="auto">
        <a:xfrm>
          <a:off x="153162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17</xdr:col>
      <xdr:colOff>0</xdr:colOff>
      <xdr:row>173</xdr:row>
      <xdr:rowOff>57150</xdr:rowOff>
    </xdr:from>
    <xdr:to>
      <xdr:col>18</xdr:col>
      <xdr:colOff>0</xdr:colOff>
      <xdr:row>174</xdr:row>
      <xdr:rowOff>190500</xdr:rowOff>
    </xdr:to>
    <xdr:sp macro="" textlink="">
      <xdr:nvSpPr>
        <xdr:cNvPr id="541" name="AutoShape 46">
          <a:extLst>
            <a:ext uri="{FF2B5EF4-FFF2-40B4-BE49-F238E27FC236}">
              <a16:creationId xmlns:a16="http://schemas.microsoft.com/office/drawing/2014/main" id="{A0BD7E6D-2D48-457C-94E1-2BF9337D807B}"/>
            </a:ext>
          </a:extLst>
        </xdr:cNvPr>
        <xdr:cNvSpPr>
          <a:spLocks noChangeArrowheads="1"/>
        </xdr:cNvSpPr>
      </xdr:nvSpPr>
      <xdr:spPr bwMode="auto">
        <a:xfrm>
          <a:off x="177292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42" name="AutoShape 46">
          <a:extLst>
            <a:ext uri="{FF2B5EF4-FFF2-40B4-BE49-F238E27FC236}">
              <a16:creationId xmlns:a16="http://schemas.microsoft.com/office/drawing/2014/main" id="{B5B5CDBE-48C2-4212-A9CB-52442D1BEB2A}"/>
            </a:ext>
          </a:extLst>
        </xdr:cNvPr>
        <xdr:cNvSpPr>
          <a:spLocks noChangeArrowheads="1"/>
        </xdr:cNvSpPr>
      </xdr:nvSpPr>
      <xdr:spPr bwMode="auto">
        <a:xfrm>
          <a:off x="1995805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43" name="AutoShape 46">
          <a:extLst>
            <a:ext uri="{FF2B5EF4-FFF2-40B4-BE49-F238E27FC236}">
              <a16:creationId xmlns:a16="http://schemas.microsoft.com/office/drawing/2014/main" id="{DC9FA94A-64BB-46BD-B263-38BFE0B0C209}"/>
            </a:ext>
          </a:extLst>
        </xdr:cNvPr>
        <xdr:cNvSpPr>
          <a:spLocks noChangeArrowheads="1"/>
        </xdr:cNvSpPr>
      </xdr:nvSpPr>
      <xdr:spPr bwMode="auto">
        <a:xfrm>
          <a:off x="22542500" y="8659495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44" name="AutoShape 46">
          <a:extLst>
            <a:ext uri="{FF2B5EF4-FFF2-40B4-BE49-F238E27FC236}">
              <a16:creationId xmlns:a16="http://schemas.microsoft.com/office/drawing/2014/main" id="{17774DC8-B099-4D11-9CC2-0CF47AE06C59}"/>
            </a:ext>
          </a:extLst>
        </xdr:cNvPr>
        <xdr:cNvSpPr>
          <a:spLocks noChangeArrowheads="1"/>
        </xdr:cNvSpPr>
      </xdr:nvSpPr>
      <xdr:spPr bwMode="auto">
        <a:xfrm>
          <a:off x="254889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45" name="AutoShape 46">
          <a:extLst>
            <a:ext uri="{FF2B5EF4-FFF2-40B4-BE49-F238E27FC236}">
              <a16:creationId xmlns:a16="http://schemas.microsoft.com/office/drawing/2014/main" id="{F23BFAF6-099E-4614-B799-B036BC323E33}"/>
            </a:ext>
          </a:extLst>
        </xdr:cNvPr>
        <xdr:cNvSpPr>
          <a:spLocks noChangeArrowheads="1"/>
        </xdr:cNvSpPr>
      </xdr:nvSpPr>
      <xdr:spPr bwMode="auto">
        <a:xfrm>
          <a:off x="276288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46" name="AutoShape 46">
          <a:extLst>
            <a:ext uri="{FF2B5EF4-FFF2-40B4-BE49-F238E27FC236}">
              <a16:creationId xmlns:a16="http://schemas.microsoft.com/office/drawing/2014/main" id="{642FCF40-4CCD-4A6D-B8DD-F97533DD92A1}"/>
            </a:ext>
          </a:extLst>
        </xdr:cNvPr>
        <xdr:cNvSpPr>
          <a:spLocks noChangeArrowheads="1"/>
        </xdr:cNvSpPr>
      </xdr:nvSpPr>
      <xdr:spPr bwMode="auto">
        <a:xfrm>
          <a:off x="29641800" y="86594950"/>
          <a:ext cx="1231900" cy="5334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182</xdr:row>
      <xdr:rowOff>57150</xdr:rowOff>
    </xdr:from>
    <xdr:to>
      <xdr:col>2</xdr:col>
      <xdr:colOff>0</xdr:colOff>
      <xdr:row>183</xdr:row>
      <xdr:rowOff>190500</xdr:rowOff>
    </xdr:to>
    <xdr:sp macro="" textlink="">
      <xdr:nvSpPr>
        <xdr:cNvPr id="547" name="AutoShape 46">
          <a:extLst>
            <a:ext uri="{FF2B5EF4-FFF2-40B4-BE49-F238E27FC236}">
              <a16:creationId xmlns:a16="http://schemas.microsoft.com/office/drawing/2014/main" id="{24059AFE-83C1-4C0F-B680-67855F16D40C}"/>
            </a:ext>
          </a:extLst>
        </xdr:cNvPr>
        <xdr:cNvSpPr>
          <a:spLocks noChangeArrowheads="1"/>
        </xdr:cNvSpPr>
      </xdr:nvSpPr>
      <xdr:spPr bwMode="auto">
        <a:xfrm>
          <a:off x="7810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182</xdr:row>
      <xdr:rowOff>57150</xdr:rowOff>
    </xdr:from>
    <xdr:to>
      <xdr:col>4</xdr:col>
      <xdr:colOff>0</xdr:colOff>
      <xdr:row>183</xdr:row>
      <xdr:rowOff>190500</xdr:rowOff>
    </xdr:to>
    <xdr:sp macro="" textlink="">
      <xdr:nvSpPr>
        <xdr:cNvPr id="548" name="AutoShape 46">
          <a:extLst>
            <a:ext uri="{FF2B5EF4-FFF2-40B4-BE49-F238E27FC236}">
              <a16:creationId xmlns:a16="http://schemas.microsoft.com/office/drawing/2014/main" id="{0F31C0B5-58BB-4540-9DF7-D577C33D5D94}"/>
            </a:ext>
          </a:extLst>
        </xdr:cNvPr>
        <xdr:cNvSpPr>
          <a:spLocks noChangeArrowheads="1"/>
        </xdr:cNvSpPr>
      </xdr:nvSpPr>
      <xdr:spPr bwMode="auto">
        <a:xfrm>
          <a:off x="27940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182</xdr:row>
      <xdr:rowOff>57150</xdr:rowOff>
    </xdr:from>
    <xdr:to>
      <xdr:col>6</xdr:col>
      <xdr:colOff>0</xdr:colOff>
      <xdr:row>183</xdr:row>
      <xdr:rowOff>190500</xdr:rowOff>
    </xdr:to>
    <xdr:sp macro="" textlink="">
      <xdr:nvSpPr>
        <xdr:cNvPr id="549" name="AutoShape 46">
          <a:extLst>
            <a:ext uri="{FF2B5EF4-FFF2-40B4-BE49-F238E27FC236}">
              <a16:creationId xmlns:a16="http://schemas.microsoft.com/office/drawing/2014/main" id="{9A70E623-0978-4D66-8E98-9C8256E1D3F1}"/>
            </a:ext>
          </a:extLst>
        </xdr:cNvPr>
        <xdr:cNvSpPr>
          <a:spLocks noChangeArrowheads="1"/>
        </xdr:cNvSpPr>
      </xdr:nvSpPr>
      <xdr:spPr bwMode="auto">
        <a:xfrm>
          <a:off x="49339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182</xdr:row>
      <xdr:rowOff>57150</xdr:rowOff>
    </xdr:from>
    <xdr:to>
      <xdr:col>8</xdr:col>
      <xdr:colOff>0</xdr:colOff>
      <xdr:row>183</xdr:row>
      <xdr:rowOff>190500</xdr:rowOff>
    </xdr:to>
    <xdr:sp macro="" textlink="">
      <xdr:nvSpPr>
        <xdr:cNvPr id="550" name="AutoShape 46">
          <a:extLst>
            <a:ext uri="{FF2B5EF4-FFF2-40B4-BE49-F238E27FC236}">
              <a16:creationId xmlns:a16="http://schemas.microsoft.com/office/drawing/2014/main" id="{64701038-6480-4563-B247-7078673BF9FF}"/>
            </a:ext>
          </a:extLst>
        </xdr:cNvPr>
        <xdr:cNvSpPr>
          <a:spLocks noChangeArrowheads="1"/>
        </xdr:cNvSpPr>
      </xdr:nvSpPr>
      <xdr:spPr bwMode="auto">
        <a:xfrm>
          <a:off x="694690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182</xdr:row>
      <xdr:rowOff>57150</xdr:rowOff>
    </xdr:from>
    <xdr:to>
      <xdr:col>10</xdr:col>
      <xdr:colOff>0</xdr:colOff>
      <xdr:row>183</xdr:row>
      <xdr:rowOff>190500</xdr:rowOff>
    </xdr:to>
    <xdr:sp macro="" textlink="">
      <xdr:nvSpPr>
        <xdr:cNvPr id="551" name="AutoShape 46">
          <a:extLst>
            <a:ext uri="{FF2B5EF4-FFF2-40B4-BE49-F238E27FC236}">
              <a16:creationId xmlns:a16="http://schemas.microsoft.com/office/drawing/2014/main" id="{DF2B84B0-A67A-4AF3-98AE-B392732AA1F0}"/>
            </a:ext>
          </a:extLst>
        </xdr:cNvPr>
        <xdr:cNvSpPr>
          <a:spLocks noChangeArrowheads="1"/>
        </xdr:cNvSpPr>
      </xdr:nvSpPr>
      <xdr:spPr bwMode="auto">
        <a:xfrm>
          <a:off x="927735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182</xdr:row>
      <xdr:rowOff>57150</xdr:rowOff>
    </xdr:from>
    <xdr:to>
      <xdr:col>12</xdr:col>
      <xdr:colOff>0</xdr:colOff>
      <xdr:row>183</xdr:row>
      <xdr:rowOff>190500</xdr:rowOff>
    </xdr:to>
    <xdr:sp macro="" textlink="">
      <xdr:nvSpPr>
        <xdr:cNvPr id="552" name="AutoShape 46">
          <a:extLst>
            <a:ext uri="{FF2B5EF4-FFF2-40B4-BE49-F238E27FC236}">
              <a16:creationId xmlns:a16="http://schemas.microsoft.com/office/drawing/2014/main" id="{F0388C11-3CCE-4735-BA94-A192F4657B93}"/>
            </a:ext>
          </a:extLst>
        </xdr:cNvPr>
        <xdr:cNvSpPr>
          <a:spLocks noChangeArrowheads="1"/>
        </xdr:cNvSpPr>
      </xdr:nvSpPr>
      <xdr:spPr bwMode="auto">
        <a:xfrm>
          <a:off x="112903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182</xdr:row>
      <xdr:rowOff>57150</xdr:rowOff>
    </xdr:from>
    <xdr:to>
      <xdr:col>14</xdr:col>
      <xdr:colOff>0</xdr:colOff>
      <xdr:row>183</xdr:row>
      <xdr:rowOff>190500</xdr:rowOff>
    </xdr:to>
    <xdr:sp macro="" textlink="">
      <xdr:nvSpPr>
        <xdr:cNvPr id="553" name="AutoShape 46">
          <a:extLst>
            <a:ext uri="{FF2B5EF4-FFF2-40B4-BE49-F238E27FC236}">
              <a16:creationId xmlns:a16="http://schemas.microsoft.com/office/drawing/2014/main" id="{E24DE4D0-977B-4411-AF49-3D64492C776C}"/>
            </a:ext>
          </a:extLst>
        </xdr:cNvPr>
        <xdr:cNvSpPr>
          <a:spLocks noChangeArrowheads="1"/>
        </xdr:cNvSpPr>
      </xdr:nvSpPr>
      <xdr:spPr bwMode="auto">
        <a:xfrm>
          <a:off x="133032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182</xdr:row>
      <xdr:rowOff>57150</xdr:rowOff>
    </xdr:from>
    <xdr:to>
      <xdr:col>16</xdr:col>
      <xdr:colOff>0</xdr:colOff>
      <xdr:row>183</xdr:row>
      <xdr:rowOff>190500</xdr:rowOff>
    </xdr:to>
    <xdr:sp macro="" textlink="">
      <xdr:nvSpPr>
        <xdr:cNvPr id="554" name="AutoShape 46">
          <a:extLst>
            <a:ext uri="{FF2B5EF4-FFF2-40B4-BE49-F238E27FC236}">
              <a16:creationId xmlns:a16="http://schemas.microsoft.com/office/drawing/2014/main" id="{5315E1E0-EDEE-48D8-AE7A-09C5DBF3DFFA}"/>
            </a:ext>
          </a:extLst>
        </xdr:cNvPr>
        <xdr:cNvSpPr>
          <a:spLocks noChangeArrowheads="1"/>
        </xdr:cNvSpPr>
      </xdr:nvSpPr>
      <xdr:spPr bwMode="auto">
        <a:xfrm>
          <a:off x="15316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55" name="AutoShape 46">
          <a:extLst>
            <a:ext uri="{FF2B5EF4-FFF2-40B4-BE49-F238E27FC236}">
              <a16:creationId xmlns:a16="http://schemas.microsoft.com/office/drawing/2014/main" id="{4AAD2FAB-6A54-40F9-A338-C296580FE9A2}"/>
            </a:ext>
          </a:extLst>
        </xdr:cNvPr>
        <xdr:cNvSpPr>
          <a:spLocks noChangeArrowheads="1"/>
        </xdr:cNvSpPr>
      </xdr:nvSpPr>
      <xdr:spPr bwMode="auto">
        <a:xfrm>
          <a:off x="177292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56" name="AutoShape 46">
          <a:extLst>
            <a:ext uri="{FF2B5EF4-FFF2-40B4-BE49-F238E27FC236}">
              <a16:creationId xmlns:a16="http://schemas.microsoft.com/office/drawing/2014/main" id="{CB2614C9-26B4-4186-8443-9004BDB89944}"/>
            </a:ext>
          </a:extLst>
        </xdr:cNvPr>
        <xdr:cNvSpPr>
          <a:spLocks noChangeArrowheads="1"/>
        </xdr:cNvSpPr>
      </xdr:nvSpPr>
      <xdr:spPr bwMode="auto">
        <a:xfrm>
          <a:off x="199580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57" name="AutoShape 46">
          <a:extLst>
            <a:ext uri="{FF2B5EF4-FFF2-40B4-BE49-F238E27FC236}">
              <a16:creationId xmlns:a16="http://schemas.microsoft.com/office/drawing/2014/main" id="{92495128-34EE-4D7A-818D-A3E1FA3983A8}"/>
            </a:ext>
          </a:extLst>
        </xdr:cNvPr>
        <xdr:cNvSpPr>
          <a:spLocks noChangeArrowheads="1"/>
        </xdr:cNvSpPr>
      </xdr:nvSpPr>
      <xdr:spPr bwMode="auto">
        <a:xfrm>
          <a:off x="22542500" y="90798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58" name="AutoShape 46">
          <a:extLst>
            <a:ext uri="{FF2B5EF4-FFF2-40B4-BE49-F238E27FC236}">
              <a16:creationId xmlns:a16="http://schemas.microsoft.com/office/drawing/2014/main" id="{BCDCA01C-D1F2-421A-BFDD-15BDFEAEDCA5}"/>
            </a:ext>
          </a:extLst>
        </xdr:cNvPr>
        <xdr:cNvSpPr>
          <a:spLocks noChangeArrowheads="1"/>
        </xdr:cNvSpPr>
      </xdr:nvSpPr>
      <xdr:spPr bwMode="auto">
        <a:xfrm>
          <a:off x="254889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59" name="AutoShape 46">
          <a:extLst>
            <a:ext uri="{FF2B5EF4-FFF2-40B4-BE49-F238E27FC236}">
              <a16:creationId xmlns:a16="http://schemas.microsoft.com/office/drawing/2014/main" id="{440AFF22-7B3E-4953-BF83-EE1D37290FC3}"/>
            </a:ext>
          </a:extLst>
        </xdr:cNvPr>
        <xdr:cNvSpPr>
          <a:spLocks noChangeArrowheads="1"/>
        </xdr:cNvSpPr>
      </xdr:nvSpPr>
      <xdr:spPr bwMode="auto">
        <a:xfrm>
          <a:off x="276288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60" name="AutoShape 46">
          <a:extLst>
            <a:ext uri="{FF2B5EF4-FFF2-40B4-BE49-F238E27FC236}">
              <a16:creationId xmlns:a16="http://schemas.microsoft.com/office/drawing/2014/main" id="{0D5F0F11-3007-46BC-B2F8-322460CC722A}"/>
            </a:ext>
          </a:extLst>
        </xdr:cNvPr>
        <xdr:cNvSpPr>
          <a:spLocks noChangeArrowheads="1"/>
        </xdr:cNvSpPr>
      </xdr:nvSpPr>
      <xdr:spPr bwMode="auto">
        <a:xfrm>
          <a:off x="296418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61" name="AutoShape 46">
          <a:extLst>
            <a:ext uri="{FF2B5EF4-FFF2-40B4-BE49-F238E27FC236}">
              <a16:creationId xmlns:a16="http://schemas.microsoft.com/office/drawing/2014/main" id="{0F66E21E-301D-4F16-B4A0-2152E51E31CD}"/>
            </a:ext>
          </a:extLst>
        </xdr:cNvPr>
        <xdr:cNvSpPr>
          <a:spLocks noChangeArrowheads="1"/>
        </xdr:cNvSpPr>
      </xdr:nvSpPr>
      <xdr:spPr bwMode="auto">
        <a:xfrm>
          <a:off x="17729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62" name="AutoShape 46">
          <a:extLst>
            <a:ext uri="{FF2B5EF4-FFF2-40B4-BE49-F238E27FC236}">
              <a16:creationId xmlns:a16="http://schemas.microsoft.com/office/drawing/2014/main" id="{45FA9F41-5F0E-49FC-A385-1F3B3A603D1D}"/>
            </a:ext>
          </a:extLst>
        </xdr:cNvPr>
        <xdr:cNvSpPr>
          <a:spLocks noChangeArrowheads="1"/>
        </xdr:cNvSpPr>
      </xdr:nvSpPr>
      <xdr:spPr bwMode="auto">
        <a:xfrm>
          <a:off x="199580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63" name="AutoShape 46">
          <a:extLst>
            <a:ext uri="{FF2B5EF4-FFF2-40B4-BE49-F238E27FC236}">
              <a16:creationId xmlns:a16="http://schemas.microsoft.com/office/drawing/2014/main" id="{875C26A3-039A-4185-A98F-3DBAB29BBA63}"/>
            </a:ext>
          </a:extLst>
        </xdr:cNvPr>
        <xdr:cNvSpPr>
          <a:spLocks noChangeArrowheads="1"/>
        </xdr:cNvSpPr>
      </xdr:nvSpPr>
      <xdr:spPr bwMode="auto">
        <a:xfrm>
          <a:off x="22542500" y="90798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64" name="AutoShape 46">
          <a:extLst>
            <a:ext uri="{FF2B5EF4-FFF2-40B4-BE49-F238E27FC236}">
              <a16:creationId xmlns:a16="http://schemas.microsoft.com/office/drawing/2014/main" id="{A419F5F5-BD4B-4BAF-8A5F-2907FC480A20}"/>
            </a:ext>
          </a:extLst>
        </xdr:cNvPr>
        <xdr:cNvSpPr>
          <a:spLocks noChangeArrowheads="1"/>
        </xdr:cNvSpPr>
      </xdr:nvSpPr>
      <xdr:spPr bwMode="auto">
        <a:xfrm>
          <a:off x="254889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65" name="AutoShape 46">
          <a:extLst>
            <a:ext uri="{FF2B5EF4-FFF2-40B4-BE49-F238E27FC236}">
              <a16:creationId xmlns:a16="http://schemas.microsoft.com/office/drawing/2014/main" id="{348C8342-3EF2-4CD7-A943-E95EAFA9C9C0}"/>
            </a:ext>
          </a:extLst>
        </xdr:cNvPr>
        <xdr:cNvSpPr>
          <a:spLocks noChangeArrowheads="1"/>
        </xdr:cNvSpPr>
      </xdr:nvSpPr>
      <xdr:spPr bwMode="auto">
        <a:xfrm>
          <a:off x="276288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66" name="AutoShape 46">
          <a:extLst>
            <a:ext uri="{FF2B5EF4-FFF2-40B4-BE49-F238E27FC236}">
              <a16:creationId xmlns:a16="http://schemas.microsoft.com/office/drawing/2014/main" id="{57148815-E26D-4C74-9BF3-125BCF086362}"/>
            </a:ext>
          </a:extLst>
        </xdr:cNvPr>
        <xdr:cNvSpPr>
          <a:spLocks noChangeArrowheads="1"/>
        </xdr:cNvSpPr>
      </xdr:nvSpPr>
      <xdr:spPr bwMode="auto">
        <a:xfrm>
          <a:off x="296418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182</xdr:row>
      <xdr:rowOff>57150</xdr:rowOff>
    </xdr:from>
    <xdr:to>
      <xdr:col>16</xdr:col>
      <xdr:colOff>0</xdr:colOff>
      <xdr:row>183</xdr:row>
      <xdr:rowOff>190500</xdr:rowOff>
    </xdr:to>
    <xdr:sp macro="" textlink="">
      <xdr:nvSpPr>
        <xdr:cNvPr id="567" name="AutoShape 46">
          <a:extLst>
            <a:ext uri="{FF2B5EF4-FFF2-40B4-BE49-F238E27FC236}">
              <a16:creationId xmlns:a16="http://schemas.microsoft.com/office/drawing/2014/main" id="{FE58D759-15A1-4397-8B18-F8EB1F188125}"/>
            </a:ext>
          </a:extLst>
        </xdr:cNvPr>
        <xdr:cNvSpPr>
          <a:spLocks noChangeArrowheads="1"/>
        </xdr:cNvSpPr>
      </xdr:nvSpPr>
      <xdr:spPr bwMode="auto">
        <a:xfrm>
          <a:off x="15316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68" name="AutoShape 46">
          <a:extLst>
            <a:ext uri="{FF2B5EF4-FFF2-40B4-BE49-F238E27FC236}">
              <a16:creationId xmlns:a16="http://schemas.microsoft.com/office/drawing/2014/main" id="{492F8AEA-5D25-46D7-AE7D-909DB3C81B6A}"/>
            </a:ext>
          </a:extLst>
        </xdr:cNvPr>
        <xdr:cNvSpPr>
          <a:spLocks noChangeArrowheads="1"/>
        </xdr:cNvSpPr>
      </xdr:nvSpPr>
      <xdr:spPr bwMode="auto">
        <a:xfrm>
          <a:off x="177292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69" name="AutoShape 46">
          <a:extLst>
            <a:ext uri="{FF2B5EF4-FFF2-40B4-BE49-F238E27FC236}">
              <a16:creationId xmlns:a16="http://schemas.microsoft.com/office/drawing/2014/main" id="{99089244-1B85-43EB-BC5C-0C2883C26213}"/>
            </a:ext>
          </a:extLst>
        </xdr:cNvPr>
        <xdr:cNvSpPr>
          <a:spLocks noChangeArrowheads="1"/>
        </xdr:cNvSpPr>
      </xdr:nvSpPr>
      <xdr:spPr bwMode="auto">
        <a:xfrm>
          <a:off x="1995805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70" name="AutoShape 46">
          <a:extLst>
            <a:ext uri="{FF2B5EF4-FFF2-40B4-BE49-F238E27FC236}">
              <a16:creationId xmlns:a16="http://schemas.microsoft.com/office/drawing/2014/main" id="{826E792D-702B-43D9-992A-5B1B1EAA7792}"/>
            </a:ext>
          </a:extLst>
        </xdr:cNvPr>
        <xdr:cNvSpPr>
          <a:spLocks noChangeArrowheads="1"/>
        </xdr:cNvSpPr>
      </xdr:nvSpPr>
      <xdr:spPr bwMode="auto">
        <a:xfrm>
          <a:off x="22542500" y="90798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71" name="AutoShape 46">
          <a:extLst>
            <a:ext uri="{FF2B5EF4-FFF2-40B4-BE49-F238E27FC236}">
              <a16:creationId xmlns:a16="http://schemas.microsoft.com/office/drawing/2014/main" id="{D3B241BB-F69E-4E67-B48C-17B8658315B5}"/>
            </a:ext>
          </a:extLst>
        </xdr:cNvPr>
        <xdr:cNvSpPr>
          <a:spLocks noChangeArrowheads="1"/>
        </xdr:cNvSpPr>
      </xdr:nvSpPr>
      <xdr:spPr bwMode="auto">
        <a:xfrm>
          <a:off x="2548890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72" name="AutoShape 46">
          <a:extLst>
            <a:ext uri="{FF2B5EF4-FFF2-40B4-BE49-F238E27FC236}">
              <a16:creationId xmlns:a16="http://schemas.microsoft.com/office/drawing/2014/main" id="{F03197D5-F885-42A3-A0A5-C4EC19249C40}"/>
            </a:ext>
          </a:extLst>
        </xdr:cNvPr>
        <xdr:cNvSpPr>
          <a:spLocks noChangeArrowheads="1"/>
        </xdr:cNvSpPr>
      </xdr:nvSpPr>
      <xdr:spPr bwMode="auto">
        <a:xfrm>
          <a:off x="276288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73" name="AutoShape 46">
          <a:extLst>
            <a:ext uri="{FF2B5EF4-FFF2-40B4-BE49-F238E27FC236}">
              <a16:creationId xmlns:a16="http://schemas.microsoft.com/office/drawing/2014/main" id="{AD7D06C6-EF22-427F-BF4D-0F9757079B1C}"/>
            </a:ext>
          </a:extLst>
        </xdr:cNvPr>
        <xdr:cNvSpPr>
          <a:spLocks noChangeArrowheads="1"/>
        </xdr:cNvSpPr>
      </xdr:nvSpPr>
      <xdr:spPr bwMode="auto">
        <a:xfrm>
          <a:off x="296418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191</xdr:row>
      <xdr:rowOff>57150</xdr:rowOff>
    </xdr:from>
    <xdr:to>
      <xdr:col>2</xdr:col>
      <xdr:colOff>0</xdr:colOff>
      <xdr:row>192</xdr:row>
      <xdr:rowOff>190500</xdr:rowOff>
    </xdr:to>
    <xdr:sp macro="" textlink="">
      <xdr:nvSpPr>
        <xdr:cNvPr id="574" name="AutoShape 46">
          <a:extLst>
            <a:ext uri="{FF2B5EF4-FFF2-40B4-BE49-F238E27FC236}">
              <a16:creationId xmlns:a16="http://schemas.microsoft.com/office/drawing/2014/main" id="{2784FC12-D6E8-47C0-ACA7-DCC3B0F54A8A}"/>
            </a:ext>
          </a:extLst>
        </xdr:cNvPr>
        <xdr:cNvSpPr>
          <a:spLocks noChangeArrowheads="1"/>
        </xdr:cNvSpPr>
      </xdr:nvSpPr>
      <xdr:spPr bwMode="auto">
        <a:xfrm>
          <a:off x="78105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191</xdr:row>
      <xdr:rowOff>57150</xdr:rowOff>
    </xdr:from>
    <xdr:to>
      <xdr:col>4</xdr:col>
      <xdr:colOff>0</xdr:colOff>
      <xdr:row>192</xdr:row>
      <xdr:rowOff>190500</xdr:rowOff>
    </xdr:to>
    <xdr:sp macro="" textlink="">
      <xdr:nvSpPr>
        <xdr:cNvPr id="575" name="AutoShape 46">
          <a:extLst>
            <a:ext uri="{FF2B5EF4-FFF2-40B4-BE49-F238E27FC236}">
              <a16:creationId xmlns:a16="http://schemas.microsoft.com/office/drawing/2014/main" id="{EDB9A596-563A-4FC2-A61A-AC20ED05022B}"/>
            </a:ext>
          </a:extLst>
        </xdr:cNvPr>
        <xdr:cNvSpPr>
          <a:spLocks noChangeArrowheads="1"/>
        </xdr:cNvSpPr>
      </xdr:nvSpPr>
      <xdr:spPr bwMode="auto">
        <a:xfrm>
          <a:off x="27940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191</xdr:row>
      <xdr:rowOff>57150</xdr:rowOff>
    </xdr:from>
    <xdr:to>
      <xdr:col>6</xdr:col>
      <xdr:colOff>0</xdr:colOff>
      <xdr:row>192</xdr:row>
      <xdr:rowOff>190500</xdr:rowOff>
    </xdr:to>
    <xdr:sp macro="" textlink="">
      <xdr:nvSpPr>
        <xdr:cNvPr id="576" name="AutoShape 46">
          <a:extLst>
            <a:ext uri="{FF2B5EF4-FFF2-40B4-BE49-F238E27FC236}">
              <a16:creationId xmlns:a16="http://schemas.microsoft.com/office/drawing/2014/main" id="{11862A3C-C59C-4CC1-A8E6-BA1B648326D8}"/>
            </a:ext>
          </a:extLst>
        </xdr:cNvPr>
        <xdr:cNvSpPr>
          <a:spLocks noChangeArrowheads="1"/>
        </xdr:cNvSpPr>
      </xdr:nvSpPr>
      <xdr:spPr bwMode="auto">
        <a:xfrm>
          <a:off x="49339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191</xdr:row>
      <xdr:rowOff>57150</xdr:rowOff>
    </xdr:from>
    <xdr:to>
      <xdr:col>8</xdr:col>
      <xdr:colOff>0</xdr:colOff>
      <xdr:row>192</xdr:row>
      <xdr:rowOff>190500</xdr:rowOff>
    </xdr:to>
    <xdr:sp macro="" textlink="">
      <xdr:nvSpPr>
        <xdr:cNvPr id="577" name="AutoShape 46">
          <a:extLst>
            <a:ext uri="{FF2B5EF4-FFF2-40B4-BE49-F238E27FC236}">
              <a16:creationId xmlns:a16="http://schemas.microsoft.com/office/drawing/2014/main" id="{65A9CBB4-9D97-466A-AA50-583D1121EA05}"/>
            </a:ext>
          </a:extLst>
        </xdr:cNvPr>
        <xdr:cNvSpPr>
          <a:spLocks noChangeArrowheads="1"/>
        </xdr:cNvSpPr>
      </xdr:nvSpPr>
      <xdr:spPr bwMode="auto">
        <a:xfrm>
          <a:off x="69469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191</xdr:row>
      <xdr:rowOff>57150</xdr:rowOff>
    </xdr:from>
    <xdr:to>
      <xdr:col>10</xdr:col>
      <xdr:colOff>0</xdr:colOff>
      <xdr:row>192</xdr:row>
      <xdr:rowOff>190500</xdr:rowOff>
    </xdr:to>
    <xdr:sp macro="" textlink="">
      <xdr:nvSpPr>
        <xdr:cNvPr id="578" name="AutoShape 46">
          <a:extLst>
            <a:ext uri="{FF2B5EF4-FFF2-40B4-BE49-F238E27FC236}">
              <a16:creationId xmlns:a16="http://schemas.microsoft.com/office/drawing/2014/main" id="{AB608A42-AE17-49B1-89FC-8EF81B6695E1}"/>
            </a:ext>
          </a:extLst>
        </xdr:cNvPr>
        <xdr:cNvSpPr>
          <a:spLocks noChangeArrowheads="1"/>
        </xdr:cNvSpPr>
      </xdr:nvSpPr>
      <xdr:spPr bwMode="auto">
        <a:xfrm>
          <a:off x="92773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191</xdr:row>
      <xdr:rowOff>57150</xdr:rowOff>
    </xdr:from>
    <xdr:to>
      <xdr:col>12</xdr:col>
      <xdr:colOff>0</xdr:colOff>
      <xdr:row>192</xdr:row>
      <xdr:rowOff>190500</xdr:rowOff>
    </xdr:to>
    <xdr:sp macro="" textlink="">
      <xdr:nvSpPr>
        <xdr:cNvPr id="579" name="AutoShape 46">
          <a:extLst>
            <a:ext uri="{FF2B5EF4-FFF2-40B4-BE49-F238E27FC236}">
              <a16:creationId xmlns:a16="http://schemas.microsoft.com/office/drawing/2014/main" id="{83E189D3-842E-4889-89D2-8E89A0DC6934}"/>
            </a:ext>
          </a:extLst>
        </xdr:cNvPr>
        <xdr:cNvSpPr>
          <a:spLocks noChangeArrowheads="1"/>
        </xdr:cNvSpPr>
      </xdr:nvSpPr>
      <xdr:spPr bwMode="auto">
        <a:xfrm>
          <a:off x="112903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191</xdr:row>
      <xdr:rowOff>57150</xdr:rowOff>
    </xdr:from>
    <xdr:to>
      <xdr:col>14</xdr:col>
      <xdr:colOff>0</xdr:colOff>
      <xdr:row>192</xdr:row>
      <xdr:rowOff>190500</xdr:rowOff>
    </xdr:to>
    <xdr:sp macro="" textlink="">
      <xdr:nvSpPr>
        <xdr:cNvPr id="580" name="AutoShape 46">
          <a:extLst>
            <a:ext uri="{FF2B5EF4-FFF2-40B4-BE49-F238E27FC236}">
              <a16:creationId xmlns:a16="http://schemas.microsoft.com/office/drawing/2014/main" id="{842DD32C-487D-403D-A65E-58F1C7318CE0}"/>
            </a:ext>
          </a:extLst>
        </xdr:cNvPr>
        <xdr:cNvSpPr>
          <a:spLocks noChangeArrowheads="1"/>
        </xdr:cNvSpPr>
      </xdr:nvSpPr>
      <xdr:spPr bwMode="auto">
        <a:xfrm>
          <a:off x="1330325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191</xdr:row>
      <xdr:rowOff>57150</xdr:rowOff>
    </xdr:from>
    <xdr:to>
      <xdr:col>16</xdr:col>
      <xdr:colOff>0</xdr:colOff>
      <xdr:row>192</xdr:row>
      <xdr:rowOff>190500</xdr:rowOff>
    </xdr:to>
    <xdr:sp macro="" textlink="">
      <xdr:nvSpPr>
        <xdr:cNvPr id="581" name="AutoShape 46">
          <a:extLst>
            <a:ext uri="{FF2B5EF4-FFF2-40B4-BE49-F238E27FC236}">
              <a16:creationId xmlns:a16="http://schemas.microsoft.com/office/drawing/2014/main" id="{58468246-E2BA-437F-8E65-E2F28161AE91}"/>
            </a:ext>
          </a:extLst>
        </xdr:cNvPr>
        <xdr:cNvSpPr>
          <a:spLocks noChangeArrowheads="1"/>
        </xdr:cNvSpPr>
      </xdr:nvSpPr>
      <xdr:spPr bwMode="auto">
        <a:xfrm>
          <a:off x="153162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82" name="AutoShape 46">
          <a:extLst>
            <a:ext uri="{FF2B5EF4-FFF2-40B4-BE49-F238E27FC236}">
              <a16:creationId xmlns:a16="http://schemas.microsoft.com/office/drawing/2014/main" id="{19830425-43EA-4EA0-AD46-21BCC7F2394C}"/>
            </a:ext>
          </a:extLst>
        </xdr:cNvPr>
        <xdr:cNvSpPr>
          <a:spLocks noChangeArrowheads="1"/>
        </xdr:cNvSpPr>
      </xdr:nvSpPr>
      <xdr:spPr bwMode="auto">
        <a:xfrm>
          <a:off x="177292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83" name="AutoShape 46">
          <a:extLst>
            <a:ext uri="{FF2B5EF4-FFF2-40B4-BE49-F238E27FC236}">
              <a16:creationId xmlns:a16="http://schemas.microsoft.com/office/drawing/2014/main" id="{92ADF4E4-725A-4C07-B381-894417F2CC05}"/>
            </a:ext>
          </a:extLst>
        </xdr:cNvPr>
        <xdr:cNvSpPr>
          <a:spLocks noChangeArrowheads="1"/>
        </xdr:cNvSpPr>
      </xdr:nvSpPr>
      <xdr:spPr bwMode="auto">
        <a:xfrm>
          <a:off x="199580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84" name="AutoShape 46">
          <a:extLst>
            <a:ext uri="{FF2B5EF4-FFF2-40B4-BE49-F238E27FC236}">
              <a16:creationId xmlns:a16="http://schemas.microsoft.com/office/drawing/2014/main" id="{B55C34A7-ED50-4C73-84F0-EA0F67FD861A}"/>
            </a:ext>
          </a:extLst>
        </xdr:cNvPr>
        <xdr:cNvSpPr>
          <a:spLocks noChangeArrowheads="1"/>
        </xdr:cNvSpPr>
      </xdr:nvSpPr>
      <xdr:spPr bwMode="auto">
        <a:xfrm>
          <a:off x="22542500" y="9533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85" name="AutoShape 46">
          <a:extLst>
            <a:ext uri="{FF2B5EF4-FFF2-40B4-BE49-F238E27FC236}">
              <a16:creationId xmlns:a16="http://schemas.microsoft.com/office/drawing/2014/main" id="{77C20B6B-137C-434F-9EFC-E40B739CAC82}"/>
            </a:ext>
          </a:extLst>
        </xdr:cNvPr>
        <xdr:cNvSpPr>
          <a:spLocks noChangeArrowheads="1"/>
        </xdr:cNvSpPr>
      </xdr:nvSpPr>
      <xdr:spPr bwMode="auto">
        <a:xfrm>
          <a:off x="254889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86" name="AutoShape 46">
          <a:extLst>
            <a:ext uri="{FF2B5EF4-FFF2-40B4-BE49-F238E27FC236}">
              <a16:creationId xmlns:a16="http://schemas.microsoft.com/office/drawing/2014/main" id="{539A376E-D269-4791-AAE8-B0BE63C51D38}"/>
            </a:ext>
          </a:extLst>
        </xdr:cNvPr>
        <xdr:cNvSpPr>
          <a:spLocks noChangeArrowheads="1"/>
        </xdr:cNvSpPr>
      </xdr:nvSpPr>
      <xdr:spPr bwMode="auto">
        <a:xfrm>
          <a:off x="276288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587" name="AutoShape 46">
          <a:extLst>
            <a:ext uri="{FF2B5EF4-FFF2-40B4-BE49-F238E27FC236}">
              <a16:creationId xmlns:a16="http://schemas.microsoft.com/office/drawing/2014/main" id="{51B33D67-FDE5-4A7F-BD99-9892FDC85634}"/>
            </a:ext>
          </a:extLst>
        </xdr:cNvPr>
        <xdr:cNvSpPr>
          <a:spLocks noChangeArrowheads="1"/>
        </xdr:cNvSpPr>
      </xdr:nvSpPr>
      <xdr:spPr bwMode="auto">
        <a:xfrm>
          <a:off x="296418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88" name="AutoShape 46">
          <a:extLst>
            <a:ext uri="{FF2B5EF4-FFF2-40B4-BE49-F238E27FC236}">
              <a16:creationId xmlns:a16="http://schemas.microsoft.com/office/drawing/2014/main" id="{98C5810B-5E7B-4714-93F5-099B6D0EDB07}"/>
            </a:ext>
          </a:extLst>
        </xdr:cNvPr>
        <xdr:cNvSpPr>
          <a:spLocks noChangeArrowheads="1"/>
        </xdr:cNvSpPr>
      </xdr:nvSpPr>
      <xdr:spPr bwMode="auto">
        <a:xfrm>
          <a:off x="177292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89" name="AutoShape 46">
          <a:extLst>
            <a:ext uri="{FF2B5EF4-FFF2-40B4-BE49-F238E27FC236}">
              <a16:creationId xmlns:a16="http://schemas.microsoft.com/office/drawing/2014/main" id="{59F0D0CD-1FB2-4853-9DC0-D0ECD9C665B9}"/>
            </a:ext>
          </a:extLst>
        </xdr:cNvPr>
        <xdr:cNvSpPr>
          <a:spLocks noChangeArrowheads="1"/>
        </xdr:cNvSpPr>
      </xdr:nvSpPr>
      <xdr:spPr bwMode="auto">
        <a:xfrm>
          <a:off x="199580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90" name="AutoShape 46">
          <a:extLst>
            <a:ext uri="{FF2B5EF4-FFF2-40B4-BE49-F238E27FC236}">
              <a16:creationId xmlns:a16="http://schemas.microsoft.com/office/drawing/2014/main" id="{B8F084BA-A897-4591-A9B5-01FA6DE1924D}"/>
            </a:ext>
          </a:extLst>
        </xdr:cNvPr>
        <xdr:cNvSpPr>
          <a:spLocks noChangeArrowheads="1"/>
        </xdr:cNvSpPr>
      </xdr:nvSpPr>
      <xdr:spPr bwMode="auto">
        <a:xfrm>
          <a:off x="22542500" y="953389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91" name="AutoShape 46">
          <a:extLst>
            <a:ext uri="{FF2B5EF4-FFF2-40B4-BE49-F238E27FC236}">
              <a16:creationId xmlns:a16="http://schemas.microsoft.com/office/drawing/2014/main" id="{C0103FAF-E315-4A4F-9DB8-C5B2FC1664B1}"/>
            </a:ext>
          </a:extLst>
        </xdr:cNvPr>
        <xdr:cNvSpPr>
          <a:spLocks noChangeArrowheads="1"/>
        </xdr:cNvSpPr>
      </xdr:nvSpPr>
      <xdr:spPr bwMode="auto">
        <a:xfrm>
          <a:off x="254889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92" name="AutoShape 46">
          <a:extLst>
            <a:ext uri="{FF2B5EF4-FFF2-40B4-BE49-F238E27FC236}">
              <a16:creationId xmlns:a16="http://schemas.microsoft.com/office/drawing/2014/main" id="{1F3D2973-1D88-4DED-BB4D-9847E9E10648}"/>
            </a:ext>
          </a:extLst>
        </xdr:cNvPr>
        <xdr:cNvSpPr>
          <a:spLocks noChangeArrowheads="1"/>
        </xdr:cNvSpPr>
      </xdr:nvSpPr>
      <xdr:spPr bwMode="auto">
        <a:xfrm>
          <a:off x="276288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593" name="AutoShape 46">
          <a:extLst>
            <a:ext uri="{FF2B5EF4-FFF2-40B4-BE49-F238E27FC236}">
              <a16:creationId xmlns:a16="http://schemas.microsoft.com/office/drawing/2014/main" id="{A2BBD8B7-8D9E-46AB-815B-F821A878F84D}"/>
            </a:ext>
          </a:extLst>
        </xdr:cNvPr>
        <xdr:cNvSpPr>
          <a:spLocks noChangeArrowheads="1"/>
        </xdr:cNvSpPr>
      </xdr:nvSpPr>
      <xdr:spPr bwMode="auto">
        <a:xfrm>
          <a:off x="296418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191</xdr:row>
      <xdr:rowOff>57150</xdr:rowOff>
    </xdr:from>
    <xdr:to>
      <xdr:col>16</xdr:col>
      <xdr:colOff>0</xdr:colOff>
      <xdr:row>192</xdr:row>
      <xdr:rowOff>190500</xdr:rowOff>
    </xdr:to>
    <xdr:sp macro="" textlink="">
      <xdr:nvSpPr>
        <xdr:cNvPr id="594" name="AutoShape 46">
          <a:extLst>
            <a:ext uri="{FF2B5EF4-FFF2-40B4-BE49-F238E27FC236}">
              <a16:creationId xmlns:a16="http://schemas.microsoft.com/office/drawing/2014/main" id="{946BE047-B43F-44DC-84A0-353CABFC95FA}"/>
            </a:ext>
          </a:extLst>
        </xdr:cNvPr>
        <xdr:cNvSpPr>
          <a:spLocks noChangeArrowheads="1"/>
        </xdr:cNvSpPr>
      </xdr:nvSpPr>
      <xdr:spPr bwMode="auto">
        <a:xfrm>
          <a:off x="153162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95" name="AutoShape 46">
          <a:extLst>
            <a:ext uri="{FF2B5EF4-FFF2-40B4-BE49-F238E27FC236}">
              <a16:creationId xmlns:a16="http://schemas.microsoft.com/office/drawing/2014/main" id="{59C1D718-D3DD-4AD2-91D9-2D0527D67AA2}"/>
            </a:ext>
          </a:extLst>
        </xdr:cNvPr>
        <xdr:cNvSpPr>
          <a:spLocks noChangeArrowheads="1"/>
        </xdr:cNvSpPr>
      </xdr:nvSpPr>
      <xdr:spPr bwMode="auto">
        <a:xfrm>
          <a:off x="177292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96" name="AutoShape 46">
          <a:extLst>
            <a:ext uri="{FF2B5EF4-FFF2-40B4-BE49-F238E27FC236}">
              <a16:creationId xmlns:a16="http://schemas.microsoft.com/office/drawing/2014/main" id="{3471108F-A991-43DC-9A39-1F7BFCAEA362}"/>
            </a:ext>
          </a:extLst>
        </xdr:cNvPr>
        <xdr:cNvSpPr>
          <a:spLocks noChangeArrowheads="1"/>
        </xdr:cNvSpPr>
      </xdr:nvSpPr>
      <xdr:spPr bwMode="auto">
        <a:xfrm>
          <a:off x="199580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97" name="AutoShape 46">
          <a:extLst>
            <a:ext uri="{FF2B5EF4-FFF2-40B4-BE49-F238E27FC236}">
              <a16:creationId xmlns:a16="http://schemas.microsoft.com/office/drawing/2014/main" id="{838FB05C-450B-44A9-AC61-DEBB8B7D07B2}"/>
            </a:ext>
          </a:extLst>
        </xdr:cNvPr>
        <xdr:cNvSpPr>
          <a:spLocks noChangeArrowheads="1"/>
        </xdr:cNvSpPr>
      </xdr:nvSpPr>
      <xdr:spPr bwMode="auto">
        <a:xfrm>
          <a:off x="22542500" y="9533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98" name="AutoShape 46">
          <a:extLst>
            <a:ext uri="{FF2B5EF4-FFF2-40B4-BE49-F238E27FC236}">
              <a16:creationId xmlns:a16="http://schemas.microsoft.com/office/drawing/2014/main" id="{E8D0CA0B-6D33-4CC8-B585-B6CB5302FE50}"/>
            </a:ext>
          </a:extLst>
        </xdr:cNvPr>
        <xdr:cNvSpPr>
          <a:spLocks noChangeArrowheads="1"/>
        </xdr:cNvSpPr>
      </xdr:nvSpPr>
      <xdr:spPr bwMode="auto">
        <a:xfrm>
          <a:off x="254889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99" name="AutoShape 46">
          <a:extLst>
            <a:ext uri="{FF2B5EF4-FFF2-40B4-BE49-F238E27FC236}">
              <a16:creationId xmlns:a16="http://schemas.microsoft.com/office/drawing/2014/main" id="{2B89A5B7-8FC4-491D-B3F3-A61561FF4EF4}"/>
            </a:ext>
          </a:extLst>
        </xdr:cNvPr>
        <xdr:cNvSpPr>
          <a:spLocks noChangeArrowheads="1"/>
        </xdr:cNvSpPr>
      </xdr:nvSpPr>
      <xdr:spPr bwMode="auto">
        <a:xfrm>
          <a:off x="276288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600" name="AutoShape 46">
          <a:extLst>
            <a:ext uri="{FF2B5EF4-FFF2-40B4-BE49-F238E27FC236}">
              <a16:creationId xmlns:a16="http://schemas.microsoft.com/office/drawing/2014/main" id="{9941DD4E-D8A1-4EF0-A5EE-E425E7E15F07}"/>
            </a:ext>
          </a:extLst>
        </xdr:cNvPr>
        <xdr:cNvSpPr>
          <a:spLocks noChangeArrowheads="1"/>
        </xdr:cNvSpPr>
      </xdr:nvSpPr>
      <xdr:spPr bwMode="auto">
        <a:xfrm>
          <a:off x="296418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199</xdr:row>
      <xdr:rowOff>57150</xdr:rowOff>
    </xdr:from>
    <xdr:to>
      <xdr:col>2</xdr:col>
      <xdr:colOff>0</xdr:colOff>
      <xdr:row>200</xdr:row>
      <xdr:rowOff>190500</xdr:rowOff>
    </xdr:to>
    <xdr:sp macro="" textlink="">
      <xdr:nvSpPr>
        <xdr:cNvPr id="601" name="AutoShape 46">
          <a:extLst>
            <a:ext uri="{FF2B5EF4-FFF2-40B4-BE49-F238E27FC236}">
              <a16:creationId xmlns:a16="http://schemas.microsoft.com/office/drawing/2014/main" id="{60CC6041-4F4B-447E-A9A1-B9282334FA9A}"/>
            </a:ext>
          </a:extLst>
        </xdr:cNvPr>
        <xdr:cNvSpPr>
          <a:spLocks noChangeArrowheads="1"/>
        </xdr:cNvSpPr>
      </xdr:nvSpPr>
      <xdr:spPr bwMode="auto">
        <a:xfrm>
          <a:off x="7810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199</xdr:row>
      <xdr:rowOff>57150</xdr:rowOff>
    </xdr:from>
    <xdr:to>
      <xdr:col>4</xdr:col>
      <xdr:colOff>0</xdr:colOff>
      <xdr:row>200</xdr:row>
      <xdr:rowOff>190500</xdr:rowOff>
    </xdr:to>
    <xdr:sp macro="" textlink="">
      <xdr:nvSpPr>
        <xdr:cNvPr id="602" name="AutoShape 46">
          <a:extLst>
            <a:ext uri="{FF2B5EF4-FFF2-40B4-BE49-F238E27FC236}">
              <a16:creationId xmlns:a16="http://schemas.microsoft.com/office/drawing/2014/main" id="{DAD338D3-51CB-429F-8A47-D9D36D473848}"/>
            </a:ext>
          </a:extLst>
        </xdr:cNvPr>
        <xdr:cNvSpPr>
          <a:spLocks noChangeArrowheads="1"/>
        </xdr:cNvSpPr>
      </xdr:nvSpPr>
      <xdr:spPr bwMode="auto">
        <a:xfrm>
          <a:off x="27940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5</xdr:col>
      <xdr:colOff>0</xdr:colOff>
      <xdr:row>199</xdr:row>
      <xdr:rowOff>57150</xdr:rowOff>
    </xdr:from>
    <xdr:to>
      <xdr:col>6</xdr:col>
      <xdr:colOff>0</xdr:colOff>
      <xdr:row>200</xdr:row>
      <xdr:rowOff>190500</xdr:rowOff>
    </xdr:to>
    <xdr:sp macro="" textlink="">
      <xdr:nvSpPr>
        <xdr:cNvPr id="603" name="AutoShape 46">
          <a:extLst>
            <a:ext uri="{FF2B5EF4-FFF2-40B4-BE49-F238E27FC236}">
              <a16:creationId xmlns:a16="http://schemas.microsoft.com/office/drawing/2014/main" id="{5DF82CE3-FD08-4B9F-9A37-4E5C97DF2833}"/>
            </a:ext>
          </a:extLst>
        </xdr:cNvPr>
        <xdr:cNvSpPr>
          <a:spLocks noChangeArrowheads="1"/>
        </xdr:cNvSpPr>
      </xdr:nvSpPr>
      <xdr:spPr bwMode="auto">
        <a:xfrm>
          <a:off x="49339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7</xdr:col>
      <xdr:colOff>0</xdr:colOff>
      <xdr:row>199</xdr:row>
      <xdr:rowOff>57150</xdr:rowOff>
    </xdr:from>
    <xdr:to>
      <xdr:col>8</xdr:col>
      <xdr:colOff>0</xdr:colOff>
      <xdr:row>200</xdr:row>
      <xdr:rowOff>190500</xdr:rowOff>
    </xdr:to>
    <xdr:sp macro="" textlink="">
      <xdr:nvSpPr>
        <xdr:cNvPr id="604" name="AutoShape 46">
          <a:extLst>
            <a:ext uri="{FF2B5EF4-FFF2-40B4-BE49-F238E27FC236}">
              <a16:creationId xmlns:a16="http://schemas.microsoft.com/office/drawing/2014/main" id="{FF6B97B7-25A1-4EC3-AAE7-753E0F933ADA}"/>
            </a:ext>
          </a:extLst>
        </xdr:cNvPr>
        <xdr:cNvSpPr>
          <a:spLocks noChangeArrowheads="1"/>
        </xdr:cNvSpPr>
      </xdr:nvSpPr>
      <xdr:spPr bwMode="auto">
        <a:xfrm>
          <a:off x="69469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199</xdr:row>
      <xdr:rowOff>57150</xdr:rowOff>
    </xdr:from>
    <xdr:to>
      <xdr:col>10</xdr:col>
      <xdr:colOff>0</xdr:colOff>
      <xdr:row>200</xdr:row>
      <xdr:rowOff>190500</xdr:rowOff>
    </xdr:to>
    <xdr:sp macro="" textlink="">
      <xdr:nvSpPr>
        <xdr:cNvPr id="605" name="AutoShape 46">
          <a:extLst>
            <a:ext uri="{FF2B5EF4-FFF2-40B4-BE49-F238E27FC236}">
              <a16:creationId xmlns:a16="http://schemas.microsoft.com/office/drawing/2014/main" id="{5141A016-868E-4E1C-BB2D-15A940373C42}"/>
            </a:ext>
          </a:extLst>
        </xdr:cNvPr>
        <xdr:cNvSpPr>
          <a:spLocks noChangeArrowheads="1"/>
        </xdr:cNvSpPr>
      </xdr:nvSpPr>
      <xdr:spPr bwMode="auto">
        <a:xfrm>
          <a:off x="9277350" y="991171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199</xdr:row>
      <xdr:rowOff>57150</xdr:rowOff>
    </xdr:from>
    <xdr:to>
      <xdr:col>12</xdr:col>
      <xdr:colOff>0</xdr:colOff>
      <xdr:row>200</xdr:row>
      <xdr:rowOff>190500</xdr:rowOff>
    </xdr:to>
    <xdr:sp macro="" textlink="">
      <xdr:nvSpPr>
        <xdr:cNvPr id="606" name="AutoShape 46">
          <a:extLst>
            <a:ext uri="{FF2B5EF4-FFF2-40B4-BE49-F238E27FC236}">
              <a16:creationId xmlns:a16="http://schemas.microsoft.com/office/drawing/2014/main" id="{AD66A631-702B-4DFD-92D3-7CB190D594AA}"/>
            </a:ext>
          </a:extLst>
        </xdr:cNvPr>
        <xdr:cNvSpPr>
          <a:spLocks noChangeArrowheads="1"/>
        </xdr:cNvSpPr>
      </xdr:nvSpPr>
      <xdr:spPr bwMode="auto">
        <a:xfrm>
          <a:off x="112903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199</xdr:row>
      <xdr:rowOff>57150</xdr:rowOff>
    </xdr:from>
    <xdr:to>
      <xdr:col>14</xdr:col>
      <xdr:colOff>0</xdr:colOff>
      <xdr:row>200</xdr:row>
      <xdr:rowOff>190500</xdr:rowOff>
    </xdr:to>
    <xdr:sp macro="" textlink="">
      <xdr:nvSpPr>
        <xdr:cNvPr id="607" name="AutoShape 46">
          <a:extLst>
            <a:ext uri="{FF2B5EF4-FFF2-40B4-BE49-F238E27FC236}">
              <a16:creationId xmlns:a16="http://schemas.microsoft.com/office/drawing/2014/main" id="{47DDDC9F-B8BB-4042-80DD-1EDB3648C762}"/>
            </a:ext>
          </a:extLst>
        </xdr:cNvPr>
        <xdr:cNvSpPr>
          <a:spLocks noChangeArrowheads="1"/>
        </xdr:cNvSpPr>
      </xdr:nvSpPr>
      <xdr:spPr bwMode="auto">
        <a:xfrm>
          <a:off x="133032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15</xdr:col>
      <xdr:colOff>0</xdr:colOff>
      <xdr:row>199</xdr:row>
      <xdr:rowOff>57150</xdr:rowOff>
    </xdr:from>
    <xdr:to>
      <xdr:col>16</xdr:col>
      <xdr:colOff>0</xdr:colOff>
      <xdr:row>200</xdr:row>
      <xdr:rowOff>190500</xdr:rowOff>
    </xdr:to>
    <xdr:sp macro="" textlink="">
      <xdr:nvSpPr>
        <xdr:cNvPr id="608" name="AutoShape 46">
          <a:extLst>
            <a:ext uri="{FF2B5EF4-FFF2-40B4-BE49-F238E27FC236}">
              <a16:creationId xmlns:a16="http://schemas.microsoft.com/office/drawing/2014/main" id="{152F10C1-1B8B-46FE-9044-CF3C1DAAD915}"/>
            </a:ext>
          </a:extLst>
        </xdr:cNvPr>
        <xdr:cNvSpPr>
          <a:spLocks noChangeArrowheads="1"/>
        </xdr:cNvSpPr>
      </xdr:nvSpPr>
      <xdr:spPr bwMode="auto">
        <a:xfrm>
          <a:off x="153162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09" name="AutoShape 46">
          <a:extLst>
            <a:ext uri="{FF2B5EF4-FFF2-40B4-BE49-F238E27FC236}">
              <a16:creationId xmlns:a16="http://schemas.microsoft.com/office/drawing/2014/main" id="{E2FFE739-3510-4914-91F0-AFE2C6340086}"/>
            </a:ext>
          </a:extLst>
        </xdr:cNvPr>
        <xdr:cNvSpPr>
          <a:spLocks noChangeArrowheads="1"/>
        </xdr:cNvSpPr>
      </xdr:nvSpPr>
      <xdr:spPr bwMode="auto">
        <a:xfrm>
          <a:off x="177292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10" name="AutoShape 46">
          <a:extLst>
            <a:ext uri="{FF2B5EF4-FFF2-40B4-BE49-F238E27FC236}">
              <a16:creationId xmlns:a16="http://schemas.microsoft.com/office/drawing/2014/main" id="{B7C947D9-4AF7-4FB9-8787-6084139E6E92}"/>
            </a:ext>
          </a:extLst>
        </xdr:cNvPr>
        <xdr:cNvSpPr>
          <a:spLocks noChangeArrowheads="1"/>
        </xdr:cNvSpPr>
      </xdr:nvSpPr>
      <xdr:spPr bwMode="auto">
        <a:xfrm>
          <a:off x="199580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11" name="AutoShape 46">
          <a:extLst>
            <a:ext uri="{FF2B5EF4-FFF2-40B4-BE49-F238E27FC236}">
              <a16:creationId xmlns:a16="http://schemas.microsoft.com/office/drawing/2014/main" id="{F7C709B7-4B71-46F4-8F72-1EFFC1AD2945}"/>
            </a:ext>
          </a:extLst>
        </xdr:cNvPr>
        <xdr:cNvSpPr>
          <a:spLocks noChangeArrowheads="1"/>
        </xdr:cNvSpPr>
      </xdr:nvSpPr>
      <xdr:spPr bwMode="auto">
        <a:xfrm>
          <a:off x="22542500" y="991171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12" name="AutoShape 46">
          <a:extLst>
            <a:ext uri="{FF2B5EF4-FFF2-40B4-BE49-F238E27FC236}">
              <a16:creationId xmlns:a16="http://schemas.microsoft.com/office/drawing/2014/main" id="{ED090B29-5A5B-402A-B442-FFF07B42794D}"/>
            </a:ext>
          </a:extLst>
        </xdr:cNvPr>
        <xdr:cNvSpPr>
          <a:spLocks noChangeArrowheads="1"/>
        </xdr:cNvSpPr>
      </xdr:nvSpPr>
      <xdr:spPr bwMode="auto">
        <a:xfrm>
          <a:off x="254889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13" name="AutoShape 46">
          <a:extLst>
            <a:ext uri="{FF2B5EF4-FFF2-40B4-BE49-F238E27FC236}">
              <a16:creationId xmlns:a16="http://schemas.microsoft.com/office/drawing/2014/main" id="{F1F3F572-A6B4-4149-95E9-4CCBDDCF79A2}"/>
            </a:ext>
          </a:extLst>
        </xdr:cNvPr>
        <xdr:cNvSpPr>
          <a:spLocks noChangeArrowheads="1"/>
        </xdr:cNvSpPr>
      </xdr:nvSpPr>
      <xdr:spPr bwMode="auto">
        <a:xfrm>
          <a:off x="276288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14" name="AutoShape 46">
          <a:extLst>
            <a:ext uri="{FF2B5EF4-FFF2-40B4-BE49-F238E27FC236}">
              <a16:creationId xmlns:a16="http://schemas.microsoft.com/office/drawing/2014/main" id="{468D0681-CBBE-4662-9A7B-114FD8F1DF8D}"/>
            </a:ext>
          </a:extLst>
        </xdr:cNvPr>
        <xdr:cNvSpPr>
          <a:spLocks noChangeArrowheads="1"/>
        </xdr:cNvSpPr>
      </xdr:nvSpPr>
      <xdr:spPr bwMode="auto">
        <a:xfrm>
          <a:off x="296418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15" name="AutoShape 46">
          <a:extLst>
            <a:ext uri="{FF2B5EF4-FFF2-40B4-BE49-F238E27FC236}">
              <a16:creationId xmlns:a16="http://schemas.microsoft.com/office/drawing/2014/main" id="{89A73F37-25E4-45F5-8D41-7DAD391F560C}"/>
            </a:ext>
          </a:extLst>
        </xdr:cNvPr>
        <xdr:cNvSpPr>
          <a:spLocks noChangeArrowheads="1"/>
        </xdr:cNvSpPr>
      </xdr:nvSpPr>
      <xdr:spPr bwMode="auto">
        <a:xfrm>
          <a:off x="177292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16" name="AutoShape 46">
          <a:extLst>
            <a:ext uri="{FF2B5EF4-FFF2-40B4-BE49-F238E27FC236}">
              <a16:creationId xmlns:a16="http://schemas.microsoft.com/office/drawing/2014/main" id="{BC21C6C5-B9C5-4C9E-A472-50871839A6BB}"/>
            </a:ext>
          </a:extLst>
        </xdr:cNvPr>
        <xdr:cNvSpPr>
          <a:spLocks noChangeArrowheads="1"/>
        </xdr:cNvSpPr>
      </xdr:nvSpPr>
      <xdr:spPr bwMode="auto">
        <a:xfrm>
          <a:off x="1995805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17" name="AutoShape 46">
          <a:extLst>
            <a:ext uri="{FF2B5EF4-FFF2-40B4-BE49-F238E27FC236}">
              <a16:creationId xmlns:a16="http://schemas.microsoft.com/office/drawing/2014/main" id="{F6D951AB-20EE-4D4C-9D05-8EB54E68D652}"/>
            </a:ext>
          </a:extLst>
        </xdr:cNvPr>
        <xdr:cNvSpPr>
          <a:spLocks noChangeArrowheads="1"/>
        </xdr:cNvSpPr>
      </xdr:nvSpPr>
      <xdr:spPr bwMode="auto">
        <a:xfrm>
          <a:off x="22542500" y="991171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18" name="AutoShape 46">
          <a:extLst>
            <a:ext uri="{FF2B5EF4-FFF2-40B4-BE49-F238E27FC236}">
              <a16:creationId xmlns:a16="http://schemas.microsoft.com/office/drawing/2014/main" id="{EDF68931-4AC3-4BB5-BE84-939253530B86}"/>
            </a:ext>
          </a:extLst>
        </xdr:cNvPr>
        <xdr:cNvSpPr>
          <a:spLocks noChangeArrowheads="1"/>
        </xdr:cNvSpPr>
      </xdr:nvSpPr>
      <xdr:spPr bwMode="auto">
        <a:xfrm>
          <a:off x="254889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19" name="AutoShape 46">
          <a:extLst>
            <a:ext uri="{FF2B5EF4-FFF2-40B4-BE49-F238E27FC236}">
              <a16:creationId xmlns:a16="http://schemas.microsoft.com/office/drawing/2014/main" id="{0EBAB2B4-FAC5-410F-9462-6B08BF20E3A0}"/>
            </a:ext>
          </a:extLst>
        </xdr:cNvPr>
        <xdr:cNvSpPr>
          <a:spLocks noChangeArrowheads="1"/>
        </xdr:cNvSpPr>
      </xdr:nvSpPr>
      <xdr:spPr bwMode="auto">
        <a:xfrm>
          <a:off x="2762885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20" name="AutoShape 46">
          <a:extLst>
            <a:ext uri="{FF2B5EF4-FFF2-40B4-BE49-F238E27FC236}">
              <a16:creationId xmlns:a16="http://schemas.microsoft.com/office/drawing/2014/main" id="{F519CA43-1C1E-469E-8744-9F4A238633C9}"/>
            </a:ext>
          </a:extLst>
        </xdr:cNvPr>
        <xdr:cNvSpPr>
          <a:spLocks noChangeArrowheads="1"/>
        </xdr:cNvSpPr>
      </xdr:nvSpPr>
      <xdr:spPr bwMode="auto">
        <a:xfrm>
          <a:off x="296418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199</xdr:row>
      <xdr:rowOff>57150</xdr:rowOff>
    </xdr:from>
    <xdr:to>
      <xdr:col>16</xdr:col>
      <xdr:colOff>0</xdr:colOff>
      <xdr:row>200</xdr:row>
      <xdr:rowOff>190500</xdr:rowOff>
    </xdr:to>
    <xdr:sp macro="" textlink="">
      <xdr:nvSpPr>
        <xdr:cNvPr id="621" name="AutoShape 46">
          <a:extLst>
            <a:ext uri="{FF2B5EF4-FFF2-40B4-BE49-F238E27FC236}">
              <a16:creationId xmlns:a16="http://schemas.microsoft.com/office/drawing/2014/main" id="{039E5152-4E39-4360-AC5F-3C3F13D7A80E}"/>
            </a:ext>
          </a:extLst>
        </xdr:cNvPr>
        <xdr:cNvSpPr>
          <a:spLocks noChangeArrowheads="1"/>
        </xdr:cNvSpPr>
      </xdr:nvSpPr>
      <xdr:spPr bwMode="auto">
        <a:xfrm>
          <a:off x="153162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22" name="AutoShape 46">
          <a:extLst>
            <a:ext uri="{FF2B5EF4-FFF2-40B4-BE49-F238E27FC236}">
              <a16:creationId xmlns:a16="http://schemas.microsoft.com/office/drawing/2014/main" id="{13111C20-3CC9-4B9D-B5E1-2B13D6150894}"/>
            </a:ext>
          </a:extLst>
        </xdr:cNvPr>
        <xdr:cNvSpPr>
          <a:spLocks noChangeArrowheads="1"/>
        </xdr:cNvSpPr>
      </xdr:nvSpPr>
      <xdr:spPr bwMode="auto">
        <a:xfrm>
          <a:off x="177292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23" name="AutoShape 46">
          <a:extLst>
            <a:ext uri="{FF2B5EF4-FFF2-40B4-BE49-F238E27FC236}">
              <a16:creationId xmlns:a16="http://schemas.microsoft.com/office/drawing/2014/main" id="{E7F1FA79-A2BE-4D82-A696-8E6D45475738}"/>
            </a:ext>
          </a:extLst>
        </xdr:cNvPr>
        <xdr:cNvSpPr>
          <a:spLocks noChangeArrowheads="1"/>
        </xdr:cNvSpPr>
      </xdr:nvSpPr>
      <xdr:spPr bwMode="auto">
        <a:xfrm>
          <a:off x="199580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24" name="AutoShape 46">
          <a:extLst>
            <a:ext uri="{FF2B5EF4-FFF2-40B4-BE49-F238E27FC236}">
              <a16:creationId xmlns:a16="http://schemas.microsoft.com/office/drawing/2014/main" id="{EB7ECA6A-A0F8-430E-BD13-278AC95AD18B}"/>
            </a:ext>
          </a:extLst>
        </xdr:cNvPr>
        <xdr:cNvSpPr>
          <a:spLocks noChangeArrowheads="1"/>
        </xdr:cNvSpPr>
      </xdr:nvSpPr>
      <xdr:spPr bwMode="auto">
        <a:xfrm>
          <a:off x="22542500" y="99117150"/>
          <a:ext cx="1612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25" name="AutoShape 46">
          <a:extLst>
            <a:ext uri="{FF2B5EF4-FFF2-40B4-BE49-F238E27FC236}">
              <a16:creationId xmlns:a16="http://schemas.microsoft.com/office/drawing/2014/main" id="{0E8549B4-E43A-4431-A916-9BCA39494AF9}"/>
            </a:ext>
          </a:extLst>
        </xdr:cNvPr>
        <xdr:cNvSpPr>
          <a:spLocks noChangeArrowheads="1"/>
        </xdr:cNvSpPr>
      </xdr:nvSpPr>
      <xdr:spPr bwMode="auto">
        <a:xfrm>
          <a:off x="254889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26" name="AutoShape 46">
          <a:extLst>
            <a:ext uri="{FF2B5EF4-FFF2-40B4-BE49-F238E27FC236}">
              <a16:creationId xmlns:a16="http://schemas.microsoft.com/office/drawing/2014/main" id="{020ACA05-9E33-4B79-8468-BA0426A10EF9}"/>
            </a:ext>
          </a:extLst>
        </xdr:cNvPr>
        <xdr:cNvSpPr>
          <a:spLocks noChangeArrowheads="1"/>
        </xdr:cNvSpPr>
      </xdr:nvSpPr>
      <xdr:spPr bwMode="auto">
        <a:xfrm>
          <a:off x="276288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27" name="AutoShape 46">
          <a:extLst>
            <a:ext uri="{FF2B5EF4-FFF2-40B4-BE49-F238E27FC236}">
              <a16:creationId xmlns:a16="http://schemas.microsoft.com/office/drawing/2014/main" id="{C3700A4C-F606-409E-9618-13A2B6AE8EC1}"/>
            </a:ext>
          </a:extLst>
        </xdr:cNvPr>
        <xdr:cNvSpPr>
          <a:spLocks noChangeArrowheads="1"/>
        </xdr:cNvSpPr>
      </xdr:nvSpPr>
      <xdr:spPr bwMode="auto">
        <a:xfrm>
          <a:off x="296418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207</xdr:row>
      <xdr:rowOff>57150</xdr:rowOff>
    </xdr:from>
    <xdr:to>
      <xdr:col>2</xdr:col>
      <xdr:colOff>0</xdr:colOff>
      <xdr:row>208</xdr:row>
      <xdr:rowOff>190500</xdr:rowOff>
    </xdr:to>
    <xdr:sp macro="" textlink="">
      <xdr:nvSpPr>
        <xdr:cNvPr id="628" name="AutoShape 46">
          <a:extLst>
            <a:ext uri="{FF2B5EF4-FFF2-40B4-BE49-F238E27FC236}">
              <a16:creationId xmlns:a16="http://schemas.microsoft.com/office/drawing/2014/main" id="{D8E1D995-36EF-41F5-A7E3-BB9BAEBF9376}"/>
            </a:ext>
          </a:extLst>
        </xdr:cNvPr>
        <xdr:cNvSpPr>
          <a:spLocks noChangeArrowheads="1"/>
        </xdr:cNvSpPr>
      </xdr:nvSpPr>
      <xdr:spPr bwMode="auto">
        <a:xfrm>
          <a:off x="781050" y="1029208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3</xdr:col>
      <xdr:colOff>0</xdr:colOff>
      <xdr:row>207</xdr:row>
      <xdr:rowOff>57150</xdr:rowOff>
    </xdr:from>
    <xdr:to>
      <xdr:col>4</xdr:col>
      <xdr:colOff>0</xdr:colOff>
      <xdr:row>208</xdr:row>
      <xdr:rowOff>190500</xdr:rowOff>
    </xdr:to>
    <xdr:sp macro="" textlink="">
      <xdr:nvSpPr>
        <xdr:cNvPr id="629" name="AutoShape 46">
          <a:extLst>
            <a:ext uri="{FF2B5EF4-FFF2-40B4-BE49-F238E27FC236}">
              <a16:creationId xmlns:a16="http://schemas.microsoft.com/office/drawing/2014/main" id="{B6B47010-1A3A-46A9-A470-1C6536763599}"/>
            </a:ext>
          </a:extLst>
        </xdr:cNvPr>
        <xdr:cNvSpPr>
          <a:spLocks noChangeArrowheads="1"/>
        </xdr:cNvSpPr>
      </xdr:nvSpPr>
      <xdr:spPr bwMode="auto">
        <a:xfrm>
          <a:off x="27940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207</xdr:row>
      <xdr:rowOff>57150</xdr:rowOff>
    </xdr:from>
    <xdr:to>
      <xdr:col>6</xdr:col>
      <xdr:colOff>0</xdr:colOff>
      <xdr:row>208</xdr:row>
      <xdr:rowOff>190500</xdr:rowOff>
    </xdr:to>
    <xdr:sp macro="" textlink="">
      <xdr:nvSpPr>
        <xdr:cNvPr id="630" name="AutoShape 46">
          <a:extLst>
            <a:ext uri="{FF2B5EF4-FFF2-40B4-BE49-F238E27FC236}">
              <a16:creationId xmlns:a16="http://schemas.microsoft.com/office/drawing/2014/main" id="{2D92A79C-C41C-42C0-806B-518CE2EE5053}"/>
            </a:ext>
          </a:extLst>
        </xdr:cNvPr>
        <xdr:cNvSpPr>
          <a:spLocks noChangeArrowheads="1"/>
        </xdr:cNvSpPr>
      </xdr:nvSpPr>
      <xdr:spPr bwMode="auto">
        <a:xfrm>
          <a:off x="49339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207</xdr:row>
      <xdr:rowOff>57150</xdr:rowOff>
    </xdr:from>
    <xdr:to>
      <xdr:col>8</xdr:col>
      <xdr:colOff>0</xdr:colOff>
      <xdr:row>208</xdr:row>
      <xdr:rowOff>190500</xdr:rowOff>
    </xdr:to>
    <xdr:sp macro="" textlink="">
      <xdr:nvSpPr>
        <xdr:cNvPr id="631" name="AutoShape 46">
          <a:extLst>
            <a:ext uri="{FF2B5EF4-FFF2-40B4-BE49-F238E27FC236}">
              <a16:creationId xmlns:a16="http://schemas.microsoft.com/office/drawing/2014/main" id="{648FFC53-6096-426E-8881-826358352652}"/>
            </a:ext>
          </a:extLst>
        </xdr:cNvPr>
        <xdr:cNvSpPr>
          <a:spLocks noChangeArrowheads="1"/>
        </xdr:cNvSpPr>
      </xdr:nvSpPr>
      <xdr:spPr bwMode="auto">
        <a:xfrm>
          <a:off x="6946900" y="1029208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9</xdr:col>
      <xdr:colOff>0</xdr:colOff>
      <xdr:row>207</xdr:row>
      <xdr:rowOff>57150</xdr:rowOff>
    </xdr:from>
    <xdr:to>
      <xdr:col>10</xdr:col>
      <xdr:colOff>0</xdr:colOff>
      <xdr:row>208</xdr:row>
      <xdr:rowOff>190500</xdr:rowOff>
    </xdr:to>
    <xdr:sp macro="" textlink="">
      <xdr:nvSpPr>
        <xdr:cNvPr id="632" name="AutoShape 46">
          <a:extLst>
            <a:ext uri="{FF2B5EF4-FFF2-40B4-BE49-F238E27FC236}">
              <a16:creationId xmlns:a16="http://schemas.microsoft.com/office/drawing/2014/main" id="{52F9A8E2-ECBF-4867-B00C-4F0C6780D788}"/>
            </a:ext>
          </a:extLst>
        </xdr:cNvPr>
        <xdr:cNvSpPr>
          <a:spLocks noChangeArrowheads="1"/>
        </xdr:cNvSpPr>
      </xdr:nvSpPr>
      <xdr:spPr bwMode="auto">
        <a:xfrm>
          <a:off x="92773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207</xdr:row>
      <xdr:rowOff>57150</xdr:rowOff>
    </xdr:from>
    <xdr:to>
      <xdr:col>12</xdr:col>
      <xdr:colOff>0</xdr:colOff>
      <xdr:row>208</xdr:row>
      <xdr:rowOff>190500</xdr:rowOff>
    </xdr:to>
    <xdr:sp macro="" textlink="">
      <xdr:nvSpPr>
        <xdr:cNvPr id="633" name="AutoShape 46">
          <a:extLst>
            <a:ext uri="{FF2B5EF4-FFF2-40B4-BE49-F238E27FC236}">
              <a16:creationId xmlns:a16="http://schemas.microsoft.com/office/drawing/2014/main" id="{23E59FE4-79F5-42D4-9DC3-446A8B149FF9}"/>
            </a:ext>
          </a:extLst>
        </xdr:cNvPr>
        <xdr:cNvSpPr>
          <a:spLocks noChangeArrowheads="1"/>
        </xdr:cNvSpPr>
      </xdr:nvSpPr>
      <xdr:spPr bwMode="auto">
        <a:xfrm>
          <a:off x="11290300" y="1029208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13</xdr:col>
      <xdr:colOff>0</xdr:colOff>
      <xdr:row>207</xdr:row>
      <xdr:rowOff>57150</xdr:rowOff>
    </xdr:from>
    <xdr:to>
      <xdr:col>14</xdr:col>
      <xdr:colOff>0</xdr:colOff>
      <xdr:row>208</xdr:row>
      <xdr:rowOff>190500</xdr:rowOff>
    </xdr:to>
    <xdr:sp macro="" textlink="">
      <xdr:nvSpPr>
        <xdr:cNvPr id="634" name="AutoShape 46">
          <a:extLst>
            <a:ext uri="{FF2B5EF4-FFF2-40B4-BE49-F238E27FC236}">
              <a16:creationId xmlns:a16="http://schemas.microsoft.com/office/drawing/2014/main" id="{9A171656-99F2-46A1-8B84-EE30C50B5CC3}"/>
            </a:ext>
          </a:extLst>
        </xdr:cNvPr>
        <xdr:cNvSpPr>
          <a:spLocks noChangeArrowheads="1"/>
        </xdr:cNvSpPr>
      </xdr:nvSpPr>
      <xdr:spPr bwMode="auto">
        <a:xfrm>
          <a:off x="133032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207</xdr:row>
      <xdr:rowOff>57150</xdr:rowOff>
    </xdr:from>
    <xdr:to>
      <xdr:col>16</xdr:col>
      <xdr:colOff>0</xdr:colOff>
      <xdr:row>208</xdr:row>
      <xdr:rowOff>190500</xdr:rowOff>
    </xdr:to>
    <xdr:sp macro="" textlink="">
      <xdr:nvSpPr>
        <xdr:cNvPr id="635" name="AutoShape 46">
          <a:extLst>
            <a:ext uri="{FF2B5EF4-FFF2-40B4-BE49-F238E27FC236}">
              <a16:creationId xmlns:a16="http://schemas.microsoft.com/office/drawing/2014/main" id="{94842D61-73A9-4534-AB9A-7C9C4F5FC097}"/>
            </a:ext>
          </a:extLst>
        </xdr:cNvPr>
        <xdr:cNvSpPr>
          <a:spLocks noChangeArrowheads="1"/>
        </xdr:cNvSpPr>
      </xdr:nvSpPr>
      <xdr:spPr bwMode="auto">
        <a:xfrm>
          <a:off x="153162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36" name="AutoShape 46">
          <a:extLst>
            <a:ext uri="{FF2B5EF4-FFF2-40B4-BE49-F238E27FC236}">
              <a16:creationId xmlns:a16="http://schemas.microsoft.com/office/drawing/2014/main" id="{35167563-A7E8-4D89-A18A-736BD198474C}"/>
            </a:ext>
          </a:extLst>
        </xdr:cNvPr>
        <xdr:cNvSpPr>
          <a:spLocks noChangeArrowheads="1"/>
        </xdr:cNvSpPr>
      </xdr:nvSpPr>
      <xdr:spPr bwMode="auto">
        <a:xfrm>
          <a:off x="177292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37" name="AutoShape 46">
          <a:extLst>
            <a:ext uri="{FF2B5EF4-FFF2-40B4-BE49-F238E27FC236}">
              <a16:creationId xmlns:a16="http://schemas.microsoft.com/office/drawing/2014/main" id="{640C40E2-195A-4559-A9CB-ED5C50F7EEA5}"/>
            </a:ext>
          </a:extLst>
        </xdr:cNvPr>
        <xdr:cNvSpPr>
          <a:spLocks noChangeArrowheads="1"/>
        </xdr:cNvSpPr>
      </xdr:nvSpPr>
      <xdr:spPr bwMode="auto">
        <a:xfrm>
          <a:off x="199580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38" name="AutoShape 46">
          <a:extLst>
            <a:ext uri="{FF2B5EF4-FFF2-40B4-BE49-F238E27FC236}">
              <a16:creationId xmlns:a16="http://schemas.microsoft.com/office/drawing/2014/main" id="{F17F6E88-480E-4CB7-8AAB-0F1CCF2A8364}"/>
            </a:ext>
          </a:extLst>
        </xdr:cNvPr>
        <xdr:cNvSpPr>
          <a:spLocks noChangeArrowheads="1"/>
        </xdr:cNvSpPr>
      </xdr:nvSpPr>
      <xdr:spPr bwMode="auto">
        <a:xfrm>
          <a:off x="22542500" y="1029208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39" name="AutoShape 46">
          <a:extLst>
            <a:ext uri="{FF2B5EF4-FFF2-40B4-BE49-F238E27FC236}">
              <a16:creationId xmlns:a16="http://schemas.microsoft.com/office/drawing/2014/main" id="{1A47D6A2-5D68-4E5F-A365-C661CC41E350}"/>
            </a:ext>
          </a:extLst>
        </xdr:cNvPr>
        <xdr:cNvSpPr>
          <a:spLocks noChangeArrowheads="1"/>
        </xdr:cNvSpPr>
      </xdr:nvSpPr>
      <xdr:spPr bwMode="auto">
        <a:xfrm>
          <a:off x="254889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40" name="AutoShape 46">
          <a:extLst>
            <a:ext uri="{FF2B5EF4-FFF2-40B4-BE49-F238E27FC236}">
              <a16:creationId xmlns:a16="http://schemas.microsoft.com/office/drawing/2014/main" id="{54A729EF-8555-4F1C-ABAB-66460CAF980F}"/>
            </a:ext>
          </a:extLst>
        </xdr:cNvPr>
        <xdr:cNvSpPr>
          <a:spLocks noChangeArrowheads="1"/>
        </xdr:cNvSpPr>
      </xdr:nvSpPr>
      <xdr:spPr bwMode="auto">
        <a:xfrm>
          <a:off x="276288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41" name="AutoShape 46">
          <a:extLst>
            <a:ext uri="{FF2B5EF4-FFF2-40B4-BE49-F238E27FC236}">
              <a16:creationId xmlns:a16="http://schemas.microsoft.com/office/drawing/2014/main" id="{E46AEFF3-E97A-40B3-AEB6-51BB33CC0C6D}"/>
            </a:ext>
          </a:extLst>
        </xdr:cNvPr>
        <xdr:cNvSpPr>
          <a:spLocks noChangeArrowheads="1"/>
        </xdr:cNvSpPr>
      </xdr:nvSpPr>
      <xdr:spPr bwMode="auto">
        <a:xfrm>
          <a:off x="296418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42" name="AutoShape 46">
          <a:extLst>
            <a:ext uri="{FF2B5EF4-FFF2-40B4-BE49-F238E27FC236}">
              <a16:creationId xmlns:a16="http://schemas.microsoft.com/office/drawing/2014/main" id="{BA3E9298-F052-4E7F-8C34-17972AFADEC9}"/>
            </a:ext>
          </a:extLst>
        </xdr:cNvPr>
        <xdr:cNvSpPr>
          <a:spLocks noChangeArrowheads="1"/>
        </xdr:cNvSpPr>
      </xdr:nvSpPr>
      <xdr:spPr bwMode="auto">
        <a:xfrm>
          <a:off x="177292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43" name="AutoShape 46">
          <a:extLst>
            <a:ext uri="{FF2B5EF4-FFF2-40B4-BE49-F238E27FC236}">
              <a16:creationId xmlns:a16="http://schemas.microsoft.com/office/drawing/2014/main" id="{A7150731-1FBC-4235-A5A0-1558083AF481}"/>
            </a:ext>
          </a:extLst>
        </xdr:cNvPr>
        <xdr:cNvSpPr>
          <a:spLocks noChangeArrowheads="1"/>
        </xdr:cNvSpPr>
      </xdr:nvSpPr>
      <xdr:spPr bwMode="auto">
        <a:xfrm>
          <a:off x="199580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44" name="AutoShape 46">
          <a:extLst>
            <a:ext uri="{FF2B5EF4-FFF2-40B4-BE49-F238E27FC236}">
              <a16:creationId xmlns:a16="http://schemas.microsoft.com/office/drawing/2014/main" id="{5628FC2D-765C-43A2-A975-DCFCEE6EAC4A}"/>
            </a:ext>
          </a:extLst>
        </xdr:cNvPr>
        <xdr:cNvSpPr>
          <a:spLocks noChangeArrowheads="1"/>
        </xdr:cNvSpPr>
      </xdr:nvSpPr>
      <xdr:spPr bwMode="auto">
        <a:xfrm>
          <a:off x="22542500" y="1029208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45" name="AutoShape 46">
          <a:extLst>
            <a:ext uri="{FF2B5EF4-FFF2-40B4-BE49-F238E27FC236}">
              <a16:creationId xmlns:a16="http://schemas.microsoft.com/office/drawing/2014/main" id="{1816368F-BC94-4DEA-B96F-20026B2186F9}"/>
            </a:ext>
          </a:extLst>
        </xdr:cNvPr>
        <xdr:cNvSpPr>
          <a:spLocks noChangeArrowheads="1"/>
        </xdr:cNvSpPr>
      </xdr:nvSpPr>
      <xdr:spPr bwMode="auto">
        <a:xfrm>
          <a:off x="254889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46" name="AutoShape 46">
          <a:extLst>
            <a:ext uri="{FF2B5EF4-FFF2-40B4-BE49-F238E27FC236}">
              <a16:creationId xmlns:a16="http://schemas.microsoft.com/office/drawing/2014/main" id="{5BC275CB-96B7-4F9F-AE9C-F5A80A3E85EC}"/>
            </a:ext>
          </a:extLst>
        </xdr:cNvPr>
        <xdr:cNvSpPr>
          <a:spLocks noChangeArrowheads="1"/>
        </xdr:cNvSpPr>
      </xdr:nvSpPr>
      <xdr:spPr bwMode="auto">
        <a:xfrm>
          <a:off x="276288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47" name="AutoShape 46">
          <a:extLst>
            <a:ext uri="{FF2B5EF4-FFF2-40B4-BE49-F238E27FC236}">
              <a16:creationId xmlns:a16="http://schemas.microsoft.com/office/drawing/2014/main" id="{38BF4666-FF2E-40A4-AE11-C31D0310D02F}"/>
            </a:ext>
          </a:extLst>
        </xdr:cNvPr>
        <xdr:cNvSpPr>
          <a:spLocks noChangeArrowheads="1"/>
        </xdr:cNvSpPr>
      </xdr:nvSpPr>
      <xdr:spPr bwMode="auto">
        <a:xfrm>
          <a:off x="296418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207</xdr:row>
      <xdr:rowOff>57150</xdr:rowOff>
    </xdr:from>
    <xdr:to>
      <xdr:col>16</xdr:col>
      <xdr:colOff>0</xdr:colOff>
      <xdr:row>208</xdr:row>
      <xdr:rowOff>190500</xdr:rowOff>
    </xdr:to>
    <xdr:sp macro="" textlink="">
      <xdr:nvSpPr>
        <xdr:cNvPr id="648" name="AutoShape 46">
          <a:extLst>
            <a:ext uri="{FF2B5EF4-FFF2-40B4-BE49-F238E27FC236}">
              <a16:creationId xmlns:a16="http://schemas.microsoft.com/office/drawing/2014/main" id="{646ABD38-D461-4727-9DC8-AFD69148A8B5}"/>
            </a:ext>
          </a:extLst>
        </xdr:cNvPr>
        <xdr:cNvSpPr>
          <a:spLocks noChangeArrowheads="1"/>
        </xdr:cNvSpPr>
      </xdr:nvSpPr>
      <xdr:spPr bwMode="auto">
        <a:xfrm>
          <a:off x="15316200" y="1029208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49" name="AutoShape 46">
          <a:extLst>
            <a:ext uri="{FF2B5EF4-FFF2-40B4-BE49-F238E27FC236}">
              <a16:creationId xmlns:a16="http://schemas.microsoft.com/office/drawing/2014/main" id="{16AE2356-22A4-4F4E-A52F-A02AD3D4BC1C}"/>
            </a:ext>
          </a:extLst>
        </xdr:cNvPr>
        <xdr:cNvSpPr>
          <a:spLocks noChangeArrowheads="1"/>
        </xdr:cNvSpPr>
      </xdr:nvSpPr>
      <xdr:spPr bwMode="auto">
        <a:xfrm>
          <a:off x="177292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50" name="AutoShape 46">
          <a:extLst>
            <a:ext uri="{FF2B5EF4-FFF2-40B4-BE49-F238E27FC236}">
              <a16:creationId xmlns:a16="http://schemas.microsoft.com/office/drawing/2014/main" id="{1D4DAB3E-DA4E-4A95-B312-C2A4D69CF442}"/>
            </a:ext>
          </a:extLst>
        </xdr:cNvPr>
        <xdr:cNvSpPr>
          <a:spLocks noChangeArrowheads="1"/>
        </xdr:cNvSpPr>
      </xdr:nvSpPr>
      <xdr:spPr bwMode="auto">
        <a:xfrm>
          <a:off x="19958050" y="1029208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51" name="AutoShape 46">
          <a:extLst>
            <a:ext uri="{FF2B5EF4-FFF2-40B4-BE49-F238E27FC236}">
              <a16:creationId xmlns:a16="http://schemas.microsoft.com/office/drawing/2014/main" id="{E7B2A071-5C47-46D2-9ECA-6B191463417F}"/>
            </a:ext>
          </a:extLst>
        </xdr:cNvPr>
        <xdr:cNvSpPr>
          <a:spLocks noChangeArrowheads="1"/>
        </xdr:cNvSpPr>
      </xdr:nvSpPr>
      <xdr:spPr bwMode="auto">
        <a:xfrm>
          <a:off x="22542500" y="1029208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52" name="AutoShape 46">
          <a:extLst>
            <a:ext uri="{FF2B5EF4-FFF2-40B4-BE49-F238E27FC236}">
              <a16:creationId xmlns:a16="http://schemas.microsoft.com/office/drawing/2014/main" id="{A9B520A3-7EBC-4AF2-8863-6470D7B5D77B}"/>
            </a:ext>
          </a:extLst>
        </xdr:cNvPr>
        <xdr:cNvSpPr>
          <a:spLocks noChangeArrowheads="1"/>
        </xdr:cNvSpPr>
      </xdr:nvSpPr>
      <xdr:spPr bwMode="auto">
        <a:xfrm>
          <a:off x="254889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53" name="AutoShape 46">
          <a:extLst>
            <a:ext uri="{FF2B5EF4-FFF2-40B4-BE49-F238E27FC236}">
              <a16:creationId xmlns:a16="http://schemas.microsoft.com/office/drawing/2014/main" id="{97972133-01E8-478F-ACA1-C6EF1445F92C}"/>
            </a:ext>
          </a:extLst>
        </xdr:cNvPr>
        <xdr:cNvSpPr>
          <a:spLocks noChangeArrowheads="1"/>
        </xdr:cNvSpPr>
      </xdr:nvSpPr>
      <xdr:spPr bwMode="auto">
        <a:xfrm>
          <a:off x="276288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54" name="AutoShape 46">
          <a:extLst>
            <a:ext uri="{FF2B5EF4-FFF2-40B4-BE49-F238E27FC236}">
              <a16:creationId xmlns:a16="http://schemas.microsoft.com/office/drawing/2014/main" id="{3DC5F47A-6DE3-4D81-AB14-937C5C51FCB7}"/>
            </a:ext>
          </a:extLst>
        </xdr:cNvPr>
        <xdr:cNvSpPr>
          <a:spLocks noChangeArrowheads="1"/>
        </xdr:cNvSpPr>
      </xdr:nvSpPr>
      <xdr:spPr bwMode="auto">
        <a:xfrm>
          <a:off x="296418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215</xdr:row>
      <xdr:rowOff>57150</xdr:rowOff>
    </xdr:from>
    <xdr:to>
      <xdr:col>2</xdr:col>
      <xdr:colOff>0</xdr:colOff>
      <xdr:row>216</xdr:row>
      <xdr:rowOff>190500</xdr:rowOff>
    </xdr:to>
    <xdr:sp macro="" textlink="">
      <xdr:nvSpPr>
        <xdr:cNvPr id="655" name="AutoShape 46">
          <a:extLst>
            <a:ext uri="{FF2B5EF4-FFF2-40B4-BE49-F238E27FC236}">
              <a16:creationId xmlns:a16="http://schemas.microsoft.com/office/drawing/2014/main" id="{CADC6B3B-F6AC-4D5E-B07A-D558CB5C089A}"/>
            </a:ext>
          </a:extLst>
        </xdr:cNvPr>
        <xdr:cNvSpPr>
          <a:spLocks noChangeArrowheads="1"/>
        </xdr:cNvSpPr>
      </xdr:nvSpPr>
      <xdr:spPr bwMode="auto">
        <a:xfrm>
          <a:off x="7810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215</xdr:row>
      <xdr:rowOff>57150</xdr:rowOff>
    </xdr:from>
    <xdr:to>
      <xdr:col>4</xdr:col>
      <xdr:colOff>0</xdr:colOff>
      <xdr:row>216</xdr:row>
      <xdr:rowOff>190500</xdr:rowOff>
    </xdr:to>
    <xdr:sp macro="" textlink="">
      <xdr:nvSpPr>
        <xdr:cNvPr id="656" name="AutoShape 46">
          <a:extLst>
            <a:ext uri="{FF2B5EF4-FFF2-40B4-BE49-F238E27FC236}">
              <a16:creationId xmlns:a16="http://schemas.microsoft.com/office/drawing/2014/main" id="{446638B8-D860-4289-84E9-8FEC8874F0A1}"/>
            </a:ext>
          </a:extLst>
        </xdr:cNvPr>
        <xdr:cNvSpPr>
          <a:spLocks noChangeArrowheads="1"/>
        </xdr:cNvSpPr>
      </xdr:nvSpPr>
      <xdr:spPr bwMode="auto">
        <a:xfrm>
          <a:off x="27940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215</xdr:row>
      <xdr:rowOff>57150</xdr:rowOff>
    </xdr:from>
    <xdr:to>
      <xdr:col>6</xdr:col>
      <xdr:colOff>0</xdr:colOff>
      <xdr:row>216</xdr:row>
      <xdr:rowOff>190500</xdr:rowOff>
    </xdr:to>
    <xdr:sp macro="" textlink="">
      <xdr:nvSpPr>
        <xdr:cNvPr id="657" name="AutoShape 46">
          <a:extLst>
            <a:ext uri="{FF2B5EF4-FFF2-40B4-BE49-F238E27FC236}">
              <a16:creationId xmlns:a16="http://schemas.microsoft.com/office/drawing/2014/main" id="{86F95B0A-8DFC-4726-9355-FD6C42476D37}"/>
            </a:ext>
          </a:extLst>
        </xdr:cNvPr>
        <xdr:cNvSpPr>
          <a:spLocks noChangeArrowheads="1"/>
        </xdr:cNvSpPr>
      </xdr:nvSpPr>
      <xdr:spPr bwMode="auto">
        <a:xfrm>
          <a:off x="493395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215</xdr:row>
      <xdr:rowOff>57150</xdr:rowOff>
    </xdr:from>
    <xdr:to>
      <xdr:col>8</xdr:col>
      <xdr:colOff>0</xdr:colOff>
      <xdr:row>216</xdr:row>
      <xdr:rowOff>190500</xdr:rowOff>
    </xdr:to>
    <xdr:sp macro="" textlink="">
      <xdr:nvSpPr>
        <xdr:cNvPr id="658" name="AutoShape 46">
          <a:extLst>
            <a:ext uri="{FF2B5EF4-FFF2-40B4-BE49-F238E27FC236}">
              <a16:creationId xmlns:a16="http://schemas.microsoft.com/office/drawing/2014/main" id="{5B6FE1A4-4B96-4528-82D1-862E6569E970}"/>
            </a:ext>
          </a:extLst>
        </xdr:cNvPr>
        <xdr:cNvSpPr>
          <a:spLocks noChangeArrowheads="1"/>
        </xdr:cNvSpPr>
      </xdr:nvSpPr>
      <xdr:spPr bwMode="auto">
        <a:xfrm>
          <a:off x="69469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42333</xdr:colOff>
      <xdr:row>215</xdr:row>
      <xdr:rowOff>63502</xdr:rowOff>
    </xdr:from>
    <xdr:to>
      <xdr:col>9</xdr:col>
      <xdr:colOff>1206499</xdr:colOff>
      <xdr:row>216</xdr:row>
      <xdr:rowOff>148169</xdr:rowOff>
    </xdr:to>
    <xdr:sp macro="" textlink="">
      <xdr:nvSpPr>
        <xdr:cNvPr id="659" name="AutoShape 46">
          <a:extLst>
            <a:ext uri="{FF2B5EF4-FFF2-40B4-BE49-F238E27FC236}">
              <a16:creationId xmlns:a16="http://schemas.microsoft.com/office/drawing/2014/main" id="{2B043AAC-0523-4460-BE0B-FC81FEC3ED8C}"/>
            </a:ext>
          </a:extLst>
        </xdr:cNvPr>
        <xdr:cNvSpPr>
          <a:spLocks noChangeArrowheads="1"/>
        </xdr:cNvSpPr>
      </xdr:nvSpPr>
      <xdr:spPr bwMode="auto">
        <a:xfrm>
          <a:off x="9319683" y="107086402"/>
          <a:ext cx="1164166" cy="510117"/>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215</xdr:row>
      <xdr:rowOff>57150</xdr:rowOff>
    </xdr:from>
    <xdr:to>
      <xdr:col>12</xdr:col>
      <xdr:colOff>0</xdr:colOff>
      <xdr:row>216</xdr:row>
      <xdr:rowOff>190500</xdr:rowOff>
    </xdr:to>
    <xdr:sp macro="" textlink="">
      <xdr:nvSpPr>
        <xdr:cNvPr id="660" name="AutoShape 46">
          <a:extLst>
            <a:ext uri="{FF2B5EF4-FFF2-40B4-BE49-F238E27FC236}">
              <a16:creationId xmlns:a16="http://schemas.microsoft.com/office/drawing/2014/main" id="{9BFB8FE1-91D5-43ED-B2CD-40313D39C03B}"/>
            </a:ext>
          </a:extLst>
        </xdr:cNvPr>
        <xdr:cNvSpPr>
          <a:spLocks noChangeArrowheads="1"/>
        </xdr:cNvSpPr>
      </xdr:nvSpPr>
      <xdr:spPr bwMode="auto">
        <a:xfrm>
          <a:off x="112903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215</xdr:row>
      <xdr:rowOff>57150</xdr:rowOff>
    </xdr:from>
    <xdr:to>
      <xdr:col>14</xdr:col>
      <xdr:colOff>0</xdr:colOff>
      <xdr:row>216</xdr:row>
      <xdr:rowOff>190500</xdr:rowOff>
    </xdr:to>
    <xdr:sp macro="" textlink="">
      <xdr:nvSpPr>
        <xdr:cNvPr id="661" name="AutoShape 46">
          <a:extLst>
            <a:ext uri="{FF2B5EF4-FFF2-40B4-BE49-F238E27FC236}">
              <a16:creationId xmlns:a16="http://schemas.microsoft.com/office/drawing/2014/main" id="{692619C2-F8E3-4B08-8D69-75E2386DEE4D}"/>
            </a:ext>
          </a:extLst>
        </xdr:cNvPr>
        <xdr:cNvSpPr>
          <a:spLocks noChangeArrowheads="1"/>
        </xdr:cNvSpPr>
      </xdr:nvSpPr>
      <xdr:spPr bwMode="auto">
        <a:xfrm>
          <a:off x="133032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215</xdr:row>
      <xdr:rowOff>57150</xdr:rowOff>
    </xdr:from>
    <xdr:to>
      <xdr:col>16</xdr:col>
      <xdr:colOff>0</xdr:colOff>
      <xdr:row>216</xdr:row>
      <xdr:rowOff>190500</xdr:rowOff>
    </xdr:to>
    <xdr:sp macro="" textlink="">
      <xdr:nvSpPr>
        <xdr:cNvPr id="662" name="AutoShape 46">
          <a:extLst>
            <a:ext uri="{FF2B5EF4-FFF2-40B4-BE49-F238E27FC236}">
              <a16:creationId xmlns:a16="http://schemas.microsoft.com/office/drawing/2014/main" id="{F49C7409-768D-4A2C-B3C9-5D3FC77A08B3}"/>
            </a:ext>
          </a:extLst>
        </xdr:cNvPr>
        <xdr:cNvSpPr>
          <a:spLocks noChangeArrowheads="1"/>
        </xdr:cNvSpPr>
      </xdr:nvSpPr>
      <xdr:spPr bwMode="auto">
        <a:xfrm>
          <a:off x="153162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215</xdr:row>
      <xdr:rowOff>57150</xdr:rowOff>
    </xdr:from>
    <xdr:to>
      <xdr:col>16</xdr:col>
      <xdr:colOff>0</xdr:colOff>
      <xdr:row>216</xdr:row>
      <xdr:rowOff>190500</xdr:rowOff>
    </xdr:to>
    <xdr:sp macro="" textlink="">
      <xdr:nvSpPr>
        <xdr:cNvPr id="663" name="AutoShape 46">
          <a:extLst>
            <a:ext uri="{FF2B5EF4-FFF2-40B4-BE49-F238E27FC236}">
              <a16:creationId xmlns:a16="http://schemas.microsoft.com/office/drawing/2014/main" id="{3DFE8E2B-A30E-4981-A31C-1142658A656A}"/>
            </a:ext>
          </a:extLst>
        </xdr:cNvPr>
        <xdr:cNvSpPr>
          <a:spLocks noChangeArrowheads="1"/>
        </xdr:cNvSpPr>
      </xdr:nvSpPr>
      <xdr:spPr bwMode="auto">
        <a:xfrm>
          <a:off x="15316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10</xdr:col>
      <xdr:colOff>0</xdr:colOff>
      <xdr:row>132</xdr:row>
      <xdr:rowOff>0</xdr:rowOff>
    </xdr:from>
    <xdr:to>
      <xdr:col>10</xdr:col>
      <xdr:colOff>228600</xdr:colOff>
      <xdr:row>133</xdr:row>
      <xdr:rowOff>0</xdr:rowOff>
    </xdr:to>
    <xdr:grpSp>
      <xdr:nvGrpSpPr>
        <xdr:cNvPr id="664" name="Group 1008">
          <a:extLst>
            <a:ext uri="{FF2B5EF4-FFF2-40B4-BE49-F238E27FC236}">
              <a16:creationId xmlns:a16="http://schemas.microsoft.com/office/drawing/2014/main" id="{C08D9FF3-CF75-4AE1-A545-7004B453D170}"/>
            </a:ext>
          </a:extLst>
        </xdr:cNvPr>
        <xdr:cNvGrpSpPr>
          <a:grpSpLocks/>
        </xdr:cNvGrpSpPr>
      </xdr:nvGrpSpPr>
      <xdr:grpSpPr bwMode="auto">
        <a:xfrm>
          <a:off x="10541000" y="67198875"/>
          <a:ext cx="228600" cy="428625"/>
          <a:chOff x="5475762" y="47760700"/>
          <a:chExt cx="314325" cy="230209"/>
        </a:xfrm>
      </xdr:grpSpPr>
      <xdr:cxnSp macro="">
        <xdr:nvCxnSpPr>
          <xdr:cNvPr id="665" name="Straight Connector 664">
            <a:extLst>
              <a:ext uri="{FF2B5EF4-FFF2-40B4-BE49-F238E27FC236}">
                <a16:creationId xmlns:a16="http://schemas.microsoft.com/office/drawing/2014/main" id="{96CDEDDD-D87E-62AE-3133-2B65E243F5F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666" name="Straight Connector 529">
            <a:extLst>
              <a:ext uri="{FF2B5EF4-FFF2-40B4-BE49-F238E27FC236}">
                <a16:creationId xmlns:a16="http://schemas.microsoft.com/office/drawing/2014/main" id="{3EE09718-5F5A-B7A2-2F45-6FD40E38429E}"/>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667" name="Straight Connector 531">
            <a:extLst>
              <a:ext uri="{FF2B5EF4-FFF2-40B4-BE49-F238E27FC236}">
                <a16:creationId xmlns:a16="http://schemas.microsoft.com/office/drawing/2014/main" id="{1E6353CC-DBEB-0A16-6585-EFB79FA1A30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668" name="Straight Connector 533">
            <a:extLst>
              <a:ext uri="{FF2B5EF4-FFF2-40B4-BE49-F238E27FC236}">
                <a16:creationId xmlns:a16="http://schemas.microsoft.com/office/drawing/2014/main" id="{48C26F74-8FD6-EC9A-C105-AAE15004D3B6}"/>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669" name="Straight Connector 535">
            <a:extLst>
              <a:ext uri="{FF2B5EF4-FFF2-40B4-BE49-F238E27FC236}">
                <a16:creationId xmlns:a16="http://schemas.microsoft.com/office/drawing/2014/main" id="{7E37978A-4281-BA25-DB3F-9606C76911E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670" name="Straight Connector 537">
            <a:extLst>
              <a:ext uri="{FF2B5EF4-FFF2-40B4-BE49-F238E27FC236}">
                <a16:creationId xmlns:a16="http://schemas.microsoft.com/office/drawing/2014/main" id="{2E7BAD56-4571-1457-40E5-9BBCA502E26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23</xdr:col>
      <xdr:colOff>515470</xdr:colOff>
      <xdr:row>46</xdr:row>
      <xdr:rowOff>56029</xdr:rowOff>
    </xdr:from>
    <xdr:to>
      <xdr:col>23</xdr:col>
      <xdr:colOff>523937</xdr:colOff>
      <xdr:row>55</xdr:row>
      <xdr:rowOff>42952</xdr:rowOff>
    </xdr:to>
    <xdr:pic>
      <xdr:nvPicPr>
        <xdr:cNvPr id="671" name="Picture 11597">
          <a:extLst>
            <a:ext uri="{FF2B5EF4-FFF2-40B4-BE49-F238E27FC236}">
              <a16:creationId xmlns:a16="http://schemas.microsoft.com/office/drawing/2014/main" id="{74996091-5F12-4CED-B836-BFE6F9FD336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6004370" y="22763629"/>
          <a:ext cx="8467" cy="16442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0</xdr:colOff>
      <xdr:row>129</xdr:row>
      <xdr:rowOff>57150</xdr:rowOff>
    </xdr:from>
    <xdr:to>
      <xdr:col>26</xdr:col>
      <xdr:colOff>0</xdr:colOff>
      <xdr:row>130</xdr:row>
      <xdr:rowOff>190500</xdr:rowOff>
    </xdr:to>
    <xdr:sp macro="" textlink="">
      <xdr:nvSpPr>
        <xdr:cNvPr id="672" name="AutoShape 46">
          <a:extLst>
            <a:ext uri="{FF2B5EF4-FFF2-40B4-BE49-F238E27FC236}">
              <a16:creationId xmlns:a16="http://schemas.microsoft.com/office/drawing/2014/main" id="{2BF10FE2-D18A-467C-BDEE-DF44A50F1B6C}"/>
            </a:ext>
          </a:extLst>
        </xdr:cNvPr>
        <xdr:cNvSpPr>
          <a:spLocks noChangeArrowheads="1"/>
        </xdr:cNvSpPr>
      </xdr:nvSpPr>
      <xdr:spPr bwMode="auto">
        <a:xfrm>
          <a:off x="276288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129</xdr:row>
      <xdr:rowOff>57150</xdr:rowOff>
    </xdr:from>
    <xdr:to>
      <xdr:col>26</xdr:col>
      <xdr:colOff>0</xdr:colOff>
      <xdr:row>130</xdr:row>
      <xdr:rowOff>190500</xdr:rowOff>
    </xdr:to>
    <xdr:sp macro="" textlink="">
      <xdr:nvSpPr>
        <xdr:cNvPr id="673" name="AutoShape 46">
          <a:extLst>
            <a:ext uri="{FF2B5EF4-FFF2-40B4-BE49-F238E27FC236}">
              <a16:creationId xmlns:a16="http://schemas.microsoft.com/office/drawing/2014/main" id="{BF506EDE-D18A-489B-B26D-4928B2A3AEA5}"/>
            </a:ext>
          </a:extLst>
        </xdr:cNvPr>
        <xdr:cNvSpPr>
          <a:spLocks noChangeArrowheads="1"/>
        </xdr:cNvSpPr>
      </xdr:nvSpPr>
      <xdr:spPr bwMode="auto">
        <a:xfrm>
          <a:off x="2762885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129</xdr:row>
      <xdr:rowOff>57150</xdr:rowOff>
    </xdr:from>
    <xdr:to>
      <xdr:col>26</xdr:col>
      <xdr:colOff>0</xdr:colOff>
      <xdr:row>130</xdr:row>
      <xdr:rowOff>190500</xdr:rowOff>
    </xdr:to>
    <xdr:sp macro="" textlink="">
      <xdr:nvSpPr>
        <xdr:cNvPr id="674" name="AutoShape 46">
          <a:extLst>
            <a:ext uri="{FF2B5EF4-FFF2-40B4-BE49-F238E27FC236}">
              <a16:creationId xmlns:a16="http://schemas.microsoft.com/office/drawing/2014/main" id="{CF52BE28-6792-4478-8B99-3BA4C0783572}"/>
            </a:ext>
          </a:extLst>
        </xdr:cNvPr>
        <xdr:cNvSpPr>
          <a:spLocks noChangeArrowheads="1"/>
        </xdr:cNvSpPr>
      </xdr:nvSpPr>
      <xdr:spPr bwMode="auto">
        <a:xfrm>
          <a:off x="276288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138</xdr:row>
      <xdr:rowOff>57150</xdr:rowOff>
    </xdr:from>
    <xdr:to>
      <xdr:col>4</xdr:col>
      <xdr:colOff>0</xdr:colOff>
      <xdr:row>139</xdr:row>
      <xdr:rowOff>190500</xdr:rowOff>
    </xdr:to>
    <xdr:sp macro="" textlink="">
      <xdr:nvSpPr>
        <xdr:cNvPr id="675" name="AutoShape 46">
          <a:extLst>
            <a:ext uri="{FF2B5EF4-FFF2-40B4-BE49-F238E27FC236}">
              <a16:creationId xmlns:a16="http://schemas.microsoft.com/office/drawing/2014/main" id="{88D63EE7-ECEC-4537-B719-DB43DB09EB55}"/>
            </a:ext>
          </a:extLst>
        </xdr:cNvPr>
        <xdr:cNvSpPr>
          <a:spLocks noChangeArrowheads="1"/>
        </xdr:cNvSpPr>
      </xdr:nvSpPr>
      <xdr:spPr bwMode="auto">
        <a:xfrm>
          <a:off x="27940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223</xdr:row>
      <xdr:rowOff>57150</xdr:rowOff>
    </xdr:from>
    <xdr:to>
      <xdr:col>2</xdr:col>
      <xdr:colOff>0</xdr:colOff>
      <xdr:row>224</xdr:row>
      <xdr:rowOff>190500</xdr:rowOff>
    </xdr:to>
    <xdr:sp macro="" textlink="">
      <xdr:nvSpPr>
        <xdr:cNvPr id="676" name="AutoShape 46">
          <a:extLst>
            <a:ext uri="{FF2B5EF4-FFF2-40B4-BE49-F238E27FC236}">
              <a16:creationId xmlns:a16="http://schemas.microsoft.com/office/drawing/2014/main" id="{AB3FBA32-9A89-45E1-B528-61655F013EB6}"/>
            </a:ext>
          </a:extLst>
        </xdr:cNvPr>
        <xdr:cNvSpPr>
          <a:spLocks noChangeArrowheads="1"/>
        </xdr:cNvSpPr>
      </xdr:nvSpPr>
      <xdr:spPr bwMode="auto">
        <a:xfrm>
          <a:off x="7810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223</xdr:row>
      <xdr:rowOff>57150</xdr:rowOff>
    </xdr:from>
    <xdr:to>
      <xdr:col>4</xdr:col>
      <xdr:colOff>0</xdr:colOff>
      <xdr:row>224</xdr:row>
      <xdr:rowOff>190500</xdr:rowOff>
    </xdr:to>
    <xdr:sp macro="" textlink="">
      <xdr:nvSpPr>
        <xdr:cNvPr id="677" name="AutoShape 46">
          <a:extLst>
            <a:ext uri="{FF2B5EF4-FFF2-40B4-BE49-F238E27FC236}">
              <a16:creationId xmlns:a16="http://schemas.microsoft.com/office/drawing/2014/main" id="{BC1DA287-79FF-4195-8E73-348CFFB677EB}"/>
            </a:ext>
          </a:extLst>
        </xdr:cNvPr>
        <xdr:cNvSpPr>
          <a:spLocks noChangeArrowheads="1"/>
        </xdr:cNvSpPr>
      </xdr:nvSpPr>
      <xdr:spPr bwMode="auto">
        <a:xfrm>
          <a:off x="27940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223</xdr:row>
      <xdr:rowOff>57150</xdr:rowOff>
    </xdr:from>
    <xdr:to>
      <xdr:col>6</xdr:col>
      <xdr:colOff>0</xdr:colOff>
      <xdr:row>224</xdr:row>
      <xdr:rowOff>190500</xdr:rowOff>
    </xdr:to>
    <xdr:sp macro="" textlink="">
      <xdr:nvSpPr>
        <xdr:cNvPr id="678" name="AutoShape 46">
          <a:extLst>
            <a:ext uri="{FF2B5EF4-FFF2-40B4-BE49-F238E27FC236}">
              <a16:creationId xmlns:a16="http://schemas.microsoft.com/office/drawing/2014/main" id="{D00B26F6-EB03-4F8F-9A45-0E4D906C2D38}"/>
            </a:ext>
          </a:extLst>
        </xdr:cNvPr>
        <xdr:cNvSpPr>
          <a:spLocks noChangeArrowheads="1"/>
        </xdr:cNvSpPr>
      </xdr:nvSpPr>
      <xdr:spPr bwMode="auto">
        <a:xfrm>
          <a:off x="493395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223</xdr:row>
      <xdr:rowOff>57150</xdr:rowOff>
    </xdr:from>
    <xdr:to>
      <xdr:col>8</xdr:col>
      <xdr:colOff>0</xdr:colOff>
      <xdr:row>224</xdr:row>
      <xdr:rowOff>190500</xdr:rowOff>
    </xdr:to>
    <xdr:sp macro="" textlink="">
      <xdr:nvSpPr>
        <xdr:cNvPr id="679" name="AutoShape 46">
          <a:extLst>
            <a:ext uri="{FF2B5EF4-FFF2-40B4-BE49-F238E27FC236}">
              <a16:creationId xmlns:a16="http://schemas.microsoft.com/office/drawing/2014/main" id="{59AD019D-6C32-45C5-AD00-0B47914E0100}"/>
            </a:ext>
          </a:extLst>
        </xdr:cNvPr>
        <xdr:cNvSpPr>
          <a:spLocks noChangeArrowheads="1"/>
        </xdr:cNvSpPr>
      </xdr:nvSpPr>
      <xdr:spPr bwMode="auto">
        <a:xfrm>
          <a:off x="69469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223</xdr:row>
      <xdr:rowOff>57150</xdr:rowOff>
    </xdr:from>
    <xdr:to>
      <xdr:col>10</xdr:col>
      <xdr:colOff>0</xdr:colOff>
      <xdr:row>224</xdr:row>
      <xdr:rowOff>190500</xdr:rowOff>
    </xdr:to>
    <xdr:sp macro="" textlink="">
      <xdr:nvSpPr>
        <xdr:cNvPr id="680" name="AutoShape 46">
          <a:extLst>
            <a:ext uri="{FF2B5EF4-FFF2-40B4-BE49-F238E27FC236}">
              <a16:creationId xmlns:a16="http://schemas.microsoft.com/office/drawing/2014/main" id="{C66A64F6-DDB4-4A20-B4C6-6B756C957DF0}"/>
            </a:ext>
          </a:extLst>
        </xdr:cNvPr>
        <xdr:cNvSpPr>
          <a:spLocks noChangeArrowheads="1"/>
        </xdr:cNvSpPr>
      </xdr:nvSpPr>
      <xdr:spPr bwMode="auto">
        <a:xfrm>
          <a:off x="92773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223</xdr:row>
      <xdr:rowOff>57150</xdr:rowOff>
    </xdr:from>
    <xdr:to>
      <xdr:col>12</xdr:col>
      <xdr:colOff>0</xdr:colOff>
      <xdr:row>224</xdr:row>
      <xdr:rowOff>190500</xdr:rowOff>
    </xdr:to>
    <xdr:sp macro="" textlink="">
      <xdr:nvSpPr>
        <xdr:cNvPr id="681" name="AutoShape 46">
          <a:extLst>
            <a:ext uri="{FF2B5EF4-FFF2-40B4-BE49-F238E27FC236}">
              <a16:creationId xmlns:a16="http://schemas.microsoft.com/office/drawing/2014/main" id="{85E578E2-46EE-48AD-8C34-B0A078918478}"/>
            </a:ext>
          </a:extLst>
        </xdr:cNvPr>
        <xdr:cNvSpPr>
          <a:spLocks noChangeArrowheads="1"/>
        </xdr:cNvSpPr>
      </xdr:nvSpPr>
      <xdr:spPr bwMode="auto">
        <a:xfrm>
          <a:off x="112903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223</xdr:row>
      <xdr:rowOff>57150</xdr:rowOff>
    </xdr:from>
    <xdr:to>
      <xdr:col>14</xdr:col>
      <xdr:colOff>0</xdr:colOff>
      <xdr:row>224</xdr:row>
      <xdr:rowOff>190500</xdr:rowOff>
    </xdr:to>
    <xdr:sp macro="" textlink="">
      <xdr:nvSpPr>
        <xdr:cNvPr id="682" name="AutoShape 46">
          <a:extLst>
            <a:ext uri="{FF2B5EF4-FFF2-40B4-BE49-F238E27FC236}">
              <a16:creationId xmlns:a16="http://schemas.microsoft.com/office/drawing/2014/main" id="{5B9AC843-6E64-4D68-B8E2-C7EC60B983ED}"/>
            </a:ext>
          </a:extLst>
        </xdr:cNvPr>
        <xdr:cNvSpPr>
          <a:spLocks noChangeArrowheads="1"/>
        </xdr:cNvSpPr>
      </xdr:nvSpPr>
      <xdr:spPr bwMode="auto">
        <a:xfrm>
          <a:off x="133032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223</xdr:row>
      <xdr:rowOff>57150</xdr:rowOff>
    </xdr:from>
    <xdr:to>
      <xdr:col>16</xdr:col>
      <xdr:colOff>0</xdr:colOff>
      <xdr:row>224</xdr:row>
      <xdr:rowOff>190500</xdr:rowOff>
    </xdr:to>
    <xdr:sp macro="" textlink="">
      <xdr:nvSpPr>
        <xdr:cNvPr id="683" name="AutoShape 46">
          <a:extLst>
            <a:ext uri="{FF2B5EF4-FFF2-40B4-BE49-F238E27FC236}">
              <a16:creationId xmlns:a16="http://schemas.microsoft.com/office/drawing/2014/main" id="{6C07D642-A99E-4E26-B82F-526441404A18}"/>
            </a:ext>
          </a:extLst>
        </xdr:cNvPr>
        <xdr:cNvSpPr>
          <a:spLocks noChangeArrowheads="1"/>
        </xdr:cNvSpPr>
      </xdr:nvSpPr>
      <xdr:spPr bwMode="auto">
        <a:xfrm>
          <a:off x="153162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223</xdr:row>
      <xdr:rowOff>57150</xdr:rowOff>
    </xdr:from>
    <xdr:to>
      <xdr:col>16</xdr:col>
      <xdr:colOff>0</xdr:colOff>
      <xdr:row>224</xdr:row>
      <xdr:rowOff>190500</xdr:rowOff>
    </xdr:to>
    <xdr:sp macro="" textlink="">
      <xdr:nvSpPr>
        <xdr:cNvPr id="684" name="AutoShape 46">
          <a:extLst>
            <a:ext uri="{FF2B5EF4-FFF2-40B4-BE49-F238E27FC236}">
              <a16:creationId xmlns:a16="http://schemas.microsoft.com/office/drawing/2014/main" id="{162324EF-0028-408F-8113-9D68CFE04866}"/>
            </a:ext>
          </a:extLst>
        </xdr:cNvPr>
        <xdr:cNvSpPr>
          <a:spLocks noChangeArrowheads="1"/>
        </xdr:cNvSpPr>
      </xdr:nvSpPr>
      <xdr:spPr bwMode="auto">
        <a:xfrm>
          <a:off x="15316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85" name="AutoShape 46">
          <a:extLst>
            <a:ext uri="{FF2B5EF4-FFF2-40B4-BE49-F238E27FC236}">
              <a16:creationId xmlns:a16="http://schemas.microsoft.com/office/drawing/2014/main" id="{3599498F-9845-41AF-A686-8E198C98A26E}"/>
            </a:ext>
          </a:extLst>
        </xdr:cNvPr>
        <xdr:cNvSpPr>
          <a:spLocks noChangeArrowheads="1"/>
        </xdr:cNvSpPr>
      </xdr:nvSpPr>
      <xdr:spPr bwMode="auto">
        <a:xfrm>
          <a:off x="17729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86" name="AutoShape 46">
          <a:extLst>
            <a:ext uri="{FF2B5EF4-FFF2-40B4-BE49-F238E27FC236}">
              <a16:creationId xmlns:a16="http://schemas.microsoft.com/office/drawing/2014/main" id="{E47DC311-0ABD-43F4-B988-12B3BC925740}"/>
            </a:ext>
          </a:extLst>
        </xdr:cNvPr>
        <xdr:cNvSpPr>
          <a:spLocks noChangeArrowheads="1"/>
        </xdr:cNvSpPr>
      </xdr:nvSpPr>
      <xdr:spPr bwMode="auto">
        <a:xfrm>
          <a:off x="199580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87" name="AutoShape 46">
          <a:extLst>
            <a:ext uri="{FF2B5EF4-FFF2-40B4-BE49-F238E27FC236}">
              <a16:creationId xmlns:a16="http://schemas.microsoft.com/office/drawing/2014/main" id="{CA587C10-596C-4CCB-B764-3599752C21D5}"/>
            </a:ext>
          </a:extLst>
        </xdr:cNvPr>
        <xdr:cNvSpPr>
          <a:spLocks noChangeArrowheads="1"/>
        </xdr:cNvSpPr>
      </xdr:nvSpPr>
      <xdr:spPr bwMode="auto">
        <a:xfrm>
          <a:off x="22542500" y="1070800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688" name="AutoShape 46">
          <a:extLst>
            <a:ext uri="{FF2B5EF4-FFF2-40B4-BE49-F238E27FC236}">
              <a16:creationId xmlns:a16="http://schemas.microsoft.com/office/drawing/2014/main" id="{3C9EB6C9-C5D1-4163-B887-310FC00AABA6}"/>
            </a:ext>
          </a:extLst>
        </xdr:cNvPr>
        <xdr:cNvSpPr>
          <a:spLocks noChangeArrowheads="1"/>
        </xdr:cNvSpPr>
      </xdr:nvSpPr>
      <xdr:spPr bwMode="auto">
        <a:xfrm>
          <a:off x="254889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689" name="AutoShape 46">
          <a:extLst>
            <a:ext uri="{FF2B5EF4-FFF2-40B4-BE49-F238E27FC236}">
              <a16:creationId xmlns:a16="http://schemas.microsoft.com/office/drawing/2014/main" id="{D1F925C1-EBA4-4985-80BD-1C3EE6EAEA13}"/>
            </a:ext>
          </a:extLst>
        </xdr:cNvPr>
        <xdr:cNvSpPr>
          <a:spLocks noChangeArrowheads="1"/>
        </xdr:cNvSpPr>
      </xdr:nvSpPr>
      <xdr:spPr bwMode="auto">
        <a:xfrm>
          <a:off x="276288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690" name="AutoShape 46">
          <a:extLst>
            <a:ext uri="{FF2B5EF4-FFF2-40B4-BE49-F238E27FC236}">
              <a16:creationId xmlns:a16="http://schemas.microsoft.com/office/drawing/2014/main" id="{5A360C99-100C-4951-9706-7E6894DC90B3}"/>
            </a:ext>
          </a:extLst>
        </xdr:cNvPr>
        <xdr:cNvSpPr>
          <a:spLocks noChangeArrowheads="1"/>
        </xdr:cNvSpPr>
      </xdr:nvSpPr>
      <xdr:spPr bwMode="auto">
        <a:xfrm>
          <a:off x="296418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91" name="AutoShape 46">
          <a:extLst>
            <a:ext uri="{FF2B5EF4-FFF2-40B4-BE49-F238E27FC236}">
              <a16:creationId xmlns:a16="http://schemas.microsoft.com/office/drawing/2014/main" id="{57F7193D-5EB8-40D4-BCF5-4F092D1497DC}"/>
            </a:ext>
          </a:extLst>
        </xdr:cNvPr>
        <xdr:cNvSpPr>
          <a:spLocks noChangeArrowheads="1"/>
        </xdr:cNvSpPr>
      </xdr:nvSpPr>
      <xdr:spPr bwMode="auto">
        <a:xfrm>
          <a:off x="177292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92" name="AutoShape 46">
          <a:extLst>
            <a:ext uri="{FF2B5EF4-FFF2-40B4-BE49-F238E27FC236}">
              <a16:creationId xmlns:a16="http://schemas.microsoft.com/office/drawing/2014/main" id="{794DCBD0-8E4E-4ED9-BF36-970C77B4E086}"/>
            </a:ext>
          </a:extLst>
        </xdr:cNvPr>
        <xdr:cNvSpPr>
          <a:spLocks noChangeArrowheads="1"/>
        </xdr:cNvSpPr>
      </xdr:nvSpPr>
      <xdr:spPr bwMode="auto">
        <a:xfrm>
          <a:off x="1995805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93" name="AutoShape 46">
          <a:extLst>
            <a:ext uri="{FF2B5EF4-FFF2-40B4-BE49-F238E27FC236}">
              <a16:creationId xmlns:a16="http://schemas.microsoft.com/office/drawing/2014/main" id="{1CA047CF-1EE0-49E8-A07F-A00607A31E72}"/>
            </a:ext>
          </a:extLst>
        </xdr:cNvPr>
        <xdr:cNvSpPr>
          <a:spLocks noChangeArrowheads="1"/>
        </xdr:cNvSpPr>
      </xdr:nvSpPr>
      <xdr:spPr bwMode="auto">
        <a:xfrm>
          <a:off x="22542500" y="1070800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694" name="AutoShape 46">
          <a:extLst>
            <a:ext uri="{FF2B5EF4-FFF2-40B4-BE49-F238E27FC236}">
              <a16:creationId xmlns:a16="http://schemas.microsoft.com/office/drawing/2014/main" id="{4ACD506D-3EDE-452F-A577-D026C02846F3}"/>
            </a:ext>
          </a:extLst>
        </xdr:cNvPr>
        <xdr:cNvSpPr>
          <a:spLocks noChangeArrowheads="1"/>
        </xdr:cNvSpPr>
      </xdr:nvSpPr>
      <xdr:spPr bwMode="auto">
        <a:xfrm>
          <a:off x="254889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695" name="AutoShape 46">
          <a:extLst>
            <a:ext uri="{FF2B5EF4-FFF2-40B4-BE49-F238E27FC236}">
              <a16:creationId xmlns:a16="http://schemas.microsoft.com/office/drawing/2014/main" id="{B2B8C2B2-9250-4C32-97D0-B14492AAB798}"/>
            </a:ext>
          </a:extLst>
        </xdr:cNvPr>
        <xdr:cNvSpPr>
          <a:spLocks noChangeArrowheads="1"/>
        </xdr:cNvSpPr>
      </xdr:nvSpPr>
      <xdr:spPr bwMode="auto">
        <a:xfrm>
          <a:off x="2762885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696" name="AutoShape 46">
          <a:extLst>
            <a:ext uri="{FF2B5EF4-FFF2-40B4-BE49-F238E27FC236}">
              <a16:creationId xmlns:a16="http://schemas.microsoft.com/office/drawing/2014/main" id="{39BB0219-2236-49A7-A1E1-458BD6CC8E98}"/>
            </a:ext>
          </a:extLst>
        </xdr:cNvPr>
        <xdr:cNvSpPr>
          <a:spLocks noChangeArrowheads="1"/>
        </xdr:cNvSpPr>
      </xdr:nvSpPr>
      <xdr:spPr bwMode="auto">
        <a:xfrm>
          <a:off x="296418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97" name="AutoShape 46">
          <a:extLst>
            <a:ext uri="{FF2B5EF4-FFF2-40B4-BE49-F238E27FC236}">
              <a16:creationId xmlns:a16="http://schemas.microsoft.com/office/drawing/2014/main" id="{A94868D5-520C-4061-9E38-6C960F431ABD}"/>
            </a:ext>
          </a:extLst>
        </xdr:cNvPr>
        <xdr:cNvSpPr>
          <a:spLocks noChangeArrowheads="1"/>
        </xdr:cNvSpPr>
      </xdr:nvSpPr>
      <xdr:spPr bwMode="auto">
        <a:xfrm>
          <a:off x="17729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98" name="AutoShape 46">
          <a:extLst>
            <a:ext uri="{FF2B5EF4-FFF2-40B4-BE49-F238E27FC236}">
              <a16:creationId xmlns:a16="http://schemas.microsoft.com/office/drawing/2014/main" id="{26B87D8B-B4D2-4145-AF9C-2E330A1995BC}"/>
            </a:ext>
          </a:extLst>
        </xdr:cNvPr>
        <xdr:cNvSpPr>
          <a:spLocks noChangeArrowheads="1"/>
        </xdr:cNvSpPr>
      </xdr:nvSpPr>
      <xdr:spPr bwMode="auto">
        <a:xfrm>
          <a:off x="1995805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99" name="AutoShape 46">
          <a:extLst>
            <a:ext uri="{FF2B5EF4-FFF2-40B4-BE49-F238E27FC236}">
              <a16:creationId xmlns:a16="http://schemas.microsoft.com/office/drawing/2014/main" id="{442AAD46-DED5-45BB-98B8-B4950AA80CE5}"/>
            </a:ext>
          </a:extLst>
        </xdr:cNvPr>
        <xdr:cNvSpPr>
          <a:spLocks noChangeArrowheads="1"/>
        </xdr:cNvSpPr>
      </xdr:nvSpPr>
      <xdr:spPr bwMode="auto">
        <a:xfrm>
          <a:off x="22542500" y="1070800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700" name="AutoShape 46">
          <a:extLst>
            <a:ext uri="{FF2B5EF4-FFF2-40B4-BE49-F238E27FC236}">
              <a16:creationId xmlns:a16="http://schemas.microsoft.com/office/drawing/2014/main" id="{E123E788-6F9C-413D-B4B1-C03D5C0E0839}"/>
            </a:ext>
          </a:extLst>
        </xdr:cNvPr>
        <xdr:cNvSpPr>
          <a:spLocks noChangeArrowheads="1"/>
        </xdr:cNvSpPr>
      </xdr:nvSpPr>
      <xdr:spPr bwMode="auto">
        <a:xfrm>
          <a:off x="254889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701" name="AutoShape 46">
          <a:extLst>
            <a:ext uri="{FF2B5EF4-FFF2-40B4-BE49-F238E27FC236}">
              <a16:creationId xmlns:a16="http://schemas.microsoft.com/office/drawing/2014/main" id="{8D00B87D-99B6-4B0C-ACE9-2FBF11EFB45D}"/>
            </a:ext>
          </a:extLst>
        </xdr:cNvPr>
        <xdr:cNvSpPr>
          <a:spLocks noChangeArrowheads="1"/>
        </xdr:cNvSpPr>
      </xdr:nvSpPr>
      <xdr:spPr bwMode="auto">
        <a:xfrm>
          <a:off x="276288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702" name="AutoShape 46">
          <a:extLst>
            <a:ext uri="{FF2B5EF4-FFF2-40B4-BE49-F238E27FC236}">
              <a16:creationId xmlns:a16="http://schemas.microsoft.com/office/drawing/2014/main" id="{2358BF38-D783-4682-A288-D6DB58D25EDD}"/>
            </a:ext>
          </a:extLst>
        </xdr:cNvPr>
        <xdr:cNvSpPr>
          <a:spLocks noChangeArrowheads="1"/>
        </xdr:cNvSpPr>
      </xdr:nvSpPr>
      <xdr:spPr bwMode="auto">
        <a:xfrm>
          <a:off x="296418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03" name="AutoShape 46">
          <a:extLst>
            <a:ext uri="{FF2B5EF4-FFF2-40B4-BE49-F238E27FC236}">
              <a16:creationId xmlns:a16="http://schemas.microsoft.com/office/drawing/2014/main" id="{EF302B49-7CCB-4157-B9C4-845B6A74FCAD}"/>
            </a:ext>
          </a:extLst>
        </xdr:cNvPr>
        <xdr:cNvSpPr>
          <a:spLocks noChangeArrowheads="1"/>
        </xdr:cNvSpPr>
      </xdr:nvSpPr>
      <xdr:spPr bwMode="auto">
        <a:xfrm>
          <a:off x="17729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04" name="AutoShape 46">
          <a:extLst>
            <a:ext uri="{FF2B5EF4-FFF2-40B4-BE49-F238E27FC236}">
              <a16:creationId xmlns:a16="http://schemas.microsoft.com/office/drawing/2014/main" id="{8150FBC5-D423-4847-9E9C-4514FFCAF598}"/>
            </a:ext>
          </a:extLst>
        </xdr:cNvPr>
        <xdr:cNvSpPr>
          <a:spLocks noChangeArrowheads="1"/>
        </xdr:cNvSpPr>
      </xdr:nvSpPr>
      <xdr:spPr bwMode="auto">
        <a:xfrm>
          <a:off x="199580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05" name="AutoShape 46">
          <a:extLst>
            <a:ext uri="{FF2B5EF4-FFF2-40B4-BE49-F238E27FC236}">
              <a16:creationId xmlns:a16="http://schemas.microsoft.com/office/drawing/2014/main" id="{9D0A6916-A43B-48AA-A66C-47D0C9055420}"/>
            </a:ext>
          </a:extLst>
        </xdr:cNvPr>
        <xdr:cNvSpPr>
          <a:spLocks noChangeArrowheads="1"/>
        </xdr:cNvSpPr>
      </xdr:nvSpPr>
      <xdr:spPr bwMode="auto">
        <a:xfrm>
          <a:off x="22542500" y="1109980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06" name="AutoShape 46">
          <a:extLst>
            <a:ext uri="{FF2B5EF4-FFF2-40B4-BE49-F238E27FC236}">
              <a16:creationId xmlns:a16="http://schemas.microsoft.com/office/drawing/2014/main" id="{8BEDE4C5-3741-4F1B-B944-41CDEEAD4719}"/>
            </a:ext>
          </a:extLst>
        </xdr:cNvPr>
        <xdr:cNvSpPr>
          <a:spLocks noChangeArrowheads="1"/>
        </xdr:cNvSpPr>
      </xdr:nvSpPr>
      <xdr:spPr bwMode="auto">
        <a:xfrm>
          <a:off x="254889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07" name="AutoShape 46">
          <a:extLst>
            <a:ext uri="{FF2B5EF4-FFF2-40B4-BE49-F238E27FC236}">
              <a16:creationId xmlns:a16="http://schemas.microsoft.com/office/drawing/2014/main" id="{FE103854-B2B0-40F2-BFD8-15A22A7376D0}"/>
            </a:ext>
          </a:extLst>
        </xdr:cNvPr>
        <xdr:cNvSpPr>
          <a:spLocks noChangeArrowheads="1"/>
        </xdr:cNvSpPr>
      </xdr:nvSpPr>
      <xdr:spPr bwMode="auto">
        <a:xfrm>
          <a:off x="276288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08" name="AutoShape 46">
          <a:extLst>
            <a:ext uri="{FF2B5EF4-FFF2-40B4-BE49-F238E27FC236}">
              <a16:creationId xmlns:a16="http://schemas.microsoft.com/office/drawing/2014/main" id="{C04756D1-5625-4892-A371-35AFC2ADE01B}"/>
            </a:ext>
          </a:extLst>
        </xdr:cNvPr>
        <xdr:cNvSpPr>
          <a:spLocks noChangeArrowheads="1"/>
        </xdr:cNvSpPr>
      </xdr:nvSpPr>
      <xdr:spPr bwMode="auto">
        <a:xfrm>
          <a:off x="296418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09" name="AutoShape 46">
          <a:extLst>
            <a:ext uri="{FF2B5EF4-FFF2-40B4-BE49-F238E27FC236}">
              <a16:creationId xmlns:a16="http://schemas.microsoft.com/office/drawing/2014/main" id="{FCC36885-ACC4-42FC-950E-F4F3A21F9C64}"/>
            </a:ext>
          </a:extLst>
        </xdr:cNvPr>
        <xdr:cNvSpPr>
          <a:spLocks noChangeArrowheads="1"/>
        </xdr:cNvSpPr>
      </xdr:nvSpPr>
      <xdr:spPr bwMode="auto">
        <a:xfrm>
          <a:off x="177292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10" name="AutoShape 46">
          <a:extLst>
            <a:ext uri="{FF2B5EF4-FFF2-40B4-BE49-F238E27FC236}">
              <a16:creationId xmlns:a16="http://schemas.microsoft.com/office/drawing/2014/main" id="{05B35BE8-2271-459C-9B47-2E9A88155419}"/>
            </a:ext>
          </a:extLst>
        </xdr:cNvPr>
        <xdr:cNvSpPr>
          <a:spLocks noChangeArrowheads="1"/>
        </xdr:cNvSpPr>
      </xdr:nvSpPr>
      <xdr:spPr bwMode="auto">
        <a:xfrm>
          <a:off x="1995805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11" name="AutoShape 46">
          <a:extLst>
            <a:ext uri="{FF2B5EF4-FFF2-40B4-BE49-F238E27FC236}">
              <a16:creationId xmlns:a16="http://schemas.microsoft.com/office/drawing/2014/main" id="{A0F6681C-A140-45A8-ADA0-DD2803789533}"/>
            </a:ext>
          </a:extLst>
        </xdr:cNvPr>
        <xdr:cNvSpPr>
          <a:spLocks noChangeArrowheads="1"/>
        </xdr:cNvSpPr>
      </xdr:nvSpPr>
      <xdr:spPr bwMode="auto">
        <a:xfrm>
          <a:off x="22542500" y="1109980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12" name="AutoShape 46">
          <a:extLst>
            <a:ext uri="{FF2B5EF4-FFF2-40B4-BE49-F238E27FC236}">
              <a16:creationId xmlns:a16="http://schemas.microsoft.com/office/drawing/2014/main" id="{112832D2-D565-43C7-9A9D-A63D0C94A17B}"/>
            </a:ext>
          </a:extLst>
        </xdr:cNvPr>
        <xdr:cNvSpPr>
          <a:spLocks noChangeArrowheads="1"/>
        </xdr:cNvSpPr>
      </xdr:nvSpPr>
      <xdr:spPr bwMode="auto">
        <a:xfrm>
          <a:off x="254889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13" name="AutoShape 46">
          <a:extLst>
            <a:ext uri="{FF2B5EF4-FFF2-40B4-BE49-F238E27FC236}">
              <a16:creationId xmlns:a16="http://schemas.microsoft.com/office/drawing/2014/main" id="{60EA3793-FA2E-4E4D-97C7-8C12A58308B4}"/>
            </a:ext>
          </a:extLst>
        </xdr:cNvPr>
        <xdr:cNvSpPr>
          <a:spLocks noChangeArrowheads="1"/>
        </xdr:cNvSpPr>
      </xdr:nvSpPr>
      <xdr:spPr bwMode="auto">
        <a:xfrm>
          <a:off x="2762885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14" name="AutoShape 46">
          <a:extLst>
            <a:ext uri="{FF2B5EF4-FFF2-40B4-BE49-F238E27FC236}">
              <a16:creationId xmlns:a16="http://schemas.microsoft.com/office/drawing/2014/main" id="{90E30C0F-9AAF-44F3-9D68-3563AB4AEC8D}"/>
            </a:ext>
          </a:extLst>
        </xdr:cNvPr>
        <xdr:cNvSpPr>
          <a:spLocks noChangeArrowheads="1"/>
        </xdr:cNvSpPr>
      </xdr:nvSpPr>
      <xdr:spPr bwMode="auto">
        <a:xfrm>
          <a:off x="296418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15" name="AutoShape 46">
          <a:extLst>
            <a:ext uri="{FF2B5EF4-FFF2-40B4-BE49-F238E27FC236}">
              <a16:creationId xmlns:a16="http://schemas.microsoft.com/office/drawing/2014/main" id="{FEADE66D-95F3-4FDE-9286-E93F64EB7782}"/>
            </a:ext>
          </a:extLst>
        </xdr:cNvPr>
        <xdr:cNvSpPr>
          <a:spLocks noChangeArrowheads="1"/>
        </xdr:cNvSpPr>
      </xdr:nvSpPr>
      <xdr:spPr bwMode="auto">
        <a:xfrm>
          <a:off x="17729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16" name="AutoShape 46">
          <a:extLst>
            <a:ext uri="{FF2B5EF4-FFF2-40B4-BE49-F238E27FC236}">
              <a16:creationId xmlns:a16="http://schemas.microsoft.com/office/drawing/2014/main" id="{83ACCE79-112A-4325-A5D1-C74A425F8217}"/>
            </a:ext>
          </a:extLst>
        </xdr:cNvPr>
        <xdr:cNvSpPr>
          <a:spLocks noChangeArrowheads="1"/>
        </xdr:cNvSpPr>
      </xdr:nvSpPr>
      <xdr:spPr bwMode="auto">
        <a:xfrm>
          <a:off x="1995805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17" name="AutoShape 46">
          <a:extLst>
            <a:ext uri="{FF2B5EF4-FFF2-40B4-BE49-F238E27FC236}">
              <a16:creationId xmlns:a16="http://schemas.microsoft.com/office/drawing/2014/main" id="{02C7DBFC-D095-4CF5-B33A-36CCE47FB4A1}"/>
            </a:ext>
          </a:extLst>
        </xdr:cNvPr>
        <xdr:cNvSpPr>
          <a:spLocks noChangeArrowheads="1"/>
        </xdr:cNvSpPr>
      </xdr:nvSpPr>
      <xdr:spPr bwMode="auto">
        <a:xfrm>
          <a:off x="22542500" y="1109980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18" name="AutoShape 46">
          <a:extLst>
            <a:ext uri="{FF2B5EF4-FFF2-40B4-BE49-F238E27FC236}">
              <a16:creationId xmlns:a16="http://schemas.microsoft.com/office/drawing/2014/main" id="{D11A6A6C-8EEC-4907-8BBF-41A64A77D0A2}"/>
            </a:ext>
          </a:extLst>
        </xdr:cNvPr>
        <xdr:cNvSpPr>
          <a:spLocks noChangeArrowheads="1"/>
        </xdr:cNvSpPr>
      </xdr:nvSpPr>
      <xdr:spPr bwMode="auto">
        <a:xfrm>
          <a:off x="254889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19" name="AutoShape 46">
          <a:extLst>
            <a:ext uri="{FF2B5EF4-FFF2-40B4-BE49-F238E27FC236}">
              <a16:creationId xmlns:a16="http://schemas.microsoft.com/office/drawing/2014/main" id="{6A4EE2AD-2185-4577-B308-A40B913D41C3}"/>
            </a:ext>
          </a:extLst>
        </xdr:cNvPr>
        <xdr:cNvSpPr>
          <a:spLocks noChangeArrowheads="1"/>
        </xdr:cNvSpPr>
      </xdr:nvSpPr>
      <xdr:spPr bwMode="auto">
        <a:xfrm>
          <a:off x="27628850" y="1109980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20" name="AutoShape 46">
          <a:extLst>
            <a:ext uri="{FF2B5EF4-FFF2-40B4-BE49-F238E27FC236}">
              <a16:creationId xmlns:a16="http://schemas.microsoft.com/office/drawing/2014/main" id="{571265B6-9E29-4605-8E4B-2C99D95E1C04}"/>
            </a:ext>
          </a:extLst>
        </xdr:cNvPr>
        <xdr:cNvSpPr>
          <a:spLocks noChangeArrowheads="1"/>
        </xdr:cNvSpPr>
      </xdr:nvSpPr>
      <xdr:spPr bwMode="auto">
        <a:xfrm>
          <a:off x="29641800" y="1109980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xdr:col>
      <xdr:colOff>0</xdr:colOff>
      <xdr:row>232</xdr:row>
      <xdr:rowOff>57150</xdr:rowOff>
    </xdr:from>
    <xdr:to>
      <xdr:col>2</xdr:col>
      <xdr:colOff>0</xdr:colOff>
      <xdr:row>233</xdr:row>
      <xdr:rowOff>190500</xdr:rowOff>
    </xdr:to>
    <xdr:sp macro="" textlink="">
      <xdr:nvSpPr>
        <xdr:cNvPr id="721" name="AutoShape 46">
          <a:extLst>
            <a:ext uri="{FF2B5EF4-FFF2-40B4-BE49-F238E27FC236}">
              <a16:creationId xmlns:a16="http://schemas.microsoft.com/office/drawing/2014/main" id="{83390153-8363-4F77-B900-61AF1D4B0D67}"/>
            </a:ext>
          </a:extLst>
        </xdr:cNvPr>
        <xdr:cNvSpPr>
          <a:spLocks noChangeArrowheads="1"/>
        </xdr:cNvSpPr>
      </xdr:nvSpPr>
      <xdr:spPr bwMode="auto">
        <a:xfrm>
          <a:off x="78105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3</xdr:col>
      <xdr:colOff>0</xdr:colOff>
      <xdr:row>232</xdr:row>
      <xdr:rowOff>57150</xdr:rowOff>
    </xdr:from>
    <xdr:to>
      <xdr:col>4</xdr:col>
      <xdr:colOff>0</xdr:colOff>
      <xdr:row>233</xdr:row>
      <xdr:rowOff>190500</xdr:rowOff>
    </xdr:to>
    <xdr:sp macro="" textlink="">
      <xdr:nvSpPr>
        <xdr:cNvPr id="722" name="AutoShape 46">
          <a:extLst>
            <a:ext uri="{FF2B5EF4-FFF2-40B4-BE49-F238E27FC236}">
              <a16:creationId xmlns:a16="http://schemas.microsoft.com/office/drawing/2014/main" id="{CAC33820-FDF9-4BA1-9C3C-F599D5E405AE}"/>
            </a:ext>
          </a:extLst>
        </xdr:cNvPr>
        <xdr:cNvSpPr>
          <a:spLocks noChangeArrowheads="1"/>
        </xdr:cNvSpPr>
      </xdr:nvSpPr>
      <xdr:spPr bwMode="auto">
        <a:xfrm>
          <a:off x="279400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5</xdr:col>
      <xdr:colOff>0</xdr:colOff>
      <xdr:row>232</xdr:row>
      <xdr:rowOff>57150</xdr:rowOff>
    </xdr:from>
    <xdr:to>
      <xdr:col>6</xdr:col>
      <xdr:colOff>0</xdr:colOff>
      <xdr:row>233</xdr:row>
      <xdr:rowOff>190500</xdr:rowOff>
    </xdr:to>
    <xdr:sp macro="" textlink="">
      <xdr:nvSpPr>
        <xdr:cNvPr id="723" name="AutoShape 46">
          <a:extLst>
            <a:ext uri="{FF2B5EF4-FFF2-40B4-BE49-F238E27FC236}">
              <a16:creationId xmlns:a16="http://schemas.microsoft.com/office/drawing/2014/main" id="{9D48458B-B643-4811-AE8D-A3CD4D49B403}"/>
            </a:ext>
          </a:extLst>
        </xdr:cNvPr>
        <xdr:cNvSpPr>
          <a:spLocks noChangeArrowheads="1"/>
        </xdr:cNvSpPr>
      </xdr:nvSpPr>
      <xdr:spPr bwMode="auto">
        <a:xfrm>
          <a:off x="4933950" y="115106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232</xdr:row>
      <xdr:rowOff>57150</xdr:rowOff>
    </xdr:from>
    <xdr:to>
      <xdr:col>8</xdr:col>
      <xdr:colOff>0</xdr:colOff>
      <xdr:row>233</xdr:row>
      <xdr:rowOff>190500</xdr:rowOff>
    </xdr:to>
    <xdr:sp macro="" textlink="">
      <xdr:nvSpPr>
        <xdr:cNvPr id="724" name="AutoShape 46">
          <a:extLst>
            <a:ext uri="{FF2B5EF4-FFF2-40B4-BE49-F238E27FC236}">
              <a16:creationId xmlns:a16="http://schemas.microsoft.com/office/drawing/2014/main" id="{CB33D818-0C6D-4932-8765-26862DC5FE6A}"/>
            </a:ext>
          </a:extLst>
        </xdr:cNvPr>
        <xdr:cNvSpPr>
          <a:spLocks noChangeArrowheads="1"/>
        </xdr:cNvSpPr>
      </xdr:nvSpPr>
      <xdr:spPr bwMode="auto">
        <a:xfrm>
          <a:off x="69469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232</xdr:row>
      <xdr:rowOff>57150</xdr:rowOff>
    </xdr:from>
    <xdr:to>
      <xdr:col>10</xdr:col>
      <xdr:colOff>0</xdr:colOff>
      <xdr:row>233</xdr:row>
      <xdr:rowOff>190500</xdr:rowOff>
    </xdr:to>
    <xdr:sp macro="" textlink="">
      <xdr:nvSpPr>
        <xdr:cNvPr id="725" name="AutoShape 46">
          <a:extLst>
            <a:ext uri="{FF2B5EF4-FFF2-40B4-BE49-F238E27FC236}">
              <a16:creationId xmlns:a16="http://schemas.microsoft.com/office/drawing/2014/main" id="{053249AA-976F-4DC6-835A-D97F3FD3DC3A}"/>
            </a:ext>
          </a:extLst>
        </xdr:cNvPr>
        <xdr:cNvSpPr>
          <a:spLocks noChangeArrowheads="1"/>
        </xdr:cNvSpPr>
      </xdr:nvSpPr>
      <xdr:spPr bwMode="auto">
        <a:xfrm>
          <a:off x="92773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232</xdr:row>
      <xdr:rowOff>57150</xdr:rowOff>
    </xdr:from>
    <xdr:to>
      <xdr:col>12</xdr:col>
      <xdr:colOff>0</xdr:colOff>
      <xdr:row>233</xdr:row>
      <xdr:rowOff>190500</xdr:rowOff>
    </xdr:to>
    <xdr:sp macro="" textlink="">
      <xdr:nvSpPr>
        <xdr:cNvPr id="726" name="AutoShape 46">
          <a:extLst>
            <a:ext uri="{FF2B5EF4-FFF2-40B4-BE49-F238E27FC236}">
              <a16:creationId xmlns:a16="http://schemas.microsoft.com/office/drawing/2014/main" id="{3742EAF5-782C-4C5E-A9B7-9D4F1B5EA03B}"/>
            </a:ext>
          </a:extLst>
        </xdr:cNvPr>
        <xdr:cNvSpPr>
          <a:spLocks noChangeArrowheads="1"/>
        </xdr:cNvSpPr>
      </xdr:nvSpPr>
      <xdr:spPr bwMode="auto">
        <a:xfrm>
          <a:off x="112903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232</xdr:row>
      <xdr:rowOff>57150</xdr:rowOff>
    </xdr:from>
    <xdr:to>
      <xdr:col>14</xdr:col>
      <xdr:colOff>0</xdr:colOff>
      <xdr:row>233</xdr:row>
      <xdr:rowOff>190500</xdr:rowOff>
    </xdr:to>
    <xdr:sp macro="" textlink="">
      <xdr:nvSpPr>
        <xdr:cNvPr id="727" name="AutoShape 46">
          <a:extLst>
            <a:ext uri="{FF2B5EF4-FFF2-40B4-BE49-F238E27FC236}">
              <a16:creationId xmlns:a16="http://schemas.microsoft.com/office/drawing/2014/main" id="{C96BF7A2-EAF4-4695-BF7C-52C5607B9FFE}"/>
            </a:ext>
          </a:extLst>
        </xdr:cNvPr>
        <xdr:cNvSpPr>
          <a:spLocks noChangeArrowheads="1"/>
        </xdr:cNvSpPr>
      </xdr:nvSpPr>
      <xdr:spPr bwMode="auto">
        <a:xfrm>
          <a:off x="133032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232</xdr:row>
      <xdr:rowOff>57150</xdr:rowOff>
    </xdr:from>
    <xdr:to>
      <xdr:col>16</xdr:col>
      <xdr:colOff>0</xdr:colOff>
      <xdr:row>233</xdr:row>
      <xdr:rowOff>190500</xdr:rowOff>
    </xdr:to>
    <xdr:sp macro="" textlink="">
      <xdr:nvSpPr>
        <xdr:cNvPr id="728" name="AutoShape 46">
          <a:extLst>
            <a:ext uri="{FF2B5EF4-FFF2-40B4-BE49-F238E27FC236}">
              <a16:creationId xmlns:a16="http://schemas.microsoft.com/office/drawing/2014/main" id="{6BD4E539-3283-403A-B97D-CEB93428986C}"/>
            </a:ext>
          </a:extLst>
        </xdr:cNvPr>
        <xdr:cNvSpPr>
          <a:spLocks noChangeArrowheads="1"/>
        </xdr:cNvSpPr>
      </xdr:nvSpPr>
      <xdr:spPr bwMode="auto">
        <a:xfrm>
          <a:off x="15316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232</xdr:row>
      <xdr:rowOff>57150</xdr:rowOff>
    </xdr:from>
    <xdr:to>
      <xdr:col>16</xdr:col>
      <xdr:colOff>0</xdr:colOff>
      <xdr:row>233</xdr:row>
      <xdr:rowOff>190500</xdr:rowOff>
    </xdr:to>
    <xdr:sp macro="" textlink="">
      <xdr:nvSpPr>
        <xdr:cNvPr id="729" name="AutoShape 46">
          <a:extLst>
            <a:ext uri="{FF2B5EF4-FFF2-40B4-BE49-F238E27FC236}">
              <a16:creationId xmlns:a16="http://schemas.microsoft.com/office/drawing/2014/main" id="{2D201588-1E03-41E7-A573-5E56A9B9C9F7}"/>
            </a:ext>
          </a:extLst>
        </xdr:cNvPr>
        <xdr:cNvSpPr>
          <a:spLocks noChangeArrowheads="1"/>
        </xdr:cNvSpPr>
      </xdr:nvSpPr>
      <xdr:spPr bwMode="auto">
        <a:xfrm>
          <a:off x="1531620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30" name="AutoShape 46">
          <a:extLst>
            <a:ext uri="{FF2B5EF4-FFF2-40B4-BE49-F238E27FC236}">
              <a16:creationId xmlns:a16="http://schemas.microsoft.com/office/drawing/2014/main" id="{03B601F9-ECEA-4BFC-8B43-6DC2B409313A}"/>
            </a:ext>
          </a:extLst>
        </xdr:cNvPr>
        <xdr:cNvSpPr>
          <a:spLocks noChangeArrowheads="1"/>
        </xdr:cNvSpPr>
      </xdr:nvSpPr>
      <xdr:spPr bwMode="auto">
        <a:xfrm>
          <a:off x="177292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31" name="AutoShape 46">
          <a:extLst>
            <a:ext uri="{FF2B5EF4-FFF2-40B4-BE49-F238E27FC236}">
              <a16:creationId xmlns:a16="http://schemas.microsoft.com/office/drawing/2014/main" id="{412BD8F7-AC3D-4477-9AFA-719C26F025D9}"/>
            </a:ext>
          </a:extLst>
        </xdr:cNvPr>
        <xdr:cNvSpPr>
          <a:spLocks noChangeArrowheads="1"/>
        </xdr:cNvSpPr>
      </xdr:nvSpPr>
      <xdr:spPr bwMode="auto">
        <a:xfrm>
          <a:off x="199580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32" name="AutoShape 46">
          <a:extLst>
            <a:ext uri="{FF2B5EF4-FFF2-40B4-BE49-F238E27FC236}">
              <a16:creationId xmlns:a16="http://schemas.microsoft.com/office/drawing/2014/main" id="{F3832037-BDC4-4C99-99C1-01A75E886945}"/>
            </a:ext>
          </a:extLst>
        </xdr:cNvPr>
        <xdr:cNvSpPr>
          <a:spLocks noChangeArrowheads="1"/>
        </xdr:cNvSpPr>
      </xdr:nvSpPr>
      <xdr:spPr bwMode="auto">
        <a:xfrm>
          <a:off x="22542500" y="1151064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33" name="AutoShape 46">
          <a:extLst>
            <a:ext uri="{FF2B5EF4-FFF2-40B4-BE49-F238E27FC236}">
              <a16:creationId xmlns:a16="http://schemas.microsoft.com/office/drawing/2014/main" id="{5F8B70E2-7102-4449-89E5-85036BBAF3D0}"/>
            </a:ext>
          </a:extLst>
        </xdr:cNvPr>
        <xdr:cNvSpPr>
          <a:spLocks noChangeArrowheads="1"/>
        </xdr:cNvSpPr>
      </xdr:nvSpPr>
      <xdr:spPr bwMode="auto">
        <a:xfrm>
          <a:off x="254889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34" name="AutoShape 46">
          <a:extLst>
            <a:ext uri="{FF2B5EF4-FFF2-40B4-BE49-F238E27FC236}">
              <a16:creationId xmlns:a16="http://schemas.microsoft.com/office/drawing/2014/main" id="{5A2F1C59-94D3-4786-98CB-CEAA1CBC5719}"/>
            </a:ext>
          </a:extLst>
        </xdr:cNvPr>
        <xdr:cNvSpPr>
          <a:spLocks noChangeArrowheads="1"/>
        </xdr:cNvSpPr>
      </xdr:nvSpPr>
      <xdr:spPr bwMode="auto">
        <a:xfrm>
          <a:off x="276288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35" name="AutoShape 46">
          <a:extLst>
            <a:ext uri="{FF2B5EF4-FFF2-40B4-BE49-F238E27FC236}">
              <a16:creationId xmlns:a16="http://schemas.microsoft.com/office/drawing/2014/main" id="{261D14E3-C909-461D-BBE1-902D847301DB}"/>
            </a:ext>
          </a:extLst>
        </xdr:cNvPr>
        <xdr:cNvSpPr>
          <a:spLocks noChangeArrowheads="1"/>
        </xdr:cNvSpPr>
      </xdr:nvSpPr>
      <xdr:spPr bwMode="auto">
        <a:xfrm>
          <a:off x="296418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36" name="AutoShape 46">
          <a:extLst>
            <a:ext uri="{FF2B5EF4-FFF2-40B4-BE49-F238E27FC236}">
              <a16:creationId xmlns:a16="http://schemas.microsoft.com/office/drawing/2014/main" id="{EFE46D23-F304-4912-B01F-3C3E75FAF13B}"/>
            </a:ext>
          </a:extLst>
        </xdr:cNvPr>
        <xdr:cNvSpPr>
          <a:spLocks noChangeArrowheads="1"/>
        </xdr:cNvSpPr>
      </xdr:nvSpPr>
      <xdr:spPr bwMode="auto">
        <a:xfrm>
          <a:off x="17729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37" name="AutoShape 46">
          <a:extLst>
            <a:ext uri="{FF2B5EF4-FFF2-40B4-BE49-F238E27FC236}">
              <a16:creationId xmlns:a16="http://schemas.microsoft.com/office/drawing/2014/main" id="{5FBEF03A-9BCF-4C2A-B2E9-892DD79A5749}"/>
            </a:ext>
          </a:extLst>
        </xdr:cNvPr>
        <xdr:cNvSpPr>
          <a:spLocks noChangeArrowheads="1"/>
        </xdr:cNvSpPr>
      </xdr:nvSpPr>
      <xdr:spPr bwMode="auto">
        <a:xfrm>
          <a:off x="199580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38" name="AutoShape 46">
          <a:extLst>
            <a:ext uri="{FF2B5EF4-FFF2-40B4-BE49-F238E27FC236}">
              <a16:creationId xmlns:a16="http://schemas.microsoft.com/office/drawing/2014/main" id="{E891BE74-A5BA-45FF-9294-58D9FE3E2270}"/>
            </a:ext>
          </a:extLst>
        </xdr:cNvPr>
        <xdr:cNvSpPr>
          <a:spLocks noChangeArrowheads="1"/>
        </xdr:cNvSpPr>
      </xdr:nvSpPr>
      <xdr:spPr bwMode="auto">
        <a:xfrm>
          <a:off x="22542500" y="1151064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39" name="AutoShape 46">
          <a:extLst>
            <a:ext uri="{FF2B5EF4-FFF2-40B4-BE49-F238E27FC236}">
              <a16:creationId xmlns:a16="http://schemas.microsoft.com/office/drawing/2014/main" id="{934F6C30-7EF6-4370-96A0-14A6E2120CF0}"/>
            </a:ext>
          </a:extLst>
        </xdr:cNvPr>
        <xdr:cNvSpPr>
          <a:spLocks noChangeArrowheads="1"/>
        </xdr:cNvSpPr>
      </xdr:nvSpPr>
      <xdr:spPr bwMode="auto">
        <a:xfrm>
          <a:off x="254889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40" name="AutoShape 46">
          <a:extLst>
            <a:ext uri="{FF2B5EF4-FFF2-40B4-BE49-F238E27FC236}">
              <a16:creationId xmlns:a16="http://schemas.microsoft.com/office/drawing/2014/main" id="{8A634D0B-3E61-4796-9FD1-A0A413D133C5}"/>
            </a:ext>
          </a:extLst>
        </xdr:cNvPr>
        <xdr:cNvSpPr>
          <a:spLocks noChangeArrowheads="1"/>
        </xdr:cNvSpPr>
      </xdr:nvSpPr>
      <xdr:spPr bwMode="auto">
        <a:xfrm>
          <a:off x="276288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41" name="AutoShape 46">
          <a:extLst>
            <a:ext uri="{FF2B5EF4-FFF2-40B4-BE49-F238E27FC236}">
              <a16:creationId xmlns:a16="http://schemas.microsoft.com/office/drawing/2014/main" id="{DE272907-D015-456F-BD44-59ECABAE352D}"/>
            </a:ext>
          </a:extLst>
        </xdr:cNvPr>
        <xdr:cNvSpPr>
          <a:spLocks noChangeArrowheads="1"/>
        </xdr:cNvSpPr>
      </xdr:nvSpPr>
      <xdr:spPr bwMode="auto">
        <a:xfrm>
          <a:off x="296418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42" name="AutoShape 46">
          <a:extLst>
            <a:ext uri="{FF2B5EF4-FFF2-40B4-BE49-F238E27FC236}">
              <a16:creationId xmlns:a16="http://schemas.microsoft.com/office/drawing/2014/main" id="{7F6ADFF2-7080-4C25-ADD8-5D94EDD5C708}"/>
            </a:ext>
          </a:extLst>
        </xdr:cNvPr>
        <xdr:cNvSpPr>
          <a:spLocks noChangeArrowheads="1"/>
        </xdr:cNvSpPr>
      </xdr:nvSpPr>
      <xdr:spPr bwMode="auto">
        <a:xfrm>
          <a:off x="17729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43" name="AutoShape 46">
          <a:extLst>
            <a:ext uri="{FF2B5EF4-FFF2-40B4-BE49-F238E27FC236}">
              <a16:creationId xmlns:a16="http://schemas.microsoft.com/office/drawing/2014/main" id="{500C277C-47FD-465C-800E-45890315048F}"/>
            </a:ext>
          </a:extLst>
        </xdr:cNvPr>
        <xdr:cNvSpPr>
          <a:spLocks noChangeArrowheads="1"/>
        </xdr:cNvSpPr>
      </xdr:nvSpPr>
      <xdr:spPr bwMode="auto">
        <a:xfrm>
          <a:off x="199580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44" name="AutoShape 46">
          <a:extLst>
            <a:ext uri="{FF2B5EF4-FFF2-40B4-BE49-F238E27FC236}">
              <a16:creationId xmlns:a16="http://schemas.microsoft.com/office/drawing/2014/main" id="{B01321B2-2CFA-49C0-B05D-358E9C24D2EF}"/>
            </a:ext>
          </a:extLst>
        </xdr:cNvPr>
        <xdr:cNvSpPr>
          <a:spLocks noChangeArrowheads="1"/>
        </xdr:cNvSpPr>
      </xdr:nvSpPr>
      <xdr:spPr bwMode="auto">
        <a:xfrm>
          <a:off x="22542500" y="1151064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45" name="AutoShape 46">
          <a:extLst>
            <a:ext uri="{FF2B5EF4-FFF2-40B4-BE49-F238E27FC236}">
              <a16:creationId xmlns:a16="http://schemas.microsoft.com/office/drawing/2014/main" id="{54BA8AEF-A800-4A32-BE69-61AC624DB215}"/>
            </a:ext>
          </a:extLst>
        </xdr:cNvPr>
        <xdr:cNvSpPr>
          <a:spLocks noChangeArrowheads="1"/>
        </xdr:cNvSpPr>
      </xdr:nvSpPr>
      <xdr:spPr bwMode="auto">
        <a:xfrm>
          <a:off x="254889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46" name="AutoShape 46">
          <a:extLst>
            <a:ext uri="{FF2B5EF4-FFF2-40B4-BE49-F238E27FC236}">
              <a16:creationId xmlns:a16="http://schemas.microsoft.com/office/drawing/2014/main" id="{F875F41A-94F9-41B6-85FB-1160AEB8977B}"/>
            </a:ext>
          </a:extLst>
        </xdr:cNvPr>
        <xdr:cNvSpPr>
          <a:spLocks noChangeArrowheads="1"/>
        </xdr:cNvSpPr>
      </xdr:nvSpPr>
      <xdr:spPr bwMode="auto">
        <a:xfrm>
          <a:off x="276288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47" name="AutoShape 46">
          <a:extLst>
            <a:ext uri="{FF2B5EF4-FFF2-40B4-BE49-F238E27FC236}">
              <a16:creationId xmlns:a16="http://schemas.microsoft.com/office/drawing/2014/main" id="{6B74E18C-6F1B-43EF-AA99-62AD5E7E137F}"/>
            </a:ext>
          </a:extLst>
        </xdr:cNvPr>
        <xdr:cNvSpPr>
          <a:spLocks noChangeArrowheads="1"/>
        </xdr:cNvSpPr>
      </xdr:nvSpPr>
      <xdr:spPr bwMode="auto">
        <a:xfrm>
          <a:off x="296418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241</xdr:row>
      <xdr:rowOff>57150</xdr:rowOff>
    </xdr:from>
    <xdr:to>
      <xdr:col>2</xdr:col>
      <xdr:colOff>0</xdr:colOff>
      <xdr:row>242</xdr:row>
      <xdr:rowOff>190500</xdr:rowOff>
    </xdr:to>
    <xdr:sp macro="" textlink="">
      <xdr:nvSpPr>
        <xdr:cNvPr id="748" name="AutoShape 46">
          <a:extLst>
            <a:ext uri="{FF2B5EF4-FFF2-40B4-BE49-F238E27FC236}">
              <a16:creationId xmlns:a16="http://schemas.microsoft.com/office/drawing/2014/main" id="{59A105A6-65B8-47B0-8190-1C62CE921C2E}"/>
            </a:ext>
          </a:extLst>
        </xdr:cNvPr>
        <xdr:cNvSpPr>
          <a:spLocks noChangeArrowheads="1"/>
        </xdr:cNvSpPr>
      </xdr:nvSpPr>
      <xdr:spPr bwMode="auto">
        <a:xfrm>
          <a:off x="7810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241</xdr:row>
      <xdr:rowOff>57150</xdr:rowOff>
    </xdr:from>
    <xdr:to>
      <xdr:col>4</xdr:col>
      <xdr:colOff>0</xdr:colOff>
      <xdr:row>242</xdr:row>
      <xdr:rowOff>190500</xdr:rowOff>
    </xdr:to>
    <xdr:sp macro="" textlink="">
      <xdr:nvSpPr>
        <xdr:cNvPr id="749" name="AutoShape 46">
          <a:extLst>
            <a:ext uri="{FF2B5EF4-FFF2-40B4-BE49-F238E27FC236}">
              <a16:creationId xmlns:a16="http://schemas.microsoft.com/office/drawing/2014/main" id="{6AAC2A05-17A3-4673-B014-241DCBAA1953}"/>
            </a:ext>
          </a:extLst>
        </xdr:cNvPr>
        <xdr:cNvSpPr>
          <a:spLocks noChangeArrowheads="1"/>
        </xdr:cNvSpPr>
      </xdr:nvSpPr>
      <xdr:spPr bwMode="auto">
        <a:xfrm>
          <a:off x="27940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241</xdr:row>
      <xdr:rowOff>57150</xdr:rowOff>
    </xdr:from>
    <xdr:to>
      <xdr:col>6</xdr:col>
      <xdr:colOff>0</xdr:colOff>
      <xdr:row>242</xdr:row>
      <xdr:rowOff>190500</xdr:rowOff>
    </xdr:to>
    <xdr:sp macro="" textlink="">
      <xdr:nvSpPr>
        <xdr:cNvPr id="750" name="AutoShape 46">
          <a:extLst>
            <a:ext uri="{FF2B5EF4-FFF2-40B4-BE49-F238E27FC236}">
              <a16:creationId xmlns:a16="http://schemas.microsoft.com/office/drawing/2014/main" id="{FF0FDEC5-F577-4A26-897F-363689C539ED}"/>
            </a:ext>
          </a:extLst>
        </xdr:cNvPr>
        <xdr:cNvSpPr>
          <a:spLocks noChangeArrowheads="1"/>
        </xdr:cNvSpPr>
      </xdr:nvSpPr>
      <xdr:spPr bwMode="auto">
        <a:xfrm>
          <a:off x="493395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241</xdr:row>
      <xdr:rowOff>57150</xdr:rowOff>
    </xdr:from>
    <xdr:to>
      <xdr:col>8</xdr:col>
      <xdr:colOff>0</xdr:colOff>
      <xdr:row>242</xdr:row>
      <xdr:rowOff>190500</xdr:rowOff>
    </xdr:to>
    <xdr:sp macro="" textlink="">
      <xdr:nvSpPr>
        <xdr:cNvPr id="751" name="AutoShape 46">
          <a:extLst>
            <a:ext uri="{FF2B5EF4-FFF2-40B4-BE49-F238E27FC236}">
              <a16:creationId xmlns:a16="http://schemas.microsoft.com/office/drawing/2014/main" id="{BC622877-0681-4853-849A-97E23FE00A55}"/>
            </a:ext>
          </a:extLst>
        </xdr:cNvPr>
        <xdr:cNvSpPr>
          <a:spLocks noChangeArrowheads="1"/>
        </xdr:cNvSpPr>
      </xdr:nvSpPr>
      <xdr:spPr bwMode="auto">
        <a:xfrm>
          <a:off x="69469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241</xdr:row>
      <xdr:rowOff>57150</xdr:rowOff>
    </xdr:from>
    <xdr:to>
      <xdr:col>10</xdr:col>
      <xdr:colOff>0</xdr:colOff>
      <xdr:row>242</xdr:row>
      <xdr:rowOff>190500</xdr:rowOff>
    </xdr:to>
    <xdr:sp macro="" textlink="">
      <xdr:nvSpPr>
        <xdr:cNvPr id="752" name="AutoShape 46">
          <a:extLst>
            <a:ext uri="{FF2B5EF4-FFF2-40B4-BE49-F238E27FC236}">
              <a16:creationId xmlns:a16="http://schemas.microsoft.com/office/drawing/2014/main" id="{4288BF6B-74E8-48A8-8F20-50704D0EA201}"/>
            </a:ext>
          </a:extLst>
        </xdr:cNvPr>
        <xdr:cNvSpPr>
          <a:spLocks noChangeArrowheads="1"/>
        </xdr:cNvSpPr>
      </xdr:nvSpPr>
      <xdr:spPr bwMode="auto">
        <a:xfrm>
          <a:off x="92773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241</xdr:row>
      <xdr:rowOff>57150</xdr:rowOff>
    </xdr:from>
    <xdr:to>
      <xdr:col>12</xdr:col>
      <xdr:colOff>0</xdr:colOff>
      <xdr:row>242</xdr:row>
      <xdr:rowOff>190500</xdr:rowOff>
    </xdr:to>
    <xdr:sp macro="" textlink="">
      <xdr:nvSpPr>
        <xdr:cNvPr id="753" name="AutoShape 46">
          <a:extLst>
            <a:ext uri="{FF2B5EF4-FFF2-40B4-BE49-F238E27FC236}">
              <a16:creationId xmlns:a16="http://schemas.microsoft.com/office/drawing/2014/main" id="{E673C48F-53FD-4205-ADFD-750C3CB0B2B7}"/>
            </a:ext>
          </a:extLst>
        </xdr:cNvPr>
        <xdr:cNvSpPr>
          <a:spLocks noChangeArrowheads="1"/>
        </xdr:cNvSpPr>
      </xdr:nvSpPr>
      <xdr:spPr bwMode="auto">
        <a:xfrm>
          <a:off x="112903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241</xdr:row>
      <xdr:rowOff>57150</xdr:rowOff>
    </xdr:from>
    <xdr:to>
      <xdr:col>14</xdr:col>
      <xdr:colOff>0</xdr:colOff>
      <xdr:row>242</xdr:row>
      <xdr:rowOff>190500</xdr:rowOff>
    </xdr:to>
    <xdr:sp macro="" textlink="">
      <xdr:nvSpPr>
        <xdr:cNvPr id="754" name="AutoShape 46">
          <a:extLst>
            <a:ext uri="{FF2B5EF4-FFF2-40B4-BE49-F238E27FC236}">
              <a16:creationId xmlns:a16="http://schemas.microsoft.com/office/drawing/2014/main" id="{357B04DE-C229-4630-8352-23AFD8C958DC}"/>
            </a:ext>
          </a:extLst>
        </xdr:cNvPr>
        <xdr:cNvSpPr>
          <a:spLocks noChangeArrowheads="1"/>
        </xdr:cNvSpPr>
      </xdr:nvSpPr>
      <xdr:spPr bwMode="auto">
        <a:xfrm>
          <a:off x="133032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241</xdr:row>
      <xdr:rowOff>57150</xdr:rowOff>
    </xdr:from>
    <xdr:to>
      <xdr:col>16</xdr:col>
      <xdr:colOff>0</xdr:colOff>
      <xdr:row>242</xdr:row>
      <xdr:rowOff>190500</xdr:rowOff>
    </xdr:to>
    <xdr:sp macro="" textlink="">
      <xdr:nvSpPr>
        <xdr:cNvPr id="755" name="AutoShape 46">
          <a:extLst>
            <a:ext uri="{FF2B5EF4-FFF2-40B4-BE49-F238E27FC236}">
              <a16:creationId xmlns:a16="http://schemas.microsoft.com/office/drawing/2014/main" id="{A204E9A1-CC5D-4963-9F03-8D6D22578765}"/>
            </a:ext>
          </a:extLst>
        </xdr:cNvPr>
        <xdr:cNvSpPr>
          <a:spLocks noChangeArrowheads="1"/>
        </xdr:cNvSpPr>
      </xdr:nvSpPr>
      <xdr:spPr bwMode="auto">
        <a:xfrm>
          <a:off x="153162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241</xdr:row>
      <xdr:rowOff>57150</xdr:rowOff>
    </xdr:from>
    <xdr:to>
      <xdr:col>16</xdr:col>
      <xdr:colOff>0</xdr:colOff>
      <xdr:row>242</xdr:row>
      <xdr:rowOff>190500</xdr:rowOff>
    </xdr:to>
    <xdr:sp macro="" textlink="">
      <xdr:nvSpPr>
        <xdr:cNvPr id="756" name="AutoShape 46">
          <a:extLst>
            <a:ext uri="{FF2B5EF4-FFF2-40B4-BE49-F238E27FC236}">
              <a16:creationId xmlns:a16="http://schemas.microsoft.com/office/drawing/2014/main" id="{D7202AE0-1F73-4423-98FE-BB9234DCB5D1}"/>
            </a:ext>
          </a:extLst>
        </xdr:cNvPr>
        <xdr:cNvSpPr>
          <a:spLocks noChangeArrowheads="1"/>
        </xdr:cNvSpPr>
      </xdr:nvSpPr>
      <xdr:spPr bwMode="auto">
        <a:xfrm>
          <a:off x="15316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57" name="AutoShape 46">
          <a:extLst>
            <a:ext uri="{FF2B5EF4-FFF2-40B4-BE49-F238E27FC236}">
              <a16:creationId xmlns:a16="http://schemas.microsoft.com/office/drawing/2014/main" id="{81CF17CF-7098-4EAB-B4AF-BB9B2764B307}"/>
            </a:ext>
          </a:extLst>
        </xdr:cNvPr>
        <xdr:cNvSpPr>
          <a:spLocks noChangeArrowheads="1"/>
        </xdr:cNvSpPr>
      </xdr:nvSpPr>
      <xdr:spPr bwMode="auto">
        <a:xfrm>
          <a:off x="17729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58" name="AutoShape 46">
          <a:extLst>
            <a:ext uri="{FF2B5EF4-FFF2-40B4-BE49-F238E27FC236}">
              <a16:creationId xmlns:a16="http://schemas.microsoft.com/office/drawing/2014/main" id="{10DA26BE-9CB8-4F61-A688-EEED6689C3E6}"/>
            </a:ext>
          </a:extLst>
        </xdr:cNvPr>
        <xdr:cNvSpPr>
          <a:spLocks noChangeArrowheads="1"/>
        </xdr:cNvSpPr>
      </xdr:nvSpPr>
      <xdr:spPr bwMode="auto">
        <a:xfrm>
          <a:off x="199580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59" name="AutoShape 46">
          <a:extLst>
            <a:ext uri="{FF2B5EF4-FFF2-40B4-BE49-F238E27FC236}">
              <a16:creationId xmlns:a16="http://schemas.microsoft.com/office/drawing/2014/main" id="{696D21D4-4059-4FD0-924A-D61B9BCAECEA}"/>
            </a:ext>
          </a:extLst>
        </xdr:cNvPr>
        <xdr:cNvSpPr>
          <a:spLocks noChangeArrowheads="1"/>
        </xdr:cNvSpPr>
      </xdr:nvSpPr>
      <xdr:spPr bwMode="auto">
        <a:xfrm>
          <a:off x="22542500" y="1192720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60" name="AutoShape 46">
          <a:extLst>
            <a:ext uri="{FF2B5EF4-FFF2-40B4-BE49-F238E27FC236}">
              <a16:creationId xmlns:a16="http://schemas.microsoft.com/office/drawing/2014/main" id="{DC5B4479-74B4-40F0-BF9F-E33EF67DD7D5}"/>
            </a:ext>
          </a:extLst>
        </xdr:cNvPr>
        <xdr:cNvSpPr>
          <a:spLocks noChangeArrowheads="1"/>
        </xdr:cNvSpPr>
      </xdr:nvSpPr>
      <xdr:spPr bwMode="auto">
        <a:xfrm>
          <a:off x="254889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61" name="AutoShape 46">
          <a:extLst>
            <a:ext uri="{FF2B5EF4-FFF2-40B4-BE49-F238E27FC236}">
              <a16:creationId xmlns:a16="http://schemas.microsoft.com/office/drawing/2014/main" id="{F59CAA41-1AD6-4B8D-827B-80CBBB6FA83D}"/>
            </a:ext>
          </a:extLst>
        </xdr:cNvPr>
        <xdr:cNvSpPr>
          <a:spLocks noChangeArrowheads="1"/>
        </xdr:cNvSpPr>
      </xdr:nvSpPr>
      <xdr:spPr bwMode="auto">
        <a:xfrm>
          <a:off x="276288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62" name="AutoShape 46">
          <a:extLst>
            <a:ext uri="{FF2B5EF4-FFF2-40B4-BE49-F238E27FC236}">
              <a16:creationId xmlns:a16="http://schemas.microsoft.com/office/drawing/2014/main" id="{17C8E26E-4808-4DC0-AAA3-C4C513D91D95}"/>
            </a:ext>
          </a:extLst>
        </xdr:cNvPr>
        <xdr:cNvSpPr>
          <a:spLocks noChangeArrowheads="1"/>
        </xdr:cNvSpPr>
      </xdr:nvSpPr>
      <xdr:spPr bwMode="auto">
        <a:xfrm>
          <a:off x="296418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63" name="AutoShape 46">
          <a:extLst>
            <a:ext uri="{FF2B5EF4-FFF2-40B4-BE49-F238E27FC236}">
              <a16:creationId xmlns:a16="http://schemas.microsoft.com/office/drawing/2014/main" id="{C318797A-98B1-4B5D-873E-F5E785CD8675}"/>
            </a:ext>
          </a:extLst>
        </xdr:cNvPr>
        <xdr:cNvSpPr>
          <a:spLocks noChangeArrowheads="1"/>
        </xdr:cNvSpPr>
      </xdr:nvSpPr>
      <xdr:spPr bwMode="auto">
        <a:xfrm>
          <a:off x="177292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64" name="AutoShape 46">
          <a:extLst>
            <a:ext uri="{FF2B5EF4-FFF2-40B4-BE49-F238E27FC236}">
              <a16:creationId xmlns:a16="http://schemas.microsoft.com/office/drawing/2014/main" id="{839EBED2-87F9-4C86-983C-34D54758C9E7}"/>
            </a:ext>
          </a:extLst>
        </xdr:cNvPr>
        <xdr:cNvSpPr>
          <a:spLocks noChangeArrowheads="1"/>
        </xdr:cNvSpPr>
      </xdr:nvSpPr>
      <xdr:spPr bwMode="auto">
        <a:xfrm>
          <a:off x="1995805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65" name="AutoShape 46">
          <a:extLst>
            <a:ext uri="{FF2B5EF4-FFF2-40B4-BE49-F238E27FC236}">
              <a16:creationId xmlns:a16="http://schemas.microsoft.com/office/drawing/2014/main" id="{B8DF4D2E-7775-4F3F-B361-D4C3B8D003B5}"/>
            </a:ext>
          </a:extLst>
        </xdr:cNvPr>
        <xdr:cNvSpPr>
          <a:spLocks noChangeArrowheads="1"/>
        </xdr:cNvSpPr>
      </xdr:nvSpPr>
      <xdr:spPr bwMode="auto">
        <a:xfrm>
          <a:off x="22542500" y="1192720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66" name="AutoShape 46">
          <a:extLst>
            <a:ext uri="{FF2B5EF4-FFF2-40B4-BE49-F238E27FC236}">
              <a16:creationId xmlns:a16="http://schemas.microsoft.com/office/drawing/2014/main" id="{8F4E5A62-9A85-4B84-93C7-2CDCD21D1E23}"/>
            </a:ext>
          </a:extLst>
        </xdr:cNvPr>
        <xdr:cNvSpPr>
          <a:spLocks noChangeArrowheads="1"/>
        </xdr:cNvSpPr>
      </xdr:nvSpPr>
      <xdr:spPr bwMode="auto">
        <a:xfrm>
          <a:off x="254889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67" name="AutoShape 46">
          <a:extLst>
            <a:ext uri="{FF2B5EF4-FFF2-40B4-BE49-F238E27FC236}">
              <a16:creationId xmlns:a16="http://schemas.microsoft.com/office/drawing/2014/main" id="{407BF35B-C226-4366-876E-3E7EB39FC1ED}"/>
            </a:ext>
          </a:extLst>
        </xdr:cNvPr>
        <xdr:cNvSpPr>
          <a:spLocks noChangeArrowheads="1"/>
        </xdr:cNvSpPr>
      </xdr:nvSpPr>
      <xdr:spPr bwMode="auto">
        <a:xfrm>
          <a:off x="2762885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68" name="AutoShape 46">
          <a:extLst>
            <a:ext uri="{FF2B5EF4-FFF2-40B4-BE49-F238E27FC236}">
              <a16:creationId xmlns:a16="http://schemas.microsoft.com/office/drawing/2014/main" id="{E2E6A146-5E3C-42C0-8EC2-70556DBD50E5}"/>
            </a:ext>
          </a:extLst>
        </xdr:cNvPr>
        <xdr:cNvSpPr>
          <a:spLocks noChangeArrowheads="1"/>
        </xdr:cNvSpPr>
      </xdr:nvSpPr>
      <xdr:spPr bwMode="auto">
        <a:xfrm>
          <a:off x="296418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69" name="AutoShape 46">
          <a:extLst>
            <a:ext uri="{FF2B5EF4-FFF2-40B4-BE49-F238E27FC236}">
              <a16:creationId xmlns:a16="http://schemas.microsoft.com/office/drawing/2014/main" id="{841641D6-387E-44C6-A6A3-59D4E77EFE8A}"/>
            </a:ext>
          </a:extLst>
        </xdr:cNvPr>
        <xdr:cNvSpPr>
          <a:spLocks noChangeArrowheads="1"/>
        </xdr:cNvSpPr>
      </xdr:nvSpPr>
      <xdr:spPr bwMode="auto">
        <a:xfrm>
          <a:off x="17729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70" name="AutoShape 46">
          <a:extLst>
            <a:ext uri="{FF2B5EF4-FFF2-40B4-BE49-F238E27FC236}">
              <a16:creationId xmlns:a16="http://schemas.microsoft.com/office/drawing/2014/main" id="{6C49BEAF-831B-472F-B840-C73A95142745}"/>
            </a:ext>
          </a:extLst>
        </xdr:cNvPr>
        <xdr:cNvSpPr>
          <a:spLocks noChangeArrowheads="1"/>
        </xdr:cNvSpPr>
      </xdr:nvSpPr>
      <xdr:spPr bwMode="auto">
        <a:xfrm>
          <a:off x="1995805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71" name="AutoShape 46">
          <a:extLst>
            <a:ext uri="{FF2B5EF4-FFF2-40B4-BE49-F238E27FC236}">
              <a16:creationId xmlns:a16="http://schemas.microsoft.com/office/drawing/2014/main" id="{DBA4E4C1-EB51-4B44-885C-F895614F3A46}"/>
            </a:ext>
          </a:extLst>
        </xdr:cNvPr>
        <xdr:cNvSpPr>
          <a:spLocks noChangeArrowheads="1"/>
        </xdr:cNvSpPr>
      </xdr:nvSpPr>
      <xdr:spPr bwMode="auto">
        <a:xfrm>
          <a:off x="22542500" y="1192720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72" name="AutoShape 46">
          <a:extLst>
            <a:ext uri="{FF2B5EF4-FFF2-40B4-BE49-F238E27FC236}">
              <a16:creationId xmlns:a16="http://schemas.microsoft.com/office/drawing/2014/main" id="{27728D44-500C-4A22-9FDA-3B6356E6EF2F}"/>
            </a:ext>
          </a:extLst>
        </xdr:cNvPr>
        <xdr:cNvSpPr>
          <a:spLocks noChangeArrowheads="1"/>
        </xdr:cNvSpPr>
      </xdr:nvSpPr>
      <xdr:spPr bwMode="auto">
        <a:xfrm>
          <a:off x="254889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73" name="AutoShape 46">
          <a:extLst>
            <a:ext uri="{FF2B5EF4-FFF2-40B4-BE49-F238E27FC236}">
              <a16:creationId xmlns:a16="http://schemas.microsoft.com/office/drawing/2014/main" id="{A8E6726E-F2CE-4C27-8263-1CF933EF3D2E}"/>
            </a:ext>
          </a:extLst>
        </xdr:cNvPr>
        <xdr:cNvSpPr>
          <a:spLocks noChangeArrowheads="1"/>
        </xdr:cNvSpPr>
      </xdr:nvSpPr>
      <xdr:spPr bwMode="auto">
        <a:xfrm>
          <a:off x="276288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74" name="AutoShape 46">
          <a:extLst>
            <a:ext uri="{FF2B5EF4-FFF2-40B4-BE49-F238E27FC236}">
              <a16:creationId xmlns:a16="http://schemas.microsoft.com/office/drawing/2014/main" id="{AD549358-1BD8-4826-A721-BFB6BC0CEBBF}"/>
            </a:ext>
          </a:extLst>
        </xdr:cNvPr>
        <xdr:cNvSpPr>
          <a:spLocks noChangeArrowheads="1"/>
        </xdr:cNvSpPr>
      </xdr:nvSpPr>
      <xdr:spPr bwMode="auto">
        <a:xfrm>
          <a:off x="296418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249</xdr:row>
      <xdr:rowOff>57150</xdr:rowOff>
    </xdr:from>
    <xdr:to>
      <xdr:col>2</xdr:col>
      <xdr:colOff>0</xdr:colOff>
      <xdr:row>250</xdr:row>
      <xdr:rowOff>190500</xdr:rowOff>
    </xdr:to>
    <xdr:sp macro="" textlink="">
      <xdr:nvSpPr>
        <xdr:cNvPr id="775" name="AutoShape 46">
          <a:extLst>
            <a:ext uri="{FF2B5EF4-FFF2-40B4-BE49-F238E27FC236}">
              <a16:creationId xmlns:a16="http://schemas.microsoft.com/office/drawing/2014/main" id="{5E34DA43-C93A-4672-9533-C82869FE77FC}"/>
            </a:ext>
          </a:extLst>
        </xdr:cNvPr>
        <xdr:cNvSpPr>
          <a:spLocks noChangeArrowheads="1"/>
        </xdr:cNvSpPr>
      </xdr:nvSpPr>
      <xdr:spPr bwMode="auto">
        <a:xfrm>
          <a:off x="7810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249</xdr:row>
      <xdr:rowOff>57150</xdr:rowOff>
    </xdr:from>
    <xdr:to>
      <xdr:col>4</xdr:col>
      <xdr:colOff>0</xdr:colOff>
      <xdr:row>250</xdr:row>
      <xdr:rowOff>190500</xdr:rowOff>
    </xdr:to>
    <xdr:sp macro="" textlink="">
      <xdr:nvSpPr>
        <xdr:cNvPr id="776" name="AutoShape 46">
          <a:extLst>
            <a:ext uri="{FF2B5EF4-FFF2-40B4-BE49-F238E27FC236}">
              <a16:creationId xmlns:a16="http://schemas.microsoft.com/office/drawing/2014/main" id="{D65B5F44-E085-40AB-8852-FC40AB277228}"/>
            </a:ext>
          </a:extLst>
        </xdr:cNvPr>
        <xdr:cNvSpPr>
          <a:spLocks noChangeArrowheads="1"/>
        </xdr:cNvSpPr>
      </xdr:nvSpPr>
      <xdr:spPr bwMode="auto">
        <a:xfrm>
          <a:off x="27940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249</xdr:row>
      <xdr:rowOff>57150</xdr:rowOff>
    </xdr:from>
    <xdr:to>
      <xdr:col>6</xdr:col>
      <xdr:colOff>0</xdr:colOff>
      <xdr:row>250</xdr:row>
      <xdr:rowOff>190500</xdr:rowOff>
    </xdr:to>
    <xdr:sp macro="" textlink="">
      <xdr:nvSpPr>
        <xdr:cNvPr id="777" name="AutoShape 46">
          <a:extLst>
            <a:ext uri="{FF2B5EF4-FFF2-40B4-BE49-F238E27FC236}">
              <a16:creationId xmlns:a16="http://schemas.microsoft.com/office/drawing/2014/main" id="{98B50372-6AD8-409E-9B33-1CAFC42B6101}"/>
            </a:ext>
          </a:extLst>
        </xdr:cNvPr>
        <xdr:cNvSpPr>
          <a:spLocks noChangeArrowheads="1"/>
        </xdr:cNvSpPr>
      </xdr:nvSpPr>
      <xdr:spPr bwMode="auto">
        <a:xfrm>
          <a:off x="493395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249</xdr:row>
      <xdr:rowOff>57150</xdr:rowOff>
    </xdr:from>
    <xdr:to>
      <xdr:col>8</xdr:col>
      <xdr:colOff>0</xdr:colOff>
      <xdr:row>250</xdr:row>
      <xdr:rowOff>190500</xdr:rowOff>
    </xdr:to>
    <xdr:sp macro="" textlink="">
      <xdr:nvSpPr>
        <xdr:cNvPr id="778" name="AutoShape 46">
          <a:extLst>
            <a:ext uri="{FF2B5EF4-FFF2-40B4-BE49-F238E27FC236}">
              <a16:creationId xmlns:a16="http://schemas.microsoft.com/office/drawing/2014/main" id="{7CF71E7A-892D-4D38-BD1D-B63B79E4F15A}"/>
            </a:ext>
          </a:extLst>
        </xdr:cNvPr>
        <xdr:cNvSpPr>
          <a:spLocks noChangeArrowheads="1"/>
        </xdr:cNvSpPr>
      </xdr:nvSpPr>
      <xdr:spPr bwMode="auto">
        <a:xfrm>
          <a:off x="69469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249</xdr:row>
      <xdr:rowOff>57150</xdr:rowOff>
    </xdr:from>
    <xdr:to>
      <xdr:col>10</xdr:col>
      <xdr:colOff>0</xdr:colOff>
      <xdr:row>250</xdr:row>
      <xdr:rowOff>190500</xdr:rowOff>
    </xdr:to>
    <xdr:sp macro="" textlink="">
      <xdr:nvSpPr>
        <xdr:cNvPr id="779" name="AutoShape 46">
          <a:extLst>
            <a:ext uri="{FF2B5EF4-FFF2-40B4-BE49-F238E27FC236}">
              <a16:creationId xmlns:a16="http://schemas.microsoft.com/office/drawing/2014/main" id="{2139A0B7-F534-460A-8A38-18A5ED83E0DC}"/>
            </a:ext>
          </a:extLst>
        </xdr:cNvPr>
        <xdr:cNvSpPr>
          <a:spLocks noChangeArrowheads="1"/>
        </xdr:cNvSpPr>
      </xdr:nvSpPr>
      <xdr:spPr bwMode="auto">
        <a:xfrm>
          <a:off x="92773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249</xdr:row>
      <xdr:rowOff>57150</xdr:rowOff>
    </xdr:from>
    <xdr:to>
      <xdr:col>12</xdr:col>
      <xdr:colOff>0</xdr:colOff>
      <xdr:row>250</xdr:row>
      <xdr:rowOff>190500</xdr:rowOff>
    </xdr:to>
    <xdr:sp macro="" textlink="">
      <xdr:nvSpPr>
        <xdr:cNvPr id="780" name="AutoShape 46">
          <a:extLst>
            <a:ext uri="{FF2B5EF4-FFF2-40B4-BE49-F238E27FC236}">
              <a16:creationId xmlns:a16="http://schemas.microsoft.com/office/drawing/2014/main" id="{60FF6DDD-CFB7-448B-950C-596ABB49D93A}"/>
            </a:ext>
          </a:extLst>
        </xdr:cNvPr>
        <xdr:cNvSpPr>
          <a:spLocks noChangeArrowheads="1"/>
        </xdr:cNvSpPr>
      </xdr:nvSpPr>
      <xdr:spPr bwMode="auto">
        <a:xfrm>
          <a:off x="112903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249</xdr:row>
      <xdr:rowOff>57150</xdr:rowOff>
    </xdr:from>
    <xdr:to>
      <xdr:col>14</xdr:col>
      <xdr:colOff>0</xdr:colOff>
      <xdr:row>250</xdr:row>
      <xdr:rowOff>190500</xdr:rowOff>
    </xdr:to>
    <xdr:sp macro="" textlink="">
      <xdr:nvSpPr>
        <xdr:cNvPr id="781" name="AutoShape 46">
          <a:extLst>
            <a:ext uri="{FF2B5EF4-FFF2-40B4-BE49-F238E27FC236}">
              <a16:creationId xmlns:a16="http://schemas.microsoft.com/office/drawing/2014/main" id="{551B936F-BC2E-43B3-BE63-251207FD7F83}"/>
            </a:ext>
          </a:extLst>
        </xdr:cNvPr>
        <xdr:cNvSpPr>
          <a:spLocks noChangeArrowheads="1"/>
        </xdr:cNvSpPr>
      </xdr:nvSpPr>
      <xdr:spPr bwMode="auto">
        <a:xfrm>
          <a:off x="133032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249</xdr:row>
      <xdr:rowOff>57150</xdr:rowOff>
    </xdr:from>
    <xdr:to>
      <xdr:col>16</xdr:col>
      <xdr:colOff>0</xdr:colOff>
      <xdr:row>250</xdr:row>
      <xdr:rowOff>190500</xdr:rowOff>
    </xdr:to>
    <xdr:sp macro="" textlink="">
      <xdr:nvSpPr>
        <xdr:cNvPr id="782" name="AutoShape 46">
          <a:extLst>
            <a:ext uri="{FF2B5EF4-FFF2-40B4-BE49-F238E27FC236}">
              <a16:creationId xmlns:a16="http://schemas.microsoft.com/office/drawing/2014/main" id="{52E13979-41AE-4753-8888-901797037D7D}"/>
            </a:ext>
          </a:extLst>
        </xdr:cNvPr>
        <xdr:cNvSpPr>
          <a:spLocks noChangeArrowheads="1"/>
        </xdr:cNvSpPr>
      </xdr:nvSpPr>
      <xdr:spPr bwMode="auto">
        <a:xfrm>
          <a:off x="153162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249</xdr:row>
      <xdr:rowOff>57150</xdr:rowOff>
    </xdr:from>
    <xdr:to>
      <xdr:col>16</xdr:col>
      <xdr:colOff>0</xdr:colOff>
      <xdr:row>250</xdr:row>
      <xdr:rowOff>190500</xdr:rowOff>
    </xdr:to>
    <xdr:sp macro="" textlink="">
      <xdr:nvSpPr>
        <xdr:cNvPr id="783" name="AutoShape 46">
          <a:extLst>
            <a:ext uri="{FF2B5EF4-FFF2-40B4-BE49-F238E27FC236}">
              <a16:creationId xmlns:a16="http://schemas.microsoft.com/office/drawing/2014/main" id="{94D214FA-C71A-4E1A-9C16-EF68906A782E}"/>
            </a:ext>
          </a:extLst>
        </xdr:cNvPr>
        <xdr:cNvSpPr>
          <a:spLocks noChangeArrowheads="1"/>
        </xdr:cNvSpPr>
      </xdr:nvSpPr>
      <xdr:spPr bwMode="auto">
        <a:xfrm>
          <a:off x="15316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84" name="AutoShape 46">
          <a:extLst>
            <a:ext uri="{FF2B5EF4-FFF2-40B4-BE49-F238E27FC236}">
              <a16:creationId xmlns:a16="http://schemas.microsoft.com/office/drawing/2014/main" id="{2C4751F9-61E7-48D8-B992-A1E068A05650}"/>
            </a:ext>
          </a:extLst>
        </xdr:cNvPr>
        <xdr:cNvSpPr>
          <a:spLocks noChangeArrowheads="1"/>
        </xdr:cNvSpPr>
      </xdr:nvSpPr>
      <xdr:spPr bwMode="auto">
        <a:xfrm>
          <a:off x="17729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85" name="AutoShape 46">
          <a:extLst>
            <a:ext uri="{FF2B5EF4-FFF2-40B4-BE49-F238E27FC236}">
              <a16:creationId xmlns:a16="http://schemas.microsoft.com/office/drawing/2014/main" id="{56F0E2FE-8289-4422-8785-B7245B7EC76B}"/>
            </a:ext>
          </a:extLst>
        </xdr:cNvPr>
        <xdr:cNvSpPr>
          <a:spLocks noChangeArrowheads="1"/>
        </xdr:cNvSpPr>
      </xdr:nvSpPr>
      <xdr:spPr bwMode="auto">
        <a:xfrm>
          <a:off x="199580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86" name="AutoShape 46">
          <a:extLst>
            <a:ext uri="{FF2B5EF4-FFF2-40B4-BE49-F238E27FC236}">
              <a16:creationId xmlns:a16="http://schemas.microsoft.com/office/drawing/2014/main" id="{1359A444-B7DB-4694-86EB-6E550E5E7253}"/>
            </a:ext>
          </a:extLst>
        </xdr:cNvPr>
        <xdr:cNvSpPr>
          <a:spLocks noChangeArrowheads="1"/>
        </xdr:cNvSpPr>
      </xdr:nvSpPr>
      <xdr:spPr bwMode="auto">
        <a:xfrm>
          <a:off x="22542500" y="1237996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87" name="AutoShape 46">
          <a:extLst>
            <a:ext uri="{FF2B5EF4-FFF2-40B4-BE49-F238E27FC236}">
              <a16:creationId xmlns:a16="http://schemas.microsoft.com/office/drawing/2014/main" id="{A3B6A9DB-E7F2-46C9-8550-55BA865558AE}"/>
            </a:ext>
          </a:extLst>
        </xdr:cNvPr>
        <xdr:cNvSpPr>
          <a:spLocks noChangeArrowheads="1"/>
        </xdr:cNvSpPr>
      </xdr:nvSpPr>
      <xdr:spPr bwMode="auto">
        <a:xfrm>
          <a:off x="254889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788" name="AutoShape 46">
          <a:extLst>
            <a:ext uri="{FF2B5EF4-FFF2-40B4-BE49-F238E27FC236}">
              <a16:creationId xmlns:a16="http://schemas.microsoft.com/office/drawing/2014/main" id="{3D60AB6C-F3F9-40E5-A708-9486FDE2EC67}"/>
            </a:ext>
          </a:extLst>
        </xdr:cNvPr>
        <xdr:cNvSpPr>
          <a:spLocks noChangeArrowheads="1"/>
        </xdr:cNvSpPr>
      </xdr:nvSpPr>
      <xdr:spPr bwMode="auto">
        <a:xfrm>
          <a:off x="276288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789" name="AutoShape 46">
          <a:extLst>
            <a:ext uri="{FF2B5EF4-FFF2-40B4-BE49-F238E27FC236}">
              <a16:creationId xmlns:a16="http://schemas.microsoft.com/office/drawing/2014/main" id="{6891A184-62E4-4DB8-A110-319C1CEE82CD}"/>
            </a:ext>
          </a:extLst>
        </xdr:cNvPr>
        <xdr:cNvSpPr>
          <a:spLocks noChangeArrowheads="1"/>
        </xdr:cNvSpPr>
      </xdr:nvSpPr>
      <xdr:spPr bwMode="auto">
        <a:xfrm>
          <a:off x="296418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90" name="AutoShape 46">
          <a:extLst>
            <a:ext uri="{FF2B5EF4-FFF2-40B4-BE49-F238E27FC236}">
              <a16:creationId xmlns:a16="http://schemas.microsoft.com/office/drawing/2014/main" id="{19B8C947-E50B-4639-BD0B-52B8DDBFC998}"/>
            </a:ext>
          </a:extLst>
        </xdr:cNvPr>
        <xdr:cNvSpPr>
          <a:spLocks noChangeArrowheads="1"/>
        </xdr:cNvSpPr>
      </xdr:nvSpPr>
      <xdr:spPr bwMode="auto">
        <a:xfrm>
          <a:off x="177292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91" name="AutoShape 46">
          <a:extLst>
            <a:ext uri="{FF2B5EF4-FFF2-40B4-BE49-F238E27FC236}">
              <a16:creationId xmlns:a16="http://schemas.microsoft.com/office/drawing/2014/main" id="{63843AC3-DB85-4D05-AA9B-86CE0C92BA0B}"/>
            </a:ext>
          </a:extLst>
        </xdr:cNvPr>
        <xdr:cNvSpPr>
          <a:spLocks noChangeArrowheads="1"/>
        </xdr:cNvSpPr>
      </xdr:nvSpPr>
      <xdr:spPr bwMode="auto">
        <a:xfrm>
          <a:off x="1995805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92" name="AutoShape 46">
          <a:extLst>
            <a:ext uri="{FF2B5EF4-FFF2-40B4-BE49-F238E27FC236}">
              <a16:creationId xmlns:a16="http://schemas.microsoft.com/office/drawing/2014/main" id="{D704FAEB-F28A-439F-B915-28A1F3994CEC}"/>
            </a:ext>
          </a:extLst>
        </xdr:cNvPr>
        <xdr:cNvSpPr>
          <a:spLocks noChangeArrowheads="1"/>
        </xdr:cNvSpPr>
      </xdr:nvSpPr>
      <xdr:spPr bwMode="auto">
        <a:xfrm>
          <a:off x="22542500" y="1237996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93" name="AutoShape 46">
          <a:extLst>
            <a:ext uri="{FF2B5EF4-FFF2-40B4-BE49-F238E27FC236}">
              <a16:creationId xmlns:a16="http://schemas.microsoft.com/office/drawing/2014/main" id="{32DF36DE-A82D-4755-A5EF-C9820ED9249B}"/>
            </a:ext>
          </a:extLst>
        </xdr:cNvPr>
        <xdr:cNvSpPr>
          <a:spLocks noChangeArrowheads="1"/>
        </xdr:cNvSpPr>
      </xdr:nvSpPr>
      <xdr:spPr bwMode="auto">
        <a:xfrm>
          <a:off x="254889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794" name="AutoShape 46">
          <a:extLst>
            <a:ext uri="{FF2B5EF4-FFF2-40B4-BE49-F238E27FC236}">
              <a16:creationId xmlns:a16="http://schemas.microsoft.com/office/drawing/2014/main" id="{40B6ABFC-C67F-45A3-9233-AAFC984D14D4}"/>
            </a:ext>
          </a:extLst>
        </xdr:cNvPr>
        <xdr:cNvSpPr>
          <a:spLocks noChangeArrowheads="1"/>
        </xdr:cNvSpPr>
      </xdr:nvSpPr>
      <xdr:spPr bwMode="auto">
        <a:xfrm>
          <a:off x="2762885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795" name="AutoShape 46">
          <a:extLst>
            <a:ext uri="{FF2B5EF4-FFF2-40B4-BE49-F238E27FC236}">
              <a16:creationId xmlns:a16="http://schemas.microsoft.com/office/drawing/2014/main" id="{14C41563-1D38-4624-A035-FA0C82ACA528}"/>
            </a:ext>
          </a:extLst>
        </xdr:cNvPr>
        <xdr:cNvSpPr>
          <a:spLocks noChangeArrowheads="1"/>
        </xdr:cNvSpPr>
      </xdr:nvSpPr>
      <xdr:spPr bwMode="auto">
        <a:xfrm>
          <a:off x="296418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96" name="AutoShape 46">
          <a:extLst>
            <a:ext uri="{FF2B5EF4-FFF2-40B4-BE49-F238E27FC236}">
              <a16:creationId xmlns:a16="http://schemas.microsoft.com/office/drawing/2014/main" id="{A39868C2-B6AC-4D3D-B021-8DD98BC15BA8}"/>
            </a:ext>
          </a:extLst>
        </xdr:cNvPr>
        <xdr:cNvSpPr>
          <a:spLocks noChangeArrowheads="1"/>
        </xdr:cNvSpPr>
      </xdr:nvSpPr>
      <xdr:spPr bwMode="auto">
        <a:xfrm>
          <a:off x="17729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97" name="AutoShape 46">
          <a:extLst>
            <a:ext uri="{FF2B5EF4-FFF2-40B4-BE49-F238E27FC236}">
              <a16:creationId xmlns:a16="http://schemas.microsoft.com/office/drawing/2014/main" id="{A8D717C9-DB70-46BF-AFCA-88BFBC648E48}"/>
            </a:ext>
          </a:extLst>
        </xdr:cNvPr>
        <xdr:cNvSpPr>
          <a:spLocks noChangeArrowheads="1"/>
        </xdr:cNvSpPr>
      </xdr:nvSpPr>
      <xdr:spPr bwMode="auto">
        <a:xfrm>
          <a:off x="1995805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98" name="AutoShape 46">
          <a:extLst>
            <a:ext uri="{FF2B5EF4-FFF2-40B4-BE49-F238E27FC236}">
              <a16:creationId xmlns:a16="http://schemas.microsoft.com/office/drawing/2014/main" id="{04CC6667-0394-4101-9FB1-828B2430E659}"/>
            </a:ext>
          </a:extLst>
        </xdr:cNvPr>
        <xdr:cNvSpPr>
          <a:spLocks noChangeArrowheads="1"/>
        </xdr:cNvSpPr>
      </xdr:nvSpPr>
      <xdr:spPr bwMode="auto">
        <a:xfrm>
          <a:off x="22542500" y="1237996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99" name="AutoShape 46">
          <a:extLst>
            <a:ext uri="{FF2B5EF4-FFF2-40B4-BE49-F238E27FC236}">
              <a16:creationId xmlns:a16="http://schemas.microsoft.com/office/drawing/2014/main" id="{52A2D875-11E2-4C96-B9F5-CC469A1AEC1E}"/>
            </a:ext>
          </a:extLst>
        </xdr:cNvPr>
        <xdr:cNvSpPr>
          <a:spLocks noChangeArrowheads="1"/>
        </xdr:cNvSpPr>
      </xdr:nvSpPr>
      <xdr:spPr bwMode="auto">
        <a:xfrm>
          <a:off x="254889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800" name="AutoShape 46">
          <a:extLst>
            <a:ext uri="{FF2B5EF4-FFF2-40B4-BE49-F238E27FC236}">
              <a16:creationId xmlns:a16="http://schemas.microsoft.com/office/drawing/2014/main" id="{C9F6EAE7-287A-4A0E-A571-878EDE57DA59}"/>
            </a:ext>
          </a:extLst>
        </xdr:cNvPr>
        <xdr:cNvSpPr>
          <a:spLocks noChangeArrowheads="1"/>
        </xdr:cNvSpPr>
      </xdr:nvSpPr>
      <xdr:spPr bwMode="auto">
        <a:xfrm>
          <a:off x="276288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801" name="AutoShape 46">
          <a:extLst>
            <a:ext uri="{FF2B5EF4-FFF2-40B4-BE49-F238E27FC236}">
              <a16:creationId xmlns:a16="http://schemas.microsoft.com/office/drawing/2014/main" id="{9CED496E-AF75-49C4-B130-4707BF1E18B9}"/>
            </a:ext>
          </a:extLst>
        </xdr:cNvPr>
        <xdr:cNvSpPr>
          <a:spLocks noChangeArrowheads="1"/>
        </xdr:cNvSpPr>
      </xdr:nvSpPr>
      <xdr:spPr bwMode="auto">
        <a:xfrm>
          <a:off x="296418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257</xdr:row>
      <xdr:rowOff>57150</xdr:rowOff>
    </xdr:from>
    <xdr:to>
      <xdr:col>2</xdr:col>
      <xdr:colOff>0</xdr:colOff>
      <xdr:row>258</xdr:row>
      <xdr:rowOff>190500</xdr:rowOff>
    </xdr:to>
    <xdr:sp macro="" textlink="">
      <xdr:nvSpPr>
        <xdr:cNvPr id="802" name="AutoShape 46">
          <a:extLst>
            <a:ext uri="{FF2B5EF4-FFF2-40B4-BE49-F238E27FC236}">
              <a16:creationId xmlns:a16="http://schemas.microsoft.com/office/drawing/2014/main" id="{40D29E43-D6F5-4DA6-8B4D-F46417AE6A08}"/>
            </a:ext>
          </a:extLst>
        </xdr:cNvPr>
        <xdr:cNvSpPr>
          <a:spLocks noChangeArrowheads="1"/>
        </xdr:cNvSpPr>
      </xdr:nvSpPr>
      <xdr:spPr bwMode="auto">
        <a:xfrm>
          <a:off x="7810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257</xdr:row>
      <xdr:rowOff>57150</xdr:rowOff>
    </xdr:from>
    <xdr:to>
      <xdr:col>4</xdr:col>
      <xdr:colOff>0</xdr:colOff>
      <xdr:row>258</xdr:row>
      <xdr:rowOff>190500</xdr:rowOff>
    </xdr:to>
    <xdr:sp macro="" textlink="">
      <xdr:nvSpPr>
        <xdr:cNvPr id="803" name="AutoShape 46">
          <a:extLst>
            <a:ext uri="{FF2B5EF4-FFF2-40B4-BE49-F238E27FC236}">
              <a16:creationId xmlns:a16="http://schemas.microsoft.com/office/drawing/2014/main" id="{6030F425-B472-4FFC-8393-AD06C1A1B09E}"/>
            </a:ext>
          </a:extLst>
        </xdr:cNvPr>
        <xdr:cNvSpPr>
          <a:spLocks noChangeArrowheads="1"/>
        </xdr:cNvSpPr>
      </xdr:nvSpPr>
      <xdr:spPr bwMode="auto">
        <a:xfrm>
          <a:off x="27940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257</xdr:row>
      <xdr:rowOff>57150</xdr:rowOff>
    </xdr:from>
    <xdr:to>
      <xdr:col>8</xdr:col>
      <xdr:colOff>0</xdr:colOff>
      <xdr:row>258</xdr:row>
      <xdr:rowOff>190500</xdr:rowOff>
    </xdr:to>
    <xdr:sp macro="" textlink="">
      <xdr:nvSpPr>
        <xdr:cNvPr id="804" name="AutoShape 46">
          <a:extLst>
            <a:ext uri="{FF2B5EF4-FFF2-40B4-BE49-F238E27FC236}">
              <a16:creationId xmlns:a16="http://schemas.microsoft.com/office/drawing/2014/main" id="{F24926B3-3DB3-404C-9774-EEE8BE792145}"/>
            </a:ext>
          </a:extLst>
        </xdr:cNvPr>
        <xdr:cNvSpPr>
          <a:spLocks noChangeArrowheads="1"/>
        </xdr:cNvSpPr>
      </xdr:nvSpPr>
      <xdr:spPr bwMode="auto">
        <a:xfrm>
          <a:off x="69469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257</xdr:row>
      <xdr:rowOff>57150</xdr:rowOff>
    </xdr:from>
    <xdr:to>
      <xdr:col>10</xdr:col>
      <xdr:colOff>0</xdr:colOff>
      <xdr:row>258</xdr:row>
      <xdr:rowOff>190500</xdr:rowOff>
    </xdr:to>
    <xdr:sp macro="" textlink="">
      <xdr:nvSpPr>
        <xdr:cNvPr id="805" name="AutoShape 46">
          <a:extLst>
            <a:ext uri="{FF2B5EF4-FFF2-40B4-BE49-F238E27FC236}">
              <a16:creationId xmlns:a16="http://schemas.microsoft.com/office/drawing/2014/main" id="{94532540-59F2-42D6-9605-B6C1354DE387}"/>
            </a:ext>
          </a:extLst>
        </xdr:cNvPr>
        <xdr:cNvSpPr>
          <a:spLocks noChangeArrowheads="1"/>
        </xdr:cNvSpPr>
      </xdr:nvSpPr>
      <xdr:spPr bwMode="auto">
        <a:xfrm>
          <a:off x="92773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257</xdr:row>
      <xdr:rowOff>57150</xdr:rowOff>
    </xdr:from>
    <xdr:to>
      <xdr:col>12</xdr:col>
      <xdr:colOff>0</xdr:colOff>
      <xdr:row>258</xdr:row>
      <xdr:rowOff>190500</xdr:rowOff>
    </xdr:to>
    <xdr:sp macro="" textlink="">
      <xdr:nvSpPr>
        <xdr:cNvPr id="806" name="AutoShape 46">
          <a:extLst>
            <a:ext uri="{FF2B5EF4-FFF2-40B4-BE49-F238E27FC236}">
              <a16:creationId xmlns:a16="http://schemas.microsoft.com/office/drawing/2014/main" id="{50D26C8E-493A-4B97-9E86-71B6CD46F87C}"/>
            </a:ext>
          </a:extLst>
        </xdr:cNvPr>
        <xdr:cNvSpPr>
          <a:spLocks noChangeArrowheads="1"/>
        </xdr:cNvSpPr>
      </xdr:nvSpPr>
      <xdr:spPr bwMode="auto">
        <a:xfrm>
          <a:off x="112903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257</xdr:row>
      <xdr:rowOff>57150</xdr:rowOff>
    </xdr:from>
    <xdr:to>
      <xdr:col>14</xdr:col>
      <xdr:colOff>0</xdr:colOff>
      <xdr:row>258</xdr:row>
      <xdr:rowOff>190500</xdr:rowOff>
    </xdr:to>
    <xdr:sp macro="" textlink="">
      <xdr:nvSpPr>
        <xdr:cNvPr id="807" name="AutoShape 46">
          <a:extLst>
            <a:ext uri="{FF2B5EF4-FFF2-40B4-BE49-F238E27FC236}">
              <a16:creationId xmlns:a16="http://schemas.microsoft.com/office/drawing/2014/main" id="{FB7629C4-BB2F-47CD-821C-5758EE5910F1}"/>
            </a:ext>
          </a:extLst>
        </xdr:cNvPr>
        <xdr:cNvSpPr>
          <a:spLocks noChangeArrowheads="1"/>
        </xdr:cNvSpPr>
      </xdr:nvSpPr>
      <xdr:spPr bwMode="auto">
        <a:xfrm>
          <a:off x="133032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257</xdr:row>
      <xdr:rowOff>57150</xdr:rowOff>
    </xdr:from>
    <xdr:to>
      <xdr:col>16</xdr:col>
      <xdr:colOff>0</xdr:colOff>
      <xdr:row>258</xdr:row>
      <xdr:rowOff>190500</xdr:rowOff>
    </xdr:to>
    <xdr:sp macro="" textlink="">
      <xdr:nvSpPr>
        <xdr:cNvPr id="808" name="AutoShape 46">
          <a:extLst>
            <a:ext uri="{FF2B5EF4-FFF2-40B4-BE49-F238E27FC236}">
              <a16:creationId xmlns:a16="http://schemas.microsoft.com/office/drawing/2014/main" id="{5EDFDDAC-688A-4E93-A58E-B8E3F73D442A}"/>
            </a:ext>
          </a:extLst>
        </xdr:cNvPr>
        <xdr:cNvSpPr>
          <a:spLocks noChangeArrowheads="1"/>
        </xdr:cNvSpPr>
      </xdr:nvSpPr>
      <xdr:spPr bwMode="auto">
        <a:xfrm>
          <a:off x="153162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257</xdr:row>
      <xdr:rowOff>57150</xdr:rowOff>
    </xdr:from>
    <xdr:to>
      <xdr:col>16</xdr:col>
      <xdr:colOff>0</xdr:colOff>
      <xdr:row>258</xdr:row>
      <xdr:rowOff>190500</xdr:rowOff>
    </xdr:to>
    <xdr:sp macro="" textlink="">
      <xdr:nvSpPr>
        <xdr:cNvPr id="809" name="AutoShape 46">
          <a:extLst>
            <a:ext uri="{FF2B5EF4-FFF2-40B4-BE49-F238E27FC236}">
              <a16:creationId xmlns:a16="http://schemas.microsoft.com/office/drawing/2014/main" id="{520E9908-1840-4561-A45B-B4995C6C8DB0}"/>
            </a:ext>
          </a:extLst>
        </xdr:cNvPr>
        <xdr:cNvSpPr>
          <a:spLocks noChangeArrowheads="1"/>
        </xdr:cNvSpPr>
      </xdr:nvSpPr>
      <xdr:spPr bwMode="auto">
        <a:xfrm>
          <a:off x="15316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10" name="AutoShape 46">
          <a:extLst>
            <a:ext uri="{FF2B5EF4-FFF2-40B4-BE49-F238E27FC236}">
              <a16:creationId xmlns:a16="http://schemas.microsoft.com/office/drawing/2014/main" id="{166D8538-8D45-4A97-A869-AFDC6B033ECD}"/>
            </a:ext>
          </a:extLst>
        </xdr:cNvPr>
        <xdr:cNvSpPr>
          <a:spLocks noChangeArrowheads="1"/>
        </xdr:cNvSpPr>
      </xdr:nvSpPr>
      <xdr:spPr bwMode="auto">
        <a:xfrm>
          <a:off x="17729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11" name="AutoShape 46">
          <a:extLst>
            <a:ext uri="{FF2B5EF4-FFF2-40B4-BE49-F238E27FC236}">
              <a16:creationId xmlns:a16="http://schemas.microsoft.com/office/drawing/2014/main" id="{4A31C1D5-BAAC-410A-B19D-17EE86B2033E}"/>
            </a:ext>
          </a:extLst>
        </xdr:cNvPr>
        <xdr:cNvSpPr>
          <a:spLocks noChangeArrowheads="1"/>
        </xdr:cNvSpPr>
      </xdr:nvSpPr>
      <xdr:spPr bwMode="auto">
        <a:xfrm>
          <a:off x="199580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12" name="AutoShape 46">
          <a:extLst>
            <a:ext uri="{FF2B5EF4-FFF2-40B4-BE49-F238E27FC236}">
              <a16:creationId xmlns:a16="http://schemas.microsoft.com/office/drawing/2014/main" id="{C83F8377-584E-49D3-9A1F-7937BF60E6BA}"/>
            </a:ext>
          </a:extLst>
        </xdr:cNvPr>
        <xdr:cNvSpPr>
          <a:spLocks noChangeArrowheads="1"/>
        </xdr:cNvSpPr>
      </xdr:nvSpPr>
      <xdr:spPr bwMode="auto">
        <a:xfrm>
          <a:off x="22542500" y="1273365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13" name="AutoShape 46">
          <a:extLst>
            <a:ext uri="{FF2B5EF4-FFF2-40B4-BE49-F238E27FC236}">
              <a16:creationId xmlns:a16="http://schemas.microsoft.com/office/drawing/2014/main" id="{94782F93-2490-44D2-BEBC-751E57F419DC}"/>
            </a:ext>
          </a:extLst>
        </xdr:cNvPr>
        <xdr:cNvSpPr>
          <a:spLocks noChangeArrowheads="1"/>
        </xdr:cNvSpPr>
      </xdr:nvSpPr>
      <xdr:spPr bwMode="auto">
        <a:xfrm>
          <a:off x="254889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14" name="AutoShape 46">
          <a:extLst>
            <a:ext uri="{FF2B5EF4-FFF2-40B4-BE49-F238E27FC236}">
              <a16:creationId xmlns:a16="http://schemas.microsoft.com/office/drawing/2014/main" id="{1CE9E018-815B-4087-A0E0-81E562340CFC}"/>
            </a:ext>
          </a:extLst>
        </xdr:cNvPr>
        <xdr:cNvSpPr>
          <a:spLocks noChangeArrowheads="1"/>
        </xdr:cNvSpPr>
      </xdr:nvSpPr>
      <xdr:spPr bwMode="auto">
        <a:xfrm>
          <a:off x="276288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15" name="AutoShape 46">
          <a:extLst>
            <a:ext uri="{FF2B5EF4-FFF2-40B4-BE49-F238E27FC236}">
              <a16:creationId xmlns:a16="http://schemas.microsoft.com/office/drawing/2014/main" id="{6357097B-9070-41A9-B003-9F74860D6034}"/>
            </a:ext>
          </a:extLst>
        </xdr:cNvPr>
        <xdr:cNvSpPr>
          <a:spLocks noChangeArrowheads="1"/>
        </xdr:cNvSpPr>
      </xdr:nvSpPr>
      <xdr:spPr bwMode="auto">
        <a:xfrm>
          <a:off x="296418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16" name="AutoShape 46">
          <a:extLst>
            <a:ext uri="{FF2B5EF4-FFF2-40B4-BE49-F238E27FC236}">
              <a16:creationId xmlns:a16="http://schemas.microsoft.com/office/drawing/2014/main" id="{6F892C26-53F1-48CF-90B9-D61B975147CA}"/>
            </a:ext>
          </a:extLst>
        </xdr:cNvPr>
        <xdr:cNvSpPr>
          <a:spLocks noChangeArrowheads="1"/>
        </xdr:cNvSpPr>
      </xdr:nvSpPr>
      <xdr:spPr bwMode="auto">
        <a:xfrm>
          <a:off x="177292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17" name="AutoShape 46">
          <a:extLst>
            <a:ext uri="{FF2B5EF4-FFF2-40B4-BE49-F238E27FC236}">
              <a16:creationId xmlns:a16="http://schemas.microsoft.com/office/drawing/2014/main" id="{679F2795-CDF2-404D-A060-F64DF1FF6392}"/>
            </a:ext>
          </a:extLst>
        </xdr:cNvPr>
        <xdr:cNvSpPr>
          <a:spLocks noChangeArrowheads="1"/>
        </xdr:cNvSpPr>
      </xdr:nvSpPr>
      <xdr:spPr bwMode="auto">
        <a:xfrm>
          <a:off x="1995805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18" name="AutoShape 46">
          <a:extLst>
            <a:ext uri="{FF2B5EF4-FFF2-40B4-BE49-F238E27FC236}">
              <a16:creationId xmlns:a16="http://schemas.microsoft.com/office/drawing/2014/main" id="{01179769-3CC1-4ADC-A54D-BB4713EF1BD2}"/>
            </a:ext>
          </a:extLst>
        </xdr:cNvPr>
        <xdr:cNvSpPr>
          <a:spLocks noChangeArrowheads="1"/>
        </xdr:cNvSpPr>
      </xdr:nvSpPr>
      <xdr:spPr bwMode="auto">
        <a:xfrm>
          <a:off x="22542500" y="127336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19" name="AutoShape 46">
          <a:extLst>
            <a:ext uri="{FF2B5EF4-FFF2-40B4-BE49-F238E27FC236}">
              <a16:creationId xmlns:a16="http://schemas.microsoft.com/office/drawing/2014/main" id="{F8892FB8-7B8C-4646-A359-523C268BDE5E}"/>
            </a:ext>
          </a:extLst>
        </xdr:cNvPr>
        <xdr:cNvSpPr>
          <a:spLocks noChangeArrowheads="1"/>
        </xdr:cNvSpPr>
      </xdr:nvSpPr>
      <xdr:spPr bwMode="auto">
        <a:xfrm>
          <a:off x="254889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20" name="AutoShape 46">
          <a:extLst>
            <a:ext uri="{FF2B5EF4-FFF2-40B4-BE49-F238E27FC236}">
              <a16:creationId xmlns:a16="http://schemas.microsoft.com/office/drawing/2014/main" id="{DD8CB91E-6C6F-46C3-882E-A4DF7B86AE87}"/>
            </a:ext>
          </a:extLst>
        </xdr:cNvPr>
        <xdr:cNvSpPr>
          <a:spLocks noChangeArrowheads="1"/>
        </xdr:cNvSpPr>
      </xdr:nvSpPr>
      <xdr:spPr bwMode="auto">
        <a:xfrm>
          <a:off x="2762885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21" name="AutoShape 46">
          <a:extLst>
            <a:ext uri="{FF2B5EF4-FFF2-40B4-BE49-F238E27FC236}">
              <a16:creationId xmlns:a16="http://schemas.microsoft.com/office/drawing/2014/main" id="{CE405C7D-4432-4476-9F96-8CCBB5F5A71D}"/>
            </a:ext>
          </a:extLst>
        </xdr:cNvPr>
        <xdr:cNvSpPr>
          <a:spLocks noChangeArrowheads="1"/>
        </xdr:cNvSpPr>
      </xdr:nvSpPr>
      <xdr:spPr bwMode="auto">
        <a:xfrm>
          <a:off x="296418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22" name="AutoShape 46">
          <a:extLst>
            <a:ext uri="{FF2B5EF4-FFF2-40B4-BE49-F238E27FC236}">
              <a16:creationId xmlns:a16="http://schemas.microsoft.com/office/drawing/2014/main" id="{DF87670B-5959-45CB-A0F1-B3A20F7D047C}"/>
            </a:ext>
          </a:extLst>
        </xdr:cNvPr>
        <xdr:cNvSpPr>
          <a:spLocks noChangeArrowheads="1"/>
        </xdr:cNvSpPr>
      </xdr:nvSpPr>
      <xdr:spPr bwMode="auto">
        <a:xfrm>
          <a:off x="17729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23" name="AutoShape 46">
          <a:extLst>
            <a:ext uri="{FF2B5EF4-FFF2-40B4-BE49-F238E27FC236}">
              <a16:creationId xmlns:a16="http://schemas.microsoft.com/office/drawing/2014/main" id="{311B2BE7-2C0E-40CC-9D3B-AACACA0F1813}"/>
            </a:ext>
          </a:extLst>
        </xdr:cNvPr>
        <xdr:cNvSpPr>
          <a:spLocks noChangeArrowheads="1"/>
        </xdr:cNvSpPr>
      </xdr:nvSpPr>
      <xdr:spPr bwMode="auto">
        <a:xfrm>
          <a:off x="1995805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24" name="AutoShape 46">
          <a:extLst>
            <a:ext uri="{FF2B5EF4-FFF2-40B4-BE49-F238E27FC236}">
              <a16:creationId xmlns:a16="http://schemas.microsoft.com/office/drawing/2014/main" id="{05B471A4-E2DD-40F7-9D43-FB0FA7F551BE}"/>
            </a:ext>
          </a:extLst>
        </xdr:cNvPr>
        <xdr:cNvSpPr>
          <a:spLocks noChangeArrowheads="1"/>
        </xdr:cNvSpPr>
      </xdr:nvSpPr>
      <xdr:spPr bwMode="auto">
        <a:xfrm>
          <a:off x="22542500" y="127336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25" name="AutoShape 46">
          <a:extLst>
            <a:ext uri="{FF2B5EF4-FFF2-40B4-BE49-F238E27FC236}">
              <a16:creationId xmlns:a16="http://schemas.microsoft.com/office/drawing/2014/main" id="{21B9A286-5AAB-4474-BD84-E83C613D862B}"/>
            </a:ext>
          </a:extLst>
        </xdr:cNvPr>
        <xdr:cNvSpPr>
          <a:spLocks noChangeArrowheads="1"/>
        </xdr:cNvSpPr>
      </xdr:nvSpPr>
      <xdr:spPr bwMode="auto">
        <a:xfrm>
          <a:off x="254889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26" name="AutoShape 46">
          <a:extLst>
            <a:ext uri="{FF2B5EF4-FFF2-40B4-BE49-F238E27FC236}">
              <a16:creationId xmlns:a16="http://schemas.microsoft.com/office/drawing/2014/main" id="{C027303A-B889-42C9-B6E0-8460834181D2}"/>
            </a:ext>
          </a:extLst>
        </xdr:cNvPr>
        <xdr:cNvSpPr>
          <a:spLocks noChangeArrowheads="1"/>
        </xdr:cNvSpPr>
      </xdr:nvSpPr>
      <xdr:spPr bwMode="auto">
        <a:xfrm>
          <a:off x="27628850" y="12733655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27" name="AutoShape 46">
          <a:extLst>
            <a:ext uri="{FF2B5EF4-FFF2-40B4-BE49-F238E27FC236}">
              <a16:creationId xmlns:a16="http://schemas.microsoft.com/office/drawing/2014/main" id="{84C08EE4-F653-4D59-A087-30BA2259B846}"/>
            </a:ext>
          </a:extLst>
        </xdr:cNvPr>
        <xdr:cNvSpPr>
          <a:spLocks noChangeArrowheads="1"/>
        </xdr:cNvSpPr>
      </xdr:nvSpPr>
      <xdr:spPr bwMode="auto">
        <a:xfrm>
          <a:off x="296418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265</xdr:row>
      <xdr:rowOff>57150</xdr:rowOff>
    </xdr:from>
    <xdr:to>
      <xdr:col>2</xdr:col>
      <xdr:colOff>0</xdr:colOff>
      <xdr:row>266</xdr:row>
      <xdr:rowOff>190500</xdr:rowOff>
    </xdr:to>
    <xdr:sp macro="" textlink="">
      <xdr:nvSpPr>
        <xdr:cNvPr id="828" name="AutoShape 46">
          <a:extLst>
            <a:ext uri="{FF2B5EF4-FFF2-40B4-BE49-F238E27FC236}">
              <a16:creationId xmlns:a16="http://schemas.microsoft.com/office/drawing/2014/main" id="{79160D99-E903-4028-BF10-BAFA72C1155F}"/>
            </a:ext>
          </a:extLst>
        </xdr:cNvPr>
        <xdr:cNvSpPr>
          <a:spLocks noChangeArrowheads="1"/>
        </xdr:cNvSpPr>
      </xdr:nvSpPr>
      <xdr:spPr bwMode="auto">
        <a:xfrm>
          <a:off x="7810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265</xdr:row>
      <xdr:rowOff>57150</xdr:rowOff>
    </xdr:from>
    <xdr:to>
      <xdr:col>4</xdr:col>
      <xdr:colOff>0</xdr:colOff>
      <xdr:row>266</xdr:row>
      <xdr:rowOff>190500</xdr:rowOff>
    </xdr:to>
    <xdr:sp macro="" textlink="">
      <xdr:nvSpPr>
        <xdr:cNvPr id="829" name="AutoShape 46">
          <a:extLst>
            <a:ext uri="{FF2B5EF4-FFF2-40B4-BE49-F238E27FC236}">
              <a16:creationId xmlns:a16="http://schemas.microsoft.com/office/drawing/2014/main" id="{7628D136-8AE5-4A23-B7BD-ACAF67149F79}"/>
            </a:ext>
          </a:extLst>
        </xdr:cNvPr>
        <xdr:cNvSpPr>
          <a:spLocks noChangeArrowheads="1"/>
        </xdr:cNvSpPr>
      </xdr:nvSpPr>
      <xdr:spPr bwMode="auto">
        <a:xfrm>
          <a:off x="27940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265</xdr:row>
      <xdr:rowOff>57150</xdr:rowOff>
    </xdr:from>
    <xdr:to>
      <xdr:col>6</xdr:col>
      <xdr:colOff>0</xdr:colOff>
      <xdr:row>266</xdr:row>
      <xdr:rowOff>190500</xdr:rowOff>
    </xdr:to>
    <xdr:sp macro="" textlink="">
      <xdr:nvSpPr>
        <xdr:cNvPr id="830" name="AutoShape 46">
          <a:extLst>
            <a:ext uri="{FF2B5EF4-FFF2-40B4-BE49-F238E27FC236}">
              <a16:creationId xmlns:a16="http://schemas.microsoft.com/office/drawing/2014/main" id="{7201A379-8B09-4A21-8945-F33D137D0FDE}"/>
            </a:ext>
          </a:extLst>
        </xdr:cNvPr>
        <xdr:cNvSpPr>
          <a:spLocks noChangeArrowheads="1"/>
        </xdr:cNvSpPr>
      </xdr:nvSpPr>
      <xdr:spPr bwMode="auto">
        <a:xfrm>
          <a:off x="49339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265</xdr:row>
      <xdr:rowOff>57150</xdr:rowOff>
    </xdr:from>
    <xdr:to>
      <xdr:col>8</xdr:col>
      <xdr:colOff>0</xdr:colOff>
      <xdr:row>266</xdr:row>
      <xdr:rowOff>190500</xdr:rowOff>
    </xdr:to>
    <xdr:sp macro="" textlink="">
      <xdr:nvSpPr>
        <xdr:cNvPr id="831" name="AutoShape 46">
          <a:extLst>
            <a:ext uri="{FF2B5EF4-FFF2-40B4-BE49-F238E27FC236}">
              <a16:creationId xmlns:a16="http://schemas.microsoft.com/office/drawing/2014/main" id="{33521CF5-EC8B-486C-96C4-53D67F6A7723}"/>
            </a:ext>
          </a:extLst>
        </xdr:cNvPr>
        <xdr:cNvSpPr>
          <a:spLocks noChangeArrowheads="1"/>
        </xdr:cNvSpPr>
      </xdr:nvSpPr>
      <xdr:spPr bwMode="auto">
        <a:xfrm>
          <a:off x="69469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265</xdr:row>
      <xdr:rowOff>57150</xdr:rowOff>
    </xdr:from>
    <xdr:to>
      <xdr:col>10</xdr:col>
      <xdr:colOff>0</xdr:colOff>
      <xdr:row>266</xdr:row>
      <xdr:rowOff>190500</xdr:rowOff>
    </xdr:to>
    <xdr:sp macro="" textlink="">
      <xdr:nvSpPr>
        <xdr:cNvPr id="832" name="AutoShape 46">
          <a:extLst>
            <a:ext uri="{FF2B5EF4-FFF2-40B4-BE49-F238E27FC236}">
              <a16:creationId xmlns:a16="http://schemas.microsoft.com/office/drawing/2014/main" id="{B5F09A43-FBBA-4743-BD9D-302305EAC737}"/>
            </a:ext>
          </a:extLst>
        </xdr:cNvPr>
        <xdr:cNvSpPr>
          <a:spLocks noChangeArrowheads="1"/>
        </xdr:cNvSpPr>
      </xdr:nvSpPr>
      <xdr:spPr bwMode="auto">
        <a:xfrm>
          <a:off x="92773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265</xdr:row>
      <xdr:rowOff>57150</xdr:rowOff>
    </xdr:from>
    <xdr:to>
      <xdr:col>12</xdr:col>
      <xdr:colOff>0</xdr:colOff>
      <xdr:row>266</xdr:row>
      <xdr:rowOff>190500</xdr:rowOff>
    </xdr:to>
    <xdr:sp macro="" textlink="">
      <xdr:nvSpPr>
        <xdr:cNvPr id="833" name="AutoShape 46">
          <a:extLst>
            <a:ext uri="{FF2B5EF4-FFF2-40B4-BE49-F238E27FC236}">
              <a16:creationId xmlns:a16="http://schemas.microsoft.com/office/drawing/2014/main" id="{A532F06E-9806-4B98-9DE7-EB914BAB2658}"/>
            </a:ext>
          </a:extLst>
        </xdr:cNvPr>
        <xdr:cNvSpPr>
          <a:spLocks noChangeArrowheads="1"/>
        </xdr:cNvSpPr>
      </xdr:nvSpPr>
      <xdr:spPr bwMode="auto">
        <a:xfrm>
          <a:off x="112903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265</xdr:row>
      <xdr:rowOff>57150</xdr:rowOff>
    </xdr:from>
    <xdr:to>
      <xdr:col>14</xdr:col>
      <xdr:colOff>0</xdr:colOff>
      <xdr:row>266</xdr:row>
      <xdr:rowOff>190500</xdr:rowOff>
    </xdr:to>
    <xdr:sp macro="" textlink="">
      <xdr:nvSpPr>
        <xdr:cNvPr id="834" name="AutoShape 46">
          <a:extLst>
            <a:ext uri="{FF2B5EF4-FFF2-40B4-BE49-F238E27FC236}">
              <a16:creationId xmlns:a16="http://schemas.microsoft.com/office/drawing/2014/main" id="{6AC0350C-461E-42BC-B93B-57FF8ABD6995}"/>
            </a:ext>
          </a:extLst>
        </xdr:cNvPr>
        <xdr:cNvSpPr>
          <a:spLocks noChangeArrowheads="1"/>
        </xdr:cNvSpPr>
      </xdr:nvSpPr>
      <xdr:spPr bwMode="auto">
        <a:xfrm>
          <a:off x="133032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265</xdr:row>
      <xdr:rowOff>57150</xdr:rowOff>
    </xdr:from>
    <xdr:to>
      <xdr:col>16</xdr:col>
      <xdr:colOff>0</xdr:colOff>
      <xdr:row>266</xdr:row>
      <xdr:rowOff>190500</xdr:rowOff>
    </xdr:to>
    <xdr:sp macro="" textlink="">
      <xdr:nvSpPr>
        <xdr:cNvPr id="835" name="AutoShape 46">
          <a:extLst>
            <a:ext uri="{FF2B5EF4-FFF2-40B4-BE49-F238E27FC236}">
              <a16:creationId xmlns:a16="http://schemas.microsoft.com/office/drawing/2014/main" id="{B6BD3072-FD60-4AE1-B00C-6DE1210E6072}"/>
            </a:ext>
          </a:extLst>
        </xdr:cNvPr>
        <xdr:cNvSpPr>
          <a:spLocks noChangeArrowheads="1"/>
        </xdr:cNvSpPr>
      </xdr:nvSpPr>
      <xdr:spPr bwMode="auto">
        <a:xfrm>
          <a:off x="153162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265</xdr:row>
      <xdr:rowOff>57150</xdr:rowOff>
    </xdr:from>
    <xdr:to>
      <xdr:col>16</xdr:col>
      <xdr:colOff>0</xdr:colOff>
      <xdr:row>266</xdr:row>
      <xdr:rowOff>190500</xdr:rowOff>
    </xdr:to>
    <xdr:sp macro="" textlink="">
      <xdr:nvSpPr>
        <xdr:cNvPr id="836" name="AutoShape 46">
          <a:extLst>
            <a:ext uri="{FF2B5EF4-FFF2-40B4-BE49-F238E27FC236}">
              <a16:creationId xmlns:a16="http://schemas.microsoft.com/office/drawing/2014/main" id="{C2BEC8B4-1700-430F-9CA6-F047B8609B1F}"/>
            </a:ext>
          </a:extLst>
        </xdr:cNvPr>
        <xdr:cNvSpPr>
          <a:spLocks noChangeArrowheads="1"/>
        </xdr:cNvSpPr>
      </xdr:nvSpPr>
      <xdr:spPr bwMode="auto">
        <a:xfrm>
          <a:off x="153162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37" name="AutoShape 46">
          <a:extLst>
            <a:ext uri="{FF2B5EF4-FFF2-40B4-BE49-F238E27FC236}">
              <a16:creationId xmlns:a16="http://schemas.microsoft.com/office/drawing/2014/main" id="{F48C01F1-4DAC-4F33-9EBD-0A4009C3DC4B}"/>
            </a:ext>
          </a:extLst>
        </xdr:cNvPr>
        <xdr:cNvSpPr>
          <a:spLocks noChangeArrowheads="1"/>
        </xdr:cNvSpPr>
      </xdr:nvSpPr>
      <xdr:spPr bwMode="auto">
        <a:xfrm>
          <a:off x="199580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38" name="AutoShape 46">
          <a:extLst>
            <a:ext uri="{FF2B5EF4-FFF2-40B4-BE49-F238E27FC236}">
              <a16:creationId xmlns:a16="http://schemas.microsoft.com/office/drawing/2014/main" id="{510DAA53-A93F-4E49-8551-22A3A2DAD3C1}"/>
            </a:ext>
          </a:extLst>
        </xdr:cNvPr>
        <xdr:cNvSpPr>
          <a:spLocks noChangeArrowheads="1"/>
        </xdr:cNvSpPr>
      </xdr:nvSpPr>
      <xdr:spPr bwMode="auto">
        <a:xfrm>
          <a:off x="22542500" y="1311338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39" name="AutoShape 46">
          <a:extLst>
            <a:ext uri="{FF2B5EF4-FFF2-40B4-BE49-F238E27FC236}">
              <a16:creationId xmlns:a16="http://schemas.microsoft.com/office/drawing/2014/main" id="{742DFE5D-0382-4A89-8AAE-7D3F0583F3AC}"/>
            </a:ext>
          </a:extLst>
        </xdr:cNvPr>
        <xdr:cNvSpPr>
          <a:spLocks noChangeArrowheads="1"/>
        </xdr:cNvSpPr>
      </xdr:nvSpPr>
      <xdr:spPr bwMode="auto">
        <a:xfrm>
          <a:off x="254889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40" name="AutoShape 46">
          <a:extLst>
            <a:ext uri="{FF2B5EF4-FFF2-40B4-BE49-F238E27FC236}">
              <a16:creationId xmlns:a16="http://schemas.microsoft.com/office/drawing/2014/main" id="{97325891-B1B8-4F69-9137-60995A151D44}"/>
            </a:ext>
          </a:extLst>
        </xdr:cNvPr>
        <xdr:cNvSpPr>
          <a:spLocks noChangeArrowheads="1"/>
        </xdr:cNvSpPr>
      </xdr:nvSpPr>
      <xdr:spPr bwMode="auto">
        <a:xfrm>
          <a:off x="276288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41" name="AutoShape 46">
          <a:extLst>
            <a:ext uri="{FF2B5EF4-FFF2-40B4-BE49-F238E27FC236}">
              <a16:creationId xmlns:a16="http://schemas.microsoft.com/office/drawing/2014/main" id="{A6332C39-19DD-4003-B14A-D8BBD1426A1A}"/>
            </a:ext>
          </a:extLst>
        </xdr:cNvPr>
        <xdr:cNvSpPr>
          <a:spLocks noChangeArrowheads="1"/>
        </xdr:cNvSpPr>
      </xdr:nvSpPr>
      <xdr:spPr bwMode="auto">
        <a:xfrm>
          <a:off x="296418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42" name="AutoShape 46">
          <a:extLst>
            <a:ext uri="{FF2B5EF4-FFF2-40B4-BE49-F238E27FC236}">
              <a16:creationId xmlns:a16="http://schemas.microsoft.com/office/drawing/2014/main" id="{CFFEF55C-FB30-4170-ACD3-C69607DCAE85}"/>
            </a:ext>
          </a:extLst>
        </xdr:cNvPr>
        <xdr:cNvSpPr>
          <a:spLocks noChangeArrowheads="1"/>
        </xdr:cNvSpPr>
      </xdr:nvSpPr>
      <xdr:spPr bwMode="auto">
        <a:xfrm>
          <a:off x="31813500" y="1311338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43" name="AutoShape 46">
          <a:extLst>
            <a:ext uri="{FF2B5EF4-FFF2-40B4-BE49-F238E27FC236}">
              <a16:creationId xmlns:a16="http://schemas.microsoft.com/office/drawing/2014/main" id="{E5397EEF-15A6-4C68-8941-49DAF7D9D6E6}"/>
            </a:ext>
          </a:extLst>
        </xdr:cNvPr>
        <xdr:cNvSpPr>
          <a:spLocks noChangeArrowheads="1"/>
        </xdr:cNvSpPr>
      </xdr:nvSpPr>
      <xdr:spPr bwMode="auto">
        <a:xfrm>
          <a:off x="199580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44" name="AutoShape 46">
          <a:extLst>
            <a:ext uri="{FF2B5EF4-FFF2-40B4-BE49-F238E27FC236}">
              <a16:creationId xmlns:a16="http://schemas.microsoft.com/office/drawing/2014/main" id="{CB7909FF-3215-4000-BAA8-D9F86218B1F9}"/>
            </a:ext>
          </a:extLst>
        </xdr:cNvPr>
        <xdr:cNvSpPr>
          <a:spLocks noChangeArrowheads="1"/>
        </xdr:cNvSpPr>
      </xdr:nvSpPr>
      <xdr:spPr bwMode="auto">
        <a:xfrm>
          <a:off x="22542500" y="1311338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45" name="AutoShape 46">
          <a:extLst>
            <a:ext uri="{FF2B5EF4-FFF2-40B4-BE49-F238E27FC236}">
              <a16:creationId xmlns:a16="http://schemas.microsoft.com/office/drawing/2014/main" id="{DA49024C-4321-4CD1-8239-100FA1217AF0}"/>
            </a:ext>
          </a:extLst>
        </xdr:cNvPr>
        <xdr:cNvSpPr>
          <a:spLocks noChangeArrowheads="1"/>
        </xdr:cNvSpPr>
      </xdr:nvSpPr>
      <xdr:spPr bwMode="auto">
        <a:xfrm>
          <a:off x="254889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46" name="AutoShape 46">
          <a:extLst>
            <a:ext uri="{FF2B5EF4-FFF2-40B4-BE49-F238E27FC236}">
              <a16:creationId xmlns:a16="http://schemas.microsoft.com/office/drawing/2014/main" id="{03F898A6-53E7-48B9-B929-44C2BC587FE0}"/>
            </a:ext>
          </a:extLst>
        </xdr:cNvPr>
        <xdr:cNvSpPr>
          <a:spLocks noChangeArrowheads="1"/>
        </xdr:cNvSpPr>
      </xdr:nvSpPr>
      <xdr:spPr bwMode="auto">
        <a:xfrm>
          <a:off x="276288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47" name="AutoShape 46">
          <a:extLst>
            <a:ext uri="{FF2B5EF4-FFF2-40B4-BE49-F238E27FC236}">
              <a16:creationId xmlns:a16="http://schemas.microsoft.com/office/drawing/2014/main" id="{011ED822-E1AA-49FE-B66C-A6F353D9DF8E}"/>
            </a:ext>
          </a:extLst>
        </xdr:cNvPr>
        <xdr:cNvSpPr>
          <a:spLocks noChangeArrowheads="1"/>
        </xdr:cNvSpPr>
      </xdr:nvSpPr>
      <xdr:spPr bwMode="auto">
        <a:xfrm>
          <a:off x="296418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48" name="AutoShape 46">
          <a:extLst>
            <a:ext uri="{FF2B5EF4-FFF2-40B4-BE49-F238E27FC236}">
              <a16:creationId xmlns:a16="http://schemas.microsoft.com/office/drawing/2014/main" id="{8166E5E4-7352-425A-8EA5-E87C66DB4C2C}"/>
            </a:ext>
          </a:extLst>
        </xdr:cNvPr>
        <xdr:cNvSpPr>
          <a:spLocks noChangeArrowheads="1"/>
        </xdr:cNvSpPr>
      </xdr:nvSpPr>
      <xdr:spPr bwMode="auto">
        <a:xfrm>
          <a:off x="31813500" y="13113385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49" name="AutoShape 46">
          <a:extLst>
            <a:ext uri="{FF2B5EF4-FFF2-40B4-BE49-F238E27FC236}">
              <a16:creationId xmlns:a16="http://schemas.microsoft.com/office/drawing/2014/main" id="{35F41351-9110-4AED-8EF5-72671DB71A41}"/>
            </a:ext>
          </a:extLst>
        </xdr:cNvPr>
        <xdr:cNvSpPr>
          <a:spLocks noChangeArrowheads="1"/>
        </xdr:cNvSpPr>
      </xdr:nvSpPr>
      <xdr:spPr bwMode="auto">
        <a:xfrm>
          <a:off x="199580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50" name="AutoShape 46">
          <a:extLst>
            <a:ext uri="{FF2B5EF4-FFF2-40B4-BE49-F238E27FC236}">
              <a16:creationId xmlns:a16="http://schemas.microsoft.com/office/drawing/2014/main" id="{6ED01726-8076-4F97-B953-13ED1A3B410D}"/>
            </a:ext>
          </a:extLst>
        </xdr:cNvPr>
        <xdr:cNvSpPr>
          <a:spLocks noChangeArrowheads="1"/>
        </xdr:cNvSpPr>
      </xdr:nvSpPr>
      <xdr:spPr bwMode="auto">
        <a:xfrm>
          <a:off x="22542500" y="1311338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51" name="AutoShape 46">
          <a:extLst>
            <a:ext uri="{FF2B5EF4-FFF2-40B4-BE49-F238E27FC236}">
              <a16:creationId xmlns:a16="http://schemas.microsoft.com/office/drawing/2014/main" id="{6255C79C-21BB-40F7-B0A8-CF51A7A0ADEC}"/>
            </a:ext>
          </a:extLst>
        </xdr:cNvPr>
        <xdr:cNvSpPr>
          <a:spLocks noChangeArrowheads="1"/>
        </xdr:cNvSpPr>
      </xdr:nvSpPr>
      <xdr:spPr bwMode="auto">
        <a:xfrm>
          <a:off x="254889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52" name="AutoShape 46">
          <a:extLst>
            <a:ext uri="{FF2B5EF4-FFF2-40B4-BE49-F238E27FC236}">
              <a16:creationId xmlns:a16="http://schemas.microsoft.com/office/drawing/2014/main" id="{91A08EB7-2411-411C-A579-EC8D0EEB5DB8}"/>
            </a:ext>
          </a:extLst>
        </xdr:cNvPr>
        <xdr:cNvSpPr>
          <a:spLocks noChangeArrowheads="1"/>
        </xdr:cNvSpPr>
      </xdr:nvSpPr>
      <xdr:spPr bwMode="auto">
        <a:xfrm>
          <a:off x="276288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53" name="AutoShape 46">
          <a:extLst>
            <a:ext uri="{FF2B5EF4-FFF2-40B4-BE49-F238E27FC236}">
              <a16:creationId xmlns:a16="http://schemas.microsoft.com/office/drawing/2014/main" id="{77A53B91-BC02-4F1C-87FE-2A907AFD84D3}"/>
            </a:ext>
          </a:extLst>
        </xdr:cNvPr>
        <xdr:cNvSpPr>
          <a:spLocks noChangeArrowheads="1"/>
        </xdr:cNvSpPr>
      </xdr:nvSpPr>
      <xdr:spPr bwMode="auto">
        <a:xfrm>
          <a:off x="296418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54" name="AutoShape 46">
          <a:extLst>
            <a:ext uri="{FF2B5EF4-FFF2-40B4-BE49-F238E27FC236}">
              <a16:creationId xmlns:a16="http://schemas.microsoft.com/office/drawing/2014/main" id="{BE7E98A1-49D4-434F-8AF7-39E1DB250BCB}"/>
            </a:ext>
          </a:extLst>
        </xdr:cNvPr>
        <xdr:cNvSpPr>
          <a:spLocks noChangeArrowheads="1"/>
        </xdr:cNvSpPr>
      </xdr:nvSpPr>
      <xdr:spPr bwMode="auto">
        <a:xfrm>
          <a:off x="31813500" y="1311338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273</xdr:row>
      <xdr:rowOff>57150</xdr:rowOff>
    </xdr:from>
    <xdr:to>
      <xdr:col>2</xdr:col>
      <xdr:colOff>0</xdr:colOff>
      <xdr:row>274</xdr:row>
      <xdr:rowOff>190500</xdr:rowOff>
    </xdr:to>
    <xdr:sp macro="" textlink="">
      <xdr:nvSpPr>
        <xdr:cNvPr id="855" name="AutoShape 46">
          <a:extLst>
            <a:ext uri="{FF2B5EF4-FFF2-40B4-BE49-F238E27FC236}">
              <a16:creationId xmlns:a16="http://schemas.microsoft.com/office/drawing/2014/main" id="{D9AE65C6-F876-49F6-90C0-8F6AD3082B0F}"/>
            </a:ext>
          </a:extLst>
        </xdr:cNvPr>
        <xdr:cNvSpPr>
          <a:spLocks noChangeArrowheads="1"/>
        </xdr:cNvSpPr>
      </xdr:nvSpPr>
      <xdr:spPr bwMode="auto">
        <a:xfrm>
          <a:off x="7810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273</xdr:row>
      <xdr:rowOff>57150</xdr:rowOff>
    </xdr:from>
    <xdr:to>
      <xdr:col>4</xdr:col>
      <xdr:colOff>0</xdr:colOff>
      <xdr:row>274</xdr:row>
      <xdr:rowOff>190500</xdr:rowOff>
    </xdr:to>
    <xdr:sp macro="" textlink="">
      <xdr:nvSpPr>
        <xdr:cNvPr id="856" name="AutoShape 46">
          <a:extLst>
            <a:ext uri="{FF2B5EF4-FFF2-40B4-BE49-F238E27FC236}">
              <a16:creationId xmlns:a16="http://schemas.microsoft.com/office/drawing/2014/main" id="{CC8ABC3C-BE37-4709-A71A-ECC1A952C079}"/>
            </a:ext>
          </a:extLst>
        </xdr:cNvPr>
        <xdr:cNvSpPr>
          <a:spLocks noChangeArrowheads="1"/>
        </xdr:cNvSpPr>
      </xdr:nvSpPr>
      <xdr:spPr bwMode="auto">
        <a:xfrm>
          <a:off x="27940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273</xdr:row>
      <xdr:rowOff>57150</xdr:rowOff>
    </xdr:from>
    <xdr:to>
      <xdr:col>6</xdr:col>
      <xdr:colOff>0</xdr:colOff>
      <xdr:row>274</xdr:row>
      <xdr:rowOff>190500</xdr:rowOff>
    </xdr:to>
    <xdr:sp macro="" textlink="">
      <xdr:nvSpPr>
        <xdr:cNvPr id="857" name="AutoShape 46">
          <a:extLst>
            <a:ext uri="{FF2B5EF4-FFF2-40B4-BE49-F238E27FC236}">
              <a16:creationId xmlns:a16="http://schemas.microsoft.com/office/drawing/2014/main" id="{B3E47907-D50E-454D-82A9-C28B15949740}"/>
            </a:ext>
          </a:extLst>
        </xdr:cNvPr>
        <xdr:cNvSpPr>
          <a:spLocks noChangeArrowheads="1"/>
        </xdr:cNvSpPr>
      </xdr:nvSpPr>
      <xdr:spPr bwMode="auto">
        <a:xfrm>
          <a:off x="4933950" y="1346962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7</xdr:col>
      <xdr:colOff>0</xdr:colOff>
      <xdr:row>273</xdr:row>
      <xdr:rowOff>57150</xdr:rowOff>
    </xdr:from>
    <xdr:to>
      <xdr:col>8</xdr:col>
      <xdr:colOff>0</xdr:colOff>
      <xdr:row>274</xdr:row>
      <xdr:rowOff>190500</xdr:rowOff>
    </xdr:to>
    <xdr:sp macro="" textlink="">
      <xdr:nvSpPr>
        <xdr:cNvPr id="858" name="AutoShape 46">
          <a:extLst>
            <a:ext uri="{FF2B5EF4-FFF2-40B4-BE49-F238E27FC236}">
              <a16:creationId xmlns:a16="http://schemas.microsoft.com/office/drawing/2014/main" id="{5A1A669D-FBE4-4305-96B0-60DE32A5C890}"/>
            </a:ext>
          </a:extLst>
        </xdr:cNvPr>
        <xdr:cNvSpPr>
          <a:spLocks noChangeArrowheads="1"/>
        </xdr:cNvSpPr>
      </xdr:nvSpPr>
      <xdr:spPr bwMode="auto">
        <a:xfrm>
          <a:off x="6946900" y="1346962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273</xdr:row>
      <xdr:rowOff>57150</xdr:rowOff>
    </xdr:from>
    <xdr:to>
      <xdr:col>10</xdr:col>
      <xdr:colOff>0</xdr:colOff>
      <xdr:row>274</xdr:row>
      <xdr:rowOff>190500</xdr:rowOff>
    </xdr:to>
    <xdr:sp macro="" textlink="">
      <xdr:nvSpPr>
        <xdr:cNvPr id="859" name="AutoShape 46">
          <a:extLst>
            <a:ext uri="{FF2B5EF4-FFF2-40B4-BE49-F238E27FC236}">
              <a16:creationId xmlns:a16="http://schemas.microsoft.com/office/drawing/2014/main" id="{C5ED853A-A2E7-4804-B082-7090019CE6A7}"/>
            </a:ext>
          </a:extLst>
        </xdr:cNvPr>
        <xdr:cNvSpPr>
          <a:spLocks noChangeArrowheads="1"/>
        </xdr:cNvSpPr>
      </xdr:nvSpPr>
      <xdr:spPr bwMode="auto">
        <a:xfrm>
          <a:off x="92773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273</xdr:row>
      <xdr:rowOff>57150</xdr:rowOff>
    </xdr:from>
    <xdr:to>
      <xdr:col>12</xdr:col>
      <xdr:colOff>0</xdr:colOff>
      <xdr:row>274</xdr:row>
      <xdr:rowOff>190500</xdr:rowOff>
    </xdr:to>
    <xdr:sp macro="" textlink="">
      <xdr:nvSpPr>
        <xdr:cNvPr id="860" name="AutoShape 46">
          <a:extLst>
            <a:ext uri="{FF2B5EF4-FFF2-40B4-BE49-F238E27FC236}">
              <a16:creationId xmlns:a16="http://schemas.microsoft.com/office/drawing/2014/main" id="{A59DE2A6-3CDD-4CE2-B058-6AF10ADDE078}"/>
            </a:ext>
          </a:extLst>
        </xdr:cNvPr>
        <xdr:cNvSpPr>
          <a:spLocks noChangeArrowheads="1"/>
        </xdr:cNvSpPr>
      </xdr:nvSpPr>
      <xdr:spPr bwMode="auto">
        <a:xfrm>
          <a:off x="11290300" y="1346962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273</xdr:row>
      <xdr:rowOff>57150</xdr:rowOff>
    </xdr:from>
    <xdr:to>
      <xdr:col>14</xdr:col>
      <xdr:colOff>0</xdr:colOff>
      <xdr:row>274</xdr:row>
      <xdr:rowOff>190500</xdr:rowOff>
    </xdr:to>
    <xdr:sp macro="" textlink="">
      <xdr:nvSpPr>
        <xdr:cNvPr id="861" name="AutoShape 46">
          <a:extLst>
            <a:ext uri="{FF2B5EF4-FFF2-40B4-BE49-F238E27FC236}">
              <a16:creationId xmlns:a16="http://schemas.microsoft.com/office/drawing/2014/main" id="{BD79C4CD-2A5B-47A3-97D0-375AD2482D66}"/>
            </a:ext>
          </a:extLst>
        </xdr:cNvPr>
        <xdr:cNvSpPr>
          <a:spLocks noChangeArrowheads="1"/>
        </xdr:cNvSpPr>
      </xdr:nvSpPr>
      <xdr:spPr bwMode="auto">
        <a:xfrm>
          <a:off x="133032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746125</xdr:colOff>
      <xdr:row>273</xdr:row>
      <xdr:rowOff>57150</xdr:rowOff>
    </xdr:from>
    <xdr:to>
      <xdr:col>15</xdr:col>
      <xdr:colOff>1285875</xdr:colOff>
      <xdr:row>274</xdr:row>
      <xdr:rowOff>190500</xdr:rowOff>
    </xdr:to>
    <xdr:sp macro="" textlink="">
      <xdr:nvSpPr>
        <xdr:cNvPr id="862" name="AutoShape 46">
          <a:extLst>
            <a:ext uri="{FF2B5EF4-FFF2-40B4-BE49-F238E27FC236}">
              <a16:creationId xmlns:a16="http://schemas.microsoft.com/office/drawing/2014/main" id="{04FAD99B-6317-403D-9A29-B80AAE8ECC34}"/>
            </a:ext>
          </a:extLst>
        </xdr:cNvPr>
        <xdr:cNvSpPr>
          <a:spLocks noChangeArrowheads="1"/>
        </xdr:cNvSpPr>
      </xdr:nvSpPr>
      <xdr:spPr bwMode="auto">
        <a:xfrm>
          <a:off x="15281275" y="134696200"/>
          <a:ext cx="12636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276</xdr:row>
      <xdr:rowOff>0</xdr:rowOff>
    </xdr:from>
    <xdr:to>
      <xdr:col>14</xdr:col>
      <xdr:colOff>228600</xdr:colOff>
      <xdr:row>277</xdr:row>
      <xdr:rowOff>0</xdr:rowOff>
    </xdr:to>
    <xdr:grpSp>
      <xdr:nvGrpSpPr>
        <xdr:cNvPr id="863" name="Group 1008">
          <a:extLst>
            <a:ext uri="{FF2B5EF4-FFF2-40B4-BE49-F238E27FC236}">
              <a16:creationId xmlns:a16="http://schemas.microsoft.com/office/drawing/2014/main" id="{A32E155C-C208-4951-9F28-EC3E43B09001}"/>
            </a:ext>
          </a:extLst>
        </xdr:cNvPr>
        <xdr:cNvGrpSpPr>
          <a:grpSpLocks/>
        </xdr:cNvGrpSpPr>
      </xdr:nvGrpSpPr>
      <xdr:grpSpPr bwMode="auto">
        <a:xfrm>
          <a:off x="14573250" y="136763125"/>
          <a:ext cx="228600" cy="206375"/>
          <a:chOff x="5475762" y="47760700"/>
          <a:chExt cx="314325" cy="230209"/>
        </a:xfrm>
      </xdr:grpSpPr>
      <xdr:cxnSp macro="">
        <xdr:nvCxnSpPr>
          <xdr:cNvPr id="864" name="Straight Connector 863">
            <a:extLst>
              <a:ext uri="{FF2B5EF4-FFF2-40B4-BE49-F238E27FC236}">
                <a16:creationId xmlns:a16="http://schemas.microsoft.com/office/drawing/2014/main" id="{F58F0F84-3722-138E-595B-3D30D57F9207}"/>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65" name="Straight Connector 529">
            <a:extLst>
              <a:ext uri="{FF2B5EF4-FFF2-40B4-BE49-F238E27FC236}">
                <a16:creationId xmlns:a16="http://schemas.microsoft.com/office/drawing/2014/main" id="{EC2B7425-42E3-23A4-51DC-8544AF78D70C}"/>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66" name="Straight Connector 531">
            <a:extLst>
              <a:ext uri="{FF2B5EF4-FFF2-40B4-BE49-F238E27FC236}">
                <a16:creationId xmlns:a16="http://schemas.microsoft.com/office/drawing/2014/main" id="{7080D9A4-6094-20E4-010B-0D21FCE2B566}"/>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67" name="Straight Connector 533">
            <a:extLst>
              <a:ext uri="{FF2B5EF4-FFF2-40B4-BE49-F238E27FC236}">
                <a16:creationId xmlns:a16="http://schemas.microsoft.com/office/drawing/2014/main" id="{276F35B3-A617-5FF8-7E29-4924445BD56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68" name="Straight Connector 535">
            <a:extLst>
              <a:ext uri="{FF2B5EF4-FFF2-40B4-BE49-F238E27FC236}">
                <a16:creationId xmlns:a16="http://schemas.microsoft.com/office/drawing/2014/main" id="{16E0F73C-44B2-14EA-A355-EA43B406D35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69" name="Straight Connector 537">
            <a:extLst>
              <a:ext uri="{FF2B5EF4-FFF2-40B4-BE49-F238E27FC236}">
                <a16:creationId xmlns:a16="http://schemas.microsoft.com/office/drawing/2014/main" id="{370261DB-BBB5-18A6-66E6-D7B9AFE913F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12</xdr:col>
      <xdr:colOff>0</xdr:colOff>
      <xdr:row>276</xdr:row>
      <xdr:rowOff>0</xdr:rowOff>
    </xdr:from>
    <xdr:to>
      <xdr:col>12</xdr:col>
      <xdr:colOff>228600</xdr:colOff>
      <xdr:row>277</xdr:row>
      <xdr:rowOff>0</xdr:rowOff>
    </xdr:to>
    <xdr:grpSp>
      <xdr:nvGrpSpPr>
        <xdr:cNvPr id="870" name="Group 1008">
          <a:extLst>
            <a:ext uri="{FF2B5EF4-FFF2-40B4-BE49-F238E27FC236}">
              <a16:creationId xmlns:a16="http://schemas.microsoft.com/office/drawing/2014/main" id="{95AE19C7-74F7-44F0-96F5-B85935E59279}"/>
            </a:ext>
          </a:extLst>
        </xdr:cNvPr>
        <xdr:cNvGrpSpPr>
          <a:grpSpLocks/>
        </xdr:cNvGrpSpPr>
      </xdr:nvGrpSpPr>
      <xdr:grpSpPr bwMode="auto">
        <a:xfrm>
          <a:off x="12557125" y="136763125"/>
          <a:ext cx="228600" cy="206375"/>
          <a:chOff x="5475762" y="47760700"/>
          <a:chExt cx="314325" cy="230209"/>
        </a:xfrm>
      </xdr:grpSpPr>
      <xdr:cxnSp macro="">
        <xdr:nvCxnSpPr>
          <xdr:cNvPr id="871" name="Straight Connector 870">
            <a:extLst>
              <a:ext uri="{FF2B5EF4-FFF2-40B4-BE49-F238E27FC236}">
                <a16:creationId xmlns:a16="http://schemas.microsoft.com/office/drawing/2014/main" id="{D08AA88F-0379-23B0-F545-F28236373082}"/>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72" name="Straight Connector 529">
            <a:extLst>
              <a:ext uri="{FF2B5EF4-FFF2-40B4-BE49-F238E27FC236}">
                <a16:creationId xmlns:a16="http://schemas.microsoft.com/office/drawing/2014/main" id="{0415A8A4-F687-EC4F-0D49-899EE8D39390}"/>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73" name="Straight Connector 531">
            <a:extLst>
              <a:ext uri="{FF2B5EF4-FFF2-40B4-BE49-F238E27FC236}">
                <a16:creationId xmlns:a16="http://schemas.microsoft.com/office/drawing/2014/main" id="{7EDD8F40-E732-3735-ABC0-4AC7B1B3742D}"/>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74" name="Straight Connector 533">
            <a:extLst>
              <a:ext uri="{FF2B5EF4-FFF2-40B4-BE49-F238E27FC236}">
                <a16:creationId xmlns:a16="http://schemas.microsoft.com/office/drawing/2014/main" id="{86382115-9C9C-9977-D97C-6FE69A749C1A}"/>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75" name="Straight Connector 535">
            <a:extLst>
              <a:ext uri="{FF2B5EF4-FFF2-40B4-BE49-F238E27FC236}">
                <a16:creationId xmlns:a16="http://schemas.microsoft.com/office/drawing/2014/main" id="{E9EF0198-06A0-5508-ADB9-DF12DA4FAD2A}"/>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76" name="Straight Connector 537">
            <a:extLst>
              <a:ext uri="{FF2B5EF4-FFF2-40B4-BE49-F238E27FC236}">
                <a16:creationId xmlns:a16="http://schemas.microsoft.com/office/drawing/2014/main" id="{4A28D204-72EB-F3DE-08BA-F485C72873C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8</xdr:col>
      <xdr:colOff>0</xdr:colOff>
      <xdr:row>276</xdr:row>
      <xdr:rowOff>0</xdr:rowOff>
    </xdr:from>
    <xdr:to>
      <xdr:col>8</xdr:col>
      <xdr:colOff>228600</xdr:colOff>
      <xdr:row>277</xdr:row>
      <xdr:rowOff>0</xdr:rowOff>
    </xdr:to>
    <xdr:grpSp>
      <xdr:nvGrpSpPr>
        <xdr:cNvPr id="877" name="Group 1008">
          <a:extLst>
            <a:ext uri="{FF2B5EF4-FFF2-40B4-BE49-F238E27FC236}">
              <a16:creationId xmlns:a16="http://schemas.microsoft.com/office/drawing/2014/main" id="{B9097F0D-BBAD-4982-BA9F-DF1E7B85C2FB}"/>
            </a:ext>
          </a:extLst>
        </xdr:cNvPr>
        <xdr:cNvGrpSpPr>
          <a:grpSpLocks/>
        </xdr:cNvGrpSpPr>
      </xdr:nvGrpSpPr>
      <xdr:grpSpPr bwMode="auto">
        <a:xfrm>
          <a:off x="8191500" y="136763125"/>
          <a:ext cx="228600" cy="206375"/>
          <a:chOff x="5475762" y="47760700"/>
          <a:chExt cx="314325" cy="230209"/>
        </a:xfrm>
      </xdr:grpSpPr>
      <xdr:cxnSp macro="">
        <xdr:nvCxnSpPr>
          <xdr:cNvPr id="878" name="Straight Connector 877">
            <a:extLst>
              <a:ext uri="{FF2B5EF4-FFF2-40B4-BE49-F238E27FC236}">
                <a16:creationId xmlns:a16="http://schemas.microsoft.com/office/drawing/2014/main" id="{4F03DD0D-D541-1AF4-09AC-0FB043716B97}"/>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79" name="Straight Connector 529">
            <a:extLst>
              <a:ext uri="{FF2B5EF4-FFF2-40B4-BE49-F238E27FC236}">
                <a16:creationId xmlns:a16="http://schemas.microsoft.com/office/drawing/2014/main" id="{A7C8D8B0-B4E8-8865-E579-35A96352EA28}"/>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80" name="Straight Connector 531">
            <a:extLst>
              <a:ext uri="{FF2B5EF4-FFF2-40B4-BE49-F238E27FC236}">
                <a16:creationId xmlns:a16="http://schemas.microsoft.com/office/drawing/2014/main" id="{EA2D7600-2229-1A59-3A00-BFF59D0439E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81" name="Straight Connector 533">
            <a:extLst>
              <a:ext uri="{FF2B5EF4-FFF2-40B4-BE49-F238E27FC236}">
                <a16:creationId xmlns:a16="http://schemas.microsoft.com/office/drawing/2014/main" id="{CFC6982E-1429-4998-4B5C-612C361FCF2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82" name="Straight Connector 535">
            <a:extLst>
              <a:ext uri="{FF2B5EF4-FFF2-40B4-BE49-F238E27FC236}">
                <a16:creationId xmlns:a16="http://schemas.microsoft.com/office/drawing/2014/main" id="{6DD5337B-8035-09E2-801F-E45F4F59769B}"/>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83" name="Straight Connector 537">
            <a:extLst>
              <a:ext uri="{FF2B5EF4-FFF2-40B4-BE49-F238E27FC236}">
                <a16:creationId xmlns:a16="http://schemas.microsoft.com/office/drawing/2014/main" id="{98B63762-D18E-EEF1-D4BC-42D92563780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6</xdr:col>
      <xdr:colOff>0</xdr:colOff>
      <xdr:row>276</xdr:row>
      <xdr:rowOff>0</xdr:rowOff>
    </xdr:from>
    <xdr:to>
      <xdr:col>6</xdr:col>
      <xdr:colOff>228600</xdr:colOff>
      <xdr:row>277</xdr:row>
      <xdr:rowOff>0</xdr:rowOff>
    </xdr:to>
    <xdr:grpSp>
      <xdr:nvGrpSpPr>
        <xdr:cNvPr id="884" name="Group 1008">
          <a:extLst>
            <a:ext uri="{FF2B5EF4-FFF2-40B4-BE49-F238E27FC236}">
              <a16:creationId xmlns:a16="http://schemas.microsoft.com/office/drawing/2014/main" id="{DA274145-BFCF-44D3-B4BA-AF7B4AD1256C}"/>
            </a:ext>
          </a:extLst>
        </xdr:cNvPr>
        <xdr:cNvGrpSpPr>
          <a:grpSpLocks/>
        </xdr:cNvGrpSpPr>
      </xdr:nvGrpSpPr>
      <xdr:grpSpPr bwMode="auto">
        <a:xfrm>
          <a:off x="6175375" y="136763125"/>
          <a:ext cx="228600" cy="206375"/>
          <a:chOff x="5475762" y="47760700"/>
          <a:chExt cx="314325" cy="230209"/>
        </a:xfrm>
      </xdr:grpSpPr>
      <xdr:cxnSp macro="">
        <xdr:nvCxnSpPr>
          <xdr:cNvPr id="885" name="Straight Connector 884">
            <a:extLst>
              <a:ext uri="{FF2B5EF4-FFF2-40B4-BE49-F238E27FC236}">
                <a16:creationId xmlns:a16="http://schemas.microsoft.com/office/drawing/2014/main" id="{385F328C-DF97-4788-E4CE-B718A9E7204F}"/>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86" name="Straight Connector 529">
            <a:extLst>
              <a:ext uri="{FF2B5EF4-FFF2-40B4-BE49-F238E27FC236}">
                <a16:creationId xmlns:a16="http://schemas.microsoft.com/office/drawing/2014/main" id="{05092A71-0494-27A6-8D1C-F7DB91FDB21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87" name="Straight Connector 531">
            <a:extLst>
              <a:ext uri="{FF2B5EF4-FFF2-40B4-BE49-F238E27FC236}">
                <a16:creationId xmlns:a16="http://schemas.microsoft.com/office/drawing/2014/main" id="{E9F38D7E-1079-6EF9-7377-261120D1D84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88" name="Straight Connector 533">
            <a:extLst>
              <a:ext uri="{FF2B5EF4-FFF2-40B4-BE49-F238E27FC236}">
                <a16:creationId xmlns:a16="http://schemas.microsoft.com/office/drawing/2014/main" id="{7283A781-7389-8380-10E5-1546DACDC2C8}"/>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89" name="Straight Connector 535">
            <a:extLst>
              <a:ext uri="{FF2B5EF4-FFF2-40B4-BE49-F238E27FC236}">
                <a16:creationId xmlns:a16="http://schemas.microsoft.com/office/drawing/2014/main" id="{FC6230E9-58EE-84A2-3D2E-AE2B36408FD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0" name="Straight Connector 537">
            <a:extLst>
              <a:ext uri="{FF2B5EF4-FFF2-40B4-BE49-F238E27FC236}">
                <a16:creationId xmlns:a16="http://schemas.microsoft.com/office/drawing/2014/main" id="{59D2093F-D108-C0A1-1439-8F0D31562F4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4</xdr:col>
      <xdr:colOff>0</xdr:colOff>
      <xdr:row>276</xdr:row>
      <xdr:rowOff>0</xdr:rowOff>
    </xdr:from>
    <xdr:to>
      <xdr:col>4</xdr:col>
      <xdr:colOff>228600</xdr:colOff>
      <xdr:row>277</xdr:row>
      <xdr:rowOff>0</xdr:rowOff>
    </xdr:to>
    <xdr:grpSp>
      <xdr:nvGrpSpPr>
        <xdr:cNvPr id="891" name="Group 1008">
          <a:extLst>
            <a:ext uri="{FF2B5EF4-FFF2-40B4-BE49-F238E27FC236}">
              <a16:creationId xmlns:a16="http://schemas.microsoft.com/office/drawing/2014/main" id="{D5DB3F0C-A895-49B7-B9F0-57D3D9BC0FCC}"/>
            </a:ext>
          </a:extLst>
        </xdr:cNvPr>
        <xdr:cNvGrpSpPr>
          <a:grpSpLocks/>
        </xdr:cNvGrpSpPr>
      </xdr:nvGrpSpPr>
      <xdr:grpSpPr bwMode="auto">
        <a:xfrm>
          <a:off x="4032250" y="136763125"/>
          <a:ext cx="228600" cy="206375"/>
          <a:chOff x="5475762" y="47760700"/>
          <a:chExt cx="314325" cy="230209"/>
        </a:xfrm>
      </xdr:grpSpPr>
      <xdr:cxnSp macro="">
        <xdr:nvCxnSpPr>
          <xdr:cNvPr id="892" name="Straight Connector 891">
            <a:extLst>
              <a:ext uri="{FF2B5EF4-FFF2-40B4-BE49-F238E27FC236}">
                <a16:creationId xmlns:a16="http://schemas.microsoft.com/office/drawing/2014/main" id="{F4334255-445B-A835-DD4D-B45FA04A896F}"/>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93" name="Straight Connector 529">
            <a:extLst>
              <a:ext uri="{FF2B5EF4-FFF2-40B4-BE49-F238E27FC236}">
                <a16:creationId xmlns:a16="http://schemas.microsoft.com/office/drawing/2014/main" id="{BC90B323-8BC6-D48A-513B-478B3825E74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4" name="Straight Connector 531">
            <a:extLst>
              <a:ext uri="{FF2B5EF4-FFF2-40B4-BE49-F238E27FC236}">
                <a16:creationId xmlns:a16="http://schemas.microsoft.com/office/drawing/2014/main" id="{75DFB99D-9628-2474-D7E4-3587E5B7E7D1}"/>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5" name="Straight Connector 533">
            <a:extLst>
              <a:ext uri="{FF2B5EF4-FFF2-40B4-BE49-F238E27FC236}">
                <a16:creationId xmlns:a16="http://schemas.microsoft.com/office/drawing/2014/main" id="{746B9759-1CA2-DEBF-4C13-CAE35245B79F}"/>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6" name="Straight Connector 535">
            <a:extLst>
              <a:ext uri="{FF2B5EF4-FFF2-40B4-BE49-F238E27FC236}">
                <a16:creationId xmlns:a16="http://schemas.microsoft.com/office/drawing/2014/main" id="{8B41A2F3-D945-299F-CEE9-CAE51E7A7F8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7" name="Straight Connector 537">
            <a:extLst>
              <a:ext uri="{FF2B5EF4-FFF2-40B4-BE49-F238E27FC236}">
                <a16:creationId xmlns:a16="http://schemas.microsoft.com/office/drawing/2014/main" id="{6FD58F4C-00CB-F611-A9F5-29703DB80CE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0</xdr:colOff>
      <xdr:row>276</xdr:row>
      <xdr:rowOff>0</xdr:rowOff>
    </xdr:from>
    <xdr:to>
      <xdr:col>16</xdr:col>
      <xdr:colOff>228600</xdr:colOff>
      <xdr:row>277</xdr:row>
      <xdr:rowOff>0</xdr:rowOff>
    </xdr:to>
    <xdr:grpSp>
      <xdr:nvGrpSpPr>
        <xdr:cNvPr id="898" name="Group 1008">
          <a:extLst>
            <a:ext uri="{FF2B5EF4-FFF2-40B4-BE49-F238E27FC236}">
              <a16:creationId xmlns:a16="http://schemas.microsoft.com/office/drawing/2014/main" id="{7817468F-7307-43E7-B0C8-AE5200ED3966}"/>
            </a:ext>
          </a:extLst>
        </xdr:cNvPr>
        <xdr:cNvGrpSpPr>
          <a:grpSpLocks/>
        </xdr:cNvGrpSpPr>
      </xdr:nvGrpSpPr>
      <xdr:grpSpPr bwMode="auto">
        <a:xfrm>
          <a:off x="16589375" y="136763125"/>
          <a:ext cx="228600" cy="206375"/>
          <a:chOff x="5475762" y="47760700"/>
          <a:chExt cx="314325" cy="230209"/>
        </a:xfrm>
      </xdr:grpSpPr>
      <xdr:cxnSp macro="">
        <xdr:nvCxnSpPr>
          <xdr:cNvPr id="899" name="Straight Connector 898">
            <a:extLst>
              <a:ext uri="{FF2B5EF4-FFF2-40B4-BE49-F238E27FC236}">
                <a16:creationId xmlns:a16="http://schemas.microsoft.com/office/drawing/2014/main" id="{04D2E68D-77AB-87ED-A9B2-FB092EB484E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0" name="Straight Connector 529">
            <a:extLst>
              <a:ext uri="{FF2B5EF4-FFF2-40B4-BE49-F238E27FC236}">
                <a16:creationId xmlns:a16="http://schemas.microsoft.com/office/drawing/2014/main" id="{0285CFDB-592D-FA84-BAE2-EFE5257FA795}"/>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1" name="Straight Connector 531">
            <a:extLst>
              <a:ext uri="{FF2B5EF4-FFF2-40B4-BE49-F238E27FC236}">
                <a16:creationId xmlns:a16="http://schemas.microsoft.com/office/drawing/2014/main" id="{27D56090-C06D-728A-A110-26F3B7F4031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2" name="Straight Connector 533">
            <a:extLst>
              <a:ext uri="{FF2B5EF4-FFF2-40B4-BE49-F238E27FC236}">
                <a16:creationId xmlns:a16="http://schemas.microsoft.com/office/drawing/2014/main" id="{0C3C598C-37A9-8600-36EA-01B0ECCEF8D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03" name="Straight Connector 535">
            <a:extLst>
              <a:ext uri="{FF2B5EF4-FFF2-40B4-BE49-F238E27FC236}">
                <a16:creationId xmlns:a16="http://schemas.microsoft.com/office/drawing/2014/main" id="{45701CD6-05E3-E77C-A12D-035081D3D703}"/>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4" name="Straight Connector 537">
            <a:extLst>
              <a:ext uri="{FF2B5EF4-FFF2-40B4-BE49-F238E27FC236}">
                <a16:creationId xmlns:a16="http://schemas.microsoft.com/office/drawing/2014/main" id="{D2087958-ED4B-3277-4E26-202353AFA746}"/>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10</xdr:col>
      <xdr:colOff>0</xdr:colOff>
      <xdr:row>276</xdr:row>
      <xdr:rowOff>0</xdr:rowOff>
    </xdr:from>
    <xdr:to>
      <xdr:col>10</xdr:col>
      <xdr:colOff>228600</xdr:colOff>
      <xdr:row>277</xdr:row>
      <xdr:rowOff>0</xdr:rowOff>
    </xdr:to>
    <xdr:grpSp>
      <xdr:nvGrpSpPr>
        <xdr:cNvPr id="905" name="Group 1008">
          <a:extLst>
            <a:ext uri="{FF2B5EF4-FFF2-40B4-BE49-F238E27FC236}">
              <a16:creationId xmlns:a16="http://schemas.microsoft.com/office/drawing/2014/main" id="{D97A2A29-D8D7-40CD-9F96-327B25355F14}"/>
            </a:ext>
          </a:extLst>
        </xdr:cNvPr>
        <xdr:cNvGrpSpPr>
          <a:grpSpLocks/>
        </xdr:cNvGrpSpPr>
      </xdr:nvGrpSpPr>
      <xdr:grpSpPr bwMode="auto">
        <a:xfrm>
          <a:off x="10541000" y="136763125"/>
          <a:ext cx="228600" cy="206375"/>
          <a:chOff x="5475762" y="47760700"/>
          <a:chExt cx="314325" cy="230209"/>
        </a:xfrm>
      </xdr:grpSpPr>
      <xdr:cxnSp macro="">
        <xdr:nvCxnSpPr>
          <xdr:cNvPr id="906" name="Straight Connector 905">
            <a:extLst>
              <a:ext uri="{FF2B5EF4-FFF2-40B4-BE49-F238E27FC236}">
                <a16:creationId xmlns:a16="http://schemas.microsoft.com/office/drawing/2014/main" id="{A1FD8105-7AC6-12E5-1591-1CC175437482}"/>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7" name="Straight Connector 529">
            <a:extLst>
              <a:ext uri="{FF2B5EF4-FFF2-40B4-BE49-F238E27FC236}">
                <a16:creationId xmlns:a16="http://schemas.microsoft.com/office/drawing/2014/main" id="{180D7FB1-A81A-9696-0A27-2511D9C11E51}"/>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8" name="Straight Connector 531">
            <a:extLst>
              <a:ext uri="{FF2B5EF4-FFF2-40B4-BE49-F238E27FC236}">
                <a16:creationId xmlns:a16="http://schemas.microsoft.com/office/drawing/2014/main" id="{76747C48-B4F1-EBFD-0678-04F08A81D29F}"/>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9" name="Straight Connector 533">
            <a:extLst>
              <a:ext uri="{FF2B5EF4-FFF2-40B4-BE49-F238E27FC236}">
                <a16:creationId xmlns:a16="http://schemas.microsoft.com/office/drawing/2014/main" id="{84D2EEB9-65E3-D095-BE88-53B990DBA87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10" name="Straight Connector 535">
            <a:extLst>
              <a:ext uri="{FF2B5EF4-FFF2-40B4-BE49-F238E27FC236}">
                <a16:creationId xmlns:a16="http://schemas.microsoft.com/office/drawing/2014/main" id="{189F2AD4-7C98-7AC7-3106-43ADA6D83C60}"/>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11" name="Straight Connector 537">
            <a:extLst>
              <a:ext uri="{FF2B5EF4-FFF2-40B4-BE49-F238E27FC236}">
                <a16:creationId xmlns:a16="http://schemas.microsoft.com/office/drawing/2014/main" id="{445E0509-1595-693C-F0E0-825286D0557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273</xdr:row>
      <xdr:rowOff>57150</xdr:rowOff>
    </xdr:from>
    <xdr:to>
      <xdr:col>18</xdr:col>
      <xdr:colOff>0</xdr:colOff>
      <xdr:row>274</xdr:row>
      <xdr:rowOff>190500</xdr:rowOff>
    </xdr:to>
    <xdr:sp macro="" textlink="">
      <xdr:nvSpPr>
        <xdr:cNvPr id="912" name="AutoShape 46">
          <a:extLst>
            <a:ext uri="{FF2B5EF4-FFF2-40B4-BE49-F238E27FC236}">
              <a16:creationId xmlns:a16="http://schemas.microsoft.com/office/drawing/2014/main" id="{EC6442DE-6A8E-4FB5-BB5D-7B38628D3609}"/>
            </a:ext>
          </a:extLst>
        </xdr:cNvPr>
        <xdr:cNvSpPr>
          <a:spLocks noChangeArrowheads="1"/>
        </xdr:cNvSpPr>
      </xdr:nvSpPr>
      <xdr:spPr bwMode="auto">
        <a:xfrm>
          <a:off x="1772920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13" name="AutoShape 46">
          <a:extLst>
            <a:ext uri="{FF2B5EF4-FFF2-40B4-BE49-F238E27FC236}">
              <a16:creationId xmlns:a16="http://schemas.microsoft.com/office/drawing/2014/main" id="{44401011-ED9C-4733-99A6-34B2BEBFAC4F}"/>
            </a:ext>
          </a:extLst>
        </xdr:cNvPr>
        <xdr:cNvSpPr>
          <a:spLocks noChangeArrowheads="1"/>
        </xdr:cNvSpPr>
      </xdr:nvSpPr>
      <xdr:spPr bwMode="auto">
        <a:xfrm>
          <a:off x="199580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14" name="AutoShape 46">
          <a:extLst>
            <a:ext uri="{FF2B5EF4-FFF2-40B4-BE49-F238E27FC236}">
              <a16:creationId xmlns:a16="http://schemas.microsoft.com/office/drawing/2014/main" id="{7DCA25F0-1EB8-4975-8FA1-D32811C797F2}"/>
            </a:ext>
          </a:extLst>
        </xdr:cNvPr>
        <xdr:cNvSpPr>
          <a:spLocks noChangeArrowheads="1"/>
        </xdr:cNvSpPr>
      </xdr:nvSpPr>
      <xdr:spPr bwMode="auto">
        <a:xfrm>
          <a:off x="22542500" y="1346962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273</xdr:row>
      <xdr:rowOff>57150</xdr:rowOff>
    </xdr:from>
    <xdr:to>
      <xdr:col>24</xdr:col>
      <xdr:colOff>0</xdr:colOff>
      <xdr:row>274</xdr:row>
      <xdr:rowOff>190500</xdr:rowOff>
    </xdr:to>
    <xdr:sp macro="" textlink="">
      <xdr:nvSpPr>
        <xdr:cNvPr id="915" name="AutoShape 46">
          <a:extLst>
            <a:ext uri="{FF2B5EF4-FFF2-40B4-BE49-F238E27FC236}">
              <a16:creationId xmlns:a16="http://schemas.microsoft.com/office/drawing/2014/main" id="{1ECE87EF-5B9D-4DDC-A028-0F5C28FC2342}"/>
            </a:ext>
          </a:extLst>
        </xdr:cNvPr>
        <xdr:cNvSpPr>
          <a:spLocks noChangeArrowheads="1"/>
        </xdr:cNvSpPr>
      </xdr:nvSpPr>
      <xdr:spPr bwMode="auto">
        <a:xfrm>
          <a:off x="254889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16" name="AutoShape 46">
          <a:extLst>
            <a:ext uri="{FF2B5EF4-FFF2-40B4-BE49-F238E27FC236}">
              <a16:creationId xmlns:a16="http://schemas.microsoft.com/office/drawing/2014/main" id="{5C5FA536-0989-4C51-8515-98DEB53E81DB}"/>
            </a:ext>
          </a:extLst>
        </xdr:cNvPr>
        <xdr:cNvSpPr>
          <a:spLocks noChangeArrowheads="1"/>
        </xdr:cNvSpPr>
      </xdr:nvSpPr>
      <xdr:spPr bwMode="auto">
        <a:xfrm>
          <a:off x="276288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17" name="AutoShape 46">
          <a:extLst>
            <a:ext uri="{FF2B5EF4-FFF2-40B4-BE49-F238E27FC236}">
              <a16:creationId xmlns:a16="http://schemas.microsoft.com/office/drawing/2014/main" id="{38B0766C-90B5-44A1-A0F6-D5987ACE0316}"/>
            </a:ext>
          </a:extLst>
        </xdr:cNvPr>
        <xdr:cNvSpPr>
          <a:spLocks noChangeArrowheads="1"/>
        </xdr:cNvSpPr>
      </xdr:nvSpPr>
      <xdr:spPr bwMode="auto">
        <a:xfrm>
          <a:off x="2964180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273</xdr:row>
      <xdr:rowOff>57150</xdr:rowOff>
    </xdr:from>
    <xdr:to>
      <xdr:col>18</xdr:col>
      <xdr:colOff>0</xdr:colOff>
      <xdr:row>274</xdr:row>
      <xdr:rowOff>190500</xdr:rowOff>
    </xdr:to>
    <xdr:sp macro="" textlink="">
      <xdr:nvSpPr>
        <xdr:cNvPr id="918" name="AutoShape 46">
          <a:extLst>
            <a:ext uri="{FF2B5EF4-FFF2-40B4-BE49-F238E27FC236}">
              <a16:creationId xmlns:a16="http://schemas.microsoft.com/office/drawing/2014/main" id="{89768A3F-4886-4471-A591-E731654424C7}"/>
            </a:ext>
          </a:extLst>
        </xdr:cNvPr>
        <xdr:cNvSpPr>
          <a:spLocks noChangeArrowheads="1"/>
        </xdr:cNvSpPr>
      </xdr:nvSpPr>
      <xdr:spPr bwMode="auto">
        <a:xfrm>
          <a:off x="177292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19" name="AutoShape 46">
          <a:extLst>
            <a:ext uri="{FF2B5EF4-FFF2-40B4-BE49-F238E27FC236}">
              <a16:creationId xmlns:a16="http://schemas.microsoft.com/office/drawing/2014/main" id="{90650549-9DF6-48C2-B082-CDA4CBC5B2CB}"/>
            </a:ext>
          </a:extLst>
        </xdr:cNvPr>
        <xdr:cNvSpPr>
          <a:spLocks noChangeArrowheads="1"/>
        </xdr:cNvSpPr>
      </xdr:nvSpPr>
      <xdr:spPr bwMode="auto">
        <a:xfrm>
          <a:off x="199580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20" name="AutoShape 46">
          <a:extLst>
            <a:ext uri="{FF2B5EF4-FFF2-40B4-BE49-F238E27FC236}">
              <a16:creationId xmlns:a16="http://schemas.microsoft.com/office/drawing/2014/main" id="{E738B419-A1ED-4632-B941-DD7713CC42DD}"/>
            </a:ext>
          </a:extLst>
        </xdr:cNvPr>
        <xdr:cNvSpPr>
          <a:spLocks noChangeArrowheads="1"/>
        </xdr:cNvSpPr>
      </xdr:nvSpPr>
      <xdr:spPr bwMode="auto">
        <a:xfrm>
          <a:off x="22542500" y="1346962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273</xdr:row>
      <xdr:rowOff>57150</xdr:rowOff>
    </xdr:from>
    <xdr:to>
      <xdr:col>24</xdr:col>
      <xdr:colOff>0</xdr:colOff>
      <xdr:row>274</xdr:row>
      <xdr:rowOff>190500</xdr:rowOff>
    </xdr:to>
    <xdr:sp macro="" textlink="">
      <xdr:nvSpPr>
        <xdr:cNvPr id="921" name="AutoShape 46">
          <a:extLst>
            <a:ext uri="{FF2B5EF4-FFF2-40B4-BE49-F238E27FC236}">
              <a16:creationId xmlns:a16="http://schemas.microsoft.com/office/drawing/2014/main" id="{BDE47031-B897-42AA-B838-8493874D8C76}"/>
            </a:ext>
          </a:extLst>
        </xdr:cNvPr>
        <xdr:cNvSpPr>
          <a:spLocks noChangeArrowheads="1"/>
        </xdr:cNvSpPr>
      </xdr:nvSpPr>
      <xdr:spPr bwMode="auto">
        <a:xfrm>
          <a:off x="25488900" y="1346962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22" name="AutoShape 46">
          <a:extLst>
            <a:ext uri="{FF2B5EF4-FFF2-40B4-BE49-F238E27FC236}">
              <a16:creationId xmlns:a16="http://schemas.microsoft.com/office/drawing/2014/main" id="{607190F0-4C1C-44EB-83ED-075B96AF566F}"/>
            </a:ext>
          </a:extLst>
        </xdr:cNvPr>
        <xdr:cNvSpPr>
          <a:spLocks noChangeArrowheads="1"/>
        </xdr:cNvSpPr>
      </xdr:nvSpPr>
      <xdr:spPr bwMode="auto">
        <a:xfrm>
          <a:off x="276288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23" name="AutoShape 46">
          <a:extLst>
            <a:ext uri="{FF2B5EF4-FFF2-40B4-BE49-F238E27FC236}">
              <a16:creationId xmlns:a16="http://schemas.microsoft.com/office/drawing/2014/main" id="{737B8620-18FF-48E6-9501-41F21F992E4B}"/>
            </a:ext>
          </a:extLst>
        </xdr:cNvPr>
        <xdr:cNvSpPr>
          <a:spLocks noChangeArrowheads="1"/>
        </xdr:cNvSpPr>
      </xdr:nvSpPr>
      <xdr:spPr bwMode="auto">
        <a:xfrm>
          <a:off x="296418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276</xdr:row>
      <xdr:rowOff>15875</xdr:rowOff>
    </xdr:from>
    <xdr:to>
      <xdr:col>18</xdr:col>
      <xdr:colOff>228600</xdr:colOff>
      <xdr:row>277</xdr:row>
      <xdr:rowOff>0</xdr:rowOff>
    </xdr:to>
    <xdr:grpSp>
      <xdr:nvGrpSpPr>
        <xdr:cNvPr id="924" name="Group 1008">
          <a:extLst>
            <a:ext uri="{FF2B5EF4-FFF2-40B4-BE49-F238E27FC236}">
              <a16:creationId xmlns:a16="http://schemas.microsoft.com/office/drawing/2014/main" id="{1B5AE194-2122-4C8A-A491-064E26147203}"/>
            </a:ext>
          </a:extLst>
        </xdr:cNvPr>
        <xdr:cNvGrpSpPr>
          <a:grpSpLocks/>
        </xdr:cNvGrpSpPr>
      </xdr:nvGrpSpPr>
      <xdr:grpSpPr bwMode="auto">
        <a:xfrm>
          <a:off x="19002375" y="136779000"/>
          <a:ext cx="228600" cy="190500"/>
          <a:chOff x="5475762" y="47760700"/>
          <a:chExt cx="314325" cy="230209"/>
        </a:xfrm>
      </xdr:grpSpPr>
      <xdr:cxnSp macro="">
        <xdr:nvCxnSpPr>
          <xdr:cNvPr id="925" name="Straight Connector 924">
            <a:extLst>
              <a:ext uri="{FF2B5EF4-FFF2-40B4-BE49-F238E27FC236}">
                <a16:creationId xmlns:a16="http://schemas.microsoft.com/office/drawing/2014/main" id="{EEDEC9F8-D2D9-33DA-9171-4B4BDFD8ECAD}"/>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26" name="Straight Connector 529">
            <a:extLst>
              <a:ext uri="{FF2B5EF4-FFF2-40B4-BE49-F238E27FC236}">
                <a16:creationId xmlns:a16="http://schemas.microsoft.com/office/drawing/2014/main" id="{73458C22-E192-D413-94B0-5A3C73019844}"/>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27" name="Straight Connector 531">
            <a:extLst>
              <a:ext uri="{FF2B5EF4-FFF2-40B4-BE49-F238E27FC236}">
                <a16:creationId xmlns:a16="http://schemas.microsoft.com/office/drawing/2014/main" id="{284AF6B1-D5D7-7442-2B76-1348437D3A0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28" name="Straight Connector 533">
            <a:extLst>
              <a:ext uri="{FF2B5EF4-FFF2-40B4-BE49-F238E27FC236}">
                <a16:creationId xmlns:a16="http://schemas.microsoft.com/office/drawing/2014/main" id="{30519CF8-D87B-C391-F9C0-CA59FA5976F5}"/>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9" name="Straight Connector 535">
            <a:extLst>
              <a:ext uri="{FF2B5EF4-FFF2-40B4-BE49-F238E27FC236}">
                <a16:creationId xmlns:a16="http://schemas.microsoft.com/office/drawing/2014/main" id="{71B9B48E-0D01-A068-DB5E-30DA02D89EB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0" name="Straight Connector 537">
            <a:extLst>
              <a:ext uri="{FF2B5EF4-FFF2-40B4-BE49-F238E27FC236}">
                <a16:creationId xmlns:a16="http://schemas.microsoft.com/office/drawing/2014/main" id="{28CC2E95-D2E4-F7A4-1FC1-D78220DCC9D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20</xdr:col>
      <xdr:colOff>0</xdr:colOff>
      <xdr:row>276</xdr:row>
      <xdr:rowOff>0</xdr:rowOff>
    </xdr:from>
    <xdr:to>
      <xdr:col>20</xdr:col>
      <xdr:colOff>228600</xdr:colOff>
      <xdr:row>277</xdr:row>
      <xdr:rowOff>0</xdr:rowOff>
    </xdr:to>
    <xdr:grpSp>
      <xdr:nvGrpSpPr>
        <xdr:cNvPr id="931" name="Group 1008">
          <a:extLst>
            <a:ext uri="{FF2B5EF4-FFF2-40B4-BE49-F238E27FC236}">
              <a16:creationId xmlns:a16="http://schemas.microsoft.com/office/drawing/2014/main" id="{3744F824-9DE9-43B7-BF41-2EC6821500E9}"/>
            </a:ext>
          </a:extLst>
        </xdr:cNvPr>
        <xdr:cNvGrpSpPr>
          <a:grpSpLocks/>
        </xdr:cNvGrpSpPr>
      </xdr:nvGrpSpPr>
      <xdr:grpSpPr bwMode="auto">
        <a:xfrm>
          <a:off x="21224875" y="136763125"/>
          <a:ext cx="228600" cy="206375"/>
          <a:chOff x="5475762" y="47760700"/>
          <a:chExt cx="314325" cy="230209"/>
        </a:xfrm>
      </xdr:grpSpPr>
      <xdr:cxnSp macro="">
        <xdr:nvCxnSpPr>
          <xdr:cNvPr id="932" name="Straight Connector 931">
            <a:extLst>
              <a:ext uri="{FF2B5EF4-FFF2-40B4-BE49-F238E27FC236}">
                <a16:creationId xmlns:a16="http://schemas.microsoft.com/office/drawing/2014/main" id="{F5167274-3E9A-2DE3-20FC-E0F108D8E100}"/>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33" name="Straight Connector 529">
            <a:extLst>
              <a:ext uri="{FF2B5EF4-FFF2-40B4-BE49-F238E27FC236}">
                <a16:creationId xmlns:a16="http://schemas.microsoft.com/office/drawing/2014/main" id="{465B0F48-314D-B925-A5F9-C81487BD86A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34" name="Straight Connector 531">
            <a:extLst>
              <a:ext uri="{FF2B5EF4-FFF2-40B4-BE49-F238E27FC236}">
                <a16:creationId xmlns:a16="http://schemas.microsoft.com/office/drawing/2014/main" id="{CA518205-1478-F53E-D17E-4423FAA3956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35" name="Straight Connector 533">
            <a:extLst>
              <a:ext uri="{FF2B5EF4-FFF2-40B4-BE49-F238E27FC236}">
                <a16:creationId xmlns:a16="http://schemas.microsoft.com/office/drawing/2014/main" id="{DF896BCA-9306-67F8-B18F-1B96E1E0CFE6}"/>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36" name="Straight Connector 535">
            <a:extLst>
              <a:ext uri="{FF2B5EF4-FFF2-40B4-BE49-F238E27FC236}">
                <a16:creationId xmlns:a16="http://schemas.microsoft.com/office/drawing/2014/main" id="{2660636F-0438-3CAE-5D9C-3F00D90E0F25}"/>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7" name="Straight Connector 537">
            <a:extLst>
              <a:ext uri="{FF2B5EF4-FFF2-40B4-BE49-F238E27FC236}">
                <a16:creationId xmlns:a16="http://schemas.microsoft.com/office/drawing/2014/main" id="{B497B178-6B0E-5DF1-9424-E1D8B8046BA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22</xdr:col>
      <xdr:colOff>0</xdr:colOff>
      <xdr:row>276</xdr:row>
      <xdr:rowOff>0</xdr:rowOff>
    </xdr:from>
    <xdr:to>
      <xdr:col>22</xdr:col>
      <xdr:colOff>228600</xdr:colOff>
      <xdr:row>277</xdr:row>
      <xdr:rowOff>0</xdr:rowOff>
    </xdr:to>
    <xdr:grpSp>
      <xdr:nvGrpSpPr>
        <xdr:cNvPr id="938" name="Group 1008">
          <a:extLst>
            <a:ext uri="{FF2B5EF4-FFF2-40B4-BE49-F238E27FC236}">
              <a16:creationId xmlns:a16="http://schemas.microsoft.com/office/drawing/2014/main" id="{FB16C629-4018-46F0-8507-B343E066C796}"/>
            </a:ext>
          </a:extLst>
        </xdr:cNvPr>
        <xdr:cNvGrpSpPr>
          <a:grpSpLocks/>
        </xdr:cNvGrpSpPr>
      </xdr:nvGrpSpPr>
      <xdr:grpSpPr bwMode="auto">
        <a:xfrm>
          <a:off x="24193500" y="136763125"/>
          <a:ext cx="228600" cy="206375"/>
          <a:chOff x="5475762" y="47760700"/>
          <a:chExt cx="314325" cy="230209"/>
        </a:xfrm>
      </xdr:grpSpPr>
      <xdr:cxnSp macro="">
        <xdr:nvCxnSpPr>
          <xdr:cNvPr id="939" name="Straight Connector 938">
            <a:extLst>
              <a:ext uri="{FF2B5EF4-FFF2-40B4-BE49-F238E27FC236}">
                <a16:creationId xmlns:a16="http://schemas.microsoft.com/office/drawing/2014/main" id="{F9A3E04F-1668-2658-63D5-2D0C572A4D4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40" name="Straight Connector 529">
            <a:extLst>
              <a:ext uri="{FF2B5EF4-FFF2-40B4-BE49-F238E27FC236}">
                <a16:creationId xmlns:a16="http://schemas.microsoft.com/office/drawing/2014/main" id="{6FD63B61-D830-37DE-FA43-485995D888F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41" name="Straight Connector 531">
            <a:extLst>
              <a:ext uri="{FF2B5EF4-FFF2-40B4-BE49-F238E27FC236}">
                <a16:creationId xmlns:a16="http://schemas.microsoft.com/office/drawing/2014/main" id="{39786206-05A0-6CC3-69B7-951C5B4F678B}"/>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42" name="Straight Connector 533">
            <a:extLst>
              <a:ext uri="{FF2B5EF4-FFF2-40B4-BE49-F238E27FC236}">
                <a16:creationId xmlns:a16="http://schemas.microsoft.com/office/drawing/2014/main" id="{24881088-003A-E1D7-3D89-1D149F4677E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43" name="Straight Connector 535">
            <a:extLst>
              <a:ext uri="{FF2B5EF4-FFF2-40B4-BE49-F238E27FC236}">
                <a16:creationId xmlns:a16="http://schemas.microsoft.com/office/drawing/2014/main" id="{82204884-834C-3181-A8E1-B7022263019D}"/>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44" name="Straight Connector 537">
            <a:extLst>
              <a:ext uri="{FF2B5EF4-FFF2-40B4-BE49-F238E27FC236}">
                <a16:creationId xmlns:a16="http://schemas.microsoft.com/office/drawing/2014/main" id="{F8FD0915-1576-B67C-70F1-6497B6C3B2F4}"/>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273</xdr:row>
      <xdr:rowOff>57150</xdr:rowOff>
    </xdr:from>
    <xdr:to>
      <xdr:col>18</xdr:col>
      <xdr:colOff>0</xdr:colOff>
      <xdr:row>274</xdr:row>
      <xdr:rowOff>190500</xdr:rowOff>
    </xdr:to>
    <xdr:sp macro="" textlink="">
      <xdr:nvSpPr>
        <xdr:cNvPr id="945" name="AutoShape 46">
          <a:extLst>
            <a:ext uri="{FF2B5EF4-FFF2-40B4-BE49-F238E27FC236}">
              <a16:creationId xmlns:a16="http://schemas.microsoft.com/office/drawing/2014/main" id="{EA9D3E3C-0AC4-483A-BF7B-F157649C502C}"/>
            </a:ext>
          </a:extLst>
        </xdr:cNvPr>
        <xdr:cNvSpPr>
          <a:spLocks noChangeArrowheads="1"/>
        </xdr:cNvSpPr>
      </xdr:nvSpPr>
      <xdr:spPr bwMode="auto">
        <a:xfrm>
          <a:off x="177292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46" name="AutoShape 46">
          <a:extLst>
            <a:ext uri="{FF2B5EF4-FFF2-40B4-BE49-F238E27FC236}">
              <a16:creationId xmlns:a16="http://schemas.microsoft.com/office/drawing/2014/main" id="{8DDBC844-050A-4E4A-91F5-38ADADACE1F1}"/>
            </a:ext>
          </a:extLst>
        </xdr:cNvPr>
        <xdr:cNvSpPr>
          <a:spLocks noChangeArrowheads="1"/>
        </xdr:cNvSpPr>
      </xdr:nvSpPr>
      <xdr:spPr bwMode="auto">
        <a:xfrm>
          <a:off x="199580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47" name="AutoShape 46">
          <a:extLst>
            <a:ext uri="{FF2B5EF4-FFF2-40B4-BE49-F238E27FC236}">
              <a16:creationId xmlns:a16="http://schemas.microsoft.com/office/drawing/2014/main" id="{658BD107-0C06-497E-B299-0668083A0E13}"/>
            </a:ext>
          </a:extLst>
        </xdr:cNvPr>
        <xdr:cNvSpPr>
          <a:spLocks noChangeArrowheads="1"/>
        </xdr:cNvSpPr>
      </xdr:nvSpPr>
      <xdr:spPr bwMode="auto">
        <a:xfrm>
          <a:off x="22542500" y="134696200"/>
          <a:ext cx="1612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48" name="AutoShape 46">
          <a:extLst>
            <a:ext uri="{FF2B5EF4-FFF2-40B4-BE49-F238E27FC236}">
              <a16:creationId xmlns:a16="http://schemas.microsoft.com/office/drawing/2014/main" id="{038272E8-EA5D-4D81-B39C-138462832EB8}"/>
            </a:ext>
          </a:extLst>
        </xdr:cNvPr>
        <xdr:cNvSpPr>
          <a:spLocks noChangeArrowheads="1"/>
        </xdr:cNvSpPr>
      </xdr:nvSpPr>
      <xdr:spPr bwMode="auto">
        <a:xfrm>
          <a:off x="276288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49" name="AutoShape 46">
          <a:extLst>
            <a:ext uri="{FF2B5EF4-FFF2-40B4-BE49-F238E27FC236}">
              <a16:creationId xmlns:a16="http://schemas.microsoft.com/office/drawing/2014/main" id="{A6D6BFFF-4558-4D76-88C6-0802798C5A7B}"/>
            </a:ext>
          </a:extLst>
        </xdr:cNvPr>
        <xdr:cNvSpPr>
          <a:spLocks noChangeArrowheads="1"/>
        </xdr:cNvSpPr>
      </xdr:nvSpPr>
      <xdr:spPr bwMode="auto">
        <a:xfrm>
          <a:off x="296418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281</xdr:row>
      <xdr:rowOff>57150</xdr:rowOff>
    </xdr:from>
    <xdr:to>
      <xdr:col>2</xdr:col>
      <xdr:colOff>0</xdr:colOff>
      <xdr:row>282</xdr:row>
      <xdr:rowOff>190500</xdr:rowOff>
    </xdr:to>
    <xdr:sp macro="" textlink="">
      <xdr:nvSpPr>
        <xdr:cNvPr id="950" name="AutoShape 46">
          <a:extLst>
            <a:ext uri="{FF2B5EF4-FFF2-40B4-BE49-F238E27FC236}">
              <a16:creationId xmlns:a16="http://schemas.microsoft.com/office/drawing/2014/main" id="{A2068C04-4D58-435B-9A22-13471BE0D66E}"/>
            </a:ext>
          </a:extLst>
        </xdr:cNvPr>
        <xdr:cNvSpPr>
          <a:spLocks noChangeArrowheads="1"/>
        </xdr:cNvSpPr>
      </xdr:nvSpPr>
      <xdr:spPr bwMode="auto">
        <a:xfrm>
          <a:off x="7810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281</xdr:row>
      <xdr:rowOff>57150</xdr:rowOff>
    </xdr:from>
    <xdr:to>
      <xdr:col>4</xdr:col>
      <xdr:colOff>0</xdr:colOff>
      <xdr:row>282</xdr:row>
      <xdr:rowOff>190500</xdr:rowOff>
    </xdr:to>
    <xdr:sp macro="" textlink="">
      <xdr:nvSpPr>
        <xdr:cNvPr id="951" name="AutoShape 46">
          <a:extLst>
            <a:ext uri="{FF2B5EF4-FFF2-40B4-BE49-F238E27FC236}">
              <a16:creationId xmlns:a16="http://schemas.microsoft.com/office/drawing/2014/main" id="{10BE9437-BF7F-4017-8620-F338576BF1EE}"/>
            </a:ext>
          </a:extLst>
        </xdr:cNvPr>
        <xdr:cNvSpPr>
          <a:spLocks noChangeArrowheads="1"/>
        </xdr:cNvSpPr>
      </xdr:nvSpPr>
      <xdr:spPr bwMode="auto">
        <a:xfrm>
          <a:off x="27940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281</xdr:row>
      <xdr:rowOff>14817</xdr:rowOff>
    </xdr:from>
    <xdr:to>
      <xdr:col>6</xdr:col>
      <xdr:colOff>0</xdr:colOff>
      <xdr:row>282</xdr:row>
      <xdr:rowOff>148167</xdr:rowOff>
    </xdr:to>
    <xdr:sp macro="" textlink="">
      <xdr:nvSpPr>
        <xdr:cNvPr id="952" name="AutoShape 46">
          <a:extLst>
            <a:ext uri="{FF2B5EF4-FFF2-40B4-BE49-F238E27FC236}">
              <a16:creationId xmlns:a16="http://schemas.microsoft.com/office/drawing/2014/main" id="{DC46B504-867E-48A8-87A0-4F14C1214740}"/>
            </a:ext>
          </a:extLst>
        </xdr:cNvPr>
        <xdr:cNvSpPr>
          <a:spLocks noChangeArrowheads="1"/>
        </xdr:cNvSpPr>
      </xdr:nvSpPr>
      <xdr:spPr bwMode="auto">
        <a:xfrm>
          <a:off x="4933950" y="138508317"/>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281</xdr:row>
      <xdr:rowOff>57150</xdr:rowOff>
    </xdr:from>
    <xdr:to>
      <xdr:col>8</xdr:col>
      <xdr:colOff>0</xdr:colOff>
      <xdr:row>282</xdr:row>
      <xdr:rowOff>190500</xdr:rowOff>
    </xdr:to>
    <xdr:sp macro="" textlink="">
      <xdr:nvSpPr>
        <xdr:cNvPr id="953" name="AutoShape 46">
          <a:extLst>
            <a:ext uri="{FF2B5EF4-FFF2-40B4-BE49-F238E27FC236}">
              <a16:creationId xmlns:a16="http://schemas.microsoft.com/office/drawing/2014/main" id="{1BD4DD76-4BAD-4682-94F2-0688AD7C0F97}"/>
            </a:ext>
          </a:extLst>
        </xdr:cNvPr>
        <xdr:cNvSpPr>
          <a:spLocks noChangeArrowheads="1"/>
        </xdr:cNvSpPr>
      </xdr:nvSpPr>
      <xdr:spPr bwMode="auto">
        <a:xfrm>
          <a:off x="6946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281</xdr:row>
      <xdr:rowOff>57150</xdr:rowOff>
    </xdr:from>
    <xdr:to>
      <xdr:col>10</xdr:col>
      <xdr:colOff>0</xdr:colOff>
      <xdr:row>282</xdr:row>
      <xdr:rowOff>190500</xdr:rowOff>
    </xdr:to>
    <xdr:sp macro="" textlink="">
      <xdr:nvSpPr>
        <xdr:cNvPr id="954" name="AutoShape 46">
          <a:extLst>
            <a:ext uri="{FF2B5EF4-FFF2-40B4-BE49-F238E27FC236}">
              <a16:creationId xmlns:a16="http://schemas.microsoft.com/office/drawing/2014/main" id="{A2F09844-FBAD-48CD-A42A-161B4413B999}"/>
            </a:ext>
          </a:extLst>
        </xdr:cNvPr>
        <xdr:cNvSpPr>
          <a:spLocks noChangeArrowheads="1"/>
        </xdr:cNvSpPr>
      </xdr:nvSpPr>
      <xdr:spPr bwMode="auto">
        <a:xfrm>
          <a:off x="92773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281</xdr:row>
      <xdr:rowOff>57150</xdr:rowOff>
    </xdr:from>
    <xdr:to>
      <xdr:col>12</xdr:col>
      <xdr:colOff>0</xdr:colOff>
      <xdr:row>282</xdr:row>
      <xdr:rowOff>190500</xdr:rowOff>
    </xdr:to>
    <xdr:sp macro="" textlink="">
      <xdr:nvSpPr>
        <xdr:cNvPr id="955" name="AutoShape 46">
          <a:extLst>
            <a:ext uri="{FF2B5EF4-FFF2-40B4-BE49-F238E27FC236}">
              <a16:creationId xmlns:a16="http://schemas.microsoft.com/office/drawing/2014/main" id="{EFC5F959-282A-4810-B118-CF165A2CAA0D}"/>
            </a:ext>
          </a:extLst>
        </xdr:cNvPr>
        <xdr:cNvSpPr>
          <a:spLocks noChangeArrowheads="1"/>
        </xdr:cNvSpPr>
      </xdr:nvSpPr>
      <xdr:spPr bwMode="auto">
        <a:xfrm>
          <a:off x="112903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281</xdr:row>
      <xdr:rowOff>57150</xdr:rowOff>
    </xdr:from>
    <xdr:to>
      <xdr:col>14</xdr:col>
      <xdr:colOff>0</xdr:colOff>
      <xdr:row>282</xdr:row>
      <xdr:rowOff>190500</xdr:rowOff>
    </xdr:to>
    <xdr:sp macro="" textlink="">
      <xdr:nvSpPr>
        <xdr:cNvPr id="956" name="AutoShape 46">
          <a:extLst>
            <a:ext uri="{FF2B5EF4-FFF2-40B4-BE49-F238E27FC236}">
              <a16:creationId xmlns:a16="http://schemas.microsoft.com/office/drawing/2014/main" id="{EF05F655-7866-4344-B05E-BCFAAC76B747}"/>
            </a:ext>
          </a:extLst>
        </xdr:cNvPr>
        <xdr:cNvSpPr>
          <a:spLocks noChangeArrowheads="1"/>
        </xdr:cNvSpPr>
      </xdr:nvSpPr>
      <xdr:spPr bwMode="auto">
        <a:xfrm>
          <a:off x="133032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281</xdr:row>
      <xdr:rowOff>57150</xdr:rowOff>
    </xdr:from>
    <xdr:to>
      <xdr:col>16</xdr:col>
      <xdr:colOff>0</xdr:colOff>
      <xdr:row>282</xdr:row>
      <xdr:rowOff>190500</xdr:rowOff>
    </xdr:to>
    <xdr:sp macro="" textlink="">
      <xdr:nvSpPr>
        <xdr:cNvPr id="957" name="AutoShape 46">
          <a:extLst>
            <a:ext uri="{FF2B5EF4-FFF2-40B4-BE49-F238E27FC236}">
              <a16:creationId xmlns:a16="http://schemas.microsoft.com/office/drawing/2014/main" id="{A57681F3-3E1E-4BFC-A9CE-D5B9920197B4}"/>
            </a:ext>
          </a:extLst>
        </xdr:cNvPr>
        <xdr:cNvSpPr>
          <a:spLocks noChangeArrowheads="1"/>
        </xdr:cNvSpPr>
      </xdr:nvSpPr>
      <xdr:spPr bwMode="auto">
        <a:xfrm>
          <a:off x="15316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281</xdr:row>
      <xdr:rowOff>57150</xdr:rowOff>
    </xdr:from>
    <xdr:to>
      <xdr:col>16</xdr:col>
      <xdr:colOff>0</xdr:colOff>
      <xdr:row>282</xdr:row>
      <xdr:rowOff>190500</xdr:rowOff>
    </xdr:to>
    <xdr:sp macro="" textlink="">
      <xdr:nvSpPr>
        <xdr:cNvPr id="958" name="AutoShape 46">
          <a:extLst>
            <a:ext uri="{FF2B5EF4-FFF2-40B4-BE49-F238E27FC236}">
              <a16:creationId xmlns:a16="http://schemas.microsoft.com/office/drawing/2014/main" id="{C290DF2E-25F5-440B-B733-DFF7388CB9D0}"/>
            </a:ext>
          </a:extLst>
        </xdr:cNvPr>
        <xdr:cNvSpPr>
          <a:spLocks noChangeArrowheads="1"/>
        </xdr:cNvSpPr>
      </xdr:nvSpPr>
      <xdr:spPr bwMode="auto">
        <a:xfrm>
          <a:off x="15316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59" name="AutoShape 46">
          <a:extLst>
            <a:ext uri="{FF2B5EF4-FFF2-40B4-BE49-F238E27FC236}">
              <a16:creationId xmlns:a16="http://schemas.microsoft.com/office/drawing/2014/main" id="{C7CD1D4B-B23D-4607-A94D-060A787F600B}"/>
            </a:ext>
          </a:extLst>
        </xdr:cNvPr>
        <xdr:cNvSpPr>
          <a:spLocks noChangeArrowheads="1"/>
        </xdr:cNvSpPr>
      </xdr:nvSpPr>
      <xdr:spPr bwMode="auto">
        <a:xfrm>
          <a:off x="177292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60" name="AutoShape 46">
          <a:extLst>
            <a:ext uri="{FF2B5EF4-FFF2-40B4-BE49-F238E27FC236}">
              <a16:creationId xmlns:a16="http://schemas.microsoft.com/office/drawing/2014/main" id="{2B175F69-60B7-4E4F-A83C-8674D4859031}"/>
            </a:ext>
          </a:extLst>
        </xdr:cNvPr>
        <xdr:cNvSpPr>
          <a:spLocks noChangeArrowheads="1"/>
        </xdr:cNvSpPr>
      </xdr:nvSpPr>
      <xdr:spPr bwMode="auto">
        <a:xfrm>
          <a:off x="1995805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61" name="AutoShape 46">
          <a:extLst>
            <a:ext uri="{FF2B5EF4-FFF2-40B4-BE49-F238E27FC236}">
              <a16:creationId xmlns:a16="http://schemas.microsoft.com/office/drawing/2014/main" id="{BB076642-ADD8-4981-B7E2-CE239B1D5AEE}"/>
            </a:ext>
          </a:extLst>
        </xdr:cNvPr>
        <xdr:cNvSpPr>
          <a:spLocks noChangeArrowheads="1"/>
        </xdr:cNvSpPr>
      </xdr:nvSpPr>
      <xdr:spPr bwMode="auto">
        <a:xfrm>
          <a:off x="22542500" y="138550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62" name="AutoShape 46">
          <a:extLst>
            <a:ext uri="{FF2B5EF4-FFF2-40B4-BE49-F238E27FC236}">
              <a16:creationId xmlns:a16="http://schemas.microsoft.com/office/drawing/2014/main" id="{110A67D4-3F6E-4C29-AD4F-52BB394A6569}"/>
            </a:ext>
          </a:extLst>
        </xdr:cNvPr>
        <xdr:cNvSpPr>
          <a:spLocks noChangeArrowheads="1"/>
        </xdr:cNvSpPr>
      </xdr:nvSpPr>
      <xdr:spPr bwMode="auto">
        <a:xfrm>
          <a:off x="254889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63" name="AutoShape 46">
          <a:extLst>
            <a:ext uri="{FF2B5EF4-FFF2-40B4-BE49-F238E27FC236}">
              <a16:creationId xmlns:a16="http://schemas.microsoft.com/office/drawing/2014/main" id="{43F8FEC0-2468-4C84-BF3B-276EF6C195B9}"/>
            </a:ext>
          </a:extLst>
        </xdr:cNvPr>
        <xdr:cNvSpPr>
          <a:spLocks noChangeArrowheads="1"/>
        </xdr:cNvSpPr>
      </xdr:nvSpPr>
      <xdr:spPr bwMode="auto">
        <a:xfrm>
          <a:off x="2762885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64" name="AutoShape 46">
          <a:extLst>
            <a:ext uri="{FF2B5EF4-FFF2-40B4-BE49-F238E27FC236}">
              <a16:creationId xmlns:a16="http://schemas.microsoft.com/office/drawing/2014/main" id="{45373999-8A47-4C8E-AA7F-40A20F0B8A93}"/>
            </a:ext>
          </a:extLst>
        </xdr:cNvPr>
        <xdr:cNvSpPr>
          <a:spLocks noChangeArrowheads="1"/>
        </xdr:cNvSpPr>
      </xdr:nvSpPr>
      <xdr:spPr bwMode="auto">
        <a:xfrm>
          <a:off x="296418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65" name="AutoShape 46">
          <a:extLst>
            <a:ext uri="{FF2B5EF4-FFF2-40B4-BE49-F238E27FC236}">
              <a16:creationId xmlns:a16="http://schemas.microsoft.com/office/drawing/2014/main" id="{AB3322C2-0AE8-43FF-A869-BA03582A2399}"/>
            </a:ext>
          </a:extLst>
        </xdr:cNvPr>
        <xdr:cNvSpPr>
          <a:spLocks noChangeArrowheads="1"/>
        </xdr:cNvSpPr>
      </xdr:nvSpPr>
      <xdr:spPr bwMode="auto">
        <a:xfrm>
          <a:off x="17729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66" name="AutoShape 46">
          <a:extLst>
            <a:ext uri="{FF2B5EF4-FFF2-40B4-BE49-F238E27FC236}">
              <a16:creationId xmlns:a16="http://schemas.microsoft.com/office/drawing/2014/main" id="{77E92E91-D023-458B-9FBA-C6BBD99D3593}"/>
            </a:ext>
          </a:extLst>
        </xdr:cNvPr>
        <xdr:cNvSpPr>
          <a:spLocks noChangeArrowheads="1"/>
        </xdr:cNvSpPr>
      </xdr:nvSpPr>
      <xdr:spPr bwMode="auto">
        <a:xfrm>
          <a:off x="199580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67" name="AutoShape 46">
          <a:extLst>
            <a:ext uri="{FF2B5EF4-FFF2-40B4-BE49-F238E27FC236}">
              <a16:creationId xmlns:a16="http://schemas.microsoft.com/office/drawing/2014/main" id="{6D52474E-5E15-4BA3-84B7-92AD378C58AC}"/>
            </a:ext>
          </a:extLst>
        </xdr:cNvPr>
        <xdr:cNvSpPr>
          <a:spLocks noChangeArrowheads="1"/>
        </xdr:cNvSpPr>
      </xdr:nvSpPr>
      <xdr:spPr bwMode="auto">
        <a:xfrm>
          <a:off x="22542500" y="138550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68" name="AutoShape 46">
          <a:extLst>
            <a:ext uri="{FF2B5EF4-FFF2-40B4-BE49-F238E27FC236}">
              <a16:creationId xmlns:a16="http://schemas.microsoft.com/office/drawing/2014/main" id="{54658EA5-7812-43EC-A550-6F10BC87D501}"/>
            </a:ext>
          </a:extLst>
        </xdr:cNvPr>
        <xdr:cNvSpPr>
          <a:spLocks noChangeArrowheads="1"/>
        </xdr:cNvSpPr>
      </xdr:nvSpPr>
      <xdr:spPr bwMode="auto">
        <a:xfrm>
          <a:off x="25488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69" name="AutoShape 46">
          <a:extLst>
            <a:ext uri="{FF2B5EF4-FFF2-40B4-BE49-F238E27FC236}">
              <a16:creationId xmlns:a16="http://schemas.microsoft.com/office/drawing/2014/main" id="{2CF7353F-7B54-4210-AE50-9742F1D5C397}"/>
            </a:ext>
          </a:extLst>
        </xdr:cNvPr>
        <xdr:cNvSpPr>
          <a:spLocks noChangeArrowheads="1"/>
        </xdr:cNvSpPr>
      </xdr:nvSpPr>
      <xdr:spPr bwMode="auto">
        <a:xfrm>
          <a:off x="276288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70" name="AutoShape 46">
          <a:extLst>
            <a:ext uri="{FF2B5EF4-FFF2-40B4-BE49-F238E27FC236}">
              <a16:creationId xmlns:a16="http://schemas.microsoft.com/office/drawing/2014/main" id="{6AA7BBF1-4832-45CF-BC2B-BFA1603DED3D}"/>
            </a:ext>
          </a:extLst>
        </xdr:cNvPr>
        <xdr:cNvSpPr>
          <a:spLocks noChangeArrowheads="1"/>
        </xdr:cNvSpPr>
      </xdr:nvSpPr>
      <xdr:spPr bwMode="auto">
        <a:xfrm>
          <a:off x="296418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71" name="AutoShape 46">
          <a:extLst>
            <a:ext uri="{FF2B5EF4-FFF2-40B4-BE49-F238E27FC236}">
              <a16:creationId xmlns:a16="http://schemas.microsoft.com/office/drawing/2014/main" id="{92BD9EAB-AA24-4F77-BA54-84581766DCA4}"/>
            </a:ext>
          </a:extLst>
        </xdr:cNvPr>
        <xdr:cNvSpPr>
          <a:spLocks noChangeArrowheads="1"/>
        </xdr:cNvSpPr>
      </xdr:nvSpPr>
      <xdr:spPr bwMode="auto">
        <a:xfrm>
          <a:off x="17729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72" name="AutoShape 46">
          <a:extLst>
            <a:ext uri="{FF2B5EF4-FFF2-40B4-BE49-F238E27FC236}">
              <a16:creationId xmlns:a16="http://schemas.microsoft.com/office/drawing/2014/main" id="{049CEC18-89D7-4DEC-951C-814A6B6BF77C}"/>
            </a:ext>
          </a:extLst>
        </xdr:cNvPr>
        <xdr:cNvSpPr>
          <a:spLocks noChangeArrowheads="1"/>
        </xdr:cNvSpPr>
      </xdr:nvSpPr>
      <xdr:spPr bwMode="auto">
        <a:xfrm>
          <a:off x="19958050" y="138550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73" name="AutoShape 46">
          <a:extLst>
            <a:ext uri="{FF2B5EF4-FFF2-40B4-BE49-F238E27FC236}">
              <a16:creationId xmlns:a16="http://schemas.microsoft.com/office/drawing/2014/main" id="{CC1685AE-9165-44A7-A050-105937CA71D9}"/>
            </a:ext>
          </a:extLst>
        </xdr:cNvPr>
        <xdr:cNvSpPr>
          <a:spLocks noChangeArrowheads="1"/>
        </xdr:cNvSpPr>
      </xdr:nvSpPr>
      <xdr:spPr bwMode="auto">
        <a:xfrm>
          <a:off x="22542500" y="138550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74" name="AutoShape 46">
          <a:extLst>
            <a:ext uri="{FF2B5EF4-FFF2-40B4-BE49-F238E27FC236}">
              <a16:creationId xmlns:a16="http://schemas.microsoft.com/office/drawing/2014/main" id="{274A5899-F8BF-43F6-B544-BE914A19C70B}"/>
            </a:ext>
          </a:extLst>
        </xdr:cNvPr>
        <xdr:cNvSpPr>
          <a:spLocks noChangeArrowheads="1"/>
        </xdr:cNvSpPr>
      </xdr:nvSpPr>
      <xdr:spPr bwMode="auto">
        <a:xfrm>
          <a:off x="25488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75" name="AutoShape 46">
          <a:extLst>
            <a:ext uri="{FF2B5EF4-FFF2-40B4-BE49-F238E27FC236}">
              <a16:creationId xmlns:a16="http://schemas.microsoft.com/office/drawing/2014/main" id="{2AF18216-4F4F-4B2B-A873-BCA93086E920}"/>
            </a:ext>
          </a:extLst>
        </xdr:cNvPr>
        <xdr:cNvSpPr>
          <a:spLocks noChangeArrowheads="1"/>
        </xdr:cNvSpPr>
      </xdr:nvSpPr>
      <xdr:spPr bwMode="auto">
        <a:xfrm>
          <a:off x="276288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76" name="AutoShape 46">
          <a:extLst>
            <a:ext uri="{FF2B5EF4-FFF2-40B4-BE49-F238E27FC236}">
              <a16:creationId xmlns:a16="http://schemas.microsoft.com/office/drawing/2014/main" id="{6AEAED81-0E9D-426F-B010-1CA8F0DA6F99}"/>
            </a:ext>
          </a:extLst>
        </xdr:cNvPr>
        <xdr:cNvSpPr>
          <a:spLocks noChangeArrowheads="1"/>
        </xdr:cNvSpPr>
      </xdr:nvSpPr>
      <xdr:spPr bwMode="auto">
        <a:xfrm>
          <a:off x="296418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289</xdr:row>
      <xdr:rowOff>57150</xdr:rowOff>
    </xdr:from>
    <xdr:to>
      <xdr:col>2</xdr:col>
      <xdr:colOff>0</xdr:colOff>
      <xdr:row>290</xdr:row>
      <xdr:rowOff>190500</xdr:rowOff>
    </xdr:to>
    <xdr:sp macro="" textlink="">
      <xdr:nvSpPr>
        <xdr:cNvPr id="977" name="AutoShape 46">
          <a:extLst>
            <a:ext uri="{FF2B5EF4-FFF2-40B4-BE49-F238E27FC236}">
              <a16:creationId xmlns:a16="http://schemas.microsoft.com/office/drawing/2014/main" id="{0C0B34BC-771C-48BE-8FA1-B14432DB4216}"/>
            </a:ext>
          </a:extLst>
        </xdr:cNvPr>
        <xdr:cNvSpPr>
          <a:spLocks noChangeArrowheads="1"/>
        </xdr:cNvSpPr>
      </xdr:nvSpPr>
      <xdr:spPr bwMode="auto">
        <a:xfrm>
          <a:off x="7810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289</xdr:row>
      <xdr:rowOff>57150</xdr:rowOff>
    </xdr:from>
    <xdr:to>
      <xdr:col>4</xdr:col>
      <xdr:colOff>0</xdr:colOff>
      <xdr:row>290</xdr:row>
      <xdr:rowOff>190500</xdr:rowOff>
    </xdr:to>
    <xdr:sp macro="" textlink="">
      <xdr:nvSpPr>
        <xdr:cNvPr id="978" name="AutoShape 46">
          <a:extLst>
            <a:ext uri="{FF2B5EF4-FFF2-40B4-BE49-F238E27FC236}">
              <a16:creationId xmlns:a16="http://schemas.microsoft.com/office/drawing/2014/main" id="{00E239F6-1BD2-4AC4-8D57-DF133C9F5344}"/>
            </a:ext>
          </a:extLst>
        </xdr:cNvPr>
        <xdr:cNvSpPr>
          <a:spLocks noChangeArrowheads="1"/>
        </xdr:cNvSpPr>
      </xdr:nvSpPr>
      <xdr:spPr bwMode="auto">
        <a:xfrm>
          <a:off x="27940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289</xdr:row>
      <xdr:rowOff>57150</xdr:rowOff>
    </xdr:from>
    <xdr:to>
      <xdr:col>6</xdr:col>
      <xdr:colOff>0</xdr:colOff>
      <xdr:row>290</xdr:row>
      <xdr:rowOff>190500</xdr:rowOff>
    </xdr:to>
    <xdr:sp macro="" textlink="">
      <xdr:nvSpPr>
        <xdr:cNvPr id="979" name="AutoShape 46">
          <a:extLst>
            <a:ext uri="{FF2B5EF4-FFF2-40B4-BE49-F238E27FC236}">
              <a16:creationId xmlns:a16="http://schemas.microsoft.com/office/drawing/2014/main" id="{47B9DDD2-4D3E-4697-AAE5-6D99063ED461}"/>
            </a:ext>
          </a:extLst>
        </xdr:cNvPr>
        <xdr:cNvSpPr>
          <a:spLocks noChangeArrowheads="1"/>
        </xdr:cNvSpPr>
      </xdr:nvSpPr>
      <xdr:spPr bwMode="auto">
        <a:xfrm>
          <a:off x="49339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289</xdr:row>
      <xdr:rowOff>57150</xdr:rowOff>
    </xdr:from>
    <xdr:to>
      <xdr:col>8</xdr:col>
      <xdr:colOff>0</xdr:colOff>
      <xdr:row>290</xdr:row>
      <xdr:rowOff>190500</xdr:rowOff>
    </xdr:to>
    <xdr:sp macro="" textlink="">
      <xdr:nvSpPr>
        <xdr:cNvPr id="980" name="AutoShape 46">
          <a:extLst>
            <a:ext uri="{FF2B5EF4-FFF2-40B4-BE49-F238E27FC236}">
              <a16:creationId xmlns:a16="http://schemas.microsoft.com/office/drawing/2014/main" id="{D3DA30B1-B42A-44CB-8F8C-6A507E9BBAB3}"/>
            </a:ext>
          </a:extLst>
        </xdr:cNvPr>
        <xdr:cNvSpPr>
          <a:spLocks noChangeArrowheads="1"/>
        </xdr:cNvSpPr>
      </xdr:nvSpPr>
      <xdr:spPr bwMode="auto">
        <a:xfrm>
          <a:off x="69469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289</xdr:row>
      <xdr:rowOff>57150</xdr:rowOff>
    </xdr:from>
    <xdr:to>
      <xdr:col>10</xdr:col>
      <xdr:colOff>0</xdr:colOff>
      <xdr:row>290</xdr:row>
      <xdr:rowOff>190500</xdr:rowOff>
    </xdr:to>
    <xdr:sp macro="" textlink="">
      <xdr:nvSpPr>
        <xdr:cNvPr id="981" name="AutoShape 46">
          <a:extLst>
            <a:ext uri="{FF2B5EF4-FFF2-40B4-BE49-F238E27FC236}">
              <a16:creationId xmlns:a16="http://schemas.microsoft.com/office/drawing/2014/main" id="{1A325879-0F03-4B1F-A6A5-347756B68AD0}"/>
            </a:ext>
          </a:extLst>
        </xdr:cNvPr>
        <xdr:cNvSpPr>
          <a:spLocks noChangeArrowheads="1"/>
        </xdr:cNvSpPr>
      </xdr:nvSpPr>
      <xdr:spPr bwMode="auto">
        <a:xfrm>
          <a:off x="92773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289</xdr:row>
      <xdr:rowOff>57150</xdr:rowOff>
    </xdr:from>
    <xdr:to>
      <xdr:col>12</xdr:col>
      <xdr:colOff>0</xdr:colOff>
      <xdr:row>290</xdr:row>
      <xdr:rowOff>190500</xdr:rowOff>
    </xdr:to>
    <xdr:sp macro="" textlink="">
      <xdr:nvSpPr>
        <xdr:cNvPr id="982" name="AutoShape 46">
          <a:extLst>
            <a:ext uri="{FF2B5EF4-FFF2-40B4-BE49-F238E27FC236}">
              <a16:creationId xmlns:a16="http://schemas.microsoft.com/office/drawing/2014/main" id="{E1959C96-57F1-41EC-AC91-48B4DA191596}"/>
            </a:ext>
          </a:extLst>
        </xdr:cNvPr>
        <xdr:cNvSpPr>
          <a:spLocks noChangeArrowheads="1"/>
        </xdr:cNvSpPr>
      </xdr:nvSpPr>
      <xdr:spPr bwMode="auto">
        <a:xfrm>
          <a:off x="11290300" y="142195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289</xdr:row>
      <xdr:rowOff>57150</xdr:rowOff>
    </xdr:from>
    <xdr:to>
      <xdr:col>14</xdr:col>
      <xdr:colOff>0</xdr:colOff>
      <xdr:row>290</xdr:row>
      <xdr:rowOff>190500</xdr:rowOff>
    </xdr:to>
    <xdr:sp macro="" textlink="">
      <xdr:nvSpPr>
        <xdr:cNvPr id="983" name="AutoShape 46">
          <a:extLst>
            <a:ext uri="{FF2B5EF4-FFF2-40B4-BE49-F238E27FC236}">
              <a16:creationId xmlns:a16="http://schemas.microsoft.com/office/drawing/2014/main" id="{73F03E1D-12D1-4E73-94DB-A78288E6A9C3}"/>
            </a:ext>
          </a:extLst>
        </xdr:cNvPr>
        <xdr:cNvSpPr>
          <a:spLocks noChangeArrowheads="1"/>
        </xdr:cNvSpPr>
      </xdr:nvSpPr>
      <xdr:spPr bwMode="auto">
        <a:xfrm>
          <a:off x="13303250" y="14219555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15</xdr:col>
      <xdr:colOff>0</xdr:colOff>
      <xdr:row>289</xdr:row>
      <xdr:rowOff>57150</xdr:rowOff>
    </xdr:from>
    <xdr:to>
      <xdr:col>16</xdr:col>
      <xdr:colOff>0</xdr:colOff>
      <xdr:row>290</xdr:row>
      <xdr:rowOff>190500</xdr:rowOff>
    </xdr:to>
    <xdr:sp macro="" textlink="">
      <xdr:nvSpPr>
        <xdr:cNvPr id="984" name="AutoShape 46">
          <a:extLst>
            <a:ext uri="{FF2B5EF4-FFF2-40B4-BE49-F238E27FC236}">
              <a16:creationId xmlns:a16="http://schemas.microsoft.com/office/drawing/2014/main" id="{17F0DC76-3B25-40D4-861A-E6382AC48441}"/>
            </a:ext>
          </a:extLst>
        </xdr:cNvPr>
        <xdr:cNvSpPr>
          <a:spLocks noChangeArrowheads="1"/>
        </xdr:cNvSpPr>
      </xdr:nvSpPr>
      <xdr:spPr bwMode="auto">
        <a:xfrm>
          <a:off x="153162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15875</xdr:colOff>
      <xdr:row>289</xdr:row>
      <xdr:rowOff>57150</xdr:rowOff>
    </xdr:from>
    <xdr:to>
      <xdr:col>16</xdr:col>
      <xdr:colOff>15875</xdr:colOff>
      <xdr:row>290</xdr:row>
      <xdr:rowOff>190500</xdr:rowOff>
    </xdr:to>
    <xdr:sp macro="" textlink="">
      <xdr:nvSpPr>
        <xdr:cNvPr id="985" name="AutoShape 46">
          <a:extLst>
            <a:ext uri="{FF2B5EF4-FFF2-40B4-BE49-F238E27FC236}">
              <a16:creationId xmlns:a16="http://schemas.microsoft.com/office/drawing/2014/main" id="{A7361B8A-F9A5-4A91-A59E-FEF8BB66A5CD}"/>
            </a:ext>
          </a:extLst>
        </xdr:cNvPr>
        <xdr:cNvSpPr>
          <a:spLocks noChangeArrowheads="1"/>
        </xdr:cNvSpPr>
      </xdr:nvSpPr>
      <xdr:spPr bwMode="auto">
        <a:xfrm>
          <a:off x="15351125" y="142424150"/>
          <a:ext cx="1238250" cy="561975"/>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86" name="AutoShape 46">
          <a:extLst>
            <a:ext uri="{FF2B5EF4-FFF2-40B4-BE49-F238E27FC236}">
              <a16:creationId xmlns:a16="http://schemas.microsoft.com/office/drawing/2014/main" id="{A334855C-619B-41DF-B1C4-DBE5CD6EDD3E}"/>
            </a:ext>
          </a:extLst>
        </xdr:cNvPr>
        <xdr:cNvSpPr>
          <a:spLocks noChangeArrowheads="1"/>
        </xdr:cNvSpPr>
      </xdr:nvSpPr>
      <xdr:spPr bwMode="auto">
        <a:xfrm>
          <a:off x="177292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289</xdr:row>
      <xdr:rowOff>57150</xdr:rowOff>
    </xdr:from>
    <xdr:to>
      <xdr:col>20</xdr:col>
      <xdr:colOff>0</xdr:colOff>
      <xdr:row>290</xdr:row>
      <xdr:rowOff>190500</xdr:rowOff>
    </xdr:to>
    <xdr:sp macro="" textlink="">
      <xdr:nvSpPr>
        <xdr:cNvPr id="987" name="AutoShape 46">
          <a:extLst>
            <a:ext uri="{FF2B5EF4-FFF2-40B4-BE49-F238E27FC236}">
              <a16:creationId xmlns:a16="http://schemas.microsoft.com/office/drawing/2014/main" id="{9264AFFF-D2AD-4772-8B53-0C8F6EA908EF}"/>
            </a:ext>
          </a:extLst>
        </xdr:cNvPr>
        <xdr:cNvSpPr>
          <a:spLocks noChangeArrowheads="1"/>
        </xdr:cNvSpPr>
      </xdr:nvSpPr>
      <xdr:spPr bwMode="auto">
        <a:xfrm>
          <a:off x="199580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88" name="AutoShape 46">
          <a:extLst>
            <a:ext uri="{FF2B5EF4-FFF2-40B4-BE49-F238E27FC236}">
              <a16:creationId xmlns:a16="http://schemas.microsoft.com/office/drawing/2014/main" id="{F1A4E17B-384B-4FD6-92CB-BF0851D1BF15}"/>
            </a:ext>
          </a:extLst>
        </xdr:cNvPr>
        <xdr:cNvSpPr>
          <a:spLocks noChangeArrowheads="1"/>
        </xdr:cNvSpPr>
      </xdr:nvSpPr>
      <xdr:spPr bwMode="auto">
        <a:xfrm>
          <a:off x="22542500" y="1421955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89" name="AutoShape 46">
          <a:extLst>
            <a:ext uri="{FF2B5EF4-FFF2-40B4-BE49-F238E27FC236}">
              <a16:creationId xmlns:a16="http://schemas.microsoft.com/office/drawing/2014/main" id="{2809F97F-3B37-4B44-BC70-EE24524A58A7}"/>
            </a:ext>
          </a:extLst>
        </xdr:cNvPr>
        <xdr:cNvSpPr>
          <a:spLocks noChangeArrowheads="1"/>
        </xdr:cNvSpPr>
      </xdr:nvSpPr>
      <xdr:spPr bwMode="auto">
        <a:xfrm>
          <a:off x="254889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990" name="AutoShape 46">
          <a:extLst>
            <a:ext uri="{FF2B5EF4-FFF2-40B4-BE49-F238E27FC236}">
              <a16:creationId xmlns:a16="http://schemas.microsoft.com/office/drawing/2014/main" id="{FB9F932F-B268-4F77-B45F-BD28555A5259}"/>
            </a:ext>
          </a:extLst>
        </xdr:cNvPr>
        <xdr:cNvSpPr>
          <a:spLocks noChangeArrowheads="1"/>
        </xdr:cNvSpPr>
      </xdr:nvSpPr>
      <xdr:spPr bwMode="auto">
        <a:xfrm>
          <a:off x="276288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991" name="AutoShape 46">
          <a:extLst>
            <a:ext uri="{FF2B5EF4-FFF2-40B4-BE49-F238E27FC236}">
              <a16:creationId xmlns:a16="http://schemas.microsoft.com/office/drawing/2014/main" id="{C0FF0321-D02C-4CBA-B37F-1AC32EE40231}"/>
            </a:ext>
          </a:extLst>
        </xdr:cNvPr>
        <xdr:cNvSpPr>
          <a:spLocks noChangeArrowheads="1"/>
        </xdr:cNvSpPr>
      </xdr:nvSpPr>
      <xdr:spPr bwMode="auto">
        <a:xfrm>
          <a:off x="296418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92" name="AutoShape 46">
          <a:extLst>
            <a:ext uri="{FF2B5EF4-FFF2-40B4-BE49-F238E27FC236}">
              <a16:creationId xmlns:a16="http://schemas.microsoft.com/office/drawing/2014/main" id="{03F46B0F-06C8-43B2-83BB-91135C4B074E}"/>
            </a:ext>
          </a:extLst>
        </xdr:cNvPr>
        <xdr:cNvSpPr>
          <a:spLocks noChangeArrowheads="1"/>
        </xdr:cNvSpPr>
      </xdr:nvSpPr>
      <xdr:spPr bwMode="auto">
        <a:xfrm>
          <a:off x="177292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93" name="AutoShape 46">
          <a:extLst>
            <a:ext uri="{FF2B5EF4-FFF2-40B4-BE49-F238E27FC236}">
              <a16:creationId xmlns:a16="http://schemas.microsoft.com/office/drawing/2014/main" id="{552083EE-5652-430F-B51F-E474C0823CAB}"/>
            </a:ext>
          </a:extLst>
        </xdr:cNvPr>
        <xdr:cNvSpPr>
          <a:spLocks noChangeArrowheads="1"/>
        </xdr:cNvSpPr>
      </xdr:nvSpPr>
      <xdr:spPr bwMode="auto">
        <a:xfrm>
          <a:off x="22542500" y="142195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94" name="AutoShape 46">
          <a:extLst>
            <a:ext uri="{FF2B5EF4-FFF2-40B4-BE49-F238E27FC236}">
              <a16:creationId xmlns:a16="http://schemas.microsoft.com/office/drawing/2014/main" id="{CEACA71F-9126-474A-BEE5-95CB68BDF489}"/>
            </a:ext>
          </a:extLst>
        </xdr:cNvPr>
        <xdr:cNvSpPr>
          <a:spLocks noChangeArrowheads="1"/>
        </xdr:cNvSpPr>
      </xdr:nvSpPr>
      <xdr:spPr bwMode="auto">
        <a:xfrm>
          <a:off x="254889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995" name="AutoShape 46">
          <a:extLst>
            <a:ext uri="{FF2B5EF4-FFF2-40B4-BE49-F238E27FC236}">
              <a16:creationId xmlns:a16="http://schemas.microsoft.com/office/drawing/2014/main" id="{D27A7A96-84FD-4E12-AD96-2576A4B2287A}"/>
            </a:ext>
          </a:extLst>
        </xdr:cNvPr>
        <xdr:cNvSpPr>
          <a:spLocks noChangeArrowheads="1"/>
        </xdr:cNvSpPr>
      </xdr:nvSpPr>
      <xdr:spPr bwMode="auto">
        <a:xfrm>
          <a:off x="276288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996" name="AutoShape 46">
          <a:extLst>
            <a:ext uri="{FF2B5EF4-FFF2-40B4-BE49-F238E27FC236}">
              <a16:creationId xmlns:a16="http://schemas.microsoft.com/office/drawing/2014/main" id="{6068325C-39AC-4EBE-86B7-DE70A21B111E}"/>
            </a:ext>
          </a:extLst>
        </xdr:cNvPr>
        <xdr:cNvSpPr>
          <a:spLocks noChangeArrowheads="1"/>
        </xdr:cNvSpPr>
      </xdr:nvSpPr>
      <xdr:spPr bwMode="auto">
        <a:xfrm>
          <a:off x="296418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97" name="AutoShape 46">
          <a:extLst>
            <a:ext uri="{FF2B5EF4-FFF2-40B4-BE49-F238E27FC236}">
              <a16:creationId xmlns:a16="http://schemas.microsoft.com/office/drawing/2014/main" id="{45CA4F14-22C7-4194-A652-EF8A2683B260}"/>
            </a:ext>
          </a:extLst>
        </xdr:cNvPr>
        <xdr:cNvSpPr>
          <a:spLocks noChangeArrowheads="1"/>
        </xdr:cNvSpPr>
      </xdr:nvSpPr>
      <xdr:spPr bwMode="auto">
        <a:xfrm>
          <a:off x="1772920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98" name="AutoShape 46">
          <a:extLst>
            <a:ext uri="{FF2B5EF4-FFF2-40B4-BE49-F238E27FC236}">
              <a16:creationId xmlns:a16="http://schemas.microsoft.com/office/drawing/2014/main" id="{F4112E49-2ED9-4731-884F-DEEB2C79AD6C}"/>
            </a:ext>
          </a:extLst>
        </xdr:cNvPr>
        <xdr:cNvSpPr>
          <a:spLocks noChangeArrowheads="1"/>
        </xdr:cNvSpPr>
      </xdr:nvSpPr>
      <xdr:spPr bwMode="auto">
        <a:xfrm>
          <a:off x="22542500" y="142195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99" name="AutoShape 46">
          <a:extLst>
            <a:ext uri="{FF2B5EF4-FFF2-40B4-BE49-F238E27FC236}">
              <a16:creationId xmlns:a16="http://schemas.microsoft.com/office/drawing/2014/main" id="{BA771F67-26D8-4DE3-90A8-465E88EBBEE4}"/>
            </a:ext>
          </a:extLst>
        </xdr:cNvPr>
        <xdr:cNvSpPr>
          <a:spLocks noChangeArrowheads="1"/>
        </xdr:cNvSpPr>
      </xdr:nvSpPr>
      <xdr:spPr bwMode="auto">
        <a:xfrm>
          <a:off x="2548890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1000" name="AutoShape 46">
          <a:extLst>
            <a:ext uri="{FF2B5EF4-FFF2-40B4-BE49-F238E27FC236}">
              <a16:creationId xmlns:a16="http://schemas.microsoft.com/office/drawing/2014/main" id="{8EAD524D-B0C6-4994-ADB6-8CB671D6FC05}"/>
            </a:ext>
          </a:extLst>
        </xdr:cNvPr>
        <xdr:cNvSpPr>
          <a:spLocks noChangeArrowheads="1"/>
        </xdr:cNvSpPr>
      </xdr:nvSpPr>
      <xdr:spPr bwMode="auto">
        <a:xfrm>
          <a:off x="2762885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1001" name="AutoShape 46">
          <a:extLst>
            <a:ext uri="{FF2B5EF4-FFF2-40B4-BE49-F238E27FC236}">
              <a16:creationId xmlns:a16="http://schemas.microsoft.com/office/drawing/2014/main" id="{2371C74A-7601-4DEB-9116-74136558F67B}"/>
            </a:ext>
          </a:extLst>
        </xdr:cNvPr>
        <xdr:cNvSpPr>
          <a:spLocks noChangeArrowheads="1"/>
        </xdr:cNvSpPr>
      </xdr:nvSpPr>
      <xdr:spPr bwMode="auto">
        <a:xfrm>
          <a:off x="296418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297</xdr:row>
      <xdr:rowOff>57150</xdr:rowOff>
    </xdr:from>
    <xdr:to>
      <xdr:col>2</xdr:col>
      <xdr:colOff>0</xdr:colOff>
      <xdr:row>298</xdr:row>
      <xdr:rowOff>190500</xdr:rowOff>
    </xdr:to>
    <xdr:sp macro="" textlink="">
      <xdr:nvSpPr>
        <xdr:cNvPr id="1002" name="AutoShape 46">
          <a:extLst>
            <a:ext uri="{FF2B5EF4-FFF2-40B4-BE49-F238E27FC236}">
              <a16:creationId xmlns:a16="http://schemas.microsoft.com/office/drawing/2014/main" id="{787FDE1B-1A91-445A-981E-65452C42D2E4}"/>
            </a:ext>
          </a:extLst>
        </xdr:cNvPr>
        <xdr:cNvSpPr>
          <a:spLocks noChangeArrowheads="1"/>
        </xdr:cNvSpPr>
      </xdr:nvSpPr>
      <xdr:spPr bwMode="auto">
        <a:xfrm>
          <a:off x="7810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297</xdr:row>
      <xdr:rowOff>57150</xdr:rowOff>
    </xdr:from>
    <xdr:to>
      <xdr:col>4</xdr:col>
      <xdr:colOff>0</xdr:colOff>
      <xdr:row>298</xdr:row>
      <xdr:rowOff>190500</xdr:rowOff>
    </xdr:to>
    <xdr:sp macro="" textlink="">
      <xdr:nvSpPr>
        <xdr:cNvPr id="1003" name="AutoShape 46">
          <a:extLst>
            <a:ext uri="{FF2B5EF4-FFF2-40B4-BE49-F238E27FC236}">
              <a16:creationId xmlns:a16="http://schemas.microsoft.com/office/drawing/2014/main" id="{E9972851-10F0-4933-B4A0-D18C2943D007}"/>
            </a:ext>
          </a:extLst>
        </xdr:cNvPr>
        <xdr:cNvSpPr>
          <a:spLocks noChangeArrowheads="1"/>
        </xdr:cNvSpPr>
      </xdr:nvSpPr>
      <xdr:spPr bwMode="auto">
        <a:xfrm>
          <a:off x="27940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297</xdr:row>
      <xdr:rowOff>57150</xdr:rowOff>
    </xdr:from>
    <xdr:to>
      <xdr:col>6</xdr:col>
      <xdr:colOff>0</xdr:colOff>
      <xdr:row>298</xdr:row>
      <xdr:rowOff>190500</xdr:rowOff>
    </xdr:to>
    <xdr:sp macro="" textlink="">
      <xdr:nvSpPr>
        <xdr:cNvPr id="1004" name="AutoShape 46">
          <a:extLst>
            <a:ext uri="{FF2B5EF4-FFF2-40B4-BE49-F238E27FC236}">
              <a16:creationId xmlns:a16="http://schemas.microsoft.com/office/drawing/2014/main" id="{DFF40553-8307-4F08-A889-0F548424BD03}"/>
            </a:ext>
          </a:extLst>
        </xdr:cNvPr>
        <xdr:cNvSpPr>
          <a:spLocks noChangeArrowheads="1"/>
        </xdr:cNvSpPr>
      </xdr:nvSpPr>
      <xdr:spPr bwMode="auto">
        <a:xfrm>
          <a:off x="49339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297</xdr:row>
      <xdr:rowOff>57150</xdr:rowOff>
    </xdr:from>
    <xdr:to>
      <xdr:col>8</xdr:col>
      <xdr:colOff>0</xdr:colOff>
      <xdr:row>298</xdr:row>
      <xdr:rowOff>190500</xdr:rowOff>
    </xdr:to>
    <xdr:sp macro="" textlink="">
      <xdr:nvSpPr>
        <xdr:cNvPr id="1005" name="AutoShape 46">
          <a:extLst>
            <a:ext uri="{FF2B5EF4-FFF2-40B4-BE49-F238E27FC236}">
              <a16:creationId xmlns:a16="http://schemas.microsoft.com/office/drawing/2014/main" id="{2312F1EC-D9A7-4C45-8304-F6DEAAC1E6DE}"/>
            </a:ext>
          </a:extLst>
        </xdr:cNvPr>
        <xdr:cNvSpPr>
          <a:spLocks noChangeArrowheads="1"/>
        </xdr:cNvSpPr>
      </xdr:nvSpPr>
      <xdr:spPr bwMode="auto">
        <a:xfrm>
          <a:off x="6946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297</xdr:row>
      <xdr:rowOff>57150</xdr:rowOff>
    </xdr:from>
    <xdr:to>
      <xdr:col>10</xdr:col>
      <xdr:colOff>0</xdr:colOff>
      <xdr:row>298</xdr:row>
      <xdr:rowOff>190500</xdr:rowOff>
    </xdr:to>
    <xdr:sp macro="" textlink="">
      <xdr:nvSpPr>
        <xdr:cNvPr id="1006" name="AutoShape 46">
          <a:extLst>
            <a:ext uri="{FF2B5EF4-FFF2-40B4-BE49-F238E27FC236}">
              <a16:creationId xmlns:a16="http://schemas.microsoft.com/office/drawing/2014/main" id="{5C5FC5CF-6362-4F21-BB93-EA187AA01647}"/>
            </a:ext>
          </a:extLst>
        </xdr:cNvPr>
        <xdr:cNvSpPr>
          <a:spLocks noChangeArrowheads="1"/>
        </xdr:cNvSpPr>
      </xdr:nvSpPr>
      <xdr:spPr bwMode="auto">
        <a:xfrm>
          <a:off x="92773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297</xdr:row>
      <xdr:rowOff>57150</xdr:rowOff>
    </xdr:from>
    <xdr:to>
      <xdr:col>12</xdr:col>
      <xdr:colOff>0</xdr:colOff>
      <xdr:row>298</xdr:row>
      <xdr:rowOff>190500</xdr:rowOff>
    </xdr:to>
    <xdr:sp macro="" textlink="">
      <xdr:nvSpPr>
        <xdr:cNvPr id="1007" name="AutoShape 46">
          <a:extLst>
            <a:ext uri="{FF2B5EF4-FFF2-40B4-BE49-F238E27FC236}">
              <a16:creationId xmlns:a16="http://schemas.microsoft.com/office/drawing/2014/main" id="{966B2944-99ED-48FE-B23F-312193532B41}"/>
            </a:ext>
          </a:extLst>
        </xdr:cNvPr>
        <xdr:cNvSpPr>
          <a:spLocks noChangeArrowheads="1"/>
        </xdr:cNvSpPr>
      </xdr:nvSpPr>
      <xdr:spPr bwMode="auto">
        <a:xfrm>
          <a:off x="112903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297</xdr:row>
      <xdr:rowOff>57150</xdr:rowOff>
    </xdr:from>
    <xdr:to>
      <xdr:col>14</xdr:col>
      <xdr:colOff>0</xdr:colOff>
      <xdr:row>298</xdr:row>
      <xdr:rowOff>190500</xdr:rowOff>
    </xdr:to>
    <xdr:sp macro="" textlink="">
      <xdr:nvSpPr>
        <xdr:cNvPr id="1008" name="AutoShape 46">
          <a:extLst>
            <a:ext uri="{FF2B5EF4-FFF2-40B4-BE49-F238E27FC236}">
              <a16:creationId xmlns:a16="http://schemas.microsoft.com/office/drawing/2014/main" id="{1D2973E8-D394-447A-B754-A59E435ED76D}"/>
            </a:ext>
          </a:extLst>
        </xdr:cNvPr>
        <xdr:cNvSpPr>
          <a:spLocks noChangeArrowheads="1"/>
        </xdr:cNvSpPr>
      </xdr:nvSpPr>
      <xdr:spPr bwMode="auto">
        <a:xfrm>
          <a:off x="133032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297</xdr:row>
      <xdr:rowOff>57150</xdr:rowOff>
    </xdr:from>
    <xdr:to>
      <xdr:col>16</xdr:col>
      <xdr:colOff>0</xdr:colOff>
      <xdr:row>298</xdr:row>
      <xdr:rowOff>190500</xdr:rowOff>
    </xdr:to>
    <xdr:sp macro="" textlink="">
      <xdr:nvSpPr>
        <xdr:cNvPr id="1009" name="AutoShape 46">
          <a:extLst>
            <a:ext uri="{FF2B5EF4-FFF2-40B4-BE49-F238E27FC236}">
              <a16:creationId xmlns:a16="http://schemas.microsoft.com/office/drawing/2014/main" id="{0F2A0B32-3D94-49F8-986F-D27BF30EA92A}"/>
            </a:ext>
          </a:extLst>
        </xdr:cNvPr>
        <xdr:cNvSpPr>
          <a:spLocks noChangeArrowheads="1"/>
        </xdr:cNvSpPr>
      </xdr:nvSpPr>
      <xdr:spPr bwMode="auto">
        <a:xfrm>
          <a:off x="153162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297</xdr:row>
      <xdr:rowOff>57150</xdr:rowOff>
    </xdr:from>
    <xdr:to>
      <xdr:col>16</xdr:col>
      <xdr:colOff>0</xdr:colOff>
      <xdr:row>298</xdr:row>
      <xdr:rowOff>190500</xdr:rowOff>
    </xdr:to>
    <xdr:sp macro="" textlink="">
      <xdr:nvSpPr>
        <xdr:cNvPr id="1010" name="AutoShape 46">
          <a:extLst>
            <a:ext uri="{FF2B5EF4-FFF2-40B4-BE49-F238E27FC236}">
              <a16:creationId xmlns:a16="http://schemas.microsoft.com/office/drawing/2014/main" id="{F19F77AF-0684-41E7-8B0C-5183F6B65DA3}"/>
            </a:ext>
          </a:extLst>
        </xdr:cNvPr>
        <xdr:cNvSpPr>
          <a:spLocks noChangeArrowheads="1"/>
        </xdr:cNvSpPr>
      </xdr:nvSpPr>
      <xdr:spPr bwMode="auto">
        <a:xfrm>
          <a:off x="153162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11" name="AutoShape 46">
          <a:extLst>
            <a:ext uri="{FF2B5EF4-FFF2-40B4-BE49-F238E27FC236}">
              <a16:creationId xmlns:a16="http://schemas.microsoft.com/office/drawing/2014/main" id="{B59AF05A-2B3B-4BE0-B390-58B3663A6548}"/>
            </a:ext>
          </a:extLst>
        </xdr:cNvPr>
        <xdr:cNvSpPr>
          <a:spLocks noChangeArrowheads="1"/>
        </xdr:cNvSpPr>
      </xdr:nvSpPr>
      <xdr:spPr bwMode="auto">
        <a:xfrm>
          <a:off x="177292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12" name="AutoShape 46">
          <a:extLst>
            <a:ext uri="{FF2B5EF4-FFF2-40B4-BE49-F238E27FC236}">
              <a16:creationId xmlns:a16="http://schemas.microsoft.com/office/drawing/2014/main" id="{2C00D6D7-DE5D-44C3-9A34-DB9AEBEAF10B}"/>
            </a:ext>
          </a:extLst>
        </xdr:cNvPr>
        <xdr:cNvSpPr>
          <a:spLocks noChangeArrowheads="1"/>
        </xdr:cNvSpPr>
      </xdr:nvSpPr>
      <xdr:spPr bwMode="auto">
        <a:xfrm>
          <a:off x="199580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13" name="AutoShape 46">
          <a:extLst>
            <a:ext uri="{FF2B5EF4-FFF2-40B4-BE49-F238E27FC236}">
              <a16:creationId xmlns:a16="http://schemas.microsoft.com/office/drawing/2014/main" id="{0560A4E2-B072-4A9E-AE5C-57ADC03655A9}"/>
            </a:ext>
          </a:extLst>
        </xdr:cNvPr>
        <xdr:cNvSpPr>
          <a:spLocks noChangeArrowheads="1"/>
        </xdr:cNvSpPr>
      </xdr:nvSpPr>
      <xdr:spPr bwMode="auto">
        <a:xfrm>
          <a:off x="22542500" y="1459357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14" name="AutoShape 46">
          <a:extLst>
            <a:ext uri="{FF2B5EF4-FFF2-40B4-BE49-F238E27FC236}">
              <a16:creationId xmlns:a16="http://schemas.microsoft.com/office/drawing/2014/main" id="{4C7B3275-E523-42A1-A4B8-062859988192}"/>
            </a:ext>
          </a:extLst>
        </xdr:cNvPr>
        <xdr:cNvSpPr>
          <a:spLocks noChangeArrowheads="1"/>
        </xdr:cNvSpPr>
      </xdr:nvSpPr>
      <xdr:spPr bwMode="auto">
        <a:xfrm>
          <a:off x="254889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15" name="AutoShape 46">
          <a:extLst>
            <a:ext uri="{FF2B5EF4-FFF2-40B4-BE49-F238E27FC236}">
              <a16:creationId xmlns:a16="http://schemas.microsoft.com/office/drawing/2014/main" id="{F2C40268-8573-4A22-856C-C9361BF024E2}"/>
            </a:ext>
          </a:extLst>
        </xdr:cNvPr>
        <xdr:cNvSpPr>
          <a:spLocks noChangeArrowheads="1"/>
        </xdr:cNvSpPr>
      </xdr:nvSpPr>
      <xdr:spPr bwMode="auto">
        <a:xfrm>
          <a:off x="296418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16" name="AutoShape 46">
          <a:extLst>
            <a:ext uri="{FF2B5EF4-FFF2-40B4-BE49-F238E27FC236}">
              <a16:creationId xmlns:a16="http://schemas.microsoft.com/office/drawing/2014/main" id="{91662EF4-2FCD-49E4-AB6D-FA08603A254A}"/>
            </a:ext>
          </a:extLst>
        </xdr:cNvPr>
        <xdr:cNvSpPr>
          <a:spLocks noChangeArrowheads="1"/>
        </xdr:cNvSpPr>
      </xdr:nvSpPr>
      <xdr:spPr bwMode="auto">
        <a:xfrm>
          <a:off x="31813500" y="1459357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17" name="AutoShape 46">
          <a:extLst>
            <a:ext uri="{FF2B5EF4-FFF2-40B4-BE49-F238E27FC236}">
              <a16:creationId xmlns:a16="http://schemas.microsoft.com/office/drawing/2014/main" id="{604F5433-5ECB-41F1-8926-FC984AF489C3}"/>
            </a:ext>
          </a:extLst>
        </xdr:cNvPr>
        <xdr:cNvSpPr>
          <a:spLocks noChangeArrowheads="1"/>
        </xdr:cNvSpPr>
      </xdr:nvSpPr>
      <xdr:spPr bwMode="auto">
        <a:xfrm>
          <a:off x="17729200" y="1459357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18" name="AutoShape 46">
          <a:extLst>
            <a:ext uri="{FF2B5EF4-FFF2-40B4-BE49-F238E27FC236}">
              <a16:creationId xmlns:a16="http://schemas.microsoft.com/office/drawing/2014/main" id="{E7B33F7C-785E-4BE6-9123-1B65371F1D23}"/>
            </a:ext>
          </a:extLst>
        </xdr:cNvPr>
        <xdr:cNvSpPr>
          <a:spLocks noChangeArrowheads="1"/>
        </xdr:cNvSpPr>
      </xdr:nvSpPr>
      <xdr:spPr bwMode="auto">
        <a:xfrm>
          <a:off x="199580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19" name="AutoShape 46">
          <a:extLst>
            <a:ext uri="{FF2B5EF4-FFF2-40B4-BE49-F238E27FC236}">
              <a16:creationId xmlns:a16="http://schemas.microsoft.com/office/drawing/2014/main" id="{307F95AD-B39B-4A92-ACC3-BA2C494F8644}"/>
            </a:ext>
          </a:extLst>
        </xdr:cNvPr>
        <xdr:cNvSpPr>
          <a:spLocks noChangeArrowheads="1"/>
        </xdr:cNvSpPr>
      </xdr:nvSpPr>
      <xdr:spPr bwMode="auto">
        <a:xfrm>
          <a:off x="22542500" y="1459357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20" name="AutoShape 46">
          <a:extLst>
            <a:ext uri="{FF2B5EF4-FFF2-40B4-BE49-F238E27FC236}">
              <a16:creationId xmlns:a16="http://schemas.microsoft.com/office/drawing/2014/main" id="{F02018A6-BD3F-4AA1-AD06-33C30A07E166}"/>
            </a:ext>
          </a:extLst>
        </xdr:cNvPr>
        <xdr:cNvSpPr>
          <a:spLocks noChangeArrowheads="1"/>
        </xdr:cNvSpPr>
      </xdr:nvSpPr>
      <xdr:spPr bwMode="auto">
        <a:xfrm>
          <a:off x="25488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21" name="AutoShape 46">
          <a:extLst>
            <a:ext uri="{FF2B5EF4-FFF2-40B4-BE49-F238E27FC236}">
              <a16:creationId xmlns:a16="http://schemas.microsoft.com/office/drawing/2014/main" id="{31CC68D6-58B0-4E06-B33C-045AE1D73683}"/>
            </a:ext>
          </a:extLst>
        </xdr:cNvPr>
        <xdr:cNvSpPr>
          <a:spLocks noChangeArrowheads="1"/>
        </xdr:cNvSpPr>
      </xdr:nvSpPr>
      <xdr:spPr bwMode="auto">
        <a:xfrm>
          <a:off x="296418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22" name="AutoShape 46">
          <a:extLst>
            <a:ext uri="{FF2B5EF4-FFF2-40B4-BE49-F238E27FC236}">
              <a16:creationId xmlns:a16="http://schemas.microsoft.com/office/drawing/2014/main" id="{E841FE0E-FA6A-453B-AB48-87F117361B3D}"/>
            </a:ext>
          </a:extLst>
        </xdr:cNvPr>
        <xdr:cNvSpPr>
          <a:spLocks noChangeArrowheads="1"/>
        </xdr:cNvSpPr>
      </xdr:nvSpPr>
      <xdr:spPr bwMode="auto">
        <a:xfrm>
          <a:off x="31813500" y="14593570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23" name="AutoShape 46">
          <a:extLst>
            <a:ext uri="{FF2B5EF4-FFF2-40B4-BE49-F238E27FC236}">
              <a16:creationId xmlns:a16="http://schemas.microsoft.com/office/drawing/2014/main" id="{624D33C8-9C7E-4111-9B4B-D8B9DF03F17E}"/>
            </a:ext>
          </a:extLst>
        </xdr:cNvPr>
        <xdr:cNvSpPr>
          <a:spLocks noChangeArrowheads="1"/>
        </xdr:cNvSpPr>
      </xdr:nvSpPr>
      <xdr:spPr bwMode="auto">
        <a:xfrm>
          <a:off x="17729200" y="1459357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24" name="AutoShape 46">
          <a:extLst>
            <a:ext uri="{FF2B5EF4-FFF2-40B4-BE49-F238E27FC236}">
              <a16:creationId xmlns:a16="http://schemas.microsoft.com/office/drawing/2014/main" id="{D8DB48A6-C4F9-4FA3-9FD3-CF97BD40B76D}"/>
            </a:ext>
          </a:extLst>
        </xdr:cNvPr>
        <xdr:cNvSpPr>
          <a:spLocks noChangeArrowheads="1"/>
        </xdr:cNvSpPr>
      </xdr:nvSpPr>
      <xdr:spPr bwMode="auto">
        <a:xfrm>
          <a:off x="19958050" y="1459357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25" name="AutoShape 46">
          <a:extLst>
            <a:ext uri="{FF2B5EF4-FFF2-40B4-BE49-F238E27FC236}">
              <a16:creationId xmlns:a16="http://schemas.microsoft.com/office/drawing/2014/main" id="{B168F7D3-F6EB-43C9-A180-1EFB04F31738}"/>
            </a:ext>
          </a:extLst>
        </xdr:cNvPr>
        <xdr:cNvSpPr>
          <a:spLocks noChangeArrowheads="1"/>
        </xdr:cNvSpPr>
      </xdr:nvSpPr>
      <xdr:spPr bwMode="auto">
        <a:xfrm>
          <a:off x="22542500" y="1459357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26" name="AutoShape 46">
          <a:extLst>
            <a:ext uri="{FF2B5EF4-FFF2-40B4-BE49-F238E27FC236}">
              <a16:creationId xmlns:a16="http://schemas.microsoft.com/office/drawing/2014/main" id="{5FFC1747-E3B3-4457-8DAF-55647548BBE8}"/>
            </a:ext>
          </a:extLst>
        </xdr:cNvPr>
        <xdr:cNvSpPr>
          <a:spLocks noChangeArrowheads="1"/>
        </xdr:cNvSpPr>
      </xdr:nvSpPr>
      <xdr:spPr bwMode="auto">
        <a:xfrm>
          <a:off x="25488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27" name="AutoShape 46">
          <a:extLst>
            <a:ext uri="{FF2B5EF4-FFF2-40B4-BE49-F238E27FC236}">
              <a16:creationId xmlns:a16="http://schemas.microsoft.com/office/drawing/2014/main" id="{3CAAC695-BC0C-4B6A-AA6F-A338DDDEA4EE}"/>
            </a:ext>
          </a:extLst>
        </xdr:cNvPr>
        <xdr:cNvSpPr>
          <a:spLocks noChangeArrowheads="1"/>
        </xdr:cNvSpPr>
      </xdr:nvSpPr>
      <xdr:spPr bwMode="auto">
        <a:xfrm>
          <a:off x="296418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28" name="AutoShape 46">
          <a:extLst>
            <a:ext uri="{FF2B5EF4-FFF2-40B4-BE49-F238E27FC236}">
              <a16:creationId xmlns:a16="http://schemas.microsoft.com/office/drawing/2014/main" id="{833CA7DD-09CE-4C71-8412-B13A06525FD8}"/>
            </a:ext>
          </a:extLst>
        </xdr:cNvPr>
        <xdr:cNvSpPr>
          <a:spLocks noChangeArrowheads="1"/>
        </xdr:cNvSpPr>
      </xdr:nvSpPr>
      <xdr:spPr bwMode="auto">
        <a:xfrm>
          <a:off x="31813500" y="1459357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305</xdr:row>
      <xdr:rowOff>247650</xdr:rowOff>
    </xdr:from>
    <xdr:to>
      <xdr:col>2</xdr:col>
      <xdr:colOff>0</xdr:colOff>
      <xdr:row>306</xdr:row>
      <xdr:rowOff>381000</xdr:rowOff>
    </xdr:to>
    <xdr:sp macro="" textlink="">
      <xdr:nvSpPr>
        <xdr:cNvPr id="1029" name="AutoShape 46">
          <a:extLst>
            <a:ext uri="{FF2B5EF4-FFF2-40B4-BE49-F238E27FC236}">
              <a16:creationId xmlns:a16="http://schemas.microsoft.com/office/drawing/2014/main" id="{9B150BF3-0FF9-41C1-B47C-2228FB5A9076}"/>
            </a:ext>
          </a:extLst>
        </xdr:cNvPr>
        <xdr:cNvSpPr>
          <a:spLocks noChangeArrowheads="1"/>
        </xdr:cNvSpPr>
      </xdr:nvSpPr>
      <xdr:spPr bwMode="auto">
        <a:xfrm>
          <a:off x="781050" y="14952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1443</xdr:colOff>
      <xdr:row>305</xdr:row>
      <xdr:rowOff>289984</xdr:rowOff>
    </xdr:from>
    <xdr:to>
      <xdr:col>3</xdr:col>
      <xdr:colOff>1158875</xdr:colOff>
      <xdr:row>306</xdr:row>
      <xdr:rowOff>403130</xdr:rowOff>
    </xdr:to>
    <xdr:sp macro="" textlink="">
      <xdr:nvSpPr>
        <xdr:cNvPr id="1030" name="AutoShape 46">
          <a:extLst>
            <a:ext uri="{FF2B5EF4-FFF2-40B4-BE49-F238E27FC236}">
              <a16:creationId xmlns:a16="http://schemas.microsoft.com/office/drawing/2014/main" id="{8000F974-92C9-49C4-9859-F85D6A00CE01}"/>
            </a:ext>
          </a:extLst>
        </xdr:cNvPr>
        <xdr:cNvSpPr>
          <a:spLocks noChangeArrowheads="1"/>
        </xdr:cNvSpPr>
      </xdr:nvSpPr>
      <xdr:spPr bwMode="auto">
        <a:xfrm>
          <a:off x="2795443" y="149572134"/>
          <a:ext cx="1157432" cy="538596"/>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4</xdr:col>
      <xdr:colOff>830792</xdr:colOff>
      <xdr:row>305</xdr:row>
      <xdr:rowOff>252941</xdr:rowOff>
    </xdr:from>
    <xdr:to>
      <xdr:col>6</xdr:col>
      <xdr:colOff>68792</xdr:colOff>
      <xdr:row>306</xdr:row>
      <xdr:rowOff>381962</xdr:rowOff>
    </xdr:to>
    <xdr:sp macro="" textlink="">
      <xdr:nvSpPr>
        <xdr:cNvPr id="1031" name="AutoShape 46">
          <a:extLst>
            <a:ext uri="{FF2B5EF4-FFF2-40B4-BE49-F238E27FC236}">
              <a16:creationId xmlns:a16="http://schemas.microsoft.com/office/drawing/2014/main" id="{5E3195A4-A22D-41C9-8872-85EBEE8F8B54}"/>
            </a:ext>
          </a:extLst>
        </xdr:cNvPr>
        <xdr:cNvSpPr>
          <a:spLocks noChangeArrowheads="1"/>
        </xdr:cNvSpPr>
      </xdr:nvSpPr>
      <xdr:spPr bwMode="auto">
        <a:xfrm>
          <a:off x="4856692" y="149535091"/>
          <a:ext cx="1377950" cy="554471"/>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6</xdr:col>
      <xdr:colOff>762000</xdr:colOff>
      <xdr:row>305</xdr:row>
      <xdr:rowOff>295275</xdr:rowOff>
    </xdr:from>
    <xdr:to>
      <xdr:col>7</xdr:col>
      <xdr:colOff>1222375</xdr:colOff>
      <xdr:row>307</xdr:row>
      <xdr:rowOff>15875</xdr:rowOff>
    </xdr:to>
    <xdr:sp macro="" textlink="">
      <xdr:nvSpPr>
        <xdr:cNvPr id="1032" name="AutoShape 46">
          <a:extLst>
            <a:ext uri="{FF2B5EF4-FFF2-40B4-BE49-F238E27FC236}">
              <a16:creationId xmlns:a16="http://schemas.microsoft.com/office/drawing/2014/main" id="{02907F8E-4A50-43CB-ACE9-AF7E65A6F686}"/>
            </a:ext>
          </a:extLst>
        </xdr:cNvPr>
        <xdr:cNvSpPr>
          <a:spLocks noChangeArrowheads="1"/>
        </xdr:cNvSpPr>
      </xdr:nvSpPr>
      <xdr:spPr bwMode="auto">
        <a:xfrm>
          <a:off x="6927850" y="149577425"/>
          <a:ext cx="1241425"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305</xdr:row>
      <xdr:rowOff>231775</xdr:rowOff>
    </xdr:from>
    <xdr:to>
      <xdr:col>10</xdr:col>
      <xdr:colOff>0</xdr:colOff>
      <xdr:row>306</xdr:row>
      <xdr:rowOff>365125</xdr:rowOff>
    </xdr:to>
    <xdr:sp macro="" textlink="">
      <xdr:nvSpPr>
        <xdr:cNvPr id="1033" name="AutoShape 46">
          <a:extLst>
            <a:ext uri="{FF2B5EF4-FFF2-40B4-BE49-F238E27FC236}">
              <a16:creationId xmlns:a16="http://schemas.microsoft.com/office/drawing/2014/main" id="{B9465D3D-02F1-4F3D-88E5-6AF0D7A4E131}"/>
            </a:ext>
          </a:extLst>
        </xdr:cNvPr>
        <xdr:cNvSpPr>
          <a:spLocks noChangeArrowheads="1"/>
        </xdr:cNvSpPr>
      </xdr:nvSpPr>
      <xdr:spPr bwMode="auto">
        <a:xfrm>
          <a:off x="9277350" y="149513925"/>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305</xdr:row>
      <xdr:rowOff>279400</xdr:rowOff>
    </xdr:from>
    <xdr:to>
      <xdr:col>12</xdr:col>
      <xdr:colOff>0</xdr:colOff>
      <xdr:row>307</xdr:row>
      <xdr:rowOff>0</xdr:rowOff>
    </xdr:to>
    <xdr:sp macro="" textlink="">
      <xdr:nvSpPr>
        <xdr:cNvPr id="1034" name="AutoShape 46">
          <a:extLst>
            <a:ext uri="{FF2B5EF4-FFF2-40B4-BE49-F238E27FC236}">
              <a16:creationId xmlns:a16="http://schemas.microsoft.com/office/drawing/2014/main" id="{7664CB4E-DFDC-4593-8A11-01B94F4AA78D}"/>
            </a:ext>
          </a:extLst>
        </xdr:cNvPr>
        <xdr:cNvSpPr>
          <a:spLocks noChangeArrowheads="1"/>
        </xdr:cNvSpPr>
      </xdr:nvSpPr>
      <xdr:spPr bwMode="auto">
        <a:xfrm>
          <a:off x="11290300" y="149561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12</xdr:col>
      <xdr:colOff>762000</xdr:colOff>
      <xdr:row>305</xdr:row>
      <xdr:rowOff>247650</xdr:rowOff>
    </xdr:from>
    <xdr:to>
      <xdr:col>13</xdr:col>
      <xdr:colOff>1222375</xdr:colOff>
      <xdr:row>306</xdr:row>
      <xdr:rowOff>381000</xdr:rowOff>
    </xdr:to>
    <xdr:sp macro="" textlink="">
      <xdr:nvSpPr>
        <xdr:cNvPr id="1035" name="AutoShape 46">
          <a:extLst>
            <a:ext uri="{FF2B5EF4-FFF2-40B4-BE49-F238E27FC236}">
              <a16:creationId xmlns:a16="http://schemas.microsoft.com/office/drawing/2014/main" id="{0200F417-A486-411D-85CC-3E67B50A6197}"/>
            </a:ext>
          </a:extLst>
        </xdr:cNvPr>
        <xdr:cNvSpPr>
          <a:spLocks noChangeArrowheads="1"/>
        </xdr:cNvSpPr>
      </xdr:nvSpPr>
      <xdr:spPr bwMode="auto">
        <a:xfrm>
          <a:off x="13284200" y="149529800"/>
          <a:ext cx="1241425"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232833</xdr:colOff>
      <xdr:row>6</xdr:row>
      <xdr:rowOff>169332</xdr:rowOff>
    </xdr:from>
    <xdr:to>
      <xdr:col>20</xdr:col>
      <xdr:colOff>412749</xdr:colOff>
      <xdr:row>7</xdr:row>
      <xdr:rowOff>95249</xdr:rowOff>
    </xdr:to>
    <xdr:sp macro="" textlink="">
      <xdr:nvSpPr>
        <xdr:cNvPr id="1036" name="Oval 1035">
          <a:extLst>
            <a:ext uri="{FF2B5EF4-FFF2-40B4-BE49-F238E27FC236}">
              <a16:creationId xmlns:a16="http://schemas.microsoft.com/office/drawing/2014/main" id="{0BDAC56A-E336-41E8-A918-CA62F9FD7B71}"/>
            </a:ext>
          </a:extLst>
        </xdr:cNvPr>
        <xdr:cNvSpPr/>
      </xdr:nvSpPr>
      <xdr:spPr>
        <a:xfrm>
          <a:off x="21422783" y="2468032"/>
          <a:ext cx="179916" cy="433917"/>
        </a:xfrm>
        <a:prstGeom prst="ellips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318558</xdr:colOff>
      <xdr:row>3</xdr:row>
      <xdr:rowOff>136677</xdr:rowOff>
    </xdr:from>
    <xdr:to>
      <xdr:col>26</xdr:col>
      <xdr:colOff>99619</xdr:colOff>
      <xdr:row>14</xdr:row>
      <xdr:rowOff>83760</xdr:rowOff>
    </xdr:to>
    <xdr:grpSp>
      <xdr:nvGrpSpPr>
        <xdr:cNvPr id="1037" name="Group 1036">
          <a:extLst>
            <a:ext uri="{FF2B5EF4-FFF2-40B4-BE49-F238E27FC236}">
              <a16:creationId xmlns:a16="http://schemas.microsoft.com/office/drawing/2014/main" id="{A3B0698F-62FE-48BF-A956-5333F7AEF061}"/>
            </a:ext>
          </a:extLst>
        </xdr:cNvPr>
        <xdr:cNvGrpSpPr/>
      </xdr:nvGrpSpPr>
      <xdr:grpSpPr>
        <a:xfrm>
          <a:off x="19320933" y="1533677"/>
          <a:ext cx="9687061" cy="4931833"/>
          <a:chOff x="10153650" y="1536195"/>
          <a:chExt cx="2552700" cy="2203955"/>
        </a:xfrm>
      </xdr:grpSpPr>
      <xdr:sp macro="" textlink="">
        <xdr:nvSpPr>
          <xdr:cNvPr id="1038" name="Rectangle 10693">
            <a:extLst>
              <a:ext uri="{FF2B5EF4-FFF2-40B4-BE49-F238E27FC236}">
                <a16:creationId xmlns:a16="http://schemas.microsoft.com/office/drawing/2014/main" id="{22B7D9F8-CCF9-B144-9090-6A60DB42A790}"/>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1039" name="Rectangle 10709">
            <a:extLst>
              <a:ext uri="{FF2B5EF4-FFF2-40B4-BE49-F238E27FC236}">
                <a16:creationId xmlns:a16="http://schemas.microsoft.com/office/drawing/2014/main" id="{C44773A1-5062-2FE3-5AB6-5BC290F8EA7F}"/>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1040" name="Group 1039">
            <a:extLst>
              <a:ext uri="{FF2B5EF4-FFF2-40B4-BE49-F238E27FC236}">
                <a16:creationId xmlns:a16="http://schemas.microsoft.com/office/drawing/2014/main" id="{BE0A210F-E889-4CE7-DD0C-F8291A0D0CFD}"/>
              </a:ext>
            </a:extLst>
          </xdr:cNvPr>
          <xdr:cNvGrpSpPr/>
        </xdr:nvGrpSpPr>
        <xdr:grpSpPr>
          <a:xfrm>
            <a:off x="10153650" y="1536195"/>
            <a:ext cx="2552700" cy="2203955"/>
            <a:chOff x="10153650" y="1536195"/>
            <a:chExt cx="2552700" cy="2203955"/>
          </a:xfrm>
        </xdr:grpSpPr>
        <xdr:sp macro="" textlink="">
          <xdr:nvSpPr>
            <xdr:cNvPr id="1041" name="Rectangle 10690">
              <a:extLst>
                <a:ext uri="{FF2B5EF4-FFF2-40B4-BE49-F238E27FC236}">
                  <a16:creationId xmlns:a16="http://schemas.microsoft.com/office/drawing/2014/main" id="{38B60DA3-887B-468E-D1D2-49C2C791DD1D}"/>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1042" name="AutoShape 10694">
              <a:extLst>
                <a:ext uri="{FF2B5EF4-FFF2-40B4-BE49-F238E27FC236}">
                  <a16:creationId xmlns:a16="http://schemas.microsoft.com/office/drawing/2014/main" id="{3DF5DB26-E855-4D9B-43D0-8D4A661981FA}"/>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43" name="Freeform 10695">
              <a:extLst>
                <a:ext uri="{FF2B5EF4-FFF2-40B4-BE49-F238E27FC236}">
                  <a16:creationId xmlns:a16="http://schemas.microsoft.com/office/drawing/2014/main" id="{D93F156B-A664-41F2-3FDF-EE371F44D03A}"/>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044" name="Rectangle 10696">
              <a:extLst>
                <a:ext uri="{FF2B5EF4-FFF2-40B4-BE49-F238E27FC236}">
                  <a16:creationId xmlns:a16="http://schemas.microsoft.com/office/drawing/2014/main" id="{4A98D090-2CE7-2158-EFF7-9E463411A969}"/>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045" name="AutoShape 10700">
              <a:extLst>
                <a:ext uri="{FF2B5EF4-FFF2-40B4-BE49-F238E27FC236}">
                  <a16:creationId xmlns:a16="http://schemas.microsoft.com/office/drawing/2014/main" id="{DC7ADD64-72F0-34F3-D712-0AEB70C3C2C3}"/>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046" name="Freeform 10706">
              <a:extLst>
                <a:ext uri="{FF2B5EF4-FFF2-40B4-BE49-F238E27FC236}">
                  <a16:creationId xmlns:a16="http://schemas.microsoft.com/office/drawing/2014/main" id="{7CDCEE92-66A1-8779-D012-5FAEBF4D83EB}"/>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47" name="Freeform 10707">
              <a:extLst>
                <a:ext uri="{FF2B5EF4-FFF2-40B4-BE49-F238E27FC236}">
                  <a16:creationId xmlns:a16="http://schemas.microsoft.com/office/drawing/2014/main" id="{693BB084-20F1-0DF3-22F6-3BD78894AA7F}"/>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48" name="Line 10711">
              <a:extLst>
                <a:ext uri="{FF2B5EF4-FFF2-40B4-BE49-F238E27FC236}">
                  <a16:creationId xmlns:a16="http://schemas.microsoft.com/office/drawing/2014/main" id="{32A828C2-DA02-D901-3C69-8754F48121A5}"/>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049" name="Line 10719">
              <a:extLst>
                <a:ext uri="{FF2B5EF4-FFF2-40B4-BE49-F238E27FC236}">
                  <a16:creationId xmlns:a16="http://schemas.microsoft.com/office/drawing/2014/main" id="{4CEB305E-643B-BFF0-5506-0305773BBF62}"/>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050" name="Line 10711">
              <a:extLst>
                <a:ext uri="{FF2B5EF4-FFF2-40B4-BE49-F238E27FC236}">
                  <a16:creationId xmlns:a16="http://schemas.microsoft.com/office/drawing/2014/main" id="{28EC58D3-4F25-FB0D-B3A0-72C74726C2B1}"/>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051" name="Group 1008">
              <a:extLst>
                <a:ext uri="{FF2B5EF4-FFF2-40B4-BE49-F238E27FC236}">
                  <a16:creationId xmlns:a16="http://schemas.microsoft.com/office/drawing/2014/main" id="{91804701-0C26-7E86-1B4D-21B929A1C364}"/>
                </a:ext>
              </a:extLst>
            </xdr:cNvPr>
            <xdr:cNvGrpSpPr>
              <a:grpSpLocks/>
            </xdr:cNvGrpSpPr>
          </xdr:nvGrpSpPr>
          <xdr:grpSpPr bwMode="auto">
            <a:xfrm>
              <a:off x="12030075" y="3435569"/>
              <a:ext cx="228600" cy="126570"/>
              <a:chOff x="5475762" y="47903507"/>
              <a:chExt cx="314325" cy="87402"/>
            </a:xfrm>
          </xdr:grpSpPr>
          <xdr:cxnSp macro="">
            <xdr:nvCxnSpPr>
              <xdr:cNvPr id="1054" name="Straight Connector 531">
                <a:extLst>
                  <a:ext uri="{FF2B5EF4-FFF2-40B4-BE49-F238E27FC236}">
                    <a16:creationId xmlns:a16="http://schemas.microsoft.com/office/drawing/2014/main" id="{59DE426C-FB1C-7AF1-6939-6D1A95538BD9}"/>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055" name="Straight Connector 533">
                <a:extLst>
                  <a:ext uri="{FF2B5EF4-FFF2-40B4-BE49-F238E27FC236}">
                    <a16:creationId xmlns:a16="http://schemas.microsoft.com/office/drawing/2014/main" id="{E95A82C9-BFA4-8374-2928-40D0F0D6C10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056" name="Straight Connector 535">
                <a:extLst>
                  <a:ext uri="{FF2B5EF4-FFF2-40B4-BE49-F238E27FC236}">
                    <a16:creationId xmlns:a16="http://schemas.microsoft.com/office/drawing/2014/main" id="{236E55B2-498C-CCB0-A213-A2A77696BAD2}"/>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057" name="Straight Connector 537">
                <a:extLst>
                  <a:ext uri="{FF2B5EF4-FFF2-40B4-BE49-F238E27FC236}">
                    <a16:creationId xmlns:a16="http://schemas.microsoft.com/office/drawing/2014/main" id="{9AE5D68F-C5AF-0298-B95C-5CEA93014067}"/>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052" name="Straight Arrow Connector 1051">
              <a:extLst>
                <a:ext uri="{FF2B5EF4-FFF2-40B4-BE49-F238E27FC236}">
                  <a16:creationId xmlns:a16="http://schemas.microsoft.com/office/drawing/2014/main" id="{745EEE17-865A-680E-979A-EB8B9350CD21}"/>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053" name="Straight Arrow Connector 1052">
              <a:extLst>
                <a:ext uri="{FF2B5EF4-FFF2-40B4-BE49-F238E27FC236}">
                  <a16:creationId xmlns:a16="http://schemas.microsoft.com/office/drawing/2014/main" id="{87C3EDC9-FD98-49EC-498E-41BA0C2335E4}"/>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14</xdr:col>
      <xdr:colOff>714374</xdr:colOff>
      <xdr:row>305</xdr:row>
      <xdr:rowOff>47625</xdr:rowOff>
    </xdr:from>
    <xdr:to>
      <xdr:col>16</xdr:col>
      <xdr:colOff>10885</xdr:colOff>
      <xdr:row>307</xdr:row>
      <xdr:rowOff>21772</xdr:rowOff>
    </xdr:to>
    <xdr:sp macro="" textlink="">
      <xdr:nvSpPr>
        <xdr:cNvPr id="1058" name="AutoShape 46">
          <a:extLst>
            <a:ext uri="{FF2B5EF4-FFF2-40B4-BE49-F238E27FC236}">
              <a16:creationId xmlns:a16="http://schemas.microsoft.com/office/drawing/2014/main" id="{71112710-AEBC-4681-98B3-8222C1BA4306}"/>
            </a:ext>
          </a:extLst>
        </xdr:cNvPr>
        <xdr:cNvSpPr>
          <a:spLocks noChangeArrowheads="1"/>
        </xdr:cNvSpPr>
      </xdr:nvSpPr>
      <xdr:spPr bwMode="auto">
        <a:xfrm>
          <a:off x="15249524" y="149329775"/>
          <a:ext cx="1309461" cy="812347"/>
        </a:xfrm>
        <a:prstGeom prst="triangle">
          <a:avLst>
            <a:gd name="adj" fmla="val 50000"/>
          </a:avLst>
        </a:prstGeom>
        <a:solidFill>
          <a:schemeClr val="accent5"/>
        </a:solidFill>
        <a:ln w="9525">
          <a:solidFill>
            <a:srgbClr val="000000"/>
          </a:solidFill>
          <a:miter lim="800000"/>
          <a:headEnd/>
          <a:tailEnd/>
        </a:ln>
      </xdr:spPr>
    </xdr:sp>
    <xdr:clientData/>
  </xdr:twoCellAnchor>
  <xdr:twoCellAnchor>
    <xdr:from>
      <xdr:col>10</xdr:col>
      <xdr:colOff>151795</xdr:colOff>
      <xdr:row>16</xdr:row>
      <xdr:rowOff>84667</xdr:rowOff>
    </xdr:from>
    <xdr:to>
      <xdr:col>11</xdr:col>
      <xdr:colOff>36679</xdr:colOff>
      <xdr:row>18</xdr:row>
      <xdr:rowOff>95250</xdr:rowOff>
    </xdr:to>
    <xdr:pic>
      <xdr:nvPicPr>
        <xdr:cNvPr id="1059" name="Picture 7">
          <a:extLst>
            <a:ext uri="{FF2B5EF4-FFF2-40B4-BE49-F238E27FC236}">
              <a16:creationId xmlns:a16="http://schemas.microsoft.com/office/drawing/2014/main" id="{28CE57CD-C6CC-4A14-BC67-23873C4B0241}"/>
            </a:ext>
          </a:extLst>
        </xdr:cNvPr>
        <xdr:cNvPicPr>
          <a:picLocks noChangeAspect="1"/>
        </xdr:cNvPicPr>
      </xdr:nvPicPr>
      <xdr:blipFill>
        <a:blip xmlns:r="http://schemas.openxmlformats.org/officeDocument/2006/relationships" r:embed="rId1" cstate="print"/>
        <a:srcRect/>
        <a:stretch>
          <a:fillRect/>
        </a:stretch>
      </xdr:blipFill>
      <xdr:spPr bwMode="auto">
        <a:xfrm>
          <a:off x="10661045" y="7463367"/>
          <a:ext cx="665934" cy="1286933"/>
        </a:xfrm>
        <a:prstGeom prst="rect">
          <a:avLst/>
        </a:prstGeom>
        <a:noFill/>
        <a:ln w="9525">
          <a:noFill/>
          <a:miter lim="800000"/>
          <a:headEnd/>
          <a:tailEnd/>
        </a:ln>
      </xdr:spPr>
    </xdr:pic>
    <xdr:clientData/>
  </xdr:twoCellAnchor>
  <xdr:twoCellAnchor>
    <xdr:from>
      <xdr:col>10</xdr:col>
      <xdr:colOff>141515</xdr:colOff>
      <xdr:row>23</xdr:row>
      <xdr:rowOff>5140</xdr:rowOff>
    </xdr:from>
    <xdr:to>
      <xdr:col>11</xdr:col>
      <xdr:colOff>63500</xdr:colOff>
      <xdr:row>26</xdr:row>
      <xdr:rowOff>2188</xdr:rowOff>
    </xdr:to>
    <xdr:pic>
      <xdr:nvPicPr>
        <xdr:cNvPr id="1060" name="Picture 7">
          <a:extLst>
            <a:ext uri="{FF2B5EF4-FFF2-40B4-BE49-F238E27FC236}">
              <a16:creationId xmlns:a16="http://schemas.microsoft.com/office/drawing/2014/main" id="{3FDB382D-BFCB-4F1D-BBEF-6E33C62551E7}"/>
            </a:ext>
          </a:extLst>
        </xdr:cNvPr>
        <xdr:cNvPicPr>
          <a:picLocks noChangeAspect="1"/>
        </xdr:cNvPicPr>
      </xdr:nvPicPr>
      <xdr:blipFill>
        <a:blip xmlns:r="http://schemas.openxmlformats.org/officeDocument/2006/relationships" r:embed="rId1" cstate="print"/>
        <a:srcRect/>
        <a:stretch>
          <a:fillRect/>
        </a:stretch>
      </xdr:blipFill>
      <xdr:spPr bwMode="auto">
        <a:xfrm>
          <a:off x="10650765" y="11123990"/>
          <a:ext cx="703035" cy="974948"/>
        </a:xfrm>
        <a:prstGeom prst="rect">
          <a:avLst/>
        </a:prstGeom>
        <a:noFill/>
        <a:ln w="9525">
          <a:noFill/>
          <a:miter lim="800000"/>
          <a:headEnd/>
          <a:tailEnd/>
        </a:ln>
      </xdr:spPr>
    </xdr:pic>
    <xdr:clientData/>
  </xdr:twoCellAnchor>
  <xdr:twoCellAnchor>
    <xdr:from>
      <xdr:col>28</xdr:col>
      <xdr:colOff>119742</xdr:colOff>
      <xdr:row>67</xdr:row>
      <xdr:rowOff>222250</xdr:rowOff>
    </xdr:from>
    <xdr:to>
      <xdr:col>28</xdr:col>
      <xdr:colOff>497417</xdr:colOff>
      <xdr:row>72</xdr:row>
      <xdr:rowOff>2492</xdr:rowOff>
    </xdr:to>
    <xdr:pic>
      <xdr:nvPicPr>
        <xdr:cNvPr id="1061" name="Picture 7">
          <a:extLst>
            <a:ext uri="{FF2B5EF4-FFF2-40B4-BE49-F238E27FC236}">
              <a16:creationId xmlns:a16="http://schemas.microsoft.com/office/drawing/2014/main" id="{3B9023BA-6FB8-4C24-8A7B-38E9582E08F8}"/>
            </a:ext>
          </a:extLst>
        </xdr:cNvPr>
        <xdr:cNvPicPr>
          <a:picLocks noChangeAspect="1"/>
        </xdr:cNvPicPr>
      </xdr:nvPicPr>
      <xdr:blipFill>
        <a:blip xmlns:r="http://schemas.openxmlformats.org/officeDocument/2006/relationships" r:embed="rId1" cstate="print"/>
        <a:srcRect/>
        <a:stretch>
          <a:fillRect/>
        </a:stretch>
      </xdr:blipFill>
      <xdr:spPr bwMode="auto">
        <a:xfrm>
          <a:off x="30993442" y="34080450"/>
          <a:ext cx="377675" cy="1856692"/>
        </a:xfrm>
        <a:prstGeom prst="rect">
          <a:avLst/>
        </a:prstGeom>
        <a:noFill/>
        <a:ln w="9525">
          <a:noFill/>
          <a:miter lim="800000"/>
          <a:headEnd/>
          <a:tailEnd/>
        </a:ln>
      </xdr:spPr>
    </xdr:pic>
    <xdr:clientData/>
  </xdr:twoCellAnchor>
  <xdr:twoCellAnchor>
    <xdr:from>
      <xdr:col>8</xdr:col>
      <xdr:colOff>67431</xdr:colOff>
      <xdr:row>304</xdr:row>
      <xdr:rowOff>206375</xdr:rowOff>
    </xdr:from>
    <xdr:to>
      <xdr:col>8</xdr:col>
      <xdr:colOff>752399</xdr:colOff>
      <xdr:row>307</xdr:row>
      <xdr:rowOff>207807</xdr:rowOff>
    </xdr:to>
    <xdr:pic>
      <xdr:nvPicPr>
        <xdr:cNvPr id="1062" name="Picture 7">
          <a:extLst>
            <a:ext uri="{FF2B5EF4-FFF2-40B4-BE49-F238E27FC236}">
              <a16:creationId xmlns:a16="http://schemas.microsoft.com/office/drawing/2014/main" id="{D2987CC0-9A87-47D8-8432-41B41B58D9AE}"/>
            </a:ext>
          </a:extLst>
        </xdr:cNvPr>
        <xdr:cNvPicPr>
          <a:picLocks noChangeAspect="1"/>
        </xdr:cNvPicPr>
      </xdr:nvPicPr>
      <xdr:blipFill>
        <a:blip xmlns:r="http://schemas.openxmlformats.org/officeDocument/2006/relationships" r:embed="rId1" cstate="print"/>
        <a:srcRect/>
        <a:stretch>
          <a:fillRect/>
        </a:stretch>
      </xdr:blipFill>
      <xdr:spPr bwMode="auto">
        <a:xfrm>
          <a:off x="8246231" y="149063075"/>
          <a:ext cx="684968" cy="1265082"/>
        </a:xfrm>
        <a:prstGeom prst="rect">
          <a:avLst/>
        </a:prstGeom>
        <a:noFill/>
        <a:ln w="9525">
          <a:noFill/>
          <a:miter lim="800000"/>
          <a:headEnd/>
          <a:tailEnd/>
        </a:ln>
      </xdr:spPr>
    </xdr:pic>
    <xdr:clientData/>
  </xdr:twoCellAnchor>
  <xdr:twoCellAnchor>
    <xdr:from>
      <xdr:col>8</xdr:col>
      <xdr:colOff>103566</xdr:colOff>
      <xdr:row>16</xdr:row>
      <xdr:rowOff>142875</xdr:rowOff>
    </xdr:from>
    <xdr:to>
      <xdr:col>8</xdr:col>
      <xdr:colOff>873125</xdr:colOff>
      <xdr:row>18</xdr:row>
      <xdr:rowOff>139622</xdr:rowOff>
    </xdr:to>
    <xdr:pic>
      <xdr:nvPicPr>
        <xdr:cNvPr id="1063" name="Picture 7">
          <a:extLst>
            <a:ext uri="{FF2B5EF4-FFF2-40B4-BE49-F238E27FC236}">
              <a16:creationId xmlns:a16="http://schemas.microsoft.com/office/drawing/2014/main" id="{C07DF89E-C5C1-42D5-8ACF-E687C008FD24}"/>
            </a:ext>
          </a:extLst>
        </xdr:cNvPr>
        <xdr:cNvPicPr>
          <a:picLocks noChangeAspect="1"/>
        </xdr:cNvPicPr>
      </xdr:nvPicPr>
      <xdr:blipFill>
        <a:blip xmlns:r="http://schemas.openxmlformats.org/officeDocument/2006/relationships" r:embed="rId1" cstate="print"/>
        <a:srcRect/>
        <a:stretch>
          <a:fillRect/>
        </a:stretch>
      </xdr:blipFill>
      <xdr:spPr bwMode="auto">
        <a:xfrm>
          <a:off x="8282366" y="7521575"/>
          <a:ext cx="769559" cy="1273097"/>
        </a:xfrm>
        <a:prstGeom prst="rect">
          <a:avLst/>
        </a:prstGeom>
        <a:noFill/>
        <a:ln w="9525">
          <a:noFill/>
          <a:miter lim="800000"/>
          <a:headEnd/>
          <a:tailEnd/>
        </a:ln>
      </xdr:spPr>
    </xdr:pic>
    <xdr:clientData/>
  </xdr:twoCellAnchor>
  <xdr:twoCellAnchor>
    <xdr:from>
      <xdr:col>28</xdr:col>
      <xdr:colOff>174625</xdr:colOff>
      <xdr:row>16</xdr:row>
      <xdr:rowOff>508003</xdr:rowOff>
    </xdr:from>
    <xdr:to>
      <xdr:col>28</xdr:col>
      <xdr:colOff>597958</xdr:colOff>
      <xdr:row>19</xdr:row>
      <xdr:rowOff>359838</xdr:rowOff>
    </xdr:to>
    <xdr:sp macro="" textlink="">
      <xdr:nvSpPr>
        <xdr:cNvPr id="1064" name="Equals 2636">
          <a:extLst>
            <a:ext uri="{FF2B5EF4-FFF2-40B4-BE49-F238E27FC236}">
              <a16:creationId xmlns:a16="http://schemas.microsoft.com/office/drawing/2014/main" id="{1726E95A-C0ED-4FD6-9FEE-91D73EAFE4A8}"/>
            </a:ext>
          </a:extLst>
        </xdr:cNvPr>
        <xdr:cNvSpPr/>
      </xdr:nvSpPr>
      <xdr:spPr>
        <a:xfrm rot="5400000">
          <a:off x="30600649" y="8334379"/>
          <a:ext cx="131868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110670</xdr:colOff>
      <xdr:row>111</xdr:row>
      <xdr:rowOff>0</xdr:rowOff>
    </xdr:from>
    <xdr:to>
      <xdr:col>26</xdr:col>
      <xdr:colOff>596899</xdr:colOff>
      <xdr:row>114</xdr:row>
      <xdr:rowOff>63500</xdr:rowOff>
    </xdr:to>
    <xdr:grpSp>
      <xdr:nvGrpSpPr>
        <xdr:cNvPr id="1065" name="Group 1115">
          <a:extLst>
            <a:ext uri="{FF2B5EF4-FFF2-40B4-BE49-F238E27FC236}">
              <a16:creationId xmlns:a16="http://schemas.microsoft.com/office/drawing/2014/main" id="{4486A7A0-6DFE-4A0E-B04D-5ED98C6908B1}"/>
            </a:ext>
          </a:extLst>
        </xdr:cNvPr>
        <xdr:cNvGrpSpPr>
          <a:grpSpLocks/>
        </xdr:cNvGrpSpPr>
      </xdr:nvGrpSpPr>
      <xdr:grpSpPr bwMode="auto">
        <a:xfrm>
          <a:off x="29019045" y="55721250"/>
          <a:ext cx="486229" cy="1524000"/>
          <a:chOff x="5424645" y="49113913"/>
          <a:chExt cx="313716" cy="343844"/>
        </a:xfrm>
      </xdr:grpSpPr>
      <xdr:cxnSp macro="">
        <xdr:nvCxnSpPr>
          <xdr:cNvPr id="1066" name="Straight Connector 1107">
            <a:extLst>
              <a:ext uri="{FF2B5EF4-FFF2-40B4-BE49-F238E27FC236}">
                <a16:creationId xmlns:a16="http://schemas.microsoft.com/office/drawing/2014/main" id="{F51C2063-D2BD-E44D-12C4-FD26E313CE61}"/>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067" name="Straight Connector 1108">
            <a:extLst>
              <a:ext uri="{FF2B5EF4-FFF2-40B4-BE49-F238E27FC236}">
                <a16:creationId xmlns:a16="http://schemas.microsoft.com/office/drawing/2014/main" id="{56049566-D194-5D84-DBC8-40C968D70D40}"/>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068" name="Straight Connector 1109">
            <a:extLst>
              <a:ext uri="{FF2B5EF4-FFF2-40B4-BE49-F238E27FC236}">
                <a16:creationId xmlns:a16="http://schemas.microsoft.com/office/drawing/2014/main" id="{F366DA4C-58B0-037B-18F1-B9FE4167A55F}"/>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069" name="Straight Connector 1111">
            <a:extLst>
              <a:ext uri="{FF2B5EF4-FFF2-40B4-BE49-F238E27FC236}">
                <a16:creationId xmlns:a16="http://schemas.microsoft.com/office/drawing/2014/main" id="{A3EF941A-34B0-E437-500B-60A92FC5B965}"/>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070" name="Straight Connector 1112">
            <a:extLst>
              <a:ext uri="{FF2B5EF4-FFF2-40B4-BE49-F238E27FC236}">
                <a16:creationId xmlns:a16="http://schemas.microsoft.com/office/drawing/2014/main" id="{F14EE3A0-0B44-FD68-A30D-10E54926303B}"/>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071" name="Straight Connector 1113">
            <a:extLst>
              <a:ext uri="{FF2B5EF4-FFF2-40B4-BE49-F238E27FC236}">
                <a16:creationId xmlns:a16="http://schemas.microsoft.com/office/drawing/2014/main" id="{309FADC7-6547-3B0B-205C-3DD9042E4FAF}"/>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072" name="Straight Connector 1114">
            <a:extLst>
              <a:ext uri="{FF2B5EF4-FFF2-40B4-BE49-F238E27FC236}">
                <a16:creationId xmlns:a16="http://schemas.microsoft.com/office/drawing/2014/main" id="{A72A4A6D-0330-48E6-46DB-C11C54F13B70}"/>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10</xdr:col>
      <xdr:colOff>46567</xdr:colOff>
      <xdr:row>119</xdr:row>
      <xdr:rowOff>86481</xdr:rowOff>
    </xdr:from>
    <xdr:to>
      <xdr:col>10</xdr:col>
      <xdr:colOff>486834</xdr:colOff>
      <xdr:row>122</xdr:row>
      <xdr:rowOff>110441</xdr:rowOff>
    </xdr:to>
    <xdr:pic>
      <xdr:nvPicPr>
        <xdr:cNvPr id="1073" name="Picture 7">
          <a:extLst>
            <a:ext uri="{FF2B5EF4-FFF2-40B4-BE49-F238E27FC236}">
              <a16:creationId xmlns:a16="http://schemas.microsoft.com/office/drawing/2014/main" id="{E4CF8B45-F56C-46D2-8D44-90FE070ED68A}"/>
            </a:ext>
          </a:extLst>
        </xdr:cNvPr>
        <xdr:cNvPicPr>
          <a:picLocks noChangeAspect="1"/>
        </xdr:cNvPicPr>
      </xdr:nvPicPr>
      <xdr:blipFill>
        <a:blip xmlns:r="http://schemas.openxmlformats.org/officeDocument/2006/relationships" r:embed="rId1" cstate="print"/>
        <a:srcRect/>
        <a:stretch>
          <a:fillRect/>
        </a:stretch>
      </xdr:blipFill>
      <xdr:spPr bwMode="auto">
        <a:xfrm>
          <a:off x="10555817" y="60227331"/>
          <a:ext cx="440267" cy="1008210"/>
        </a:xfrm>
        <a:prstGeom prst="rect">
          <a:avLst/>
        </a:prstGeom>
        <a:noFill/>
        <a:ln w="9525">
          <a:noFill/>
          <a:miter lim="800000"/>
          <a:headEnd/>
          <a:tailEnd/>
        </a:ln>
      </xdr:spPr>
    </xdr:pic>
    <xdr:clientData/>
  </xdr:twoCellAnchor>
  <xdr:twoCellAnchor>
    <xdr:from>
      <xdr:col>22</xdr:col>
      <xdr:colOff>184452</xdr:colOff>
      <xdr:row>128</xdr:row>
      <xdr:rowOff>426223</xdr:rowOff>
    </xdr:from>
    <xdr:to>
      <xdr:col>22</xdr:col>
      <xdr:colOff>603250</xdr:colOff>
      <xdr:row>131</xdr:row>
      <xdr:rowOff>212798</xdr:rowOff>
    </xdr:to>
    <xdr:pic>
      <xdr:nvPicPr>
        <xdr:cNvPr id="1074" name="Picture 7">
          <a:extLst>
            <a:ext uri="{FF2B5EF4-FFF2-40B4-BE49-F238E27FC236}">
              <a16:creationId xmlns:a16="http://schemas.microsoft.com/office/drawing/2014/main" id="{C8C45421-0795-4528-8119-BEAE9283781E}"/>
            </a:ext>
          </a:extLst>
        </xdr:cNvPr>
        <xdr:cNvPicPr>
          <a:picLocks noChangeAspect="1"/>
        </xdr:cNvPicPr>
      </xdr:nvPicPr>
      <xdr:blipFill>
        <a:blip xmlns:r="http://schemas.openxmlformats.org/officeDocument/2006/relationships" r:embed="rId1" cstate="print"/>
        <a:srcRect/>
        <a:stretch>
          <a:fillRect/>
        </a:stretch>
      </xdr:blipFill>
      <xdr:spPr bwMode="auto">
        <a:xfrm>
          <a:off x="24339852" y="64770773"/>
          <a:ext cx="418798" cy="1272475"/>
        </a:xfrm>
        <a:prstGeom prst="rect">
          <a:avLst/>
        </a:prstGeom>
        <a:noFill/>
        <a:ln w="9525">
          <a:noFill/>
          <a:miter lim="800000"/>
          <a:headEnd/>
          <a:tailEnd/>
        </a:ln>
      </xdr:spPr>
    </xdr:pic>
    <xdr:clientData/>
  </xdr:twoCellAnchor>
  <xdr:twoCellAnchor>
    <xdr:from>
      <xdr:col>2</xdr:col>
      <xdr:colOff>89203</xdr:colOff>
      <xdr:row>231</xdr:row>
      <xdr:rowOff>127000</xdr:rowOff>
    </xdr:from>
    <xdr:to>
      <xdr:col>2</xdr:col>
      <xdr:colOff>486834</xdr:colOff>
      <xdr:row>234</xdr:row>
      <xdr:rowOff>225952</xdr:rowOff>
    </xdr:to>
    <xdr:pic>
      <xdr:nvPicPr>
        <xdr:cNvPr id="1075" name="Picture 7">
          <a:extLst>
            <a:ext uri="{FF2B5EF4-FFF2-40B4-BE49-F238E27FC236}">
              <a16:creationId xmlns:a16="http://schemas.microsoft.com/office/drawing/2014/main" id="{37BE2E26-E13F-4FCA-8771-076113A0DA9A}"/>
            </a:ext>
          </a:extLst>
        </xdr:cNvPr>
        <xdr:cNvPicPr>
          <a:picLocks noChangeAspect="1"/>
        </xdr:cNvPicPr>
      </xdr:nvPicPr>
      <xdr:blipFill>
        <a:blip xmlns:r="http://schemas.openxmlformats.org/officeDocument/2006/relationships" r:embed="rId1" cstate="print"/>
        <a:srcRect/>
        <a:stretch>
          <a:fillRect/>
        </a:stretch>
      </xdr:blipFill>
      <xdr:spPr bwMode="auto">
        <a:xfrm>
          <a:off x="2102153" y="114712750"/>
          <a:ext cx="397631" cy="1197502"/>
        </a:xfrm>
        <a:prstGeom prst="rect">
          <a:avLst/>
        </a:prstGeom>
        <a:noFill/>
        <a:ln w="9525">
          <a:noFill/>
          <a:miter lim="800000"/>
          <a:headEnd/>
          <a:tailEnd/>
        </a:ln>
      </xdr:spPr>
    </xdr:pic>
    <xdr:clientData/>
  </xdr:twoCellAnchor>
  <xdr:twoCellAnchor>
    <xdr:from>
      <xdr:col>12</xdr:col>
      <xdr:colOff>114300</xdr:colOff>
      <xdr:row>240</xdr:row>
      <xdr:rowOff>301628</xdr:rowOff>
    </xdr:from>
    <xdr:to>
      <xdr:col>12</xdr:col>
      <xdr:colOff>596900</xdr:colOff>
      <xdr:row>243</xdr:row>
      <xdr:rowOff>301628</xdr:rowOff>
    </xdr:to>
    <xdr:sp macro="" textlink="">
      <xdr:nvSpPr>
        <xdr:cNvPr id="1076" name="Equals 2636">
          <a:extLst>
            <a:ext uri="{FF2B5EF4-FFF2-40B4-BE49-F238E27FC236}">
              <a16:creationId xmlns:a16="http://schemas.microsoft.com/office/drawing/2014/main" id="{A1E8BAC2-1C89-4BCC-80ED-65D7718E3880}"/>
            </a:ext>
          </a:extLst>
        </xdr:cNvPr>
        <xdr:cNvSpPr/>
      </xdr:nvSpPr>
      <xdr:spPr>
        <a:xfrm rot="5400000">
          <a:off x="12366625" y="119399053"/>
          <a:ext cx="102235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150283</xdr:colOff>
      <xdr:row>288</xdr:row>
      <xdr:rowOff>203203</xdr:rowOff>
    </xdr:from>
    <xdr:to>
      <xdr:col>26</xdr:col>
      <xdr:colOff>743404</xdr:colOff>
      <xdr:row>291</xdr:row>
      <xdr:rowOff>366486</xdr:rowOff>
    </xdr:to>
    <xdr:sp macro="" textlink="">
      <xdr:nvSpPr>
        <xdr:cNvPr id="1077" name="Equals 2636">
          <a:extLst>
            <a:ext uri="{FF2B5EF4-FFF2-40B4-BE49-F238E27FC236}">
              <a16:creationId xmlns:a16="http://schemas.microsoft.com/office/drawing/2014/main" id="{DFE4E93C-EC1B-4D49-B063-743D47A39BBD}"/>
            </a:ext>
          </a:extLst>
        </xdr:cNvPr>
        <xdr:cNvSpPr/>
      </xdr:nvSpPr>
      <xdr:spPr>
        <a:xfrm rot="5400000">
          <a:off x="28695727" y="142231459"/>
          <a:ext cx="1223733" cy="593121"/>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xdr:col>
      <xdr:colOff>88899</xdr:colOff>
      <xdr:row>304</xdr:row>
      <xdr:rowOff>63500</xdr:rowOff>
    </xdr:from>
    <xdr:to>
      <xdr:col>3</xdr:col>
      <xdr:colOff>21167</xdr:colOff>
      <xdr:row>307</xdr:row>
      <xdr:rowOff>228672</xdr:rowOff>
    </xdr:to>
    <xdr:pic>
      <xdr:nvPicPr>
        <xdr:cNvPr id="1078" name="Picture 7">
          <a:extLst>
            <a:ext uri="{FF2B5EF4-FFF2-40B4-BE49-F238E27FC236}">
              <a16:creationId xmlns:a16="http://schemas.microsoft.com/office/drawing/2014/main" id="{502EC7C7-88BF-4743-9991-AD3BB4D6DCF0}"/>
            </a:ext>
          </a:extLst>
        </xdr:cNvPr>
        <xdr:cNvPicPr>
          <a:picLocks noChangeAspect="1"/>
        </xdr:cNvPicPr>
      </xdr:nvPicPr>
      <xdr:blipFill>
        <a:blip xmlns:r="http://schemas.openxmlformats.org/officeDocument/2006/relationships" r:embed="rId1" cstate="print"/>
        <a:srcRect/>
        <a:stretch>
          <a:fillRect/>
        </a:stretch>
      </xdr:blipFill>
      <xdr:spPr bwMode="auto">
        <a:xfrm>
          <a:off x="2101849" y="148920200"/>
          <a:ext cx="713318" cy="1428822"/>
        </a:xfrm>
        <a:prstGeom prst="rect">
          <a:avLst/>
        </a:prstGeom>
        <a:noFill/>
        <a:ln w="9525">
          <a:noFill/>
          <a:miter lim="800000"/>
          <a:headEnd/>
          <a:tailEnd/>
        </a:ln>
      </xdr:spPr>
    </xdr:pic>
    <xdr:clientData/>
  </xdr:twoCellAnchor>
  <xdr:twoCellAnchor editAs="oneCell">
    <xdr:from>
      <xdr:col>4</xdr:col>
      <xdr:colOff>1</xdr:colOff>
      <xdr:row>176</xdr:row>
      <xdr:rowOff>47625</xdr:rowOff>
    </xdr:from>
    <xdr:to>
      <xdr:col>4</xdr:col>
      <xdr:colOff>299111</xdr:colOff>
      <xdr:row>182</xdr:row>
      <xdr:rowOff>99950</xdr:rowOff>
    </xdr:to>
    <xdr:pic>
      <xdr:nvPicPr>
        <xdr:cNvPr id="1079" name="Picture 1078">
          <a:extLst>
            <a:ext uri="{FF2B5EF4-FFF2-40B4-BE49-F238E27FC236}">
              <a16:creationId xmlns:a16="http://schemas.microsoft.com/office/drawing/2014/main" id="{08C38A3E-DA83-44F3-9843-1C9662F9A7D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1" y="88445975"/>
          <a:ext cx="299110" cy="1157225"/>
        </a:xfrm>
        <a:prstGeom prst="rect">
          <a:avLst/>
        </a:prstGeom>
      </xdr:spPr>
    </xdr:pic>
    <xdr:clientData/>
  </xdr:twoCellAnchor>
  <xdr:twoCellAnchor editAs="oneCell">
    <xdr:from>
      <xdr:col>2</xdr:col>
      <xdr:colOff>0</xdr:colOff>
      <xdr:row>176</xdr:row>
      <xdr:rowOff>0</xdr:rowOff>
    </xdr:from>
    <xdr:to>
      <xdr:col>2</xdr:col>
      <xdr:colOff>299110</xdr:colOff>
      <xdr:row>181</xdr:row>
      <xdr:rowOff>94659</xdr:rowOff>
    </xdr:to>
    <xdr:pic>
      <xdr:nvPicPr>
        <xdr:cNvPr id="1080" name="Picture 1079">
          <a:extLst>
            <a:ext uri="{FF2B5EF4-FFF2-40B4-BE49-F238E27FC236}">
              <a16:creationId xmlns:a16="http://schemas.microsoft.com/office/drawing/2014/main" id="{BEFE0A96-1C82-4571-A59D-B0F6EC92842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88398350"/>
          <a:ext cx="299110" cy="1015409"/>
        </a:xfrm>
        <a:prstGeom prst="rect">
          <a:avLst/>
        </a:prstGeom>
      </xdr:spPr>
    </xdr:pic>
    <xdr:clientData/>
  </xdr:twoCellAnchor>
  <xdr:twoCellAnchor editAs="oneCell">
    <xdr:from>
      <xdr:col>20</xdr:col>
      <xdr:colOff>0</xdr:colOff>
      <xdr:row>176</xdr:row>
      <xdr:rowOff>0</xdr:rowOff>
    </xdr:from>
    <xdr:to>
      <xdr:col>20</xdr:col>
      <xdr:colOff>299110</xdr:colOff>
      <xdr:row>181</xdr:row>
      <xdr:rowOff>94659</xdr:rowOff>
    </xdr:to>
    <xdr:pic>
      <xdr:nvPicPr>
        <xdr:cNvPr id="1081" name="Picture 1080">
          <a:extLst>
            <a:ext uri="{FF2B5EF4-FFF2-40B4-BE49-F238E27FC236}">
              <a16:creationId xmlns:a16="http://schemas.microsoft.com/office/drawing/2014/main" id="{C8EBA2FC-0023-4511-9A69-DFA583E283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8398350"/>
          <a:ext cx="299110" cy="1015409"/>
        </a:xfrm>
        <a:prstGeom prst="rect">
          <a:avLst/>
        </a:prstGeom>
      </xdr:spPr>
    </xdr:pic>
    <xdr:clientData/>
  </xdr:twoCellAnchor>
  <xdr:twoCellAnchor editAs="oneCell">
    <xdr:from>
      <xdr:col>24</xdr:col>
      <xdr:colOff>0</xdr:colOff>
      <xdr:row>168</xdr:row>
      <xdr:rowOff>0</xdr:rowOff>
    </xdr:from>
    <xdr:to>
      <xdr:col>24</xdr:col>
      <xdr:colOff>299110</xdr:colOff>
      <xdr:row>173</xdr:row>
      <xdr:rowOff>94658</xdr:rowOff>
    </xdr:to>
    <xdr:pic>
      <xdr:nvPicPr>
        <xdr:cNvPr id="1082" name="Picture 1081">
          <a:extLst>
            <a:ext uri="{FF2B5EF4-FFF2-40B4-BE49-F238E27FC236}">
              <a16:creationId xmlns:a16="http://schemas.microsoft.com/office/drawing/2014/main" id="{8EF68C26-2935-4573-AD62-1177F0CBFF2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83985100"/>
          <a:ext cx="299110" cy="1015408"/>
        </a:xfrm>
        <a:prstGeom prst="rect">
          <a:avLst/>
        </a:prstGeom>
      </xdr:spPr>
    </xdr:pic>
    <xdr:clientData/>
  </xdr:twoCellAnchor>
  <xdr:twoCellAnchor editAs="oneCell">
    <xdr:from>
      <xdr:col>12</xdr:col>
      <xdr:colOff>0</xdr:colOff>
      <xdr:row>168</xdr:row>
      <xdr:rowOff>0</xdr:rowOff>
    </xdr:from>
    <xdr:to>
      <xdr:col>12</xdr:col>
      <xdr:colOff>299110</xdr:colOff>
      <xdr:row>173</xdr:row>
      <xdr:rowOff>94658</xdr:rowOff>
    </xdr:to>
    <xdr:pic>
      <xdr:nvPicPr>
        <xdr:cNvPr id="1083" name="Picture 1082">
          <a:extLst>
            <a:ext uri="{FF2B5EF4-FFF2-40B4-BE49-F238E27FC236}">
              <a16:creationId xmlns:a16="http://schemas.microsoft.com/office/drawing/2014/main" id="{97488D85-B6F3-4B34-83F9-2D906D94ACA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3985100"/>
          <a:ext cx="299110" cy="1015408"/>
        </a:xfrm>
        <a:prstGeom prst="rect">
          <a:avLst/>
        </a:prstGeom>
      </xdr:spPr>
    </xdr:pic>
    <xdr:clientData/>
  </xdr:twoCellAnchor>
  <xdr:twoCellAnchor editAs="oneCell">
    <xdr:from>
      <xdr:col>20</xdr:col>
      <xdr:colOff>0</xdr:colOff>
      <xdr:row>168</xdr:row>
      <xdr:rowOff>0</xdr:rowOff>
    </xdr:from>
    <xdr:to>
      <xdr:col>20</xdr:col>
      <xdr:colOff>299110</xdr:colOff>
      <xdr:row>173</xdr:row>
      <xdr:rowOff>94658</xdr:rowOff>
    </xdr:to>
    <xdr:pic>
      <xdr:nvPicPr>
        <xdr:cNvPr id="1084" name="Picture 1083">
          <a:extLst>
            <a:ext uri="{FF2B5EF4-FFF2-40B4-BE49-F238E27FC236}">
              <a16:creationId xmlns:a16="http://schemas.microsoft.com/office/drawing/2014/main" id="{13EF9C94-C619-47A8-AD77-DC4E575CCDE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3985100"/>
          <a:ext cx="299110" cy="1015408"/>
        </a:xfrm>
        <a:prstGeom prst="rect">
          <a:avLst/>
        </a:prstGeom>
      </xdr:spPr>
    </xdr:pic>
    <xdr:clientData/>
  </xdr:twoCellAnchor>
  <xdr:twoCellAnchor editAs="oneCell">
    <xdr:from>
      <xdr:col>22</xdr:col>
      <xdr:colOff>0</xdr:colOff>
      <xdr:row>168</xdr:row>
      <xdr:rowOff>0</xdr:rowOff>
    </xdr:from>
    <xdr:to>
      <xdr:col>22</xdr:col>
      <xdr:colOff>299110</xdr:colOff>
      <xdr:row>173</xdr:row>
      <xdr:rowOff>94658</xdr:rowOff>
    </xdr:to>
    <xdr:pic>
      <xdr:nvPicPr>
        <xdr:cNvPr id="1085" name="Picture 1084">
          <a:extLst>
            <a:ext uri="{FF2B5EF4-FFF2-40B4-BE49-F238E27FC236}">
              <a16:creationId xmlns:a16="http://schemas.microsoft.com/office/drawing/2014/main" id="{8BD5B1F6-0F9D-419B-B03D-04CE9AD0213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83985100"/>
          <a:ext cx="299110" cy="1015408"/>
        </a:xfrm>
        <a:prstGeom prst="rect">
          <a:avLst/>
        </a:prstGeom>
      </xdr:spPr>
    </xdr:pic>
    <xdr:clientData/>
  </xdr:twoCellAnchor>
  <xdr:twoCellAnchor editAs="oneCell">
    <xdr:from>
      <xdr:col>12</xdr:col>
      <xdr:colOff>0</xdr:colOff>
      <xdr:row>176</xdr:row>
      <xdr:rowOff>0</xdr:rowOff>
    </xdr:from>
    <xdr:to>
      <xdr:col>12</xdr:col>
      <xdr:colOff>299110</xdr:colOff>
      <xdr:row>181</xdr:row>
      <xdr:rowOff>94659</xdr:rowOff>
    </xdr:to>
    <xdr:pic>
      <xdr:nvPicPr>
        <xdr:cNvPr id="1086" name="Picture 1085">
          <a:extLst>
            <a:ext uri="{FF2B5EF4-FFF2-40B4-BE49-F238E27FC236}">
              <a16:creationId xmlns:a16="http://schemas.microsoft.com/office/drawing/2014/main" id="{DD418061-DB3B-4507-8E50-07035213E5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8398350"/>
          <a:ext cx="299110" cy="1015409"/>
        </a:xfrm>
        <a:prstGeom prst="rect">
          <a:avLst/>
        </a:prstGeom>
      </xdr:spPr>
    </xdr:pic>
    <xdr:clientData/>
  </xdr:twoCellAnchor>
  <xdr:twoCellAnchor editAs="oneCell">
    <xdr:from>
      <xdr:col>18</xdr:col>
      <xdr:colOff>0</xdr:colOff>
      <xdr:row>176</xdr:row>
      <xdr:rowOff>0</xdr:rowOff>
    </xdr:from>
    <xdr:to>
      <xdr:col>18</xdr:col>
      <xdr:colOff>299110</xdr:colOff>
      <xdr:row>181</xdr:row>
      <xdr:rowOff>94659</xdr:rowOff>
    </xdr:to>
    <xdr:pic>
      <xdr:nvPicPr>
        <xdr:cNvPr id="1087" name="Picture 1086">
          <a:extLst>
            <a:ext uri="{FF2B5EF4-FFF2-40B4-BE49-F238E27FC236}">
              <a16:creationId xmlns:a16="http://schemas.microsoft.com/office/drawing/2014/main" id="{870B078D-ED1F-44D6-A7D2-B86DE71BC7D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88398350"/>
          <a:ext cx="299110" cy="1015409"/>
        </a:xfrm>
        <a:prstGeom prst="rect">
          <a:avLst/>
        </a:prstGeom>
      </xdr:spPr>
    </xdr:pic>
    <xdr:clientData/>
  </xdr:twoCellAnchor>
  <xdr:twoCellAnchor editAs="oneCell">
    <xdr:from>
      <xdr:col>28</xdr:col>
      <xdr:colOff>0</xdr:colOff>
      <xdr:row>176</xdr:row>
      <xdr:rowOff>0</xdr:rowOff>
    </xdr:from>
    <xdr:to>
      <xdr:col>28</xdr:col>
      <xdr:colOff>299110</xdr:colOff>
      <xdr:row>181</xdr:row>
      <xdr:rowOff>94659</xdr:rowOff>
    </xdr:to>
    <xdr:pic>
      <xdr:nvPicPr>
        <xdr:cNvPr id="1088" name="Picture 1087">
          <a:extLst>
            <a:ext uri="{FF2B5EF4-FFF2-40B4-BE49-F238E27FC236}">
              <a16:creationId xmlns:a16="http://schemas.microsoft.com/office/drawing/2014/main" id="{6E8308A3-63B7-439E-B53B-93376771B97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88398350"/>
          <a:ext cx="299110" cy="1015409"/>
        </a:xfrm>
        <a:prstGeom prst="rect">
          <a:avLst/>
        </a:prstGeom>
      </xdr:spPr>
    </xdr:pic>
    <xdr:clientData/>
  </xdr:twoCellAnchor>
  <xdr:twoCellAnchor editAs="oneCell">
    <xdr:from>
      <xdr:col>24</xdr:col>
      <xdr:colOff>0</xdr:colOff>
      <xdr:row>202</xdr:row>
      <xdr:rowOff>0</xdr:rowOff>
    </xdr:from>
    <xdr:to>
      <xdr:col>24</xdr:col>
      <xdr:colOff>299110</xdr:colOff>
      <xdr:row>207</xdr:row>
      <xdr:rowOff>94660</xdr:rowOff>
    </xdr:to>
    <xdr:pic>
      <xdr:nvPicPr>
        <xdr:cNvPr id="1089" name="Picture 1088">
          <a:extLst>
            <a:ext uri="{FF2B5EF4-FFF2-40B4-BE49-F238E27FC236}">
              <a16:creationId xmlns:a16="http://schemas.microsoft.com/office/drawing/2014/main" id="{BBF0E893-99ED-42FA-BCF0-09D4828378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00945950"/>
          <a:ext cx="299110" cy="1015410"/>
        </a:xfrm>
        <a:prstGeom prst="rect">
          <a:avLst/>
        </a:prstGeom>
      </xdr:spPr>
    </xdr:pic>
    <xdr:clientData/>
  </xdr:twoCellAnchor>
  <xdr:twoCellAnchor editAs="oneCell">
    <xdr:from>
      <xdr:col>10</xdr:col>
      <xdr:colOff>115453</xdr:colOff>
      <xdr:row>168</xdr:row>
      <xdr:rowOff>0</xdr:rowOff>
    </xdr:from>
    <xdr:to>
      <xdr:col>10</xdr:col>
      <xdr:colOff>414563</xdr:colOff>
      <xdr:row>173</xdr:row>
      <xdr:rowOff>94658</xdr:rowOff>
    </xdr:to>
    <xdr:pic>
      <xdr:nvPicPr>
        <xdr:cNvPr id="1090" name="Picture 1089">
          <a:extLst>
            <a:ext uri="{FF2B5EF4-FFF2-40B4-BE49-F238E27FC236}">
              <a16:creationId xmlns:a16="http://schemas.microsoft.com/office/drawing/2014/main" id="{512D97E5-23D0-4FF5-98D2-0BF95F19F42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624703" y="83985100"/>
          <a:ext cx="299110" cy="1015408"/>
        </a:xfrm>
        <a:prstGeom prst="rect">
          <a:avLst/>
        </a:prstGeom>
      </xdr:spPr>
    </xdr:pic>
    <xdr:clientData/>
  </xdr:twoCellAnchor>
  <xdr:twoCellAnchor editAs="oneCell">
    <xdr:from>
      <xdr:col>6</xdr:col>
      <xdr:colOff>0</xdr:colOff>
      <xdr:row>185</xdr:row>
      <xdr:rowOff>0</xdr:rowOff>
    </xdr:from>
    <xdr:to>
      <xdr:col>6</xdr:col>
      <xdr:colOff>299110</xdr:colOff>
      <xdr:row>190</xdr:row>
      <xdr:rowOff>94660</xdr:rowOff>
    </xdr:to>
    <xdr:pic>
      <xdr:nvPicPr>
        <xdr:cNvPr id="1091" name="Picture 1090">
          <a:extLst>
            <a:ext uri="{FF2B5EF4-FFF2-40B4-BE49-F238E27FC236}">
              <a16:creationId xmlns:a16="http://schemas.microsoft.com/office/drawing/2014/main" id="{DBC1348C-AA07-468D-ADC8-9BF6F072406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92640150"/>
          <a:ext cx="299110" cy="1015410"/>
        </a:xfrm>
        <a:prstGeom prst="rect">
          <a:avLst/>
        </a:prstGeom>
      </xdr:spPr>
    </xdr:pic>
    <xdr:clientData/>
  </xdr:twoCellAnchor>
  <xdr:twoCellAnchor editAs="oneCell">
    <xdr:from>
      <xdr:col>16</xdr:col>
      <xdr:colOff>0</xdr:colOff>
      <xdr:row>176</xdr:row>
      <xdr:rowOff>0</xdr:rowOff>
    </xdr:from>
    <xdr:to>
      <xdr:col>16</xdr:col>
      <xdr:colOff>299110</xdr:colOff>
      <xdr:row>181</xdr:row>
      <xdr:rowOff>94659</xdr:rowOff>
    </xdr:to>
    <xdr:pic>
      <xdr:nvPicPr>
        <xdr:cNvPr id="1092" name="Picture 1091">
          <a:extLst>
            <a:ext uri="{FF2B5EF4-FFF2-40B4-BE49-F238E27FC236}">
              <a16:creationId xmlns:a16="http://schemas.microsoft.com/office/drawing/2014/main" id="{CE9DFADF-C69D-493B-9B77-FE8FB310BE6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88398350"/>
          <a:ext cx="299110" cy="1015409"/>
        </a:xfrm>
        <a:prstGeom prst="rect">
          <a:avLst/>
        </a:prstGeom>
      </xdr:spPr>
    </xdr:pic>
    <xdr:clientData/>
  </xdr:twoCellAnchor>
  <xdr:twoCellAnchor editAs="oneCell">
    <xdr:from>
      <xdr:col>14</xdr:col>
      <xdr:colOff>0</xdr:colOff>
      <xdr:row>176</xdr:row>
      <xdr:rowOff>0</xdr:rowOff>
    </xdr:from>
    <xdr:to>
      <xdr:col>14</xdr:col>
      <xdr:colOff>299110</xdr:colOff>
      <xdr:row>181</xdr:row>
      <xdr:rowOff>94659</xdr:rowOff>
    </xdr:to>
    <xdr:pic>
      <xdr:nvPicPr>
        <xdr:cNvPr id="1093" name="Picture 1092">
          <a:extLst>
            <a:ext uri="{FF2B5EF4-FFF2-40B4-BE49-F238E27FC236}">
              <a16:creationId xmlns:a16="http://schemas.microsoft.com/office/drawing/2014/main" id="{46817461-1EA0-4965-9A7D-3EE08EFA118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8398350"/>
          <a:ext cx="299110" cy="1015409"/>
        </a:xfrm>
        <a:prstGeom prst="rect">
          <a:avLst/>
        </a:prstGeom>
      </xdr:spPr>
    </xdr:pic>
    <xdr:clientData/>
  </xdr:twoCellAnchor>
  <xdr:twoCellAnchor editAs="oneCell">
    <xdr:from>
      <xdr:col>8</xdr:col>
      <xdr:colOff>0</xdr:colOff>
      <xdr:row>176</xdr:row>
      <xdr:rowOff>0</xdr:rowOff>
    </xdr:from>
    <xdr:to>
      <xdr:col>8</xdr:col>
      <xdr:colOff>299110</xdr:colOff>
      <xdr:row>181</xdr:row>
      <xdr:rowOff>94659</xdr:rowOff>
    </xdr:to>
    <xdr:pic>
      <xdr:nvPicPr>
        <xdr:cNvPr id="1094" name="Picture 1093">
          <a:extLst>
            <a:ext uri="{FF2B5EF4-FFF2-40B4-BE49-F238E27FC236}">
              <a16:creationId xmlns:a16="http://schemas.microsoft.com/office/drawing/2014/main" id="{CFCED117-0889-456E-8780-5A4F1B2769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88398350"/>
          <a:ext cx="299110" cy="1015409"/>
        </a:xfrm>
        <a:prstGeom prst="rect">
          <a:avLst/>
        </a:prstGeom>
      </xdr:spPr>
    </xdr:pic>
    <xdr:clientData/>
  </xdr:twoCellAnchor>
  <xdr:twoCellAnchor editAs="oneCell">
    <xdr:from>
      <xdr:col>28</xdr:col>
      <xdr:colOff>0</xdr:colOff>
      <xdr:row>202</xdr:row>
      <xdr:rowOff>0</xdr:rowOff>
    </xdr:from>
    <xdr:to>
      <xdr:col>28</xdr:col>
      <xdr:colOff>299110</xdr:colOff>
      <xdr:row>207</xdr:row>
      <xdr:rowOff>94660</xdr:rowOff>
    </xdr:to>
    <xdr:pic>
      <xdr:nvPicPr>
        <xdr:cNvPr id="1095" name="Picture 1094">
          <a:extLst>
            <a:ext uri="{FF2B5EF4-FFF2-40B4-BE49-F238E27FC236}">
              <a16:creationId xmlns:a16="http://schemas.microsoft.com/office/drawing/2014/main" id="{F5B6A6FC-E6FE-4556-A4F4-615B79AFB77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100945950"/>
          <a:ext cx="299110" cy="1015410"/>
        </a:xfrm>
        <a:prstGeom prst="rect">
          <a:avLst/>
        </a:prstGeom>
      </xdr:spPr>
    </xdr:pic>
    <xdr:clientData/>
  </xdr:twoCellAnchor>
  <xdr:twoCellAnchor editAs="oneCell">
    <xdr:from>
      <xdr:col>2</xdr:col>
      <xdr:colOff>0</xdr:colOff>
      <xdr:row>210</xdr:row>
      <xdr:rowOff>0</xdr:rowOff>
    </xdr:from>
    <xdr:to>
      <xdr:col>2</xdr:col>
      <xdr:colOff>299110</xdr:colOff>
      <xdr:row>215</xdr:row>
      <xdr:rowOff>87251</xdr:rowOff>
    </xdr:to>
    <xdr:pic>
      <xdr:nvPicPr>
        <xdr:cNvPr id="1096" name="Picture 1095">
          <a:extLst>
            <a:ext uri="{FF2B5EF4-FFF2-40B4-BE49-F238E27FC236}">
              <a16:creationId xmlns:a16="http://schemas.microsoft.com/office/drawing/2014/main" id="{23F67A19-72FD-4020-8C52-02D315B737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04749600"/>
          <a:ext cx="299110" cy="1008001"/>
        </a:xfrm>
        <a:prstGeom prst="rect">
          <a:avLst/>
        </a:prstGeom>
      </xdr:spPr>
    </xdr:pic>
    <xdr:clientData/>
  </xdr:twoCellAnchor>
  <xdr:twoCellAnchor editAs="oneCell">
    <xdr:from>
      <xdr:col>26</xdr:col>
      <xdr:colOff>0</xdr:colOff>
      <xdr:row>168</xdr:row>
      <xdr:rowOff>0</xdr:rowOff>
    </xdr:from>
    <xdr:to>
      <xdr:col>26</xdr:col>
      <xdr:colOff>299110</xdr:colOff>
      <xdr:row>173</xdr:row>
      <xdr:rowOff>94658</xdr:rowOff>
    </xdr:to>
    <xdr:pic>
      <xdr:nvPicPr>
        <xdr:cNvPr id="1097" name="Picture 1096">
          <a:extLst>
            <a:ext uri="{FF2B5EF4-FFF2-40B4-BE49-F238E27FC236}">
              <a16:creationId xmlns:a16="http://schemas.microsoft.com/office/drawing/2014/main" id="{2EBC2827-513B-4F47-9354-64AED7BE1EC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83985100"/>
          <a:ext cx="299110" cy="1015408"/>
        </a:xfrm>
        <a:prstGeom prst="rect">
          <a:avLst/>
        </a:prstGeom>
      </xdr:spPr>
    </xdr:pic>
    <xdr:clientData/>
  </xdr:twoCellAnchor>
  <xdr:twoCellAnchor editAs="oneCell">
    <xdr:from>
      <xdr:col>12</xdr:col>
      <xdr:colOff>0</xdr:colOff>
      <xdr:row>185</xdr:row>
      <xdr:rowOff>0</xdr:rowOff>
    </xdr:from>
    <xdr:to>
      <xdr:col>12</xdr:col>
      <xdr:colOff>299110</xdr:colOff>
      <xdr:row>190</xdr:row>
      <xdr:rowOff>94660</xdr:rowOff>
    </xdr:to>
    <xdr:pic>
      <xdr:nvPicPr>
        <xdr:cNvPr id="1098" name="Picture 1097">
          <a:extLst>
            <a:ext uri="{FF2B5EF4-FFF2-40B4-BE49-F238E27FC236}">
              <a16:creationId xmlns:a16="http://schemas.microsoft.com/office/drawing/2014/main" id="{52333C64-037A-4C3B-82B1-850E901C41A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92640150"/>
          <a:ext cx="299110" cy="1015410"/>
        </a:xfrm>
        <a:prstGeom prst="rect">
          <a:avLst/>
        </a:prstGeom>
      </xdr:spPr>
    </xdr:pic>
    <xdr:clientData/>
  </xdr:twoCellAnchor>
  <xdr:twoCellAnchor editAs="oneCell">
    <xdr:from>
      <xdr:col>6</xdr:col>
      <xdr:colOff>0</xdr:colOff>
      <xdr:row>150</xdr:row>
      <xdr:rowOff>0</xdr:rowOff>
    </xdr:from>
    <xdr:to>
      <xdr:col>6</xdr:col>
      <xdr:colOff>299110</xdr:colOff>
      <xdr:row>155</xdr:row>
      <xdr:rowOff>94660</xdr:rowOff>
    </xdr:to>
    <xdr:pic>
      <xdr:nvPicPr>
        <xdr:cNvPr id="1099" name="Picture 1098">
          <a:extLst>
            <a:ext uri="{FF2B5EF4-FFF2-40B4-BE49-F238E27FC236}">
              <a16:creationId xmlns:a16="http://schemas.microsoft.com/office/drawing/2014/main" id="{2F26293D-41D4-4FAC-8705-1AD71FA1BA7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75069700"/>
          <a:ext cx="299110" cy="1015410"/>
        </a:xfrm>
        <a:prstGeom prst="rect">
          <a:avLst/>
        </a:prstGeom>
      </xdr:spPr>
    </xdr:pic>
    <xdr:clientData/>
  </xdr:twoCellAnchor>
  <xdr:twoCellAnchor editAs="oneCell">
    <xdr:from>
      <xdr:col>10</xdr:col>
      <xdr:colOff>0</xdr:colOff>
      <xdr:row>210</xdr:row>
      <xdr:rowOff>0</xdr:rowOff>
    </xdr:from>
    <xdr:to>
      <xdr:col>10</xdr:col>
      <xdr:colOff>299110</xdr:colOff>
      <xdr:row>215</xdr:row>
      <xdr:rowOff>87251</xdr:rowOff>
    </xdr:to>
    <xdr:pic>
      <xdr:nvPicPr>
        <xdr:cNvPr id="1100" name="Picture 1099">
          <a:extLst>
            <a:ext uri="{FF2B5EF4-FFF2-40B4-BE49-F238E27FC236}">
              <a16:creationId xmlns:a16="http://schemas.microsoft.com/office/drawing/2014/main" id="{4624FCD0-A12C-4DB9-852E-38A597A547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04749600"/>
          <a:ext cx="299110" cy="1008001"/>
        </a:xfrm>
        <a:prstGeom prst="rect">
          <a:avLst/>
        </a:prstGeom>
      </xdr:spPr>
    </xdr:pic>
    <xdr:clientData/>
  </xdr:twoCellAnchor>
  <xdr:twoCellAnchor editAs="oneCell">
    <xdr:from>
      <xdr:col>10</xdr:col>
      <xdr:colOff>0</xdr:colOff>
      <xdr:row>150</xdr:row>
      <xdr:rowOff>0</xdr:rowOff>
    </xdr:from>
    <xdr:to>
      <xdr:col>10</xdr:col>
      <xdr:colOff>299110</xdr:colOff>
      <xdr:row>155</xdr:row>
      <xdr:rowOff>94660</xdr:rowOff>
    </xdr:to>
    <xdr:pic>
      <xdr:nvPicPr>
        <xdr:cNvPr id="1101" name="Picture 1100">
          <a:extLst>
            <a:ext uri="{FF2B5EF4-FFF2-40B4-BE49-F238E27FC236}">
              <a16:creationId xmlns:a16="http://schemas.microsoft.com/office/drawing/2014/main" id="{E4A4A04F-4204-474F-B765-90E054BD63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75069700"/>
          <a:ext cx="299110" cy="1015410"/>
        </a:xfrm>
        <a:prstGeom prst="rect">
          <a:avLst/>
        </a:prstGeom>
      </xdr:spPr>
    </xdr:pic>
    <xdr:clientData/>
  </xdr:twoCellAnchor>
  <xdr:twoCellAnchor editAs="oneCell">
    <xdr:from>
      <xdr:col>14</xdr:col>
      <xdr:colOff>0</xdr:colOff>
      <xdr:row>210</xdr:row>
      <xdr:rowOff>0</xdr:rowOff>
    </xdr:from>
    <xdr:to>
      <xdr:col>14</xdr:col>
      <xdr:colOff>299110</xdr:colOff>
      <xdr:row>215</xdr:row>
      <xdr:rowOff>87251</xdr:rowOff>
    </xdr:to>
    <xdr:pic>
      <xdr:nvPicPr>
        <xdr:cNvPr id="1102" name="Picture 1101">
          <a:extLst>
            <a:ext uri="{FF2B5EF4-FFF2-40B4-BE49-F238E27FC236}">
              <a16:creationId xmlns:a16="http://schemas.microsoft.com/office/drawing/2014/main" id="{2A5244A6-B370-4B22-81B5-D410BD1A838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04749600"/>
          <a:ext cx="299110" cy="1008001"/>
        </a:xfrm>
        <a:prstGeom prst="rect">
          <a:avLst/>
        </a:prstGeom>
      </xdr:spPr>
    </xdr:pic>
    <xdr:clientData/>
  </xdr:twoCellAnchor>
  <xdr:twoCellAnchor editAs="oneCell">
    <xdr:from>
      <xdr:col>8</xdr:col>
      <xdr:colOff>0</xdr:colOff>
      <xdr:row>150</xdr:row>
      <xdr:rowOff>0</xdr:rowOff>
    </xdr:from>
    <xdr:to>
      <xdr:col>8</xdr:col>
      <xdr:colOff>299110</xdr:colOff>
      <xdr:row>155</xdr:row>
      <xdr:rowOff>94660</xdr:rowOff>
    </xdr:to>
    <xdr:pic>
      <xdr:nvPicPr>
        <xdr:cNvPr id="1103" name="Picture 1102">
          <a:extLst>
            <a:ext uri="{FF2B5EF4-FFF2-40B4-BE49-F238E27FC236}">
              <a16:creationId xmlns:a16="http://schemas.microsoft.com/office/drawing/2014/main" id="{0A868CFC-C509-4307-B11F-5D42520A187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75069700"/>
          <a:ext cx="299110" cy="1015410"/>
        </a:xfrm>
        <a:prstGeom prst="rect">
          <a:avLst/>
        </a:prstGeom>
      </xdr:spPr>
    </xdr:pic>
    <xdr:clientData/>
  </xdr:twoCellAnchor>
  <xdr:twoCellAnchor editAs="oneCell">
    <xdr:from>
      <xdr:col>12</xdr:col>
      <xdr:colOff>0</xdr:colOff>
      <xdr:row>150</xdr:row>
      <xdr:rowOff>0</xdr:rowOff>
    </xdr:from>
    <xdr:to>
      <xdr:col>12</xdr:col>
      <xdr:colOff>299110</xdr:colOff>
      <xdr:row>155</xdr:row>
      <xdr:rowOff>94660</xdr:rowOff>
    </xdr:to>
    <xdr:pic>
      <xdr:nvPicPr>
        <xdr:cNvPr id="1104" name="Picture 1103">
          <a:extLst>
            <a:ext uri="{FF2B5EF4-FFF2-40B4-BE49-F238E27FC236}">
              <a16:creationId xmlns:a16="http://schemas.microsoft.com/office/drawing/2014/main" id="{9E896275-F7CC-4326-A5C8-F21860E6799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75069700"/>
          <a:ext cx="299110" cy="1015410"/>
        </a:xfrm>
        <a:prstGeom prst="rect">
          <a:avLst/>
        </a:prstGeom>
      </xdr:spPr>
    </xdr:pic>
    <xdr:clientData/>
  </xdr:twoCellAnchor>
  <xdr:twoCellAnchor editAs="oneCell">
    <xdr:from>
      <xdr:col>14</xdr:col>
      <xdr:colOff>0</xdr:colOff>
      <xdr:row>150</xdr:row>
      <xdr:rowOff>0</xdr:rowOff>
    </xdr:from>
    <xdr:to>
      <xdr:col>14</xdr:col>
      <xdr:colOff>299110</xdr:colOff>
      <xdr:row>155</xdr:row>
      <xdr:rowOff>94660</xdr:rowOff>
    </xdr:to>
    <xdr:pic>
      <xdr:nvPicPr>
        <xdr:cNvPr id="1105" name="Picture 1104">
          <a:extLst>
            <a:ext uri="{FF2B5EF4-FFF2-40B4-BE49-F238E27FC236}">
              <a16:creationId xmlns:a16="http://schemas.microsoft.com/office/drawing/2014/main" id="{2B2478C5-34B3-4BBE-89D8-8C99BFE9E62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75069700"/>
          <a:ext cx="299110" cy="1015410"/>
        </a:xfrm>
        <a:prstGeom prst="rect">
          <a:avLst/>
        </a:prstGeom>
      </xdr:spPr>
    </xdr:pic>
    <xdr:clientData/>
  </xdr:twoCellAnchor>
  <xdr:twoCellAnchor editAs="oneCell">
    <xdr:from>
      <xdr:col>22</xdr:col>
      <xdr:colOff>0</xdr:colOff>
      <xdr:row>158</xdr:row>
      <xdr:rowOff>527050</xdr:rowOff>
    </xdr:from>
    <xdr:to>
      <xdr:col>22</xdr:col>
      <xdr:colOff>299110</xdr:colOff>
      <xdr:row>164</xdr:row>
      <xdr:rowOff>107360</xdr:rowOff>
    </xdr:to>
    <xdr:pic>
      <xdr:nvPicPr>
        <xdr:cNvPr id="1106" name="Picture 1105">
          <a:extLst>
            <a:ext uri="{FF2B5EF4-FFF2-40B4-BE49-F238E27FC236}">
              <a16:creationId xmlns:a16="http://schemas.microsoft.com/office/drawing/2014/main" id="{32407E59-C621-473A-B929-600BC3DF208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78663800"/>
          <a:ext cx="299110" cy="1028110"/>
        </a:xfrm>
        <a:prstGeom prst="rect">
          <a:avLst/>
        </a:prstGeom>
      </xdr:spPr>
    </xdr:pic>
    <xdr:clientData/>
  </xdr:twoCellAnchor>
  <xdr:twoCellAnchor editAs="oneCell">
    <xdr:from>
      <xdr:col>16</xdr:col>
      <xdr:colOff>0</xdr:colOff>
      <xdr:row>218</xdr:row>
      <xdr:rowOff>95250</xdr:rowOff>
    </xdr:from>
    <xdr:to>
      <xdr:col>16</xdr:col>
      <xdr:colOff>299110</xdr:colOff>
      <xdr:row>223</xdr:row>
      <xdr:rowOff>126409</xdr:rowOff>
    </xdr:to>
    <xdr:pic>
      <xdr:nvPicPr>
        <xdr:cNvPr id="1107" name="Picture 1106">
          <a:extLst>
            <a:ext uri="{FF2B5EF4-FFF2-40B4-BE49-F238E27FC236}">
              <a16:creationId xmlns:a16="http://schemas.microsoft.com/office/drawing/2014/main" id="{BA4F5730-D781-484B-99D2-CC0382F318F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9023150"/>
          <a:ext cx="299110" cy="951909"/>
        </a:xfrm>
        <a:prstGeom prst="rect">
          <a:avLst/>
        </a:prstGeom>
      </xdr:spPr>
    </xdr:pic>
    <xdr:clientData/>
  </xdr:twoCellAnchor>
  <xdr:twoCellAnchor editAs="oneCell">
    <xdr:from>
      <xdr:col>14</xdr:col>
      <xdr:colOff>9525</xdr:colOff>
      <xdr:row>225</xdr:row>
      <xdr:rowOff>406400</xdr:rowOff>
    </xdr:from>
    <xdr:to>
      <xdr:col>14</xdr:col>
      <xdr:colOff>308635</xdr:colOff>
      <xdr:row>231</xdr:row>
      <xdr:rowOff>5759</xdr:rowOff>
    </xdr:to>
    <xdr:pic>
      <xdr:nvPicPr>
        <xdr:cNvPr id="1108" name="Picture 1107">
          <a:extLst>
            <a:ext uri="{FF2B5EF4-FFF2-40B4-BE49-F238E27FC236}">
              <a16:creationId xmlns:a16="http://schemas.microsoft.com/office/drawing/2014/main" id="{55513818-F16B-431E-B21F-995441FDAE1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44675" y="111982250"/>
          <a:ext cx="299110" cy="926509"/>
        </a:xfrm>
        <a:prstGeom prst="rect">
          <a:avLst/>
        </a:prstGeom>
      </xdr:spPr>
    </xdr:pic>
    <xdr:clientData/>
  </xdr:twoCellAnchor>
  <xdr:twoCellAnchor editAs="oneCell">
    <xdr:from>
      <xdr:col>8</xdr:col>
      <xdr:colOff>0</xdr:colOff>
      <xdr:row>225</xdr:row>
      <xdr:rowOff>428625</xdr:rowOff>
    </xdr:from>
    <xdr:to>
      <xdr:col>8</xdr:col>
      <xdr:colOff>299110</xdr:colOff>
      <xdr:row>230</xdr:row>
      <xdr:rowOff>161334</xdr:rowOff>
    </xdr:to>
    <xdr:pic>
      <xdr:nvPicPr>
        <xdr:cNvPr id="1109" name="Picture 1108">
          <a:extLst>
            <a:ext uri="{FF2B5EF4-FFF2-40B4-BE49-F238E27FC236}">
              <a16:creationId xmlns:a16="http://schemas.microsoft.com/office/drawing/2014/main" id="{03AFDA26-9805-4C6D-AB9A-A4694FFD66B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12004475"/>
          <a:ext cx="299110" cy="901109"/>
        </a:xfrm>
        <a:prstGeom prst="rect">
          <a:avLst/>
        </a:prstGeom>
      </xdr:spPr>
    </xdr:pic>
    <xdr:clientData/>
  </xdr:twoCellAnchor>
  <xdr:twoCellAnchor editAs="oneCell">
    <xdr:from>
      <xdr:col>10</xdr:col>
      <xdr:colOff>57150</xdr:colOff>
      <xdr:row>225</xdr:row>
      <xdr:rowOff>454025</xdr:rowOff>
    </xdr:from>
    <xdr:to>
      <xdr:col>10</xdr:col>
      <xdr:colOff>356260</xdr:colOff>
      <xdr:row>230</xdr:row>
      <xdr:rowOff>135934</xdr:rowOff>
    </xdr:to>
    <xdr:pic>
      <xdr:nvPicPr>
        <xdr:cNvPr id="1110" name="Picture 1109">
          <a:extLst>
            <a:ext uri="{FF2B5EF4-FFF2-40B4-BE49-F238E27FC236}">
              <a16:creationId xmlns:a16="http://schemas.microsoft.com/office/drawing/2014/main" id="{26E44AD7-743F-4EFE-B1F5-1789D942980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66400" y="112029875"/>
          <a:ext cx="299110" cy="875709"/>
        </a:xfrm>
        <a:prstGeom prst="rect">
          <a:avLst/>
        </a:prstGeom>
      </xdr:spPr>
    </xdr:pic>
    <xdr:clientData/>
  </xdr:twoCellAnchor>
  <xdr:twoCellAnchor editAs="oneCell">
    <xdr:from>
      <xdr:col>20</xdr:col>
      <xdr:colOff>0</xdr:colOff>
      <xdr:row>140</xdr:row>
      <xdr:rowOff>492125</xdr:rowOff>
    </xdr:from>
    <xdr:to>
      <xdr:col>20</xdr:col>
      <xdr:colOff>276885</xdr:colOff>
      <xdr:row>145</xdr:row>
      <xdr:rowOff>37509</xdr:rowOff>
    </xdr:to>
    <xdr:pic>
      <xdr:nvPicPr>
        <xdr:cNvPr id="1111" name="Picture 1110">
          <a:extLst>
            <a:ext uri="{FF2B5EF4-FFF2-40B4-BE49-F238E27FC236}">
              <a16:creationId xmlns:a16="http://schemas.microsoft.com/office/drawing/2014/main" id="{1CE95723-EADD-436E-87B5-BB14F608E50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70697725"/>
          <a:ext cx="276885" cy="777284"/>
        </a:xfrm>
        <a:prstGeom prst="rect">
          <a:avLst/>
        </a:prstGeom>
      </xdr:spPr>
    </xdr:pic>
    <xdr:clientData/>
  </xdr:twoCellAnchor>
  <xdr:twoCellAnchor editAs="oneCell">
    <xdr:from>
      <xdr:col>16</xdr:col>
      <xdr:colOff>15875</xdr:colOff>
      <xdr:row>184</xdr:row>
      <xdr:rowOff>460375</xdr:rowOff>
    </xdr:from>
    <xdr:to>
      <xdr:col>16</xdr:col>
      <xdr:colOff>299110</xdr:colOff>
      <xdr:row>190</xdr:row>
      <xdr:rowOff>167684</xdr:rowOff>
    </xdr:to>
    <xdr:pic>
      <xdr:nvPicPr>
        <xdr:cNvPr id="1112" name="Picture 1111">
          <a:extLst>
            <a:ext uri="{FF2B5EF4-FFF2-40B4-BE49-F238E27FC236}">
              <a16:creationId xmlns:a16="http://schemas.microsoft.com/office/drawing/2014/main" id="{862EFEC8-E93E-48B1-B3C2-34716538990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63975" y="91830525"/>
          <a:ext cx="283235" cy="1091609"/>
        </a:xfrm>
        <a:prstGeom prst="rect">
          <a:avLst/>
        </a:prstGeom>
      </xdr:spPr>
    </xdr:pic>
    <xdr:clientData/>
  </xdr:twoCellAnchor>
  <xdr:twoCellAnchor editAs="oneCell">
    <xdr:from>
      <xdr:col>4</xdr:col>
      <xdr:colOff>0</xdr:colOff>
      <xdr:row>243</xdr:row>
      <xdr:rowOff>381000</xdr:rowOff>
    </xdr:from>
    <xdr:to>
      <xdr:col>4</xdr:col>
      <xdr:colOff>299110</xdr:colOff>
      <xdr:row>249</xdr:row>
      <xdr:rowOff>31159</xdr:rowOff>
    </xdr:to>
    <xdr:pic>
      <xdr:nvPicPr>
        <xdr:cNvPr id="1113" name="Picture 1112">
          <a:extLst>
            <a:ext uri="{FF2B5EF4-FFF2-40B4-BE49-F238E27FC236}">
              <a16:creationId xmlns:a16="http://schemas.microsoft.com/office/drawing/2014/main" id="{69C0C331-A4D8-428A-AB30-80123CD1C31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20230900"/>
          <a:ext cx="299110" cy="951909"/>
        </a:xfrm>
        <a:prstGeom prst="rect">
          <a:avLst/>
        </a:prstGeom>
      </xdr:spPr>
    </xdr:pic>
    <xdr:clientData/>
  </xdr:twoCellAnchor>
  <xdr:twoCellAnchor editAs="oneCell">
    <xdr:from>
      <xdr:col>6</xdr:col>
      <xdr:colOff>25400</xdr:colOff>
      <xdr:row>243</xdr:row>
      <xdr:rowOff>501650</xdr:rowOff>
    </xdr:from>
    <xdr:to>
      <xdr:col>6</xdr:col>
      <xdr:colOff>314985</xdr:colOff>
      <xdr:row>248</xdr:row>
      <xdr:rowOff>94659</xdr:rowOff>
    </xdr:to>
    <xdr:pic>
      <xdr:nvPicPr>
        <xdr:cNvPr id="1114" name="Picture 1113">
          <a:extLst>
            <a:ext uri="{FF2B5EF4-FFF2-40B4-BE49-F238E27FC236}">
              <a16:creationId xmlns:a16="http://schemas.microsoft.com/office/drawing/2014/main" id="{1F768308-F15B-4880-B323-0822B86C61F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91250" y="120351550"/>
          <a:ext cx="289585" cy="831259"/>
        </a:xfrm>
        <a:prstGeom prst="rect">
          <a:avLst/>
        </a:prstGeom>
      </xdr:spPr>
    </xdr:pic>
    <xdr:clientData/>
  </xdr:twoCellAnchor>
  <xdr:twoCellAnchor editAs="oneCell">
    <xdr:from>
      <xdr:col>20</xdr:col>
      <xdr:colOff>0</xdr:colOff>
      <xdr:row>201</xdr:row>
      <xdr:rowOff>396875</xdr:rowOff>
    </xdr:from>
    <xdr:to>
      <xdr:col>20</xdr:col>
      <xdr:colOff>299110</xdr:colOff>
      <xdr:row>208</xdr:row>
      <xdr:rowOff>56559</xdr:rowOff>
    </xdr:to>
    <xdr:pic>
      <xdr:nvPicPr>
        <xdr:cNvPr id="1115" name="Picture 1114">
          <a:extLst>
            <a:ext uri="{FF2B5EF4-FFF2-40B4-BE49-F238E27FC236}">
              <a16:creationId xmlns:a16="http://schemas.microsoft.com/office/drawing/2014/main" id="{8DBB0D39-A6FB-481B-A388-0B8B981B0F7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00072825"/>
          <a:ext cx="299110" cy="1164634"/>
        </a:xfrm>
        <a:prstGeom prst="rect">
          <a:avLst/>
        </a:prstGeom>
      </xdr:spPr>
    </xdr:pic>
    <xdr:clientData/>
  </xdr:twoCellAnchor>
  <xdr:twoCellAnchor editAs="oneCell">
    <xdr:from>
      <xdr:col>18</xdr:col>
      <xdr:colOff>31750</xdr:colOff>
      <xdr:row>122</xdr:row>
      <xdr:rowOff>492125</xdr:rowOff>
    </xdr:from>
    <xdr:to>
      <xdr:col>18</xdr:col>
      <xdr:colOff>324510</xdr:colOff>
      <xdr:row>128</xdr:row>
      <xdr:rowOff>135934</xdr:rowOff>
    </xdr:to>
    <xdr:pic>
      <xdr:nvPicPr>
        <xdr:cNvPr id="1116" name="Picture 1115">
          <a:extLst>
            <a:ext uri="{FF2B5EF4-FFF2-40B4-BE49-F238E27FC236}">
              <a16:creationId xmlns:a16="http://schemas.microsoft.com/office/drawing/2014/main" id="{902C6547-2D17-41F5-995C-3028A4D3530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92850" y="61617225"/>
          <a:ext cx="292760" cy="1059859"/>
        </a:xfrm>
        <a:prstGeom prst="rect">
          <a:avLst/>
        </a:prstGeom>
      </xdr:spPr>
    </xdr:pic>
    <xdr:clientData/>
  </xdr:twoCellAnchor>
  <xdr:twoCellAnchor editAs="oneCell">
    <xdr:from>
      <xdr:col>26</xdr:col>
      <xdr:colOff>0</xdr:colOff>
      <xdr:row>209</xdr:row>
      <xdr:rowOff>523875</xdr:rowOff>
    </xdr:from>
    <xdr:to>
      <xdr:col>26</xdr:col>
      <xdr:colOff>299110</xdr:colOff>
      <xdr:row>214</xdr:row>
      <xdr:rowOff>18459</xdr:rowOff>
    </xdr:to>
    <xdr:pic>
      <xdr:nvPicPr>
        <xdr:cNvPr id="1117" name="Picture 1116">
          <a:extLst>
            <a:ext uri="{FF2B5EF4-FFF2-40B4-BE49-F238E27FC236}">
              <a16:creationId xmlns:a16="http://schemas.microsoft.com/office/drawing/2014/main" id="{866EE0FA-4314-49CE-9846-D871C28044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04003475"/>
          <a:ext cx="299110" cy="758234"/>
        </a:xfrm>
        <a:prstGeom prst="rect">
          <a:avLst/>
        </a:prstGeom>
      </xdr:spPr>
    </xdr:pic>
    <xdr:clientData/>
  </xdr:twoCellAnchor>
  <xdr:twoCellAnchor editAs="oneCell">
    <xdr:from>
      <xdr:col>16</xdr:col>
      <xdr:colOff>31750</xdr:colOff>
      <xdr:row>122</xdr:row>
      <xdr:rowOff>396875</xdr:rowOff>
    </xdr:from>
    <xdr:to>
      <xdr:col>16</xdr:col>
      <xdr:colOff>330860</xdr:colOff>
      <xdr:row>129</xdr:row>
      <xdr:rowOff>43859</xdr:rowOff>
    </xdr:to>
    <xdr:pic>
      <xdr:nvPicPr>
        <xdr:cNvPr id="1118" name="Picture 1117">
          <a:extLst>
            <a:ext uri="{FF2B5EF4-FFF2-40B4-BE49-F238E27FC236}">
              <a16:creationId xmlns:a16="http://schemas.microsoft.com/office/drawing/2014/main" id="{A20ECFE3-2462-4936-886B-1EE56BB0254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79850" y="61521975"/>
          <a:ext cx="299110" cy="1151934"/>
        </a:xfrm>
        <a:prstGeom prst="rect">
          <a:avLst/>
        </a:prstGeom>
      </xdr:spPr>
    </xdr:pic>
    <xdr:clientData/>
  </xdr:twoCellAnchor>
  <xdr:twoCellAnchor editAs="oneCell">
    <xdr:from>
      <xdr:col>16</xdr:col>
      <xdr:colOff>0</xdr:colOff>
      <xdr:row>193</xdr:row>
      <xdr:rowOff>355600</xdr:rowOff>
    </xdr:from>
    <xdr:to>
      <xdr:col>16</xdr:col>
      <xdr:colOff>299110</xdr:colOff>
      <xdr:row>200</xdr:row>
      <xdr:rowOff>88309</xdr:rowOff>
    </xdr:to>
    <xdr:pic>
      <xdr:nvPicPr>
        <xdr:cNvPr id="1119" name="Picture 1118">
          <a:extLst>
            <a:ext uri="{FF2B5EF4-FFF2-40B4-BE49-F238E27FC236}">
              <a16:creationId xmlns:a16="http://schemas.microsoft.com/office/drawing/2014/main" id="{1C00B6FD-3F50-4E94-AA41-16094AEA717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96259650"/>
          <a:ext cx="299110" cy="1193209"/>
        </a:xfrm>
        <a:prstGeom prst="rect">
          <a:avLst/>
        </a:prstGeom>
      </xdr:spPr>
    </xdr:pic>
    <xdr:clientData/>
  </xdr:twoCellAnchor>
  <xdr:twoCellAnchor editAs="oneCell">
    <xdr:from>
      <xdr:col>18</xdr:col>
      <xdr:colOff>12700</xdr:colOff>
      <xdr:row>193</xdr:row>
      <xdr:rowOff>431800</xdr:rowOff>
    </xdr:from>
    <xdr:to>
      <xdr:col>18</xdr:col>
      <xdr:colOff>311810</xdr:colOff>
      <xdr:row>200</xdr:row>
      <xdr:rowOff>12109</xdr:rowOff>
    </xdr:to>
    <xdr:pic>
      <xdr:nvPicPr>
        <xdr:cNvPr id="1120" name="Picture 1119">
          <a:extLst>
            <a:ext uri="{FF2B5EF4-FFF2-40B4-BE49-F238E27FC236}">
              <a16:creationId xmlns:a16="http://schemas.microsoft.com/office/drawing/2014/main" id="{625263D7-09B4-4BF5-86AA-5C8BDC1BFCB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73800" y="96335850"/>
          <a:ext cx="299110" cy="1117009"/>
        </a:xfrm>
        <a:prstGeom prst="rect">
          <a:avLst/>
        </a:prstGeom>
      </xdr:spPr>
    </xdr:pic>
    <xdr:clientData/>
  </xdr:twoCellAnchor>
  <xdr:twoCellAnchor editAs="oneCell">
    <xdr:from>
      <xdr:col>4</xdr:col>
      <xdr:colOff>0</xdr:colOff>
      <xdr:row>201</xdr:row>
      <xdr:rowOff>301625</xdr:rowOff>
    </xdr:from>
    <xdr:to>
      <xdr:col>4</xdr:col>
      <xdr:colOff>299110</xdr:colOff>
      <xdr:row>208</xdr:row>
      <xdr:rowOff>151809</xdr:rowOff>
    </xdr:to>
    <xdr:pic>
      <xdr:nvPicPr>
        <xdr:cNvPr id="1121" name="Picture 1120">
          <a:extLst>
            <a:ext uri="{FF2B5EF4-FFF2-40B4-BE49-F238E27FC236}">
              <a16:creationId xmlns:a16="http://schemas.microsoft.com/office/drawing/2014/main" id="{B8A1BDB9-81A7-4765-8737-662DBA2251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99977575"/>
          <a:ext cx="299110" cy="1259884"/>
        </a:xfrm>
        <a:prstGeom prst="rect">
          <a:avLst/>
        </a:prstGeom>
      </xdr:spPr>
    </xdr:pic>
    <xdr:clientData/>
  </xdr:twoCellAnchor>
  <xdr:twoCellAnchor editAs="oneCell">
    <xdr:from>
      <xdr:col>6</xdr:col>
      <xdr:colOff>0</xdr:colOff>
      <xdr:row>202</xdr:row>
      <xdr:rowOff>15875</xdr:rowOff>
    </xdr:from>
    <xdr:to>
      <xdr:col>6</xdr:col>
      <xdr:colOff>299110</xdr:colOff>
      <xdr:row>207</xdr:row>
      <xdr:rowOff>110534</xdr:rowOff>
    </xdr:to>
    <xdr:pic>
      <xdr:nvPicPr>
        <xdr:cNvPr id="1122" name="Picture 1121">
          <a:extLst>
            <a:ext uri="{FF2B5EF4-FFF2-40B4-BE49-F238E27FC236}">
              <a16:creationId xmlns:a16="http://schemas.microsoft.com/office/drawing/2014/main" id="{D5C971E7-452B-4CCF-9AC6-21907844EAF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00961825"/>
          <a:ext cx="299110" cy="1015409"/>
        </a:xfrm>
        <a:prstGeom prst="rect">
          <a:avLst/>
        </a:prstGeom>
      </xdr:spPr>
    </xdr:pic>
    <xdr:clientData/>
  </xdr:twoCellAnchor>
  <xdr:twoCellAnchor editAs="oneCell">
    <xdr:from>
      <xdr:col>12</xdr:col>
      <xdr:colOff>0</xdr:colOff>
      <xdr:row>225</xdr:row>
      <xdr:rowOff>428625</xdr:rowOff>
    </xdr:from>
    <xdr:to>
      <xdr:col>12</xdr:col>
      <xdr:colOff>299110</xdr:colOff>
      <xdr:row>232</xdr:row>
      <xdr:rowOff>109476</xdr:rowOff>
    </xdr:to>
    <xdr:pic>
      <xdr:nvPicPr>
        <xdr:cNvPr id="1123" name="Picture 1122">
          <a:extLst>
            <a:ext uri="{FF2B5EF4-FFF2-40B4-BE49-F238E27FC236}">
              <a16:creationId xmlns:a16="http://schemas.microsoft.com/office/drawing/2014/main" id="{CD074193-5CDE-4A7B-8DDC-F62885F9690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112004475"/>
          <a:ext cx="299110" cy="1217551"/>
        </a:xfrm>
        <a:prstGeom prst="rect">
          <a:avLst/>
        </a:prstGeom>
      </xdr:spPr>
    </xdr:pic>
    <xdr:clientData/>
  </xdr:twoCellAnchor>
  <xdr:twoCellAnchor editAs="oneCell">
    <xdr:from>
      <xdr:col>12</xdr:col>
      <xdr:colOff>38100</xdr:colOff>
      <xdr:row>217</xdr:row>
      <xdr:rowOff>495300</xdr:rowOff>
    </xdr:from>
    <xdr:to>
      <xdr:col>12</xdr:col>
      <xdr:colOff>337210</xdr:colOff>
      <xdr:row>222</xdr:row>
      <xdr:rowOff>97834</xdr:rowOff>
    </xdr:to>
    <xdr:pic>
      <xdr:nvPicPr>
        <xdr:cNvPr id="1124" name="Picture 1123">
          <a:extLst>
            <a:ext uri="{FF2B5EF4-FFF2-40B4-BE49-F238E27FC236}">
              <a16:creationId xmlns:a16="http://schemas.microsoft.com/office/drawing/2014/main" id="{76371E81-0213-4600-97C7-A5DCCB93125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60300" y="108153200"/>
          <a:ext cx="299110" cy="834434"/>
        </a:xfrm>
        <a:prstGeom prst="rect">
          <a:avLst/>
        </a:prstGeom>
      </xdr:spPr>
    </xdr:pic>
    <xdr:clientData/>
  </xdr:twoCellAnchor>
  <xdr:twoCellAnchor editAs="oneCell">
    <xdr:from>
      <xdr:col>18</xdr:col>
      <xdr:colOff>0</xdr:colOff>
      <xdr:row>185</xdr:row>
      <xdr:rowOff>111125</xdr:rowOff>
    </xdr:from>
    <xdr:to>
      <xdr:col>18</xdr:col>
      <xdr:colOff>299110</xdr:colOff>
      <xdr:row>192</xdr:row>
      <xdr:rowOff>81959</xdr:rowOff>
    </xdr:to>
    <xdr:pic>
      <xdr:nvPicPr>
        <xdr:cNvPr id="1125" name="Picture 1124">
          <a:extLst>
            <a:ext uri="{FF2B5EF4-FFF2-40B4-BE49-F238E27FC236}">
              <a16:creationId xmlns:a16="http://schemas.microsoft.com/office/drawing/2014/main" id="{49119760-7A7A-45C0-9E9E-6F25154EB4F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92751275"/>
          <a:ext cx="299110" cy="1259884"/>
        </a:xfrm>
        <a:prstGeom prst="rect">
          <a:avLst/>
        </a:prstGeom>
      </xdr:spPr>
    </xdr:pic>
    <xdr:clientData/>
  </xdr:twoCellAnchor>
  <xdr:twoCellAnchor editAs="oneCell">
    <xdr:from>
      <xdr:col>22</xdr:col>
      <xdr:colOff>0</xdr:colOff>
      <xdr:row>141</xdr:row>
      <xdr:rowOff>63500</xdr:rowOff>
    </xdr:from>
    <xdr:to>
      <xdr:col>22</xdr:col>
      <xdr:colOff>292760</xdr:colOff>
      <xdr:row>146</xdr:row>
      <xdr:rowOff>75609</xdr:rowOff>
    </xdr:to>
    <xdr:pic>
      <xdr:nvPicPr>
        <xdr:cNvPr id="1126" name="Picture 1125">
          <a:extLst>
            <a:ext uri="{FF2B5EF4-FFF2-40B4-BE49-F238E27FC236}">
              <a16:creationId xmlns:a16="http://schemas.microsoft.com/office/drawing/2014/main" id="{A10C0030-EF5D-4662-9056-C3A58AA0E1C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71539100"/>
          <a:ext cx="292760" cy="932859"/>
        </a:xfrm>
        <a:prstGeom prst="rect">
          <a:avLst/>
        </a:prstGeom>
      </xdr:spPr>
    </xdr:pic>
    <xdr:clientData/>
  </xdr:twoCellAnchor>
  <xdr:twoCellAnchor>
    <xdr:from>
      <xdr:col>17</xdr:col>
      <xdr:colOff>0</xdr:colOff>
      <xdr:row>265</xdr:row>
      <xdr:rowOff>57150</xdr:rowOff>
    </xdr:from>
    <xdr:to>
      <xdr:col>18</xdr:col>
      <xdr:colOff>0</xdr:colOff>
      <xdr:row>266</xdr:row>
      <xdr:rowOff>190500</xdr:rowOff>
    </xdr:to>
    <xdr:sp macro="" textlink="">
      <xdr:nvSpPr>
        <xdr:cNvPr id="1127" name="AutoShape 46">
          <a:extLst>
            <a:ext uri="{FF2B5EF4-FFF2-40B4-BE49-F238E27FC236}">
              <a16:creationId xmlns:a16="http://schemas.microsoft.com/office/drawing/2014/main" id="{D3272AA0-79BE-4546-8C5E-FC465FD0E623}"/>
            </a:ext>
          </a:extLst>
        </xdr:cNvPr>
        <xdr:cNvSpPr>
          <a:spLocks noChangeArrowheads="1"/>
        </xdr:cNvSpPr>
      </xdr:nvSpPr>
      <xdr:spPr bwMode="auto">
        <a:xfrm>
          <a:off x="177292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265</xdr:row>
      <xdr:rowOff>57150</xdr:rowOff>
    </xdr:from>
    <xdr:to>
      <xdr:col>18</xdr:col>
      <xdr:colOff>0</xdr:colOff>
      <xdr:row>266</xdr:row>
      <xdr:rowOff>190500</xdr:rowOff>
    </xdr:to>
    <xdr:sp macro="" textlink="">
      <xdr:nvSpPr>
        <xdr:cNvPr id="1128" name="AutoShape 46">
          <a:extLst>
            <a:ext uri="{FF2B5EF4-FFF2-40B4-BE49-F238E27FC236}">
              <a16:creationId xmlns:a16="http://schemas.microsoft.com/office/drawing/2014/main" id="{1D45615D-9EF7-417D-804D-E433D39086A8}"/>
            </a:ext>
          </a:extLst>
        </xdr:cNvPr>
        <xdr:cNvSpPr>
          <a:spLocks noChangeArrowheads="1"/>
        </xdr:cNvSpPr>
      </xdr:nvSpPr>
      <xdr:spPr bwMode="auto">
        <a:xfrm>
          <a:off x="177292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29" name="AutoShape 46">
          <a:extLst>
            <a:ext uri="{FF2B5EF4-FFF2-40B4-BE49-F238E27FC236}">
              <a16:creationId xmlns:a16="http://schemas.microsoft.com/office/drawing/2014/main" id="{704A3172-B0A5-4C80-886C-ED74AE80454A}"/>
            </a:ext>
          </a:extLst>
        </xdr:cNvPr>
        <xdr:cNvSpPr>
          <a:spLocks noChangeArrowheads="1"/>
        </xdr:cNvSpPr>
      </xdr:nvSpPr>
      <xdr:spPr bwMode="auto">
        <a:xfrm>
          <a:off x="276288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30" name="AutoShape 46">
          <a:extLst>
            <a:ext uri="{FF2B5EF4-FFF2-40B4-BE49-F238E27FC236}">
              <a16:creationId xmlns:a16="http://schemas.microsoft.com/office/drawing/2014/main" id="{CD38E77E-1D21-47C7-A72F-23D3F986DE2F}"/>
            </a:ext>
          </a:extLst>
        </xdr:cNvPr>
        <xdr:cNvSpPr>
          <a:spLocks noChangeArrowheads="1"/>
        </xdr:cNvSpPr>
      </xdr:nvSpPr>
      <xdr:spPr bwMode="auto">
        <a:xfrm>
          <a:off x="276288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31" name="AutoShape 46">
          <a:extLst>
            <a:ext uri="{FF2B5EF4-FFF2-40B4-BE49-F238E27FC236}">
              <a16:creationId xmlns:a16="http://schemas.microsoft.com/office/drawing/2014/main" id="{D133AC32-84B4-4E4C-9CBB-33790C202242}"/>
            </a:ext>
          </a:extLst>
        </xdr:cNvPr>
        <xdr:cNvSpPr>
          <a:spLocks noChangeArrowheads="1"/>
        </xdr:cNvSpPr>
      </xdr:nvSpPr>
      <xdr:spPr bwMode="auto">
        <a:xfrm>
          <a:off x="276288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4954</xdr:colOff>
      <xdr:row>257</xdr:row>
      <xdr:rowOff>31562</xdr:rowOff>
    </xdr:from>
    <xdr:to>
      <xdr:col>23</xdr:col>
      <xdr:colOff>4954</xdr:colOff>
      <xdr:row>259</xdr:row>
      <xdr:rowOff>51867</xdr:rowOff>
    </xdr:to>
    <xdr:sp macro="" textlink="">
      <xdr:nvSpPr>
        <xdr:cNvPr id="1132" name="Freeform 1130">
          <a:extLst>
            <a:ext uri="{FF2B5EF4-FFF2-40B4-BE49-F238E27FC236}">
              <a16:creationId xmlns:a16="http://schemas.microsoft.com/office/drawing/2014/main" id="{96117169-C28F-4CB3-853D-94D0CD6C5D10}"/>
            </a:ext>
          </a:extLst>
        </xdr:cNvPr>
        <xdr:cNvSpPr>
          <a:spLocks noChangeArrowheads="1"/>
        </xdr:cNvSpPr>
      </xdr:nvSpPr>
      <xdr:spPr bwMode="auto">
        <a:xfrm rot="5139476">
          <a:off x="24499451" y="126971865"/>
          <a:ext cx="655305" cy="133350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editAs="oneCell">
    <xdr:from>
      <xdr:col>14</xdr:col>
      <xdr:colOff>0</xdr:colOff>
      <xdr:row>184</xdr:row>
      <xdr:rowOff>523875</xdr:rowOff>
    </xdr:from>
    <xdr:to>
      <xdr:col>14</xdr:col>
      <xdr:colOff>299110</xdr:colOff>
      <xdr:row>190</xdr:row>
      <xdr:rowOff>104185</xdr:rowOff>
    </xdr:to>
    <xdr:pic>
      <xdr:nvPicPr>
        <xdr:cNvPr id="1133" name="Picture 1132">
          <a:extLst>
            <a:ext uri="{FF2B5EF4-FFF2-40B4-BE49-F238E27FC236}">
              <a16:creationId xmlns:a16="http://schemas.microsoft.com/office/drawing/2014/main" id="{9673DC2D-575A-4952-A040-DC0FCFA5628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91894025"/>
          <a:ext cx="299110" cy="1028110"/>
        </a:xfrm>
        <a:prstGeom prst="rect">
          <a:avLst/>
        </a:prstGeom>
      </xdr:spPr>
    </xdr:pic>
    <xdr:clientData/>
  </xdr:twoCellAnchor>
  <xdr:twoCellAnchor editAs="oneCell">
    <xdr:from>
      <xdr:col>26</xdr:col>
      <xdr:colOff>0</xdr:colOff>
      <xdr:row>201</xdr:row>
      <xdr:rowOff>508000</xdr:rowOff>
    </xdr:from>
    <xdr:to>
      <xdr:col>26</xdr:col>
      <xdr:colOff>299110</xdr:colOff>
      <xdr:row>207</xdr:row>
      <xdr:rowOff>139110</xdr:rowOff>
    </xdr:to>
    <xdr:pic>
      <xdr:nvPicPr>
        <xdr:cNvPr id="1134" name="Picture 1133">
          <a:extLst>
            <a:ext uri="{FF2B5EF4-FFF2-40B4-BE49-F238E27FC236}">
              <a16:creationId xmlns:a16="http://schemas.microsoft.com/office/drawing/2014/main" id="{61DFF62F-E31B-43F9-9C4D-6E933F9162A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00183950"/>
          <a:ext cx="299110" cy="1059860"/>
        </a:xfrm>
        <a:prstGeom prst="rect">
          <a:avLst/>
        </a:prstGeom>
      </xdr:spPr>
    </xdr:pic>
    <xdr:clientData/>
  </xdr:twoCellAnchor>
  <xdr:twoCellAnchor>
    <xdr:from>
      <xdr:col>2</xdr:col>
      <xdr:colOff>174625</xdr:colOff>
      <xdr:row>77</xdr:row>
      <xdr:rowOff>222250</xdr:rowOff>
    </xdr:from>
    <xdr:to>
      <xdr:col>2</xdr:col>
      <xdr:colOff>552300</xdr:colOff>
      <xdr:row>80</xdr:row>
      <xdr:rowOff>177117</xdr:rowOff>
    </xdr:to>
    <xdr:pic>
      <xdr:nvPicPr>
        <xdr:cNvPr id="1135" name="Picture 7">
          <a:extLst>
            <a:ext uri="{FF2B5EF4-FFF2-40B4-BE49-F238E27FC236}">
              <a16:creationId xmlns:a16="http://schemas.microsoft.com/office/drawing/2014/main" id="{FA5D39C5-9E68-43BA-A300-B702D815B617}"/>
            </a:ext>
          </a:extLst>
        </xdr:cNvPr>
        <xdr:cNvPicPr>
          <a:picLocks noChangeAspect="1"/>
        </xdr:cNvPicPr>
      </xdr:nvPicPr>
      <xdr:blipFill>
        <a:blip xmlns:r="http://schemas.openxmlformats.org/officeDocument/2006/relationships" r:embed="rId1" cstate="print"/>
        <a:srcRect/>
        <a:stretch>
          <a:fillRect/>
        </a:stretch>
      </xdr:blipFill>
      <xdr:spPr bwMode="auto">
        <a:xfrm>
          <a:off x="2187575" y="39166800"/>
          <a:ext cx="377675" cy="1224867"/>
        </a:xfrm>
        <a:prstGeom prst="rect">
          <a:avLst/>
        </a:prstGeom>
        <a:noFill/>
        <a:ln w="9525">
          <a:noFill/>
          <a:miter lim="800000"/>
          <a:headEnd/>
          <a:tailEnd/>
        </a:ln>
      </xdr:spPr>
    </xdr:pic>
    <xdr:clientData/>
  </xdr:twoCellAnchor>
  <xdr:twoCellAnchor>
    <xdr:from>
      <xdr:col>11</xdr:col>
      <xdr:colOff>0</xdr:colOff>
      <xdr:row>96</xdr:row>
      <xdr:rowOff>57150</xdr:rowOff>
    </xdr:from>
    <xdr:to>
      <xdr:col>12</xdr:col>
      <xdr:colOff>0</xdr:colOff>
      <xdr:row>97</xdr:row>
      <xdr:rowOff>190500</xdr:rowOff>
    </xdr:to>
    <xdr:sp macro="" textlink="">
      <xdr:nvSpPr>
        <xdr:cNvPr id="1136" name="AutoShape 46">
          <a:extLst>
            <a:ext uri="{FF2B5EF4-FFF2-40B4-BE49-F238E27FC236}">
              <a16:creationId xmlns:a16="http://schemas.microsoft.com/office/drawing/2014/main" id="{2F49991B-06D4-483A-9A90-44F270C5D68B}"/>
            </a:ext>
          </a:extLst>
        </xdr:cNvPr>
        <xdr:cNvSpPr>
          <a:spLocks noChangeArrowheads="1"/>
        </xdr:cNvSpPr>
      </xdr:nvSpPr>
      <xdr:spPr bwMode="auto">
        <a:xfrm>
          <a:off x="112903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177799</xdr:colOff>
      <xdr:row>111</xdr:row>
      <xdr:rowOff>304802</xdr:rowOff>
    </xdr:from>
    <xdr:to>
      <xdr:col>10</xdr:col>
      <xdr:colOff>641348</xdr:colOff>
      <xdr:row>114</xdr:row>
      <xdr:rowOff>367847</xdr:rowOff>
    </xdr:to>
    <xdr:sp macro="" textlink="">
      <xdr:nvSpPr>
        <xdr:cNvPr id="1137" name="Equals 2636">
          <a:extLst>
            <a:ext uri="{FF2B5EF4-FFF2-40B4-BE49-F238E27FC236}">
              <a16:creationId xmlns:a16="http://schemas.microsoft.com/office/drawing/2014/main" id="{15809E29-22E6-4205-A094-2042EBCA7D2F}"/>
            </a:ext>
          </a:extLst>
        </xdr:cNvPr>
        <xdr:cNvSpPr/>
      </xdr:nvSpPr>
      <xdr:spPr>
        <a:xfrm rot="5400000">
          <a:off x="10160226" y="56470325"/>
          <a:ext cx="1517195" cy="463549"/>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24</xdr:col>
      <xdr:colOff>209550</xdr:colOff>
      <xdr:row>119</xdr:row>
      <xdr:rowOff>200028</xdr:rowOff>
    </xdr:from>
    <xdr:to>
      <xdr:col>24</xdr:col>
      <xdr:colOff>723899</xdr:colOff>
      <xdr:row>122</xdr:row>
      <xdr:rowOff>437700</xdr:rowOff>
    </xdr:to>
    <xdr:sp macro="" textlink="">
      <xdr:nvSpPr>
        <xdr:cNvPr id="1138" name="Equals 2636">
          <a:extLst>
            <a:ext uri="{FF2B5EF4-FFF2-40B4-BE49-F238E27FC236}">
              <a16:creationId xmlns:a16="http://schemas.microsoft.com/office/drawing/2014/main" id="{942041E0-155D-48D1-A9BE-79F95D3C041C}"/>
            </a:ext>
          </a:extLst>
        </xdr:cNvPr>
        <xdr:cNvSpPr/>
      </xdr:nvSpPr>
      <xdr:spPr>
        <a:xfrm rot="5400000">
          <a:off x="26576564" y="60694664"/>
          <a:ext cx="1221922" cy="514349"/>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0</xdr:colOff>
      <xdr:row>297</xdr:row>
      <xdr:rowOff>228600</xdr:rowOff>
    </xdr:from>
    <xdr:to>
      <xdr:col>17</xdr:col>
      <xdr:colOff>50800</xdr:colOff>
      <xdr:row>299</xdr:row>
      <xdr:rowOff>153356</xdr:rowOff>
    </xdr:to>
    <xdr:sp macro="" textlink="">
      <xdr:nvSpPr>
        <xdr:cNvPr id="1139" name="Block Arc 1138">
          <a:extLst>
            <a:ext uri="{FF2B5EF4-FFF2-40B4-BE49-F238E27FC236}">
              <a16:creationId xmlns:a16="http://schemas.microsoft.com/office/drawing/2014/main" id="{0E2598C1-E5DE-4D1C-8125-BBA54AB7DA4E}"/>
            </a:ext>
          </a:extLst>
        </xdr:cNvPr>
        <xdr:cNvSpPr/>
      </xdr:nvSpPr>
      <xdr:spPr>
        <a:xfrm>
          <a:off x="16548100" y="146107150"/>
          <a:ext cx="1231900" cy="559756"/>
        </a:xfrm>
        <a:prstGeom prst="blockArc">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158749</xdr:colOff>
      <xdr:row>248</xdr:row>
      <xdr:rowOff>454026</xdr:rowOff>
    </xdr:from>
    <xdr:to>
      <xdr:col>28</xdr:col>
      <xdr:colOff>723295</xdr:colOff>
      <xdr:row>251</xdr:row>
      <xdr:rowOff>365126</xdr:rowOff>
    </xdr:to>
    <xdr:sp macro="" textlink="">
      <xdr:nvSpPr>
        <xdr:cNvPr id="1140" name="Equals 2636">
          <a:extLst>
            <a:ext uri="{FF2B5EF4-FFF2-40B4-BE49-F238E27FC236}">
              <a16:creationId xmlns:a16="http://schemas.microsoft.com/office/drawing/2014/main" id="{93EEA22A-5FBC-4A4D-B3E8-885A2FB47D4E}"/>
            </a:ext>
          </a:extLst>
        </xdr:cNvPr>
        <xdr:cNvSpPr/>
      </xdr:nvSpPr>
      <xdr:spPr>
        <a:xfrm rot="5400000">
          <a:off x="30616222" y="123761803"/>
          <a:ext cx="1397000" cy="564546"/>
        </a:xfrm>
        <a:prstGeom prst="mathEqual">
          <a:avLst>
            <a:gd name="adj1" fmla="val 26168"/>
            <a:gd name="adj2" fmla="val 1167"/>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10</xdr:col>
      <xdr:colOff>215900</xdr:colOff>
      <xdr:row>198</xdr:row>
      <xdr:rowOff>215901</xdr:rowOff>
    </xdr:from>
    <xdr:to>
      <xdr:col>10</xdr:col>
      <xdr:colOff>711200</xdr:colOff>
      <xdr:row>201</xdr:row>
      <xdr:rowOff>304801</xdr:rowOff>
    </xdr:to>
    <xdr:sp macro="" textlink="">
      <xdr:nvSpPr>
        <xdr:cNvPr id="1141" name="Equals 2636">
          <a:extLst>
            <a:ext uri="{FF2B5EF4-FFF2-40B4-BE49-F238E27FC236}">
              <a16:creationId xmlns:a16="http://schemas.microsoft.com/office/drawing/2014/main" id="{DD509B4B-D044-4AAB-A9EF-B0CD041D46A0}"/>
            </a:ext>
          </a:extLst>
        </xdr:cNvPr>
        <xdr:cNvSpPr/>
      </xdr:nvSpPr>
      <xdr:spPr>
        <a:xfrm rot="5400000">
          <a:off x="10442575" y="99202876"/>
          <a:ext cx="1060450" cy="495300"/>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7</xdr:col>
      <xdr:colOff>952500</xdr:colOff>
      <xdr:row>265</xdr:row>
      <xdr:rowOff>241300</xdr:rowOff>
    </xdr:from>
    <xdr:to>
      <xdr:col>8</xdr:col>
      <xdr:colOff>774700</xdr:colOff>
      <xdr:row>267</xdr:row>
      <xdr:rowOff>166056</xdr:rowOff>
    </xdr:to>
    <xdr:sp macro="" textlink="">
      <xdr:nvSpPr>
        <xdr:cNvPr id="1142" name="Block Arc 1141">
          <a:extLst>
            <a:ext uri="{FF2B5EF4-FFF2-40B4-BE49-F238E27FC236}">
              <a16:creationId xmlns:a16="http://schemas.microsoft.com/office/drawing/2014/main" id="{1A83031E-5936-43A8-AE55-9D1D70273AC7}"/>
            </a:ext>
          </a:extLst>
        </xdr:cNvPr>
        <xdr:cNvSpPr/>
      </xdr:nvSpPr>
      <xdr:spPr>
        <a:xfrm>
          <a:off x="7899400" y="131318000"/>
          <a:ext cx="1054100" cy="5597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22</xdr:col>
      <xdr:colOff>0</xdr:colOff>
      <xdr:row>215</xdr:row>
      <xdr:rowOff>215900</xdr:rowOff>
    </xdr:from>
    <xdr:to>
      <xdr:col>23</xdr:col>
      <xdr:colOff>50800</xdr:colOff>
      <xdr:row>217</xdr:row>
      <xdr:rowOff>140656</xdr:rowOff>
    </xdr:to>
    <xdr:sp macro="" textlink="">
      <xdr:nvSpPr>
        <xdr:cNvPr id="1143" name="Block Arc 1142">
          <a:extLst>
            <a:ext uri="{FF2B5EF4-FFF2-40B4-BE49-F238E27FC236}">
              <a16:creationId xmlns:a16="http://schemas.microsoft.com/office/drawing/2014/main" id="{1E2BCF92-F3E5-4FA7-81AF-BBDF712AE8CD}"/>
            </a:ext>
          </a:extLst>
        </xdr:cNvPr>
        <xdr:cNvSpPr/>
      </xdr:nvSpPr>
      <xdr:spPr>
        <a:xfrm>
          <a:off x="24155400" y="107238800"/>
          <a:ext cx="1384300" cy="5597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6</xdr:col>
      <xdr:colOff>63500</xdr:colOff>
      <xdr:row>215</xdr:row>
      <xdr:rowOff>79374</xdr:rowOff>
    </xdr:from>
    <xdr:to>
      <xdr:col>7</xdr:col>
      <xdr:colOff>114300</xdr:colOff>
      <xdr:row>216</xdr:row>
      <xdr:rowOff>188280</xdr:rowOff>
    </xdr:to>
    <xdr:sp macro="" textlink="">
      <xdr:nvSpPr>
        <xdr:cNvPr id="1144" name="Block Arc 1143">
          <a:extLst>
            <a:ext uri="{FF2B5EF4-FFF2-40B4-BE49-F238E27FC236}">
              <a16:creationId xmlns:a16="http://schemas.microsoft.com/office/drawing/2014/main" id="{DBED475C-909D-455D-8229-13FAF46F3329}"/>
            </a:ext>
          </a:extLst>
        </xdr:cNvPr>
        <xdr:cNvSpPr/>
      </xdr:nvSpPr>
      <xdr:spPr>
        <a:xfrm>
          <a:off x="6229350" y="107102274"/>
          <a:ext cx="831850" cy="5343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20</xdr:col>
      <xdr:colOff>139700</xdr:colOff>
      <xdr:row>156</xdr:row>
      <xdr:rowOff>25400</xdr:rowOff>
    </xdr:from>
    <xdr:to>
      <xdr:col>20</xdr:col>
      <xdr:colOff>635000</xdr:colOff>
      <xdr:row>158</xdr:row>
      <xdr:rowOff>292100</xdr:rowOff>
    </xdr:to>
    <xdr:sp macro="" textlink="">
      <xdr:nvSpPr>
        <xdr:cNvPr id="1145" name="Equals 2636">
          <a:extLst>
            <a:ext uri="{FF2B5EF4-FFF2-40B4-BE49-F238E27FC236}">
              <a16:creationId xmlns:a16="http://schemas.microsoft.com/office/drawing/2014/main" id="{9182D36B-1828-48BD-B288-707C4C1C7870}"/>
            </a:ext>
          </a:extLst>
        </xdr:cNvPr>
        <xdr:cNvSpPr/>
      </xdr:nvSpPr>
      <xdr:spPr>
        <a:xfrm rot="5400000">
          <a:off x="21126450" y="77730350"/>
          <a:ext cx="901700" cy="495300"/>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28</xdr:col>
      <xdr:colOff>232833</xdr:colOff>
      <xdr:row>296</xdr:row>
      <xdr:rowOff>85725</xdr:rowOff>
    </xdr:from>
    <xdr:to>
      <xdr:col>29</xdr:col>
      <xdr:colOff>1512</xdr:colOff>
      <xdr:row>299</xdr:row>
      <xdr:rowOff>111125</xdr:rowOff>
    </xdr:to>
    <xdr:grpSp>
      <xdr:nvGrpSpPr>
        <xdr:cNvPr id="1146" name="Group 1115">
          <a:extLst>
            <a:ext uri="{FF2B5EF4-FFF2-40B4-BE49-F238E27FC236}">
              <a16:creationId xmlns:a16="http://schemas.microsoft.com/office/drawing/2014/main" id="{3F359784-DA7F-45CD-9BB8-A4460E066F6B}"/>
            </a:ext>
          </a:extLst>
        </xdr:cNvPr>
        <xdr:cNvGrpSpPr>
          <a:grpSpLocks/>
        </xdr:cNvGrpSpPr>
      </xdr:nvGrpSpPr>
      <xdr:grpSpPr bwMode="auto">
        <a:xfrm>
          <a:off x="31157333" y="145770600"/>
          <a:ext cx="705304" cy="1089025"/>
          <a:chOff x="5424645" y="49113913"/>
          <a:chExt cx="313716" cy="343844"/>
        </a:xfrm>
      </xdr:grpSpPr>
      <xdr:cxnSp macro="">
        <xdr:nvCxnSpPr>
          <xdr:cNvPr id="1147" name="Straight Connector 1107">
            <a:extLst>
              <a:ext uri="{FF2B5EF4-FFF2-40B4-BE49-F238E27FC236}">
                <a16:creationId xmlns:a16="http://schemas.microsoft.com/office/drawing/2014/main" id="{3B8ABFC7-E15C-91C8-DB06-9086BD1581DB}"/>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148" name="Straight Connector 1108">
            <a:extLst>
              <a:ext uri="{FF2B5EF4-FFF2-40B4-BE49-F238E27FC236}">
                <a16:creationId xmlns:a16="http://schemas.microsoft.com/office/drawing/2014/main" id="{381A1C9A-5A30-0FAC-EFDF-5B192D004001}"/>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149" name="Straight Connector 1109">
            <a:extLst>
              <a:ext uri="{FF2B5EF4-FFF2-40B4-BE49-F238E27FC236}">
                <a16:creationId xmlns:a16="http://schemas.microsoft.com/office/drawing/2014/main" id="{1BF02467-28AA-B003-27F8-44E323E8B6A0}"/>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150" name="Straight Connector 1111">
            <a:extLst>
              <a:ext uri="{FF2B5EF4-FFF2-40B4-BE49-F238E27FC236}">
                <a16:creationId xmlns:a16="http://schemas.microsoft.com/office/drawing/2014/main" id="{CE275B8E-FF39-5D02-3136-1E0AD2053F37}"/>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151" name="Straight Connector 1112">
            <a:extLst>
              <a:ext uri="{FF2B5EF4-FFF2-40B4-BE49-F238E27FC236}">
                <a16:creationId xmlns:a16="http://schemas.microsoft.com/office/drawing/2014/main" id="{6AC985E0-F7BD-647E-8B7C-822A81FC90A9}"/>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152" name="Straight Connector 1113">
            <a:extLst>
              <a:ext uri="{FF2B5EF4-FFF2-40B4-BE49-F238E27FC236}">
                <a16:creationId xmlns:a16="http://schemas.microsoft.com/office/drawing/2014/main" id="{57FD3901-6EE6-E634-3C52-FC98BD6768FD}"/>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153" name="Straight Connector 1114">
            <a:extLst>
              <a:ext uri="{FF2B5EF4-FFF2-40B4-BE49-F238E27FC236}">
                <a16:creationId xmlns:a16="http://schemas.microsoft.com/office/drawing/2014/main" id="{F42392B0-1EF6-6BD6-187B-68EB562E3A9C}"/>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12</xdr:col>
      <xdr:colOff>0</xdr:colOff>
      <xdr:row>96</xdr:row>
      <xdr:rowOff>0</xdr:rowOff>
    </xdr:from>
    <xdr:to>
      <xdr:col>13</xdr:col>
      <xdr:colOff>50800</xdr:colOff>
      <xdr:row>97</xdr:row>
      <xdr:rowOff>140656</xdr:rowOff>
    </xdr:to>
    <xdr:sp macro="" textlink="">
      <xdr:nvSpPr>
        <xdr:cNvPr id="1154" name="Block Arc 1153">
          <a:extLst>
            <a:ext uri="{FF2B5EF4-FFF2-40B4-BE49-F238E27FC236}">
              <a16:creationId xmlns:a16="http://schemas.microsoft.com/office/drawing/2014/main" id="{84BB0AEF-5B37-492C-ACC5-6CC580CAA87E}"/>
            </a:ext>
          </a:extLst>
        </xdr:cNvPr>
        <xdr:cNvSpPr/>
      </xdr:nvSpPr>
      <xdr:spPr>
        <a:xfrm>
          <a:off x="12522200" y="47688500"/>
          <a:ext cx="831850" cy="56610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18</xdr:col>
      <xdr:colOff>152400</xdr:colOff>
      <xdr:row>280</xdr:row>
      <xdr:rowOff>25400</xdr:rowOff>
    </xdr:from>
    <xdr:to>
      <xdr:col>18</xdr:col>
      <xdr:colOff>625021</xdr:colOff>
      <xdr:row>283</xdr:row>
      <xdr:rowOff>156101</xdr:rowOff>
    </xdr:to>
    <xdr:pic>
      <xdr:nvPicPr>
        <xdr:cNvPr id="1155" name="Picture 7">
          <a:extLst>
            <a:ext uri="{FF2B5EF4-FFF2-40B4-BE49-F238E27FC236}">
              <a16:creationId xmlns:a16="http://schemas.microsoft.com/office/drawing/2014/main" id="{5EFE516C-8CF0-4E08-AAB2-5EF071742B4B}"/>
            </a:ext>
          </a:extLst>
        </xdr:cNvPr>
        <xdr:cNvPicPr>
          <a:picLocks noChangeAspect="1"/>
        </xdr:cNvPicPr>
      </xdr:nvPicPr>
      <xdr:blipFill>
        <a:blip xmlns:r="http://schemas.openxmlformats.org/officeDocument/2006/relationships" r:embed="rId1" cstate="print"/>
        <a:srcRect/>
        <a:stretch>
          <a:fillRect/>
        </a:stretch>
      </xdr:blipFill>
      <xdr:spPr bwMode="auto">
        <a:xfrm>
          <a:off x="19113500" y="138093450"/>
          <a:ext cx="472621" cy="1191151"/>
        </a:xfrm>
        <a:prstGeom prst="rect">
          <a:avLst/>
        </a:prstGeom>
        <a:noFill/>
        <a:ln w="9525">
          <a:noFill/>
          <a:miter lim="800000"/>
          <a:headEnd/>
          <a:tailEnd/>
        </a:ln>
      </xdr:spPr>
    </xdr:pic>
    <xdr:clientData/>
  </xdr:twoCellAnchor>
  <xdr:twoCellAnchor>
    <xdr:from>
      <xdr:col>28</xdr:col>
      <xdr:colOff>0</xdr:colOff>
      <xdr:row>79</xdr:row>
      <xdr:rowOff>0</xdr:rowOff>
    </xdr:from>
    <xdr:to>
      <xdr:col>29</xdr:col>
      <xdr:colOff>50800</xdr:colOff>
      <xdr:row>80</xdr:row>
      <xdr:rowOff>140656</xdr:rowOff>
    </xdr:to>
    <xdr:sp macro="" textlink="">
      <xdr:nvSpPr>
        <xdr:cNvPr id="1156" name="Block Arc 1155">
          <a:extLst>
            <a:ext uri="{FF2B5EF4-FFF2-40B4-BE49-F238E27FC236}">
              <a16:creationId xmlns:a16="http://schemas.microsoft.com/office/drawing/2014/main" id="{58742C49-557D-47F7-8BE2-75F6EF1CD600}"/>
            </a:ext>
          </a:extLst>
        </xdr:cNvPr>
        <xdr:cNvSpPr/>
      </xdr:nvSpPr>
      <xdr:spPr>
        <a:xfrm>
          <a:off x="30873700" y="39789100"/>
          <a:ext cx="990600" cy="56610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606425</xdr:colOff>
      <xdr:row>7</xdr:row>
      <xdr:rowOff>15875</xdr:rowOff>
    </xdr:from>
    <xdr:to>
      <xdr:col>29</xdr:col>
      <xdr:colOff>390979</xdr:colOff>
      <xdr:row>10</xdr:row>
      <xdr:rowOff>168275</xdr:rowOff>
    </xdr:to>
    <xdr:grpSp>
      <xdr:nvGrpSpPr>
        <xdr:cNvPr id="1157" name="Group 1115">
          <a:extLst>
            <a:ext uri="{FF2B5EF4-FFF2-40B4-BE49-F238E27FC236}">
              <a16:creationId xmlns:a16="http://schemas.microsoft.com/office/drawing/2014/main" id="{8AFB4F62-0790-460D-9BEC-F910EB91583B}"/>
            </a:ext>
          </a:extLst>
        </xdr:cNvPr>
        <xdr:cNvGrpSpPr>
          <a:grpSpLocks/>
        </xdr:cNvGrpSpPr>
      </xdr:nvGrpSpPr>
      <xdr:grpSpPr bwMode="auto">
        <a:xfrm>
          <a:off x="31530925" y="2841625"/>
          <a:ext cx="721179" cy="1676400"/>
          <a:chOff x="5424645" y="49113913"/>
          <a:chExt cx="313716" cy="343844"/>
        </a:xfrm>
      </xdr:grpSpPr>
      <xdr:cxnSp macro="">
        <xdr:nvCxnSpPr>
          <xdr:cNvPr id="1158" name="Straight Connector 1107">
            <a:extLst>
              <a:ext uri="{FF2B5EF4-FFF2-40B4-BE49-F238E27FC236}">
                <a16:creationId xmlns:a16="http://schemas.microsoft.com/office/drawing/2014/main" id="{28D9DA09-B3AA-E843-2380-588DC098D4A3}"/>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159" name="Straight Connector 1108">
            <a:extLst>
              <a:ext uri="{FF2B5EF4-FFF2-40B4-BE49-F238E27FC236}">
                <a16:creationId xmlns:a16="http://schemas.microsoft.com/office/drawing/2014/main" id="{2FA7A4A1-FD9B-A664-DE69-8BF0A73F7904}"/>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160" name="Straight Connector 1109">
            <a:extLst>
              <a:ext uri="{FF2B5EF4-FFF2-40B4-BE49-F238E27FC236}">
                <a16:creationId xmlns:a16="http://schemas.microsoft.com/office/drawing/2014/main" id="{E438738F-C4B8-9AC9-3FBB-FAD768A1D47A}"/>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161" name="Straight Connector 1111">
            <a:extLst>
              <a:ext uri="{FF2B5EF4-FFF2-40B4-BE49-F238E27FC236}">
                <a16:creationId xmlns:a16="http://schemas.microsoft.com/office/drawing/2014/main" id="{44579BEA-D691-4D0F-D493-82C13D5B6669}"/>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162" name="Straight Connector 1112">
            <a:extLst>
              <a:ext uri="{FF2B5EF4-FFF2-40B4-BE49-F238E27FC236}">
                <a16:creationId xmlns:a16="http://schemas.microsoft.com/office/drawing/2014/main" id="{C436CBA0-6C52-0B20-5F1F-B043CD616176}"/>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163" name="Straight Connector 1113">
            <a:extLst>
              <a:ext uri="{FF2B5EF4-FFF2-40B4-BE49-F238E27FC236}">
                <a16:creationId xmlns:a16="http://schemas.microsoft.com/office/drawing/2014/main" id="{F05C6AE3-907D-A95B-FA1C-11DE5AA5F302}"/>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164" name="Straight Connector 1114">
            <a:extLst>
              <a:ext uri="{FF2B5EF4-FFF2-40B4-BE49-F238E27FC236}">
                <a16:creationId xmlns:a16="http://schemas.microsoft.com/office/drawing/2014/main" id="{C2623814-F1FB-01D5-325B-2BA49717F755}"/>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17</xdr:col>
      <xdr:colOff>0</xdr:colOff>
      <xdr:row>14</xdr:row>
      <xdr:rowOff>0</xdr:rowOff>
    </xdr:from>
    <xdr:to>
      <xdr:col>18</xdr:col>
      <xdr:colOff>50800</xdr:colOff>
      <xdr:row>15</xdr:row>
      <xdr:rowOff>251781</xdr:rowOff>
    </xdr:to>
    <xdr:sp macro="" textlink="">
      <xdr:nvSpPr>
        <xdr:cNvPr id="1165" name="Block Arc 1164">
          <a:extLst>
            <a:ext uri="{FF2B5EF4-FFF2-40B4-BE49-F238E27FC236}">
              <a16:creationId xmlns:a16="http://schemas.microsoft.com/office/drawing/2014/main" id="{C64A662E-88F4-4EFB-8480-95EF87EF0BB8}"/>
            </a:ext>
          </a:extLst>
        </xdr:cNvPr>
        <xdr:cNvSpPr/>
      </xdr:nvSpPr>
      <xdr:spPr>
        <a:xfrm>
          <a:off x="17729200" y="6362700"/>
          <a:ext cx="1282700" cy="759781"/>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25</xdr:col>
      <xdr:colOff>0</xdr:colOff>
      <xdr:row>12</xdr:row>
      <xdr:rowOff>95250</xdr:rowOff>
    </xdr:from>
    <xdr:to>
      <xdr:col>25</xdr:col>
      <xdr:colOff>482600</xdr:colOff>
      <xdr:row>15</xdr:row>
      <xdr:rowOff>63500</xdr:rowOff>
    </xdr:to>
    <xdr:sp macro="" textlink="">
      <xdr:nvSpPr>
        <xdr:cNvPr id="1166" name="Equals 2636">
          <a:extLst>
            <a:ext uri="{FF2B5EF4-FFF2-40B4-BE49-F238E27FC236}">
              <a16:creationId xmlns:a16="http://schemas.microsoft.com/office/drawing/2014/main" id="{802CD09F-576C-4707-AD3E-9864236814A5}"/>
            </a:ext>
          </a:extLst>
        </xdr:cNvPr>
        <xdr:cNvSpPr/>
      </xdr:nvSpPr>
      <xdr:spPr>
        <a:xfrm rot="5400000">
          <a:off x="27124025" y="5946775"/>
          <a:ext cx="149225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174625</xdr:colOff>
      <xdr:row>12</xdr:row>
      <xdr:rowOff>63500</xdr:rowOff>
    </xdr:from>
    <xdr:to>
      <xdr:col>26</xdr:col>
      <xdr:colOff>597958</xdr:colOff>
      <xdr:row>15</xdr:row>
      <xdr:rowOff>105835</xdr:rowOff>
    </xdr:to>
    <xdr:sp macro="" textlink="">
      <xdr:nvSpPr>
        <xdr:cNvPr id="1167" name="Equals 2636">
          <a:extLst>
            <a:ext uri="{FF2B5EF4-FFF2-40B4-BE49-F238E27FC236}">
              <a16:creationId xmlns:a16="http://schemas.microsoft.com/office/drawing/2014/main" id="{7090BB83-961E-4906-981B-BAC28D040180}"/>
            </a:ext>
          </a:extLst>
        </xdr:cNvPr>
        <xdr:cNvSpPr/>
      </xdr:nvSpPr>
      <xdr:spPr>
        <a:xfrm rot="5400000">
          <a:off x="28463874" y="5981701"/>
          <a:ext cx="156633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editAs="oneCell">
    <xdr:from>
      <xdr:col>8</xdr:col>
      <xdr:colOff>0</xdr:colOff>
      <xdr:row>292</xdr:row>
      <xdr:rowOff>126998</xdr:rowOff>
    </xdr:from>
    <xdr:to>
      <xdr:col>8</xdr:col>
      <xdr:colOff>299110</xdr:colOff>
      <xdr:row>299</xdr:row>
      <xdr:rowOff>88885</xdr:rowOff>
    </xdr:to>
    <xdr:pic>
      <xdr:nvPicPr>
        <xdr:cNvPr id="1168" name="Picture 1167">
          <a:extLst>
            <a:ext uri="{FF2B5EF4-FFF2-40B4-BE49-F238E27FC236}">
              <a16:creationId xmlns:a16="http://schemas.microsoft.com/office/drawing/2014/main" id="{BC86D884-4135-47E1-8879-8A396C07A0D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44170398"/>
          <a:ext cx="299110" cy="1250937"/>
        </a:xfrm>
        <a:prstGeom prst="rect">
          <a:avLst/>
        </a:prstGeom>
      </xdr:spPr>
    </xdr:pic>
    <xdr:clientData/>
  </xdr:twoCellAnchor>
  <xdr:twoCellAnchor editAs="oneCell">
    <xdr:from>
      <xdr:col>22</xdr:col>
      <xdr:colOff>0</xdr:colOff>
      <xdr:row>202</xdr:row>
      <xdr:rowOff>253998</xdr:rowOff>
    </xdr:from>
    <xdr:to>
      <xdr:col>22</xdr:col>
      <xdr:colOff>299110</xdr:colOff>
      <xdr:row>209</xdr:row>
      <xdr:rowOff>151806</xdr:rowOff>
    </xdr:to>
    <xdr:pic>
      <xdr:nvPicPr>
        <xdr:cNvPr id="1169" name="Picture 1168">
          <a:extLst>
            <a:ext uri="{FF2B5EF4-FFF2-40B4-BE49-F238E27FC236}">
              <a16:creationId xmlns:a16="http://schemas.microsoft.com/office/drawing/2014/main" id="{F743714C-4EE4-401D-8515-C8D73A9300B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1199948"/>
          <a:ext cx="299110" cy="1256708"/>
        </a:xfrm>
        <a:prstGeom prst="rect">
          <a:avLst/>
        </a:prstGeom>
      </xdr:spPr>
    </xdr:pic>
    <xdr:clientData/>
  </xdr:twoCellAnchor>
  <xdr:twoCellAnchor editAs="oneCell">
    <xdr:from>
      <xdr:col>10</xdr:col>
      <xdr:colOff>0</xdr:colOff>
      <xdr:row>291</xdr:row>
      <xdr:rowOff>473361</xdr:rowOff>
    </xdr:from>
    <xdr:to>
      <xdr:col>10</xdr:col>
      <xdr:colOff>299110</xdr:colOff>
      <xdr:row>298</xdr:row>
      <xdr:rowOff>148055</xdr:rowOff>
    </xdr:to>
    <xdr:pic>
      <xdr:nvPicPr>
        <xdr:cNvPr id="1170" name="Picture 1169">
          <a:extLst>
            <a:ext uri="{FF2B5EF4-FFF2-40B4-BE49-F238E27FC236}">
              <a16:creationId xmlns:a16="http://schemas.microsoft.com/office/drawing/2014/main" id="{948EF47A-2803-4D62-AB01-8FAC355D1E3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43246761"/>
          <a:ext cx="299110" cy="1255844"/>
        </a:xfrm>
        <a:prstGeom prst="rect">
          <a:avLst/>
        </a:prstGeom>
      </xdr:spPr>
    </xdr:pic>
    <xdr:clientData/>
  </xdr:twoCellAnchor>
  <xdr:twoCellAnchor editAs="oneCell">
    <xdr:from>
      <xdr:col>14</xdr:col>
      <xdr:colOff>0</xdr:colOff>
      <xdr:row>168</xdr:row>
      <xdr:rowOff>115452</xdr:rowOff>
    </xdr:from>
    <xdr:to>
      <xdr:col>14</xdr:col>
      <xdr:colOff>299110</xdr:colOff>
      <xdr:row>175</xdr:row>
      <xdr:rowOff>84842</xdr:rowOff>
    </xdr:to>
    <xdr:pic>
      <xdr:nvPicPr>
        <xdr:cNvPr id="1171" name="Picture 1170">
          <a:extLst>
            <a:ext uri="{FF2B5EF4-FFF2-40B4-BE49-F238E27FC236}">
              <a16:creationId xmlns:a16="http://schemas.microsoft.com/office/drawing/2014/main" id="{57D6937C-9DDD-477A-AEC2-3F32E5E03E5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4100552"/>
          <a:ext cx="299110" cy="1258440"/>
        </a:xfrm>
        <a:prstGeom prst="rect">
          <a:avLst/>
        </a:prstGeom>
      </xdr:spPr>
    </xdr:pic>
    <xdr:clientData/>
  </xdr:twoCellAnchor>
  <xdr:twoCellAnchor editAs="oneCell">
    <xdr:from>
      <xdr:col>6</xdr:col>
      <xdr:colOff>0</xdr:colOff>
      <xdr:row>168</xdr:row>
      <xdr:rowOff>0</xdr:rowOff>
    </xdr:from>
    <xdr:to>
      <xdr:col>6</xdr:col>
      <xdr:colOff>299110</xdr:colOff>
      <xdr:row>173</xdr:row>
      <xdr:rowOff>94658</xdr:rowOff>
    </xdr:to>
    <xdr:pic>
      <xdr:nvPicPr>
        <xdr:cNvPr id="1172" name="Picture 1171">
          <a:extLst>
            <a:ext uri="{FF2B5EF4-FFF2-40B4-BE49-F238E27FC236}">
              <a16:creationId xmlns:a16="http://schemas.microsoft.com/office/drawing/2014/main" id="{2EDAFCEC-84E6-4952-861E-3897B1B1EB4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3985100"/>
          <a:ext cx="299110" cy="1015408"/>
        </a:xfrm>
        <a:prstGeom prst="rect">
          <a:avLst/>
        </a:prstGeom>
      </xdr:spPr>
    </xdr:pic>
    <xdr:clientData/>
  </xdr:twoCellAnchor>
  <xdr:twoCellAnchor editAs="oneCell">
    <xdr:from>
      <xdr:col>24</xdr:col>
      <xdr:colOff>0</xdr:colOff>
      <xdr:row>291</xdr:row>
      <xdr:rowOff>365125</xdr:rowOff>
    </xdr:from>
    <xdr:to>
      <xdr:col>24</xdr:col>
      <xdr:colOff>299110</xdr:colOff>
      <xdr:row>298</xdr:row>
      <xdr:rowOff>154985</xdr:rowOff>
    </xdr:to>
    <xdr:pic>
      <xdr:nvPicPr>
        <xdr:cNvPr id="1173" name="Picture 1172">
          <a:extLst>
            <a:ext uri="{FF2B5EF4-FFF2-40B4-BE49-F238E27FC236}">
              <a16:creationId xmlns:a16="http://schemas.microsoft.com/office/drawing/2014/main" id="{621F4CC5-D288-4622-9F07-64570AA6902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43138525"/>
          <a:ext cx="299110" cy="1263060"/>
        </a:xfrm>
        <a:prstGeom prst="rect">
          <a:avLst/>
        </a:prstGeom>
      </xdr:spPr>
    </xdr:pic>
    <xdr:clientData/>
  </xdr:twoCellAnchor>
  <xdr:twoCellAnchor editAs="oneCell">
    <xdr:from>
      <xdr:col>18</xdr:col>
      <xdr:colOff>0</xdr:colOff>
      <xdr:row>202</xdr:row>
      <xdr:rowOff>111125</xdr:rowOff>
    </xdr:from>
    <xdr:to>
      <xdr:col>18</xdr:col>
      <xdr:colOff>299110</xdr:colOff>
      <xdr:row>209</xdr:row>
      <xdr:rowOff>78784</xdr:rowOff>
    </xdr:to>
    <xdr:pic>
      <xdr:nvPicPr>
        <xdr:cNvPr id="1174" name="Picture 1173">
          <a:extLst>
            <a:ext uri="{FF2B5EF4-FFF2-40B4-BE49-F238E27FC236}">
              <a16:creationId xmlns:a16="http://schemas.microsoft.com/office/drawing/2014/main" id="{B8D3A12B-1946-46FF-8049-F1B8F4F849A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01057075"/>
          <a:ext cx="299110" cy="1256709"/>
        </a:xfrm>
        <a:prstGeom prst="rect">
          <a:avLst/>
        </a:prstGeom>
      </xdr:spPr>
    </xdr:pic>
    <xdr:clientData/>
  </xdr:twoCellAnchor>
  <xdr:twoCellAnchor editAs="oneCell">
    <xdr:from>
      <xdr:col>10</xdr:col>
      <xdr:colOff>0</xdr:colOff>
      <xdr:row>235</xdr:row>
      <xdr:rowOff>63500</xdr:rowOff>
    </xdr:from>
    <xdr:to>
      <xdr:col>10</xdr:col>
      <xdr:colOff>299110</xdr:colOff>
      <xdr:row>242</xdr:row>
      <xdr:rowOff>31159</xdr:rowOff>
    </xdr:to>
    <xdr:pic>
      <xdr:nvPicPr>
        <xdr:cNvPr id="1175" name="Picture 1174">
          <a:extLst>
            <a:ext uri="{FF2B5EF4-FFF2-40B4-BE49-F238E27FC236}">
              <a16:creationId xmlns:a16="http://schemas.microsoft.com/office/drawing/2014/main" id="{C0F33CE2-DB7D-42C2-8E86-946984D35CB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17017800"/>
          <a:ext cx="299110" cy="1256709"/>
        </a:xfrm>
        <a:prstGeom prst="rect">
          <a:avLst/>
        </a:prstGeom>
      </xdr:spPr>
    </xdr:pic>
    <xdr:clientData/>
  </xdr:twoCellAnchor>
  <xdr:twoCellAnchor editAs="oneCell">
    <xdr:from>
      <xdr:col>2</xdr:col>
      <xdr:colOff>0</xdr:colOff>
      <xdr:row>292</xdr:row>
      <xdr:rowOff>31750</xdr:rowOff>
    </xdr:from>
    <xdr:to>
      <xdr:col>2</xdr:col>
      <xdr:colOff>299110</xdr:colOff>
      <xdr:row>298</xdr:row>
      <xdr:rowOff>183560</xdr:rowOff>
    </xdr:to>
    <xdr:pic>
      <xdr:nvPicPr>
        <xdr:cNvPr id="1176" name="Picture 1175">
          <a:extLst>
            <a:ext uri="{FF2B5EF4-FFF2-40B4-BE49-F238E27FC236}">
              <a16:creationId xmlns:a16="http://schemas.microsoft.com/office/drawing/2014/main" id="{1039001B-24B8-47CC-9DEB-DE2D1A95AFD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44075150"/>
          <a:ext cx="299110" cy="1256710"/>
        </a:xfrm>
        <a:prstGeom prst="rect">
          <a:avLst/>
        </a:prstGeom>
      </xdr:spPr>
    </xdr:pic>
    <xdr:clientData/>
  </xdr:twoCellAnchor>
  <xdr:twoCellAnchor editAs="oneCell">
    <xdr:from>
      <xdr:col>4</xdr:col>
      <xdr:colOff>0</xdr:colOff>
      <xdr:row>292</xdr:row>
      <xdr:rowOff>174625</xdr:rowOff>
    </xdr:from>
    <xdr:to>
      <xdr:col>4</xdr:col>
      <xdr:colOff>299110</xdr:colOff>
      <xdr:row>299</xdr:row>
      <xdr:rowOff>142285</xdr:rowOff>
    </xdr:to>
    <xdr:pic>
      <xdr:nvPicPr>
        <xdr:cNvPr id="1177" name="Picture 1176">
          <a:extLst>
            <a:ext uri="{FF2B5EF4-FFF2-40B4-BE49-F238E27FC236}">
              <a16:creationId xmlns:a16="http://schemas.microsoft.com/office/drawing/2014/main" id="{3E1115F6-62FD-4BE1-AB7B-96E4E69ED77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44218025"/>
          <a:ext cx="299110" cy="1256710"/>
        </a:xfrm>
        <a:prstGeom prst="rect">
          <a:avLst/>
        </a:prstGeom>
      </xdr:spPr>
    </xdr:pic>
    <xdr:clientData/>
  </xdr:twoCellAnchor>
  <xdr:twoCellAnchor>
    <xdr:from>
      <xdr:col>2</xdr:col>
      <xdr:colOff>0</xdr:colOff>
      <xdr:row>269</xdr:row>
      <xdr:rowOff>63500</xdr:rowOff>
    </xdr:from>
    <xdr:to>
      <xdr:col>2</xdr:col>
      <xdr:colOff>228600</xdr:colOff>
      <xdr:row>269</xdr:row>
      <xdr:rowOff>180975</xdr:rowOff>
    </xdr:to>
    <xdr:grpSp>
      <xdr:nvGrpSpPr>
        <xdr:cNvPr id="1178" name="Group 1008">
          <a:extLst>
            <a:ext uri="{FF2B5EF4-FFF2-40B4-BE49-F238E27FC236}">
              <a16:creationId xmlns:a16="http://schemas.microsoft.com/office/drawing/2014/main" id="{3B331080-C794-446A-A84C-9B0BC0198543}"/>
            </a:ext>
          </a:extLst>
        </xdr:cNvPr>
        <xdr:cNvGrpSpPr>
          <a:grpSpLocks/>
        </xdr:cNvGrpSpPr>
      </xdr:nvGrpSpPr>
      <xdr:grpSpPr bwMode="auto">
        <a:xfrm>
          <a:off x="2016125" y="133461125"/>
          <a:ext cx="228600" cy="117475"/>
          <a:chOff x="5475762" y="47760700"/>
          <a:chExt cx="314325" cy="230209"/>
        </a:xfrm>
      </xdr:grpSpPr>
      <xdr:cxnSp macro="">
        <xdr:nvCxnSpPr>
          <xdr:cNvPr id="1179" name="Straight Connector 1178">
            <a:extLst>
              <a:ext uri="{FF2B5EF4-FFF2-40B4-BE49-F238E27FC236}">
                <a16:creationId xmlns:a16="http://schemas.microsoft.com/office/drawing/2014/main" id="{CF7C0DE6-4EFC-96BE-1CC9-988A54F5EFA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180" name="Straight Connector 529">
            <a:extLst>
              <a:ext uri="{FF2B5EF4-FFF2-40B4-BE49-F238E27FC236}">
                <a16:creationId xmlns:a16="http://schemas.microsoft.com/office/drawing/2014/main" id="{24A64EDD-88FC-1DD7-0430-BE6908007725}"/>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1181" name="Straight Connector 531">
            <a:extLst>
              <a:ext uri="{FF2B5EF4-FFF2-40B4-BE49-F238E27FC236}">
                <a16:creationId xmlns:a16="http://schemas.microsoft.com/office/drawing/2014/main" id="{64104D41-A7B2-DC5B-5B8E-5A809204E4E6}"/>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182" name="Straight Connector 533">
            <a:extLst>
              <a:ext uri="{FF2B5EF4-FFF2-40B4-BE49-F238E27FC236}">
                <a16:creationId xmlns:a16="http://schemas.microsoft.com/office/drawing/2014/main" id="{DB7C20AB-1F4C-8EE6-322D-3CBD290E800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183" name="Straight Connector 535">
            <a:extLst>
              <a:ext uri="{FF2B5EF4-FFF2-40B4-BE49-F238E27FC236}">
                <a16:creationId xmlns:a16="http://schemas.microsoft.com/office/drawing/2014/main" id="{AACEFC5F-B7FE-6637-F564-A7C865DD566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184" name="Straight Connector 537">
            <a:extLst>
              <a:ext uri="{FF2B5EF4-FFF2-40B4-BE49-F238E27FC236}">
                <a16:creationId xmlns:a16="http://schemas.microsoft.com/office/drawing/2014/main" id="{6AE4CDC7-7799-A43A-274B-B4C1F662B91B}"/>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16</xdr:col>
      <xdr:colOff>0</xdr:colOff>
      <xdr:row>202</xdr:row>
      <xdr:rowOff>206375</xdr:rowOff>
    </xdr:from>
    <xdr:to>
      <xdr:col>16</xdr:col>
      <xdr:colOff>299110</xdr:colOff>
      <xdr:row>207</xdr:row>
      <xdr:rowOff>18459</xdr:rowOff>
    </xdr:to>
    <xdr:pic>
      <xdr:nvPicPr>
        <xdr:cNvPr id="1185" name="Picture 1184">
          <a:extLst>
            <a:ext uri="{FF2B5EF4-FFF2-40B4-BE49-F238E27FC236}">
              <a16:creationId xmlns:a16="http://schemas.microsoft.com/office/drawing/2014/main" id="{91974C72-746B-4B19-AA1A-589AF2A401C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1152325"/>
          <a:ext cx="299110" cy="758234"/>
        </a:xfrm>
        <a:prstGeom prst="rect">
          <a:avLst/>
        </a:prstGeom>
      </xdr:spPr>
    </xdr:pic>
    <xdr:clientData/>
  </xdr:twoCellAnchor>
  <xdr:twoCellAnchor editAs="oneCell">
    <xdr:from>
      <xdr:col>28</xdr:col>
      <xdr:colOff>0</xdr:colOff>
      <xdr:row>284</xdr:row>
      <xdr:rowOff>15875</xdr:rowOff>
    </xdr:from>
    <xdr:to>
      <xdr:col>28</xdr:col>
      <xdr:colOff>299110</xdr:colOff>
      <xdr:row>288</xdr:row>
      <xdr:rowOff>37509</xdr:rowOff>
    </xdr:to>
    <xdr:pic>
      <xdr:nvPicPr>
        <xdr:cNvPr id="1186" name="Picture 1185">
          <a:extLst>
            <a:ext uri="{FF2B5EF4-FFF2-40B4-BE49-F238E27FC236}">
              <a16:creationId xmlns:a16="http://schemas.microsoft.com/office/drawing/2014/main" id="{B8C9C82C-ED12-4ED9-B0E4-C643A76F9A3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140414375"/>
          <a:ext cx="299110" cy="758234"/>
        </a:xfrm>
        <a:prstGeom prst="rect">
          <a:avLst/>
        </a:prstGeom>
      </xdr:spPr>
    </xdr:pic>
    <xdr:clientData/>
  </xdr:twoCellAnchor>
  <xdr:twoCellAnchor editAs="oneCell">
    <xdr:from>
      <xdr:col>10</xdr:col>
      <xdr:colOff>0</xdr:colOff>
      <xdr:row>244</xdr:row>
      <xdr:rowOff>142875</xdr:rowOff>
    </xdr:from>
    <xdr:to>
      <xdr:col>10</xdr:col>
      <xdr:colOff>299110</xdr:colOff>
      <xdr:row>248</xdr:row>
      <xdr:rowOff>166626</xdr:rowOff>
    </xdr:to>
    <xdr:pic>
      <xdr:nvPicPr>
        <xdr:cNvPr id="1187" name="Picture 1186">
          <a:extLst>
            <a:ext uri="{FF2B5EF4-FFF2-40B4-BE49-F238E27FC236}">
              <a16:creationId xmlns:a16="http://schemas.microsoft.com/office/drawing/2014/main" id="{50610D2D-229F-44BE-A360-FE4005BD46C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21262775"/>
          <a:ext cx="299110" cy="760351"/>
        </a:xfrm>
        <a:prstGeom prst="rect">
          <a:avLst/>
        </a:prstGeom>
      </xdr:spPr>
    </xdr:pic>
    <xdr:clientData/>
  </xdr:twoCellAnchor>
  <xdr:twoCellAnchor editAs="oneCell">
    <xdr:from>
      <xdr:col>2</xdr:col>
      <xdr:colOff>0</xdr:colOff>
      <xdr:row>244</xdr:row>
      <xdr:rowOff>31750</xdr:rowOff>
    </xdr:from>
    <xdr:to>
      <xdr:col>2</xdr:col>
      <xdr:colOff>299110</xdr:colOff>
      <xdr:row>248</xdr:row>
      <xdr:rowOff>55501</xdr:rowOff>
    </xdr:to>
    <xdr:pic>
      <xdr:nvPicPr>
        <xdr:cNvPr id="1188" name="Picture 1187">
          <a:extLst>
            <a:ext uri="{FF2B5EF4-FFF2-40B4-BE49-F238E27FC236}">
              <a16:creationId xmlns:a16="http://schemas.microsoft.com/office/drawing/2014/main" id="{4E00F0F3-75CF-44E4-AA71-B83DB22FE92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21151650"/>
          <a:ext cx="299110" cy="760351"/>
        </a:xfrm>
        <a:prstGeom prst="rect">
          <a:avLst/>
        </a:prstGeom>
      </xdr:spPr>
    </xdr:pic>
    <xdr:clientData/>
  </xdr:twoCellAnchor>
  <xdr:twoCellAnchor>
    <xdr:from>
      <xdr:col>5</xdr:col>
      <xdr:colOff>0</xdr:colOff>
      <xdr:row>79</xdr:row>
      <xdr:rowOff>57150</xdr:rowOff>
    </xdr:from>
    <xdr:to>
      <xdr:col>6</xdr:col>
      <xdr:colOff>0</xdr:colOff>
      <xdr:row>80</xdr:row>
      <xdr:rowOff>190500</xdr:rowOff>
    </xdr:to>
    <xdr:sp macro="" textlink="">
      <xdr:nvSpPr>
        <xdr:cNvPr id="1189" name="AutoShape 46">
          <a:extLst>
            <a:ext uri="{FF2B5EF4-FFF2-40B4-BE49-F238E27FC236}">
              <a16:creationId xmlns:a16="http://schemas.microsoft.com/office/drawing/2014/main" id="{810448CB-5A0B-4AFF-BE28-388C63E27554}"/>
            </a:ext>
          </a:extLst>
        </xdr:cNvPr>
        <xdr:cNvSpPr>
          <a:spLocks noChangeArrowheads="1"/>
        </xdr:cNvSpPr>
      </xdr:nvSpPr>
      <xdr:spPr bwMode="auto">
        <a:xfrm>
          <a:off x="49339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79</xdr:row>
      <xdr:rowOff>57150</xdr:rowOff>
    </xdr:from>
    <xdr:to>
      <xdr:col>10</xdr:col>
      <xdr:colOff>0</xdr:colOff>
      <xdr:row>80</xdr:row>
      <xdr:rowOff>190500</xdr:rowOff>
    </xdr:to>
    <xdr:sp macro="" textlink="">
      <xdr:nvSpPr>
        <xdr:cNvPr id="1190" name="AutoShape 46">
          <a:extLst>
            <a:ext uri="{FF2B5EF4-FFF2-40B4-BE49-F238E27FC236}">
              <a16:creationId xmlns:a16="http://schemas.microsoft.com/office/drawing/2014/main" id="{D8F78945-955C-479C-90B3-C99ED6C81BAF}"/>
            </a:ext>
          </a:extLst>
        </xdr:cNvPr>
        <xdr:cNvSpPr>
          <a:spLocks noChangeArrowheads="1"/>
        </xdr:cNvSpPr>
      </xdr:nvSpPr>
      <xdr:spPr bwMode="auto">
        <a:xfrm>
          <a:off x="92773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87</xdr:row>
      <xdr:rowOff>57150</xdr:rowOff>
    </xdr:from>
    <xdr:to>
      <xdr:col>6</xdr:col>
      <xdr:colOff>0</xdr:colOff>
      <xdr:row>88</xdr:row>
      <xdr:rowOff>190500</xdr:rowOff>
    </xdr:to>
    <xdr:sp macro="" textlink="">
      <xdr:nvSpPr>
        <xdr:cNvPr id="1191" name="AutoShape 46">
          <a:extLst>
            <a:ext uri="{FF2B5EF4-FFF2-40B4-BE49-F238E27FC236}">
              <a16:creationId xmlns:a16="http://schemas.microsoft.com/office/drawing/2014/main" id="{4524673F-AD84-4080-BB82-46A4FE2CE86F}"/>
            </a:ext>
          </a:extLst>
        </xdr:cNvPr>
        <xdr:cNvSpPr>
          <a:spLocks noChangeArrowheads="1"/>
        </xdr:cNvSpPr>
      </xdr:nvSpPr>
      <xdr:spPr bwMode="auto">
        <a:xfrm>
          <a:off x="49339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2" name="AutoShape 46">
          <a:extLst>
            <a:ext uri="{FF2B5EF4-FFF2-40B4-BE49-F238E27FC236}">
              <a16:creationId xmlns:a16="http://schemas.microsoft.com/office/drawing/2014/main" id="{A20B1630-7AD4-4DB1-BE77-8F6D83D8C9BD}"/>
            </a:ext>
          </a:extLst>
        </xdr:cNvPr>
        <xdr:cNvSpPr>
          <a:spLocks noChangeArrowheads="1"/>
        </xdr:cNvSpPr>
      </xdr:nvSpPr>
      <xdr:spPr bwMode="auto">
        <a:xfrm>
          <a:off x="254889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3" name="AutoShape 46">
          <a:extLst>
            <a:ext uri="{FF2B5EF4-FFF2-40B4-BE49-F238E27FC236}">
              <a16:creationId xmlns:a16="http://schemas.microsoft.com/office/drawing/2014/main" id="{F689854B-C40D-449E-9797-8BD84D46D151}"/>
            </a:ext>
          </a:extLst>
        </xdr:cNvPr>
        <xdr:cNvSpPr>
          <a:spLocks noChangeArrowheads="1"/>
        </xdr:cNvSpPr>
      </xdr:nvSpPr>
      <xdr:spPr bwMode="auto">
        <a:xfrm>
          <a:off x="254889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4" name="AutoShape 46">
          <a:extLst>
            <a:ext uri="{FF2B5EF4-FFF2-40B4-BE49-F238E27FC236}">
              <a16:creationId xmlns:a16="http://schemas.microsoft.com/office/drawing/2014/main" id="{03D96BF9-182C-46A4-B876-1C2426E8AB6A}"/>
            </a:ext>
          </a:extLst>
        </xdr:cNvPr>
        <xdr:cNvSpPr>
          <a:spLocks noChangeArrowheads="1"/>
        </xdr:cNvSpPr>
      </xdr:nvSpPr>
      <xdr:spPr bwMode="auto">
        <a:xfrm>
          <a:off x="254889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5" name="AutoShape 46">
          <a:extLst>
            <a:ext uri="{FF2B5EF4-FFF2-40B4-BE49-F238E27FC236}">
              <a16:creationId xmlns:a16="http://schemas.microsoft.com/office/drawing/2014/main" id="{B40911E7-E777-4118-8290-31DAF0B1247B}"/>
            </a:ext>
          </a:extLst>
        </xdr:cNvPr>
        <xdr:cNvSpPr>
          <a:spLocks noChangeArrowheads="1"/>
        </xdr:cNvSpPr>
      </xdr:nvSpPr>
      <xdr:spPr bwMode="auto">
        <a:xfrm>
          <a:off x="2762885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6" name="AutoShape 46">
          <a:extLst>
            <a:ext uri="{FF2B5EF4-FFF2-40B4-BE49-F238E27FC236}">
              <a16:creationId xmlns:a16="http://schemas.microsoft.com/office/drawing/2014/main" id="{5407DFF9-16B7-4A05-8BA5-2F58283898D6}"/>
            </a:ext>
          </a:extLst>
        </xdr:cNvPr>
        <xdr:cNvSpPr>
          <a:spLocks noChangeArrowheads="1"/>
        </xdr:cNvSpPr>
      </xdr:nvSpPr>
      <xdr:spPr bwMode="auto">
        <a:xfrm>
          <a:off x="2762885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7" name="AutoShape 46">
          <a:extLst>
            <a:ext uri="{FF2B5EF4-FFF2-40B4-BE49-F238E27FC236}">
              <a16:creationId xmlns:a16="http://schemas.microsoft.com/office/drawing/2014/main" id="{7CC6283D-0961-4C1F-A2FF-BB4C3153FA8D}"/>
            </a:ext>
          </a:extLst>
        </xdr:cNvPr>
        <xdr:cNvSpPr>
          <a:spLocks noChangeArrowheads="1"/>
        </xdr:cNvSpPr>
      </xdr:nvSpPr>
      <xdr:spPr bwMode="auto">
        <a:xfrm>
          <a:off x="276288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editAs="oneCell">
    <xdr:from>
      <xdr:col>4</xdr:col>
      <xdr:colOff>0</xdr:colOff>
      <xdr:row>168</xdr:row>
      <xdr:rowOff>0</xdr:rowOff>
    </xdr:from>
    <xdr:to>
      <xdr:col>4</xdr:col>
      <xdr:colOff>299110</xdr:colOff>
      <xdr:row>173</xdr:row>
      <xdr:rowOff>94658</xdr:rowOff>
    </xdr:to>
    <xdr:pic>
      <xdr:nvPicPr>
        <xdr:cNvPr id="1198" name="Picture 1197">
          <a:extLst>
            <a:ext uri="{FF2B5EF4-FFF2-40B4-BE49-F238E27FC236}">
              <a16:creationId xmlns:a16="http://schemas.microsoft.com/office/drawing/2014/main" id="{C2A35F4B-DADE-4AF6-B8A7-47DE3F8387B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83985100"/>
          <a:ext cx="299110" cy="1015408"/>
        </a:xfrm>
        <a:prstGeom prst="rect">
          <a:avLst/>
        </a:prstGeom>
      </xdr:spPr>
    </xdr:pic>
    <xdr:clientData/>
  </xdr:twoCellAnchor>
  <xdr:twoCellAnchor editAs="oneCell">
    <xdr:from>
      <xdr:col>26</xdr:col>
      <xdr:colOff>0</xdr:colOff>
      <xdr:row>260</xdr:row>
      <xdr:rowOff>15875</xdr:rowOff>
    </xdr:from>
    <xdr:to>
      <xdr:col>26</xdr:col>
      <xdr:colOff>299110</xdr:colOff>
      <xdr:row>264</xdr:row>
      <xdr:rowOff>37509</xdr:rowOff>
    </xdr:to>
    <xdr:pic>
      <xdr:nvPicPr>
        <xdr:cNvPr id="1199" name="Picture 1198">
          <a:extLst>
            <a:ext uri="{FF2B5EF4-FFF2-40B4-BE49-F238E27FC236}">
              <a16:creationId xmlns:a16="http://schemas.microsoft.com/office/drawing/2014/main" id="{63ADC477-5BB5-4208-A447-AC8D4F5AF67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29200275"/>
          <a:ext cx="299110" cy="758234"/>
        </a:xfrm>
        <a:prstGeom prst="rect">
          <a:avLst/>
        </a:prstGeom>
      </xdr:spPr>
    </xdr:pic>
    <xdr:clientData/>
  </xdr:twoCellAnchor>
  <xdr:twoCellAnchor editAs="oneCell">
    <xdr:from>
      <xdr:col>26</xdr:col>
      <xdr:colOff>0</xdr:colOff>
      <xdr:row>226</xdr:row>
      <xdr:rowOff>31750</xdr:rowOff>
    </xdr:from>
    <xdr:to>
      <xdr:col>26</xdr:col>
      <xdr:colOff>299110</xdr:colOff>
      <xdr:row>230</xdr:row>
      <xdr:rowOff>53384</xdr:rowOff>
    </xdr:to>
    <xdr:pic>
      <xdr:nvPicPr>
        <xdr:cNvPr id="1200" name="Picture 1199">
          <a:extLst>
            <a:ext uri="{FF2B5EF4-FFF2-40B4-BE49-F238E27FC236}">
              <a16:creationId xmlns:a16="http://schemas.microsoft.com/office/drawing/2014/main" id="{83AB4BDB-8E25-449B-BC48-01645937F48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12877600"/>
          <a:ext cx="299110" cy="758234"/>
        </a:xfrm>
        <a:prstGeom prst="rect">
          <a:avLst/>
        </a:prstGeom>
      </xdr:spPr>
    </xdr:pic>
    <xdr:clientData/>
  </xdr:twoCellAnchor>
  <xdr:twoCellAnchor editAs="oneCell">
    <xdr:from>
      <xdr:col>8</xdr:col>
      <xdr:colOff>0</xdr:colOff>
      <xdr:row>234</xdr:row>
      <xdr:rowOff>349250</xdr:rowOff>
    </xdr:from>
    <xdr:to>
      <xdr:col>8</xdr:col>
      <xdr:colOff>299110</xdr:colOff>
      <xdr:row>239</xdr:row>
      <xdr:rowOff>21634</xdr:rowOff>
    </xdr:to>
    <xdr:pic>
      <xdr:nvPicPr>
        <xdr:cNvPr id="1201" name="Picture 1200">
          <a:extLst>
            <a:ext uri="{FF2B5EF4-FFF2-40B4-BE49-F238E27FC236}">
              <a16:creationId xmlns:a16="http://schemas.microsoft.com/office/drawing/2014/main" id="{4242AC10-25F4-4B3D-9A7F-4C4A7D1BD57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16033550"/>
          <a:ext cx="299110" cy="758234"/>
        </a:xfrm>
        <a:prstGeom prst="rect">
          <a:avLst/>
        </a:prstGeom>
      </xdr:spPr>
    </xdr:pic>
    <xdr:clientData/>
  </xdr:twoCellAnchor>
  <xdr:twoCellAnchor editAs="oneCell">
    <xdr:from>
      <xdr:col>22</xdr:col>
      <xdr:colOff>0</xdr:colOff>
      <xdr:row>217</xdr:row>
      <xdr:rowOff>523875</xdr:rowOff>
    </xdr:from>
    <xdr:to>
      <xdr:col>22</xdr:col>
      <xdr:colOff>299110</xdr:colOff>
      <xdr:row>222</xdr:row>
      <xdr:rowOff>94659</xdr:rowOff>
    </xdr:to>
    <xdr:pic>
      <xdr:nvPicPr>
        <xdr:cNvPr id="1202" name="Picture 1201">
          <a:extLst>
            <a:ext uri="{FF2B5EF4-FFF2-40B4-BE49-F238E27FC236}">
              <a16:creationId xmlns:a16="http://schemas.microsoft.com/office/drawing/2014/main" id="{CAFA9334-80C9-4FBD-B085-47E40624F20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8181775"/>
          <a:ext cx="299110" cy="834434"/>
        </a:xfrm>
        <a:prstGeom prst="rect">
          <a:avLst/>
        </a:prstGeom>
      </xdr:spPr>
    </xdr:pic>
    <xdr:clientData/>
  </xdr:twoCellAnchor>
  <xdr:twoCellAnchor editAs="oneCell">
    <xdr:from>
      <xdr:col>2</xdr:col>
      <xdr:colOff>0</xdr:colOff>
      <xdr:row>234</xdr:row>
      <xdr:rowOff>508000</xdr:rowOff>
    </xdr:from>
    <xdr:to>
      <xdr:col>2</xdr:col>
      <xdr:colOff>299110</xdr:colOff>
      <xdr:row>239</xdr:row>
      <xdr:rowOff>97834</xdr:rowOff>
    </xdr:to>
    <xdr:pic>
      <xdr:nvPicPr>
        <xdr:cNvPr id="1203" name="Picture 1202">
          <a:extLst>
            <a:ext uri="{FF2B5EF4-FFF2-40B4-BE49-F238E27FC236}">
              <a16:creationId xmlns:a16="http://schemas.microsoft.com/office/drawing/2014/main" id="{D97C570A-E42D-4509-BB93-992A6F01C13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16192300"/>
          <a:ext cx="299110" cy="834434"/>
        </a:xfrm>
        <a:prstGeom prst="rect">
          <a:avLst/>
        </a:prstGeom>
      </xdr:spPr>
    </xdr:pic>
    <xdr:clientData/>
  </xdr:twoCellAnchor>
  <xdr:twoCellAnchor editAs="oneCell">
    <xdr:from>
      <xdr:col>20</xdr:col>
      <xdr:colOff>0</xdr:colOff>
      <xdr:row>260</xdr:row>
      <xdr:rowOff>15875</xdr:rowOff>
    </xdr:from>
    <xdr:to>
      <xdr:col>20</xdr:col>
      <xdr:colOff>299110</xdr:colOff>
      <xdr:row>264</xdr:row>
      <xdr:rowOff>113709</xdr:rowOff>
    </xdr:to>
    <xdr:pic>
      <xdr:nvPicPr>
        <xdr:cNvPr id="1204" name="Picture 1203">
          <a:extLst>
            <a:ext uri="{FF2B5EF4-FFF2-40B4-BE49-F238E27FC236}">
              <a16:creationId xmlns:a16="http://schemas.microsoft.com/office/drawing/2014/main" id="{200A2247-B8C9-479D-90CC-E29F149994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29200275"/>
          <a:ext cx="299110" cy="834434"/>
        </a:xfrm>
        <a:prstGeom prst="rect">
          <a:avLst/>
        </a:prstGeom>
      </xdr:spPr>
    </xdr:pic>
    <xdr:clientData/>
  </xdr:twoCellAnchor>
  <xdr:twoCellAnchor editAs="oneCell">
    <xdr:from>
      <xdr:col>16</xdr:col>
      <xdr:colOff>0</xdr:colOff>
      <xdr:row>211</xdr:row>
      <xdr:rowOff>158750</xdr:rowOff>
    </xdr:from>
    <xdr:to>
      <xdr:col>16</xdr:col>
      <xdr:colOff>299110</xdr:colOff>
      <xdr:row>216</xdr:row>
      <xdr:rowOff>72434</xdr:rowOff>
    </xdr:to>
    <xdr:pic>
      <xdr:nvPicPr>
        <xdr:cNvPr id="1205" name="Picture 1204">
          <a:extLst>
            <a:ext uri="{FF2B5EF4-FFF2-40B4-BE49-F238E27FC236}">
              <a16:creationId xmlns:a16="http://schemas.microsoft.com/office/drawing/2014/main" id="{1D741959-25E2-49A2-B7A7-E9FBF91C9FE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5181400"/>
          <a:ext cx="299110" cy="834434"/>
        </a:xfrm>
        <a:prstGeom prst="rect">
          <a:avLst/>
        </a:prstGeom>
      </xdr:spPr>
    </xdr:pic>
    <xdr:clientData/>
  </xdr:twoCellAnchor>
  <xdr:twoCellAnchor editAs="oneCell">
    <xdr:from>
      <xdr:col>6</xdr:col>
      <xdr:colOff>0</xdr:colOff>
      <xdr:row>176</xdr:row>
      <xdr:rowOff>254000</xdr:rowOff>
    </xdr:from>
    <xdr:to>
      <xdr:col>6</xdr:col>
      <xdr:colOff>299110</xdr:colOff>
      <xdr:row>181</xdr:row>
      <xdr:rowOff>97834</xdr:rowOff>
    </xdr:to>
    <xdr:pic>
      <xdr:nvPicPr>
        <xdr:cNvPr id="1206" name="Picture 1205">
          <a:extLst>
            <a:ext uri="{FF2B5EF4-FFF2-40B4-BE49-F238E27FC236}">
              <a16:creationId xmlns:a16="http://schemas.microsoft.com/office/drawing/2014/main" id="{F872AA93-82F1-4FC2-8453-C83DCB7D5E4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8652350"/>
          <a:ext cx="299110" cy="834434"/>
        </a:xfrm>
        <a:prstGeom prst="rect">
          <a:avLst/>
        </a:prstGeom>
      </xdr:spPr>
    </xdr:pic>
    <xdr:clientData/>
  </xdr:twoCellAnchor>
  <xdr:twoCellAnchor editAs="oneCell">
    <xdr:from>
      <xdr:col>18</xdr:col>
      <xdr:colOff>0</xdr:colOff>
      <xdr:row>234</xdr:row>
      <xdr:rowOff>460375</xdr:rowOff>
    </xdr:from>
    <xdr:to>
      <xdr:col>18</xdr:col>
      <xdr:colOff>299110</xdr:colOff>
      <xdr:row>239</xdr:row>
      <xdr:rowOff>94659</xdr:rowOff>
    </xdr:to>
    <xdr:pic>
      <xdr:nvPicPr>
        <xdr:cNvPr id="1207" name="Picture 1206">
          <a:extLst>
            <a:ext uri="{FF2B5EF4-FFF2-40B4-BE49-F238E27FC236}">
              <a16:creationId xmlns:a16="http://schemas.microsoft.com/office/drawing/2014/main" id="{F287CEC0-71B5-4737-AE86-A04CABB78C2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16144675"/>
          <a:ext cx="299110" cy="834434"/>
        </a:xfrm>
        <a:prstGeom prst="rect">
          <a:avLst/>
        </a:prstGeom>
      </xdr:spPr>
    </xdr:pic>
    <xdr:clientData/>
  </xdr:twoCellAnchor>
  <xdr:twoCellAnchor editAs="oneCell">
    <xdr:from>
      <xdr:col>26</xdr:col>
      <xdr:colOff>0</xdr:colOff>
      <xdr:row>185</xdr:row>
      <xdr:rowOff>285750</xdr:rowOff>
    </xdr:from>
    <xdr:to>
      <xdr:col>26</xdr:col>
      <xdr:colOff>299110</xdr:colOff>
      <xdr:row>190</xdr:row>
      <xdr:rowOff>97834</xdr:rowOff>
    </xdr:to>
    <xdr:pic>
      <xdr:nvPicPr>
        <xdr:cNvPr id="1208" name="Picture 1207">
          <a:extLst>
            <a:ext uri="{FF2B5EF4-FFF2-40B4-BE49-F238E27FC236}">
              <a16:creationId xmlns:a16="http://schemas.microsoft.com/office/drawing/2014/main" id="{801B1069-54DD-47D5-BB43-E689E718B32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92925900"/>
          <a:ext cx="299110" cy="834434"/>
        </a:xfrm>
        <a:prstGeom prst="rect">
          <a:avLst/>
        </a:prstGeom>
      </xdr:spPr>
    </xdr:pic>
    <xdr:clientData/>
  </xdr:twoCellAnchor>
  <xdr:twoCellAnchor editAs="oneCell">
    <xdr:from>
      <xdr:col>6</xdr:col>
      <xdr:colOff>0</xdr:colOff>
      <xdr:row>210</xdr:row>
      <xdr:rowOff>158750</xdr:rowOff>
    </xdr:from>
    <xdr:to>
      <xdr:col>6</xdr:col>
      <xdr:colOff>299110</xdr:colOff>
      <xdr:row>215</xdr:row>
      <xdr:rowOff>75609</xdr:rowOff>
    </xdr:to>
    <xdr:pic>
      <xdr:nvPicPr>
        <xdr:cNvPr id="1209" name="Picture 1208">
          <a:extLst>
            <a:ext uri="{FF2B5EF4-FFF2-40B4-BE49-F238E27FC236}">
              <a16:creationId xmlns:a16="http://schemas.microsoft.com/office/drawing/2014/main" id="{7C3C679F-A99B-4A22-8850-264ED277F26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04908350"/>
          <a:ext cx="299110" cy="837609"/>
        </a:xfrm>
        <a:prstGeom prst="rect">
          <a:avLst/>
        </a:prstGeom>
      </xdr:spPr>
    </xdr:pic>
    <xdr:clientData/>
  </xdr:twoCellAnchor>
  <xdr:twoCellAnchor editAs="oneCell">
    <xdr:from>
      <xdr:col>8</xdr:col>
      <xdr:colOff>0</xdr:colOff>
      <xdr:row>210</xdr:row>
      <xdr:rowOff>127000</xdr:rowOff>
    </xdr:from>
    <xdr:to>
      <xdr:col>8</xdr:col>
      <xdr:colOff>299110</xdr:colOff>
      <xdr:row>215</xdr:row>
      <xdr:rowOff>37509</xdr:rowOff>
    </xdr:to>
    <xdr:pic>
      <xdr:nvPicPr>
        <xdr:cNvPr id="1210" name="Picture 1209">
          <a:extLst>
            <a:ext uri="{FF2B5EF4-FFF2-40B4-BE49-F238E27FC236}">
              <a16:creationId xmlns:a16="http://schemas.microsoft.com/office/drawing/2014/main" id="{099D0DCA-5BC2-4AA6-A4A1-98965E3FBC4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04876600"/>
          <a:ext cx="299110" cy="831259"/>
        </a:xfrm>
        <a:prstGeom prst="rect">
          <a:avLst/>
        </a:prstGeom>
      </xdr:spPr>
    </xdr:pic>
    <xdr:clientData/>
  </xdr:twoCellAnchor>
  <xdr:twoCellAnchor editAs="oneCell">
    <xdr:from>
      <xdr:col>22</xdr:col>
      <xdr:colOff>0</xdr:colOff>
      <xdr:row>260</xdr:row>
      <xdr:rowOff>0</xdr:rowOff>
    </xdr:from>
    <xdr:to>
      <xdr:col>22</xdr:col>
      <xdr:colOff>299110</xdr:colOff>
      <xdr:row>264</xdr:row>
      <xdr:rowOff>97834</xdr:rowOff>
    </xdr:to>
    <xdr:pic>
      <xdr:nvPicPr>
        <xdr:cNvPr id="1211" name="Picture 1210">
          <a:extLst>
            <a:ext uri="{FF2B5EF4-FFF2-40B4-BE49-F238E27FC236}">
              <a16:creationId xmlns:a16="http://schemas.microsoft.com/office/drawing/2014/main" id="{F4552EF9-AAA4-40A8-9D24-09CFC0567A0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29184400"/>
          <a:ext cx="299110" cy="834434"/>
        </a:xfrm>
        <a:prstGeom prst="rect">
          <a:avLst/>
        </a:prstGeom>
      </xdr:spPr>
    </xdr:pic>
    <xdr:clientData/>
  </xdr:twoCellAnchor>
  <xdr:twoCellAnchor editAs="oneCell">
    <xdr:from>
      <xdr:col>24</xdr:col>
      <xdr:colOff>0</xdr:colOff>
      <xdr:row>218</xdr:row>
      <xdr:rowOff>0</xdr:rowOff>
    </xdr:from>
    <xdr:to>
      <xdr:col>24</xdr:col>
      <xdr:colOff>299110</xdr:colOff>
      <xdr:row>222</xdr:row>
      <xdr:rowOff>97834</xdr:rowOff>
    </xdr:to>
    <xdr:pic>
      <xdr:nvPicPr>
        <xdr:cNvPr id="1212" name="Picture 1211">
          <a:extLst>
            <a:ext uri="{FF2B5EF4-FFF2-40B4-BE49-F238E27FC236}">
              <a16:creationId xmlns:a16="http://schemas.microsoft.com/office/drawing/2014/main" id="{25CAB6B7-0094-4EC9-A6D5-2DC759C0F5C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08927900"/>
          <a:ext cx="299110" cy="834434"/>
        </a:xfrm>
        <a:prstGeom prst="rect">
          <a:avLst/>
        </a:prstGeom>
      </xdr:spPr>
    </xdr:pic>
    <xdr:clientData/>
  </xdr:twoCellAnchor>
  <xdr:twoCellAnchor editAs="oneCell">
    <xdr:from>
      <xdr:col>20</xdr:col>
      <xdr:colOff>0</xdr:colOff>
      <xdr:row>252</xdr:row>
      <xdr:rowOff>0</xdr:rowOff>
    </xdr:from>
    <xdr:to>
      <xdr:col>20</xdr:col>
      <xdr:colOff>299110</xdr:colOff>
      <xdr:row>256</xdr:row>
      <xdr:rowOff>97834</xdr:rowOff>
    </xdr:to>
    <xdr:pic>
      <xdr:nvPicPr>
        <xdr:cNvPr id="1213" name="Picture 1212">
          <a:extLst>
            <a:ext uri="{FF2B5EF4-FFF2-40B4-BE49-F238E27FC236}">
              <a16:creationId xmlns:a16="http://schemas.microsoft.com/office/drawing/2014/main" id="{83CAD3EE-C2C7-4AA0-8875-91F64460B92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25647450"/>
          <a:ext cx="299110" cy="834434"/>
        </a:xfrm>
        <a:prstGeom prst="rect">
          <a:avLst/>
        </a:prstGeom>
      </xdr:spPr>
    </xdr:pic>
    <xdr:clientData/>
  </xdr:twoCellAnchor>
  <xdr:twoCellAnchor editAs="oneCell">
    <xdr:from>
      <xdr:col>22</xdr:col>
      <xdr:colOff>42333</xdr:colOff>
      <xdr:row>251</xdr:row>
      <xdr:rowOff>1206500</xdr:rowOff>
    </xdr:from>
    <xdr:to>
      <xdr:col>22</xdr:col>
      <xdr:colOff>341443</xdr:colOff>
      <xdr:row>256</xdr:row>
      <xdr:rowOff>97834</xdr:rowOff>
    </xdr:to>
    <xdr:pic>
      <xdr:nvPicPr>
        <xdr:cNvPr id="1214" name="Picture 1213">
          <a:extLst>
            <a:ext uri="{FF2B5EF4-FFF2-40B4-BE49-F238E27FC236}">
              <a16:creationId xmlns:a16="http://schemas.microsoft.com/office/drawing/2014/main" id="{D426AC0B-6095-4998-B936-7048930FD4B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97733" y="125583950"/>
          <a:ext cx="299110" cy="834434"/>
        </a:xfrm>
        <a:prstGeom prst="rect">
          <a:avLst/>
        </a:prstGeom>
      </xdr:spPr>
    </xdr:pic>
    <xdr:clientData/>
  </xdr:twoCellAnchor>
  <xdr:twoCellAnchor editAs="oneCell">
    <xdr:from>
      <xdr:col>18</xdr:col>
      <xdr:colOff>0</xdr:colOff>
      <xdr:row>284</xdr:row>
      <xdr:rowOff>0</xdr:rowOff>
    </xdr:from>
    <xdr:to>
      <xdr:col>18</xdr:col>
      <xdr:colOff>299110</xdr:colOff>
      <xdr:row>288</xdr:row>
      <xdr:rowOff>97834</xdr:rowOff>
    </xdr:to>
    <xdr:pic>
      <xdr:nvPicPr>
        <xdr:cNvPr id="1215" name="Picture 1214">
          <a:extLst>
            <a:ext uri="{FF2B5EF4-FFF2-40B4-BE49-F238E27FC236}">
              <a16:creationId xmlns:a16="http://schemas.microsoft.com/office/drawing/2014/main" id="{29382EB6-89CD-4BF7-9CAF-BCCAC090937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40398500"/>
          <a:ext cx="299110" cy="834434"/>
        </a:xfrm>
        <a:prstGeom prst="rect">
          <a:avLst/>
        </a:prstGeom>
      </xdr:spPr>
    </xdr:pic>
    <xdr:clientData/>
  </xdr:twoCellAnchor>
  <xdr:twoCellAnchor editAs="oneCell">
    <xdr:from>
      <xdr:col>4</xdr:col>
      <xdr:colOff>0</xdr:colOff>
      <xdr:row>235</xdr:row>
      <xdr:rowOff>0</xdr:rowOff>
    </xdr:from>
    <xdr:to>
      <xdr:col>4</xdr:col>
      <xdr:colOff>299110</xdr:colOff>
      <xdr:row>239</xdr:row>
      <xdr:rowOff>97834</xdr:rowOff>
    </xdr:to>
    <xdr:pic>
      <xdr:nvPicPr>
        <xdr:cNvPr id="1216" name="Picture 1215">
          <a:extLst>
            <a:ext uri="{FF2B5EF4-FFF2-40B4-BE49-F238E27FC236}">
              <a16:creationId xmlns:a16="http://schemas.microsoft.com/office/drawing/2014/main" id="{69748504-F048-41A1-BA0A-AFAB1C1D047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16954300"/>
          <a:ext cx="299110" cy="834434"/>
        </a:xfrm>
        <a:prstGeom prst="rect">
          <a:avLst/>
        </a:prstGeom>
      </xdr:spPr>
    </xdr:pic>
    <xdr:clientData/>
  </xdr:twoCellAnchor>
  <xdr:twoCellAnchor editAs="oneCell">
    <xdr:from>
      <xdr:col>14</xdr:col>
      <xdr:colOff>0</xdr:colOff>
      <xdr:row>284</xdr:row>
      <xdr:rowOff>0</xdr:rowOff>
    </xdr:from>
    <xdr:to>
      <xdr:col>14</xdr:col>
      <xdr:colOff>299110</xdr:colOff>
      <xdr:row>288</xdr:row>
      <xdr:rowOff>97834</xdr:rowOff>
    </xdr:to>
    <xdr:pic>
      <xdr:nvPicPr>
        <xdr:cNvPr id="1217" name="Picture 1216">
          <a:extLst>
            <a:ext uri="{FF2B5EF4-FFF2-40B4-BE49-F238E27FC236}">
              <a16:creationId xmlns:a16="http://schemas.microsoft.com/office/drawing/2014/main" id="{19848C02-A628-4001-B548-E5A0108C9DA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40398500"/>
          <a:ext cx="299110" cy="834434"/>
        </a:xfrm>
        <a:prstGeom prst="rect">
          <a:avLst/>
        </a:prstGeom>
      </xdr:spPr>
    </xdr:pic>
    <xdr:clientData/>
  </xdr:twoCellAnchor>
  <xdr:twoCellAnchor editAs="oneCell">
    <xdr:from>
      <xdr:col>12</xdr:col>
      <xdr:colOff>0</xdr:colOff>
      <xdr:row>284</xdr:row>
      <xdr:rowOff>0</xdr:rowOff>
    </xdr:from>
    <xdr:to>
      <xdr:col>12</xdr:col>
      <xdr:colOff>299110</xdr:colOff>
      <xdr:row>288</xdr:row>
      <xdr:rowOff>97834</xdr:rowOff>
    </xdr:to>
    <xdr:pic>
      <xdr:nvPicPr>
        <xdr:cNvPr id="1218" name="Picture 1217">
          <a:extLst>
            <a:ext uri="{FF2B5EF4-FFF2-40B4-BE49-F238E27FC236}">
              <a16:creationId xmlns:a16="http://schemas.microsoft.com/office/drawing/2014/main" id="{1DB6C8C7-0BF6-40BB-B3B7-84F9358B3D3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140398500"/>
          <a:ext cx="299110" cy="834434"/>
        </a:xfrm>
        <a:prstGeom prst="rect">
          <a:avLst/>
        </a:prstGeom>
      </xdr:spPr>
    </xdr:pic>
    <xdr:clientData/>
  </xdr:twoCellAnchor>
  <xdr:twoCellAnchor editAs="oneCell">
    <xdr:from>
      <xdr:col>26</xdr:col>
      <xdr:colOff>0</xdr:colOff>
      <xdr:row>284</xdr:row>
      <xdr:rowOff>0</xdr:rowOff>
    </xdr:from>
    <xdr:to>
      <xdr:col>26</xdr:col>
      <xdr:colOff>299110</xdr:colOff>
      <xdr:row>288</xdr:row>
      <xdr:rowOff>97834</xdr:rowOff>
    </xdr:to>
    <xdr:pic>
      <xdr:nvPicPr>
        <xdr:cNvPr id="1219" name="Picture 1218">
          <a:extLst>
            <a:ext uri="{FF2B5EF4-FFF2-40B4-BE49-F238E27FC236}">
              <a16:creationId xmlns:a16="http://schemas.microsoft.com/office/drawing/2014/main" id="{8E69839F-037D-449C-BE95-E01EA658888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40398500"/>
          <a:ext cx="299110" cy="834434"/>
        </a:xfrm>
        <a:prstGeom prst="rect">
          <a:avLst/>
        </a:prstGeom>
      </xdr:spPr>
    </xdr:pic>
    <xdr:clientData/>
  </xdr:twoCellAnchor>
  <xdr:twoCellAnchor editAs="oneCell">
    <xdr:from>
      <xdr:col>16</xdr:col>
      <xdr:colOff>0</xdr:colOff>
      <xdr:row>284</xdr:row>
      <xdr:rowOff>0</xdr:rowOff>
    </xdr:from>
    <xdr:to>
      <xdr:col>16</xdr:col>
      <xdr:colOff>299110</xdr:colOff>
      <xdr:row>288</xdr:row>
      <xdr:rowOff>97834</xdr:rowOff>
    </xdr:to>
    <xdr:pic>
      <xdr:nvPicPr>
        <xdr:cNvPr id="1220" name="Picture 1219">
          <a:extLst>
            <a:ext uri="{FF2B5EF4-FFF2-40B4-BE49-F238E27FC236}">
              <a16:creationId xmlns:a16="http://schemas.microsoft.com/office/drawing/2014/main" id="{5B51875D-F9A3-4303-B615-1F0ECED9839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40398500"/>
          <a:ext cx="299110" cy="834434"/>
        </a:xfrm>
        <a:prstGeom prst="rect">
          <a:avLst/>
        </a:prstGeom>
      </xdr:spPr>
    </xdr:pic>
    <xdr:clientData/>
  </xdr:twoCellAnchor>
  <xdr:twoCellAnchor editAs="oneCell">
    <xdr:from>
      <xdr:col>20</xdr:col>
      <xdr:colOff>0</xdr:colOff>
      <xdr:row>284</xdr:row>
      <xdr:rowOff>0</xdr:rowOff>
    </xdr:from>
    <xdr:to>
      <xdr:col>20</xdr:col>
      <xdr:colOff>299110</xdr:colOff>
      <xdr:row>288</xdr:row>
      <xdr:rowOff>97834</xdr:rowOff>
    </xdr:to>
    <xdr:pic>
      <xdr:nvPicPr>
        <xdr:cNvPr id="1221" name="Picture 1220">
          <a:extLst>
            <a:ext uri="{FF2B5EF4-FFF2-40B4-BE49-F238E27FC236}">
              <a16:creationId xmlns:a16="http://schemas.microsoft.com/office/drawing/2014/main" id="{A3FFAEFB-6EF3-47AE-B10E-9EABACACEB5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40398500"/>
          <a:ext cx="299110" cy="834434"/>
        </a:xfrm>
        <a:prstGeom prst="rect">
          <a:avLst/>
        </a:prstGeom>
      </xdr:spPr>
    </xdr:pic>
    <xdr:clientData/>
  </xdr:twoCellAnchor>
  <xdr:twoCellAnchor editAs="oneCell">
    <xdr:from>
      <xdr:col>22</xdr:col>
      <xdr:colOff>0</xdr:colOff>
      <xdr:row>210</xdr:row>
      <xdr:rowOff>0</xdr:rowOff>
    </xdr:from>
    <xdr:to>
      <xdr:col>22</xdr:col>
      <xdr:colOff>299110</xdr:colOff>
      <xdr:row>214</xdr:row>
      <xdr:rowOff>94659</xdr:rowOff>
    </xdr:to>
    <xdr:pic>
      <xdr:nvPicPr>
        <xdr:cNvPr id="1222" name="Picture 1221">
          <a:extLst>
            <a:ext uri="{FF2B5EF4-FFF2-40B4-BE49-F238E27FC236}">
              <a16:creationId xmlns:a16="http://schemas.microsoft.com/office/drawing/2014/main" id="{C31FCC68-87DD-4AAB-975E-0D207561ACF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4749600"/>
          <a:ext cx="299110" cy="831259"/>
        </a:xfrm>
        <a:prstGeom prst="rect">
          <a:avLst/>
        </a:prstGeom>
      </xdr:spPr>
    </xdr:pic>
    <xdr:clientData/>
  </xdr:twoCellAnchor>
  <xdr:twoCellAnchor editAs="oneCell">
    <xdr:from>
      <xdr:col>4</xdr:col>
      <xdr:colOff>0</xdr:colOff>
      <xdr:row>284</xdr:row>
      <xdr:rowOff>0</xdr:rowOff>
    </xdr:from>
    <xdr:to>
      <xdr:col>4</xdr:col>
      <xdr:colOff>299110</xdr:colOff>
      <xdr:row>288</xdr:row>
      <xdr:rowOff>97834</xdr:rowOff>
    </xdr:to>
    <xdr:pic>
      <xdr:nvPicPr>
        <xdr:cNvPr id="1223" name="Picture 1222">
          <a:extLst>
            <a:ext uri="{FF2B5EF4-FFF2-40B4-BE49-F238E27FC236}">
              <a16:creationId xmlns:a16="http://schemas.microsoft.com/office/drawing/2014/main" id="{97B8F098-F716-484E-ACB4-15F5B8184C1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40398500"/>
          <a:ext cx="299110" cy="834434"/>
        </a:xfrm>
        <a:prstGeom prst="rect">
          <a:avLst/>
        </a:prstGeom>
      </xdr:spPr>
    </xdr:pic>
    <xdr:clientData/>
  </xdr:twoCellAnchor>
  <xdr:twoCellAnchor editAs="oneCell">
    <xdr:from>
      <xdr:col>14</xdr:col>
      <xdr:colOff>0</xdr:colOff>
      <xdr:row>235</xdr:row>
      <xdr:rowOff>0</xdr:rowOff>
    </xdr:from>
    <xdr:to>
      <xdr:col>14</xdr:col>
      <xdr:colOff>299110</xdr:colOff>
      <xdr:row>239</xdr:row>
      <xdr:rowOff>97834</xdr:rowOff>
    </xdr:to>
    <xdr:pic>
      <xdr:nvPicPr>
        <xdr:cNvPr id="1224" name="Picture 1223">
          <a:extLst>
            <a:ext uri="{FF2B5EF4-FFF2-40B4-BE49-F238E27FC236}">
              <a16:creationId xmlns:a16="http://schemas.microsoft.com/office/drawing/2014/main" id="{7A71AA63-F634-47C5-8A8A-FE9C288B5B3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16954300"/>
          <a:ext cx="299110" cy="834434"/>
        </a:xfrm>
        <a:prstGeom prst="rect">
          <a:avLst/>
        </a:prstGeom>
      </xdr:spPr>
    </xdr:pic>
    <xdr:clientData/>
  </xdr:twoCellAnchor>
  <xdr:twoCellAnchor editAs="oneCell">
    <xdr:from>
      <xdr:col>4</xdr:col>
      <xdr:colOff>0</xdr:colOff>
      <xdr:row>261</xdr:row>
      <xdr:rowOff>0</xdr:rowOff>
    </xdr:from>
    <xdr:to>
      <xdr:col>4</xdr:col>
      <xdr:colOff>299110</xdr:colOff>
      <xdr:row>265</xdr:row>
      <xdr:rowOff>18459</xdr:rowOff>
    </xdr:to>
    <xdr:pic>
      <xdr:nvPicPr>
        <xdr:cNvPr id="1225" name="Picture 1224">
          <a:extLst>
            <a:ext uri="{FF2B5EF4-FFF2-40B4-BE49-F238E27FC236}">
              <a16:creationId xmlns:a16="http://schemas.microsoft.com/office/drawing/2014/main" id="{11520CF0-AB46-4ECA-8EF0-B437D8CFC72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29393950"/>
          <a:ext cx="299110" cy="755059"/>
        </a:xfrm>
        <a:prstGeom prst="rect">
          <a:avLst/>
        </a:prstGeom>
      </xdr:spPr>
    </xdr:pic>
    <xdr:clientData/>
  </xdr:twoCellAnchor>
  <xdr:twoCellAnchor editAs="oneCell">
    <xdr:from>
      <xdr:col>6</xdr:col>
      <xdr:colOff>0</xdr:colOff>
      <xdr:row>260</xdr:row>
      <xdr:rowOff>0</xdr:rowOff>
    </xdr:from>
    <xdr:to>
      <xdr:col>6</xdr:col>
      <xdr:colOff>299110</xdr:colOff>
      <xdr:row>264</xdr:row>
      <xdr:rowOff>21634</xdr:rowOff>
    </xdr:to>
    <xdr:pic>
      <xdr:nvPicPr>
        <xdr:cNvPr id="1226" name="Picture 1225">
          <a:extLst>
            <a:ext uri="{FF2B5EF4-FFF2-40B4-BE49-F238E27FC236}">
              <a16:creationId xmlns:a16="http://schemas.microsoft.com/office/drawing/2014/main" id="{7F09CEAE-5EA7-44C1-A1CC-AE1C068A7A2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29184400"/>
          <a:ext cx="299110" cy="758234"/>
        </a:xfrm>
        <a:prstGeom prst="rect">
          <a:avLst/>
        </a:prstGeom>
      </xdr:spPr>
    </xdr:pic>
    <xdr:clientData/>
  </xdr:twoCellAnchor>
  <xdr:twoCellAnchor>
    <xdr:from>
      <xdr:col>5</xdr:col>
      <xdr:colOff>0</xdr:colOff>
      <xdr:row>257</xdr:row>
      <xdr:rowOff>21167</xdr:rowOff>
    </xdr:from>
    <xdr:to>
      <xdr:col>6</xdr:col>
      <xdr:colOff>0</xdr:colOff>
      <xdr:row>258</xdr:row>
      <xdr:rowOff>154517</xdr:rowOff>
    </xdr:to>
    <xdr:sp macro="" textlink="">
      <xdr:nvSpPr>
        <xdr:cNvPr id="1227" name="AutoShape 46">
          <a:extLst>
            <a:ext uri="{FF2B5EF4-FFF2-40B4-BE49-F238E27FC236}">
              <a16:creationId xmlns:a16="http://schemas.microsoft.com/office/drawing/2014/main" id="{70A53FFC-AF47-488F-B921-15DE482DEB4B}"/>
            </a:ext>
          </a:extLst>
        </xdr:cNvPr>
        <xdr:cNvSpPr>
          <a:spLocks noChangeArrowheads="1"/>
        </xdr:cNvSpPr>
      </xdr:nvSpPr>
      <xdr:spPr bwMode="auto">
        <a:xfrm>
          <a:off x="4933950" y="127300567"/>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oneCellAnchor>
    <xdr:from>
      <xdr:col>24</xdr:col>
      <xdr:colOff>0</xdr:colOff>
      <xdr:row>168</xdr:row>
      <xdr:rowOff>0</xdr:rowOff>
    </xdr:from>
    <xdr:ext cx="299110" cy="1004825"/>
    <xdr:pic>
      <xdr:nvPicPr>
        <xdr:cNvPr id="1228" name="Picture 1227">
          <a:extLst>
            <a:ext uri="{FF2B5EF4-FFF2-40B4-BE49-F238E27FC236}">
              <a16:creationId xmlns:a16="http://schemas.microsoft.com/office/drawing/2014/main" id="{9559054E-0E66-406F-A479-D14E5FF92B6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83985100"/>
          <a:ext cx="299110" cy="1004825"/>
        </a:xfrm>
        <a:prstGeom prst="rect">
          <a:avLst/>
        </a:prstGeom>
      </xdr:spPr>
    </xdr:pic>
    <xdr:clientData/>
  </xdr:oneCellAnchor>
  <xdr:oneCellAnchor>
    <xdr:from>
      <xdr:col>12</xdr:col>
      <xdr:colOff>0</xdr:colOff>
      <xdr:row>168</xdr:row>
      <xdr:rowOff>0</xdr:rowOff>
    </xdr:from>
    <xdr:ext cx="299110" cy="1004825"/>
    <xdr:pic>
      <xdr:nvPicPr>
        <xdr:cNvPr id="1229" name="Picture 1228">
          <a:extLst>
            <a:ext uri="{FF2B5EF4-FFF2-40B4-BE49-F238E27FC236}">
              <a16:creationId xmlns:a16="http://schemas.microsoft.com/office/drawing/2014/main" id="{CB6E5A3F-D80A-4FF7-BACD-3FA224DD3B8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3985100"/>
          <a:ext cx="299110" cy="1004825"/>
        </a:xfrm>
        <a:prstGeom prst="rect">
          <a:avLst/>
        </a:prstGeom>
      </xdr:spPr>
    </xdr:pic>
    <xdr:clientData/>
  </xdr:oneCellAnchor>
  <xdr:oneCellAnchor>
    <xdr:from>
      <xdr:col>20</xdr:col>
      <xdr:colOff>0</xdr:colOff>
      <xdr:row>168</xdr:row>
      <xdr:rowOff>0</xdr:rowOff>
    </xdr:from>
    <xdr:ext cx="299110" cy="1004825"/>
    <xdr:pic>
      <xdr:nvPicPr>
        <xdr:cNvPr id="1230" name="Picture 1229">
          <a:extLst>
            <a:ext uri="{FF2B5EF4-FFF2-40B4-BE49-F238E27FC236}">
              <a16:creationId xmlns:a16="http://schemas.microsoft.com/office/drawing/2014/main" id="{357F108B-BF91-49A7-99BD-F1CBDCB8295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3985100"/>
          <a:ext cx="299110" cy="1004825"/>
        </a:xfrm>
        <a:prstGeom prst="rect">
          <a:avLst/>
        </a:prstGeom>
      </xdr:spPr>
    </xdr:pic>
    <xdr:clientData/>
  </xdr:oneCellAnchor>
  <xdr:oneCellAnchor>
    <xdr:from>
      <xdr:col>22</xdr:col>
      <xdr:colOff>0</xdr:colOff>
      <xdr:row>168</xdr:row>
      <xdr:rowOff>0</xdr:rowOff>
    </xdr:from>
    <xdr:ext cx="299110" cy="1004825"/>
    <xdr:pic>
      <xdr:nvPicPr>
        <xdr:cNvPr id="1231" name="Picture 1230">
          <a:extLst>
            <a:ext uri="{FF2B5EF4-FFF2-40B4-BE49-F238E27FC236}">
              <a16:creationId xmlns:a16="http://schemas.microsoft.com/office/drawing/2014/main" id="{55BDFD58-DC76-4000-9DAF-8FC9849656F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83985100"/>
          <a:ext cx="299110" cy="1004825"/>
        </a:xfrm>
        <a:prstGeom prst="rect">
          <a:avLst/>
        </a:prstGeom>
      </xdr:spPr>
    </xdr:pic>
    <xdr:clientData/>
  </xdr:oneCellAnchor>
  <xdr:oneCellAnchor>
    <xdr:from>
      <xdr:col>10</xdr:col>
      <xdr:colOff>115453</xdr:colOff>
      <xdr:row>168</xdr:row>
      <xdr:rowOff>0</xdr:rowOff>
    </xdr:from>
    <xdr:ext cx="299110" cy="1004825"/>
    <xdr:pic>
      <xdr:nvPicPr>
        <xdr:cNvPr id="1232" name="Picture 1231">
          <a:extLst>
            <a:ext uri="{FF2B5EF4-FFF2-40B4-BE49-F238E27FC236}">
              <a16:creationId xmlns:a16="http://schemas.microsoft.com/office/drawing/2014/main" id="{861916FE-A4BD-4C64-B7F6-DD0E29575C4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624703" y="83985100"/>
          <a:ext cx="299110" cy="1004825"/>
        </a:xfrm>
        <a:prstGeom prst="rect">
          <a:avLst/>
        </a:prstGeom>
      </xdr:spPr>
    </xdr:pic>
    <xdr:clientData/>
  </xdr:oneCellAnchor>
  <xdr:oneCellAnchor>
    <xdr:from>
      <xdr:col>26</xdr:col>
      <xdr:colOff>0</xdr:colOff>
      <xdr:row>168</xdr:row>
      <xdr:rowOff>0</xdr:rowOff>
    </xdr:from>
    <xdr:ext cx="299110" cy="1004825"/>
    <xdr:pic>
      <xdr:nvPicPr>
        <xdr:cNvPr id="1233" name="Picture 1232">
          <a:extLst>
            <a:ext uri="{FF2B5EF4-FFF2-40B4-BE49-F238E27FC236}">
              <a16:creationId xmlns:a16="http://schemas.microsoft.com/office/drawing/2014/main" id="{DE2176C8-D7AF-4A4A-8F22-C40B1E5F2A6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83985100"/>
          <a:ext cx="299110" cy="1004825"/>
        </a:xfrm>
        <a:prstGeom prst="rect">
          <a:avLst/>
        </a:prstGeom>
      </xdr:spPr>
    </xdr:pic>
    <xdr:clientData/>
  </xdr:oneCellAnchor>
  <xdr:oneCellAnchor>
    <xdr:from>
      <xdr:col>14</xdr:col>
      <xdr:colOff>0</xdr:colOff>
      <xdr:row>168</xdr:row>
      <xdr:rowOff>115452</xdr:rowOff>
    </xdr:from>
    <xdr:ext cx="299110" cy="1247857"/>
    <xdr:pic>
      <xdr:nvPicPr>
        <xdr:cNvPr id="1234" name="Picture 1233">
          <a:extLst>
            <a:ext uri="{FF2B5EF4-FFF2-40B4-BE49-F238E27FC236}">
              <a16:creationId xmlns:a16="http://schemas.microsoft.com/office/drawing/2014/main" id="{E652223C-0600-4993-BD4D-8326C72D996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4100552"/>
          <a:ext cx="299110" cy="1247857"/>
        </a:xfrm>
        <a:prstGeom prst="rect">
          <a:avLst/>
        </a:prstGeom>
      </xdr:spPr>
    </xdr:pic>
    <xdr:clientData/>
  </xdr:oneCellAnchor>
  <xdr:oneCellAnchor>
    <xdr:from>
      <xdr:col>6</xdr:col>
      <xdr:colOff>0</xdr:colOff>
      <xdr:row>168</xdr:row>
      <xdr:rowOff>0</xdr:rowOff>
    </xdr:from>
    <xdr:ext cx="299110" cy="1004825"/>
    <xdr:pic>
      <xdr:nvPicPr>
        <xdr:cNvPr id="1235" name="Picture 1234">
          <a:extLst>
            <a:ext uri="{FF2B5EF4-FFF2-40B4-BE49-F238E27FC236}">
              <a16:creationId xmlns:a16="http://schemas.microsoft.com/office/drawing/2014/main" id="{AF7CB04A-2C5D-47F6-868A-2B4CB156146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3985100"/>
          <a:ext cx="299110" cy="1004825"/>
        </a:xfrm>
        <a:prstGeom prst="rect">
          <a:avLst/>
        </a:prstGeom>
      </xdr:spPr>
    </xdr:pic>
    <xdr:clientData/>
  </xdr:oneCellAnchor>
  <xdr:oneCellAnchor>
    <xdr:from>
      <xdr:col>4</xdr:col>
      <xdr:colOff>0</xdr:colOff>
      <xdr:row>168</xdr:row>
      <xdr:rowOff>0</xdr:rowOff>
    </xdr:from>
    <xdr:ext cx="299110" cy="1004825"/>
    <xdr:pic>
      <xdr:nvPicPr>
        <xdr:cNvPr id="1236" name="Picture 1235">
          <a:extLst>
            <a:ext uri="{FF2B5EF4-FFF2-40B4-BE49-F238E27FC236}">
              <a16:creationId xmlns:a16="http://schemas.microsoft.com/office/drawing/2014/main" id="{9608118E-3D6A-47C0-9CCB-3325DA588A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83985100"/>
          <a:ext cx="299110" cy="1004825"/>
        </a:xfrm>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twoCellAnchor editAs="oneCell">
    <xdr:from>
      <xdr:col>30</xdr:col>
      <xdr:colOff>0</xdr:colOff>
      <xdr:row>10</xdr:row>
      <xdr:rowOff>0</xdr:rowOff>
    </xdr:from>
    <xdr:to>
      <xdr:col>30</xdr:col>
      <xdr:colOff>104775</xdr:colOff>
      <xdr:row>11</xdr:row>
      <xdr:rowOff>164464</xdr:rowOff>
    </xdr:to>
    <xdr:sp macro="" textlink="">
      <xdr:nvSpPr>
        <xdr:cNvPr id="2" name="Text Box 6212">
          <a:extLst>
            <a:ext uri="{FF2B5EF4-FFF2-40B4-BE49-F238E27FC236}">
              <a16:creationId xmlns:a16="http://schemas.microsoft.com/office/drawing/2014/main" id="{FA21433B-0F21-4483-95CB-269E762F8739}"/>
            </a:ext>
          </a:extLst>
        </xdr:cNvPr>
        <xdr:cNvSpPr txBox="1">
          <a:spLocks noChangeArrowheads="1"/>
        </xdr:cNvSpPr>
      </xdr:nvSpPr>
      <xdr:spPr bwMode="auto">
        <a:xfrm>
          <a:off x="14401800" y="3282950"/>
          <a:ext cx="104775" cy="348614"/>
        </a:xfrm>
        <a:prstGeom prst="rect">
          <a:avLst/>
        </a:prstGeom>
        <a:noFill/>
        <a:ln w="9525">
          <a:noFill/>
          <a:miter lim="800000"/>
          <a:headEnd/>
          <a:tailEnd/>
        </a:ln>
      </xdr:spPr>
    </xdr:sp>
    <xdr:clientData/>
  </xdr:twoCellAnchor>
  <xdr:twoCellAnchor editAs="oneCell">
    <xdr:from>
      <xdr:col>8</xdr:col>
      <xdr:colOff>114300</xdr:colOff>
      <xdr:row>13</xdr:row>
      <xdr:rowOff>0</xdr:rowOff>
    </xdr:from>
    <xdr:to>
      <xdr:col>8</xdr:col>
      <xdr:colOff>219075</xdr:colOff>
      <xdr:row>13</xdr:row>
      <xdr:rowOff>171450</xdr:rowOff>
    </xdr:to>
    <xdr:sp macro="" textlink="">
      <xdr:nvSpPr>
        <xdr:cNvPr id="3" name="Text Box 11802">
          <a:extLst>
            <a:ext uri="{FF2B5EF4-FFF2-40B4-BE49-F238E27FC236}">
              <a16:creationId xmlns:a16="http://schemas.microsoft.com/office/drawing/2014/main" id="{9862E9A5-11CF-4893-AA94-9241229A6A33}"/>
            </a:ext>
          </a:extLst>
        </xdr:cNvPr>
        <xdr:cNvSpPr txBox="1">
          <a:spLocks noChangeArrowheads="1"/>
        </xdr:cNvSpPr>
      </xdr:nvSpPr>
      <xdr:spPr bwMode="auto">
        <a:xfrm>
          <a:off x="4146550" y="4140200"/>
          <a:ext cx="104775" cy="171450"/>
        </a:xfrm>
        <a:prstGeom prst="rect">
          <a:avLst/>
        </a:prstGeom>
        <a:noFill/>
        <a:ln w="9525">
          <a:noFill/>
          <a:miter lim="800000"/>
          <a:headEnd/>
          <a:tailEnd/>
        </a:ln>
      </xdr:spPr>
    </xdr:sp>
    <xdr:clientData/>
  </xdr:twoCellAnchor>
  <xdr:twoCellAnchor>
    <xdr:from>
      <xdr:col>18</xdr:col>
      <xdr:colOff>307975</xdr:colOff>
      <xdr:row>4</xdr:row>
      <xdr:rowOff>137584</xdr:rowOff>
    </xdr:from>
    <xdr:to>
      <xdr:col>26</xdr:col>
      <xdr:colOff>88900</xdr:colOff>
      <xdr:row>14</xdr:row>
      <xdr:rowOff>84667</xdr:rowOff>
    </xdr:to>
    <xdr:grpSp>
      <xdr:nvGrpSpPr>
        <xdr:cNvPr id="4" name="Group 3">
          <a:extLst>
            <a:ext uri="{FF2B5EF4-FFF2-40B4-BE49-F238E27FC236}">
              <a16:creationId xmlns:a16="http://schemas.microsoft.com/office/drawing/2014/main" id="{B60A1F33-D336-4EA3-B560-BCFADBEEFDF4}"/>
            </a:ext>
          </a:extLst>
        </xdr:cNvPr>
        <xdr:cNvGrpSpPr/>
      </xdr:nvGrpSpPr>
      <xdr:grpSpPr>
        <a:xfrm>
          <a:off x="9370332" y="1071941"/>
          <a:ext cx="3645354" cy="2478012"/>
          <a:chOff x="10153650" y="1536195"/>
          <a:chExt cx="2552700" cy="2203955"/>
        </a:xfrm>
      </xdr:grpSpPr>
      <xdr:sp macro="" textlink="">
        <xdr:nvSpPr>
          <xdr:cNvPr id="5" name="Rectangle 10693">
            <a:extLst>
              <a:ext uri="{FF2B5EF4-FFF2-40B4-BE49-F238E27FC236}">
                <a16:creationId xmlns:a16="http://schemas.microsoft.com/office/drawing/2014/main" id="{6D91ED35-E861-45B9-0784-D583CCDD093D}"/>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6" name="Rectangle 10709">
            <a:extLst>
              <a:ext uri="{FF2B5EF4-FFF2-40B4-BE49-F238E27FC236}">
                <a16:creationId xmlns:a16="http://schemas.microsoft.com/office/drawing/2014/main" id="{3B24D954-F8FC-3C0D-F346-E15537E0BD6B}"/>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7" name="Group 6">
            <a:extLst>
              <a:ext uri="{FF2B5EF4-FFF2-40B4-BE49-F238E27FC236}">
                <a16:creationId xmlns:a16="http://schemas.microsoft.com/office/drawing/2014/main" id="{A17E2262-6F23-BE13-AF51-A788B58570E6}"/>
              </a:ext>
            </a:extLst>
          </xdr:cNvPr>
          <xdr:cNvGrpSpPr/>
        </xdr:nvGrpSpPr>
        <xdr:grpSpPr>
          <a:xfrm>
            <a:off x="10153650" y="1536195"/>
            <a:ext cx="2552700" cy="2203955"/>
            <a:chOff x="10153650" y="1536195"/>
            <a:chExt cx="2552700" cy="2203955"/>
          </a:xfrm>
        </xdr:grpSpPr>
        <xdr:sp macro="" textlink="">
          <xdr:nvSpPr>
            <xdr:cNvPr id="8" name="Rectangle 10690">
              <a:extLst>
                <a:ext uri="{FF2B5EF4-FFF2-40B4-BE49-F238E27FC236}">
                  <a16:creationId xmlns:a16="http://schemas.microsoft.com/office/drawing/2014/main" id="{2C15C9B3-6B6A-4297-A3A0-B854C3FF5A6B}"/>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9" name="AutoShape 10694">
              <a:extLst>
                <a:ext uri="{FF2B5EF4-FFF2-40B4-BE49-F238E27FC236}">
                  <a16:creationId xmlns:a16="http://schemas.microsoft.com/office/drawing/2014/main" id="{636070A0-2947-C612-D652-6688C3AF9C2F}"/>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 name="Freeform 10695">
              <a:extLst>
                <a:ext uri="{FF2B5EF4-FFF2-40B4-BE49-F238E27FC236}">
                  <a16:creationId xmlns:a16="http://schemas.microsoft.com/office/drawing/2014/main" id="{CEE6E3C0-196D-B815-176F-1DA2AE6FBF7E}"/>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1" name="Rectangle 10696">
              <a:extLst>
                <a:ext uri="{FF2B5EF4-FFF2-40B4-BE49-F238E27FC236}">
                  <a16:creationId xmlns:a16="http://schemas.microsoft.com/office/drawing/2014/main" id="{0E10A276-F90F-6079-F322-00B724AF9D7D}"/>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2" name="AutoShape 10700">
              <a:extLst>
                <a:ext uri="{FF2B5EF4-FFF2-40B4-BE49-F238E27FC236}">
                  <a16:creationId xmlns:a16="http://schemas.microsoft.com/office/drawing/2014/main" id="{924D7460-D3BF-568C-F617-0B8279192625}"/>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3" name="Freeform 10706">
              <a:extLst>
                <a:ext uri="{FF2B5EF4-FFF2-40B4-BE49-F238E27FC236}">
                  <a16:creationId xmlns:a16="http://schemas.microsoft.com/office/drawing/2014/main" id="{6E208766-7EFB-F041-240C-A8ECCB19F206}"/>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4" name="Freeform 10707">
              <a:extLst>
                <a:ext uri="{FF2B5EF4-FFF2-40B4-BE49-F238E27FC236}">
                  <a16:creationId xmlns:a16="http://schemas.microsoft.com/office/drawing/2014/main" id="{A5F44A68-D915-6991-1FB2-FC4C1892BBA7}"/>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5" name="Line 10711">
              <a:extLst>
                <a:ext uri="{FF2B5EF4-FFF2-40B4-BE49-F238E27FC236}">
                  <a16:creationId xmlns:a16="http://schemas.microsoft.com/office/drawing/2014/main" id="{0EC283D9-775F-A732-62E9-69128C6AFA90}"/>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6" name="Line 10719">
              <a:extLst>
                <a:ext uri="{FF2B5EF4-FFF2-40B4-BE49-F238E27FC236}">
                  <a16:creationId xmlns:a16="http://schemas.microsoft.com/office/drawing/2014/main" id="{D484239A-19B2-8DD3-0C0D-746ECCE0172D}"/>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7" name="Line 10711">
              <a:extLst>
                <a:ext uri="{FF2B5EF4-FFF2-40B4-BE49-F238E27FC236}">
                  <a16:creationId xmlns:a16="http://schemas.microsoft.com/office/drawing/2014/main" id="{6A100016-DAC9-80E7-0CA1-52A9B167BC3D}"/>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8" name="Group 1008">
              <a:extLst>
                <a:ext uri="{FF2B5EF4-FFF2-40B4-BE49-F238E27FC236}">
                  <a16:creationId xmlns:a16="http://schemas.microsoft.com/office/drawing/2014/main" id="{ED5DF538-F9A5-23F4-994E-C80B076D60CC}"/>
                </a:ext>
              </a:extLst>
            </xdr:cNvPr>
            <xdr:cNvGrpSpPr>
              <a:grpSpLocks/>
            </xdr:cNvGrpSpPr>
          </xdr:nvGrpSpPr>
          <xdr:grpSpPr bwMode="auto">
            <a:xfrm>
              <a:off x="12030075" y="3228975"/>
              <a:ext cx="228600" cy="333375"/>
              <a:chOff x="5475762" y="47760700"/>
              <a:chExt cx="314325" cy="230209"/>
            </a:xfrm>
          </xdr:grpSpPr>
          <xdr:cxnSp macro="">
            <xdr:nvCxnSpPr>
              <xdr:cNvPr id="21" name="Straight Connector 20">
                <a:extLst>
                  <a:ext uri="{FF2B5EF4-FFF2-40B4-BE49-F238E27FC236}">
                    <a16:creationId xmlns:a16="http://schemas.microsoft.com/office/drawing/2014/main" id="{EA2DACC9-3E83-37AF-A8F1-E54527EB8AD6}"/>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2" name="Straight Connector 529">
                <a:extLst>
                  <a:ext uri="{FF2B5EF4-FFF2-40B4-BE49-F238E27FC236}">
                    <a16:creationId xmlns:a16="http://schemas.microsoft.com/office/drawing/2014/main" id="{5569C3AE-5B5A-40D0-8A45-1968B989C94C}"/>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23" name="Straight Connector 531">
                <a:extLst>
                  <a:ext uri="{FF2B5EF4-FFF2-40B4-BE49-F238E27FC236}">
                    <a16:creationId xmlns:a16="http://schemas.microsoft.com/office/drawing/2014/main" id="{7AD79799-25D7-7E68-9970-25D021AD590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24" name="Straight Connector 533">
                <a:extLst>
                  <a:ext uri="{FF2B5EF4-FFF2-40B4-BE49-F238E27FC236}">
                    <a16:creationId xmlns:a16="http://schemas.microsoft.com/office/drawing/2014/main" id="{81C4F481-E2C4-70E6-354E-20583F48407D}"/>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25" name="Straight Connector 535">
                <a:extLst>
                  <a:ext uri="{FF2B5EF4-FFF2-40B4-BE49-F238E27FC236}">
                    <a16:creationId xmlns:a16="http://schemas.microsoft.com/office/drawing/2014/main" id="{A3D429E6-5FEC-BE83-D86E-FEC5CB26004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26" name="Straight Connector 537">
                <a:extLst>
                  <a:ext uri="{FF2B5EF4-FFF2-40B4-BE49-F238E27FC236}">
                    <a16:creationId xmlns:a16="http://schemas.microsoft.com/office/drawing/2014/main" id="{86328688-7767-0102-8B3E-5CEDD497B044}"/>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9" name="Straight Arrow Connector 18">
              <a:extLst>
                <a:ext uri="{FF2B5EF4-FFF2-40B4-BE49-F238E27FC236}">
                  <a16:creationId xmlns:a16="http://schemas.microsoft.com/office/drawing/2014/main" id="{926456B5-C8BC-D8BA-AB6A-D041A2ECC67F}"/>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20" name="Straight Arrow Connector 19">
              <a:extLst>
                <a:ext uri="{FF2B5EF4-FFF2-40B4-BE49-F238E27FC236}">
                  <a16:creationId xmlns:a16="http://schemas.microsoft.com/office/drawing/2014/main" id="{B35D81C0-F9F3-FF4F-88BD-8BA39A2C5A48}"/>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19</xdr:col>
      <xdr:colOff>9525</xdr:colOff>
      <xdr:row>11</xdr:row>
      <xdr:rowOff>137583</xdr:rowOff>
    </xdr:from>
    <xdr:to>
      <xdr:col>20</xdr:col>
      <xdr:colOff>133350</xdr:colOff>
      <xdr:row>11</xdr:row>
      <xdr:rowOff>137583</xdr:rowOff>
    </xdr:to>
    <xdr:sp macro="" textlink="">
      <xdr:nvSpPr>
        <xdr:cNvPr id="27" name="Line 10718">
          <a:extLst>
            <a:ext uri="{FF2B5EF4-FFF2-40B4-BE49-F238E27FC236}">
              <a16:creationId xmlns:a16="http://schemas.microsoft.com/office/drawing/2014/main" id="{EE999089-5032-4A87-8917-C952686E2A1D}"/>
            </a:ext>
          </a:extLst>
        </xdr:cNvPr>
        <xdr:cNvSpPr>
          <a:spLocks noChangeShapeType="1"/>
        </xdr:cNvSpPr>
      </xdr:nvSpPr>
      <xdr:spPr bwMode="auto">
        <a:xfrm flipH="1">
          <a:off x="9140825" y="3744383"/>
          <a:ext cx="587375" cy="0"/>
        </a:xfrm>
        <a:prstGeom prst="line">
          <a:avLst/>
        </a:prstGeom>
        <a:noFill/>
        <a:ln w="9525">
          <a:solidFill>
            <a:srgbClr val="000000"/>
          </a:solidFill>
          <a:round/>
          <a:headEnd/>
          <a:tailEnd type="triangle" w="med" len="med"/>
        </a:ln>
      </xdr:spPr>
    </xdr:sp>
    <xdr:clientData/>
  </xdr:twoCellAnchor>
  <xdr:twoCellAnchor>
    <xdr:from>
      <xdr:col>26</xdr:col>
      <xdr:colOff>0</xdr:colOff>
      <xdr:row>12</xdr:row>
      <xdr:rowOff>0</xdr:rowOff>
    </xdr:from>
    <xdr:to>
      <xdr:col>26</xdr:col>
      <xdr:colOff>257175</xdr:colOff>
      <xdr:row>15</xdr:row>
      <xdr:rowOff>152400</xdr:rowOff>
    </xdr:to>
    <xdr:sp macro="" textlink="">
      <xdr:nvSpPr>
        <xdr:cNvPr id="28" name="Equals 2636">
          <a:extLst>
            <a:ext uri="{FF2B5EF4-FFF2-40B4-BE49-F238E27FC236}">
              <a16:creationId xmlns:a16="http://schemas.microsoft.com/office/drawing/2014/main" id="{A3848FD5-4EDC-4FF6-9EF2-2CB75DD451AA}"/>
            </a:ext>
          </a:extLst>
        </xdr:cNvPr>
        <xdr:cNvSpPr/>
      </xdr:nvSpPr>
      <xdr:spPr>
        <a:xfrm rot="5400000">
          <a:off x="12085638" y="4221162"/>
          <a:ext cx="952500"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29</xdr:col>
      <xdr:colOff>0</xdr:colOff>
      <xdr:row>12</xdr:row>
      <xdr:rowOff>0</xdr:rowOff>
    </xdr:from>
    <xdr:to>
      <xdr:col>29</xdr:col>
      <xdr:colOff>161925</xdr:colOff>
      <xdr:row>14</xdr:row>
      <xdr:rowOff>309166</xdr:rowOff>
    </xdr:to>
    <xdr:pic>
      <xdr:nvPicPr>
        <xdr:cNvPr id="29" name="Picture 7">
          <a:extLst>
            <a:ext uri="{FF2B5EF4-FFF2-40B4-BE49-F238E27FC236}">
              <a16:creationId xmlns:a16="http://schemas.microsoft.com/office/drawing/2014/main" id="{DDD660EE-A4F3-4169-BE84-078404E4BF17}"/>
            </a:ext>
          </a:extLst>
        </xdr:cNvPr>
        <xdr:cNvPicPr>
          <a:picLocks noChangeAspect="1"/>
        </xdr:cNvPicPr>
      </xdr:nvPicPr>
      <xdr:blipFill>
        <a:blip xmlns:r="http://schemas.openxmlformats.org/officeDocument/2006/relationships" r:embed="rId1" cstate="print"/>
        <a:srcRect/>
        <a:stretch>
          <a:fillRect/>
        </a:stretch>
      </xdr:blipFill>
      <xdr:spPr bwMode="auto">
        <a:xfrm>
          <a:off x="13970000" y="3873500"/>
          <a:ext cx="161925" cy="798116"/>
        </a:xfrm>
        <a:prstGeom prst="rect">
          <a:avLst/>
        </a:prstGeom>
        <a:noFill/>
        <a:ln w="9525">
          <a:noFill/>
          <a:miter lim="800000"/>
          <a:headEnd/>
          <a:tailEnd/>
        </a:ln>
      </xdr:spPr>
    </xdr:pic>
    <xdr:clientData/>
  </xdr:twoCellAnchor>
  <xdr:twoCellAnchor>
    <xdr:from>
      <xdr:col>27</xdr:col>
      <xdr:colOff>326622</xdr:colOff>
      <xdr:row>4</xdr:row>
      <xdr:rowOff>144349</xdr:rowOff>
    </xdr:from>
    <xdr:to>
      <xdr:col>28</xdr:col>
      <xdr:colOff>326622</xdr:colOff>
      <xdr:row>5</xdr:row>
      <xdr:rowOff>55079</xdr:rowOff>
    </xdr:to>
    <xdr:sp macro="" textlink="">
      <xdr:nvSpPr>
        <xdr:cNvPr id="30" name="Freeform 1130">
          <a:extLst>
            <a:ext uri="{FF2B5EF4-FFF2-40B4-BE49-F238E27FC236}">
              <a16:creationId xmlns:a16="http://schemas.microsoft.com/office/drawing/2014/main" id="{DC717ABB-8525-4101-9F66-F457326C64B3}"/>
            </a:ext>
          </a:extLst>
        </xdr:cNvPr>
        <xdr:cNvSpPr>
          <a:spLocks noChangeArrowheads="1"/>
        </xdr:cNvSpPr>
      </xdr:nvSpPr>
      <xdr:spPr bwMode="auto">
        <a:xfrm rot="5139476">
          <a:off x="13318907" y="1477664"/>
          <a:ext cx="272680" cy="46355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29</xdr:col>
      <xdr:colOff>0</xdr:colOff>
      <xdr:row>10</xdr:row>
      <xdr:rowOff>95250</xdr:rowOff>
    </xdr:from>
    <xdr:to>
      <xdr:col>29</xdr:col>
      <xdr:colOff>560348</xdr:colOff>
      <xdr:row>11</xdr:row>
      <xdr:rowOff>147407</xdr:rowOff>
    </xdr:to>
    <xdr:grpSp>
      <xdr:nvGrpSpPr>
        <xdr:cNvPr id="31" name="Group 1115">
          <a:extLst>
            <a:ext uri="{FF2B5EF4-FFF2-40B4-BE49-F238E27FC236}">
              <a16:creationId xmlns:a16="http://schemas.microsoft.com/office/drawing/2014/main" id="{4E3C9B02-780E-4030-8ED3-93B681858DBE}"/>
            </a:ext>
          </a:extLst>
        </xdr:cNvPr>
        <xdr:cNvGrpSpPr>
          <a:grpSpLocks/>
        </xdr:cNvGrpSpPr>
      </xdr:nvGrpSpPr>
      <xdr:grpSpPr bwMode="auto">
        <a:xfrm>
          <a:off x="14468929" y="2553607"/>
          <a:ext cx="433348" cy="378729"/>
          <a:chOff x="5424645" y="49113913"/>
          <a:chExt cx="313716" cy="343844"/>
        </a:xfrm>
      </xdr:grpSpPr>
      <xdr:cxnSp macro="">
        <xdr:nvCxnSpPr>
          <xdr:cNvPr id="32" name="Straight Connector 1107">
            <a:extLst>
              <a:ext uri="{FF2B5EF4-FFF2-40B4-BE49-F238E27FC236}">
                <a16:creationId xmlns:a16="http://schemas.microsoft.com/office/drawing/2014/main" id="{CE7A4F17-9D68-AFB8-1B3E-DAFC17A3FC39}"/>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33" name="Straight Connector 1108">
            <a:extLst>
              <a:ext uri="{FF2B5EF4-FFF2-40B4-BE49-F238E27FC236}">
                <a16:creationId xmlns:a16="http://schemas.microsoft.com/office/drawing/2014/main" id="{02549ABA-4B3F-F0C9-2547-E874AB38909E}"/>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34" name="Straight Connector 1109">
            <a:extLst>
              <a:ext uri="{FF2B5EF4-FFF2-40B4-BE49-F238E27FC236}">
                <a16:creationId xmlns:a16="http://schemas.microsoft.com/office/drawing/2014/main" id="{522B9CC8-C9C7-94CC-4C90-69C7533B6283}"/>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35" name="Straight Connector 1111">
            <a:extLst>
              <a:ext uri="{FF2B5EF4-FFF2-40B4-BE49-F238E27FC236}">
                <a16:creationId xmlns:a16="http://schemas.microsoft.com/office/drawing/2014/main" id="{C7A0D99F-B336-97B8-6C2C-AF4C3B1BF16B}"/>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36" name="Straight Connector 1112">
            <a:extLst>
              <a:ext uri="{FF2B5EF4-FFF2-40B4-BE49-F238E27FC236}">
                <a16:creationId xmlns:a16="http://schemas.microsoft.com/office/drawing/2014/main" id="{C01F8E57-3296-7D86-51E9-C179250F56F0}"/>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37" name="Straight Connector 1113">
            <a:extLst>
              <a:ext uri="{FF2B5EF4-FFF2-40B4-BE49-F238E27FC236}">
                <a16:creationId xmlns:a16="http://schemas.microsoft.com/office/drawing/2014/main" id="{E2B8A747-D0A8-792F-04AF-0889B26ED4A5}"/>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38" name="Straight Connector 1114">
            <a:extLst>
              <a:ext uri="{FF2B5EF4-FFF2-40B4-BE49-F238E27FC236}">
                <a16:creationId xmlns:a16="http://schemas.microsoft.com/office/drawing/2014/main" id="{24484776-2AD7-E2C6-0782-CC2E75E4D5DC}"/>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1</xdr:col>
      <xdr:colOff>0</xdr:colOff>
      <xdr:row>20</xdr:row>
      <xdr:rowOff>57150</xdr:rowOff>
    </xdr:from>
    <xdr:to>
      <xdr:col>2</xdr:col>
      <xdr:colOff>0</xdr:colOff>
      <xdr:row>21</xdr:row>
      <xdr:rowOff>190500</xdr:rowOff>
    </xdr:to>
    <xdr:sp macro="" textlink="">
      <xdr:nvSpPr>
        <xdr:cNvPr id="39" name="AutoShape 46">
          <a:extLst>
            <a:ext uri="{FF2B5EF4-FFF2-40B4-BE49-F238E27FC236}">
              <a16:creationId xmlns:a16="http://schemas.microsoft.com/office/drawing/2014/main" id="{5623AE44-C8FB-40A6-870C-C16A605AD9DB}"/>
            </a:ext>
          </a:extLst>
        </xdr:cNvPr>
        <xdr:cNvSpPr>
          <a:spLocks noChangeArrowheads="1"/>
        </xdr:cNvSpPr>
      </xdr:nvSpPr>
      <xdr:spPr bwMode="auto">
        <a:xfrm>
          <a:off x="609600" y="5734050"/>
          <a:ext cx="463550" cy="3175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20</xdr:row>
      <xdr:rowOff>57150</xdr:rowOff>
    </xdr:from>
    <xdr:to>
      <xdr:col>4</xdr:col>
      <xdr:colOff>0</xdr:colOff>
      <xdr:row>21</xdr:row>
      <xdr:rowOff>190500</xdr:rowOff>
    </xdr:to>
    <xdr:sp macro="" textlink="">
      <xdr:nvSpPr>
        <xdr:cNvPr id="40" name="AutoShape 46">
          <a:extLst>
            <a:ext uri="{FF2B5EF4-FFF2-40B4-BE49-F238E27FC236}">
              <a16:creationId xmlns:a16="http://schemas.microsoft.com/office/drawing/2014/main" id="{0620B4A0-8A82-49DC-B160-7A57965E0BE8}"/>
            </a:ext>
          </a:extLst>
        </xdr:cNvPr>
        <xdr:cNvSpPr>
          <a:spLocks noChangeArrowheads="1"/>
        </xdr:cNvSpPr>
      </xdr:nvSpPr>
      <xdr:spPr bwMode="auto">
        <a:xfrm>
          <a:off x="1536700" y="5734050"/>
          <a:ext cx="520700" cy="3175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20</xdr:row>
      <xdr:rowOff>57150</xdr:rowOff>
    </xdr:from>
    <xdr:to>
      <xdr:col>6</xdr:col>
      <xdr:colOff>0</xdr:colOff>
      <xdr:row>21</xdr:row>
      <xdr:rowOff>190500</xdr:rowOff>
    </xdr:to>
    <xdr:sp macro="" textlink="">
      <xdr:nvSpPr>
        <xdr:cNvPr id="41" name="AutoShape 46">
          <a:extLst>
            <a:ext uri="{FF2B5EF4-FFF2-40B4-BE49-F238E27FC236}">
              <a16:creationId xmlns:a16="http://schemas.microsoft.com/office/drawing/2014/main" id="{85F75261-558E-43E1-B234-4264037949EC}"/>
            </a:ext>
          </a:extLst>
        </xdr:cNvPr>
        <xdr:cNvSpPr>
          <a:spLocks noChangeArrowheads="1"/>
        </xdr:cNvSpPr>
      </xdr:nvSpPr>
      <xdr:spPr bwMode="auto">
        <a:xfrm>
          <a:off x="2520950" y="5734050"/>
          <a:ext cx="5143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20</xdr:row>
      <xdr:rowOff>57150</xdr:rowOff>
    </xdr:from>
    <xdr:to>
      <xdr:col>8</xdr:col>
      <xdr:colOff>0</xdr:colOff>
      <xdr:row>21</xdr:row>
      <xdr:rowOff>190500</xdr:rowOff>
    </xdr:to>
    <xdr:sp macro="" textlink="">
      <xdr:nvSpPr>
        <xdr:cNvPr id="42" name="AutoShape 46">
          <a:extLst>
            <a:ext uri="{FF2B5EF4-FFF2-40B4-BE49-F238E27FC236}">
              <a16:creationId xmlns:a16="http://schemas.microsoft.com/office/drawing/2014/main" id="{BB53E882-4650-4B4E-BE40-EAB6FCD0BFC4}"/>
            </a:ext>
          </a:extLst>
        </xdr:cNvPr>
        <xdr:cNvSpPr>
          <a:spLocks noChangeArrowheads="1"/>
        </xdr:cNvSpPr>
      </xdr:nvSpPr>
      <xdr:spPr bwMode="auto">
        <a:xfrm>
          <a:off x="3498850" y="5734050"/>
          <a:ext cx="53340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20</xdr:row>
      <xdr:rowOff>57150</xdr:rowOff>
    </xdr:from>
    <xdr:to>
      <xdr:col>10</xdr:col>
      <xdr:colOff>0</xdr:colOff>
      <xdr:row>21</xdr:row>
      <xdr:rowOff>190500</xdr:rowOff>
    </xdr:to>
    <xdr:sp macro="" textlink="">
      <xdr:nvSpPr>
        <xdr:cNvPr id="43" name="AutoShape 46">
          <a:extLst>
            <a:ext uri="{FF2B5EF4-FFF2-40B4-BE49-F238E27FC236}">
              <a16:creationId xmlns:a16="http://schemas.microsoft.com/office/drawing/2014/main" id="{BBA54183-C9B0-42BC-BFFB-43DF76A8CBAD}"/>
            </a:ext>
          </a:extLst>
        </xdr:cNvPr>
        <xdr:cNvSpPr>
          <a:spLocks noChangeArrowheads="1"/>
        </xdr:cNvSpPr>
      </xdr:nvSpPr>
      <xdr:spPr bwMode="auto">
        <a:xfrm>
          <a:off x="44958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20</xdr:row>
      <xdr:rowOff>57150</xdr:rowOff>
    </xdr:from>
    <xdr:to>
      <xdr:col>12</xdr:col>
      <xdr:colOff>0</xdr:colOff>
      <xdr:row>21</xdr:row>
      <xdr:rowOff>190500</xdr:rowOff>
    </xdr:to>
    <xdr:sp macro="" textlink="">
      <xdr:nvSpPr>
        <xdr:cNvPr id="44" name="AutoShape 46">
          <a:extLst>
            <a:ext uri="{FF2B5EF4-FFF2-40B4-BE49-F238E27FC236}">
              <a16:creationId xmlns:a16="http://schemas.microsoft.com/office/drawing/2014/main" id="{E168BB23-1382-4263-B18C-CB3A0DAC4FE1}"/>
            </a:ext>
          </a:extLst>
        </xdr:cNvPr>
        <xdr:cNvSpPr>
          <a:spLocks noChangeArrowheads="1"/>
        </xdr:cNvSpPr>
      </xdr:nvSpPr>
      <xdr:spPr bwMode="auto">
        <a:xfrm>
          <a:off x="54229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20</xdr:row>
      <xdr:rowOff>57150</xdr:rowOff>
    </xdr:from>
    <xdr:to>
      <xdr:col>14</xdr:col>
      <xdr:colOff>0</xdr:colOff>
      <xdr:row>21</xdr:row>
      <xdr:rowOff>190500</xdr:rowOff>
    </xdr:to>
    <xdr:sp macro="" textlink="">
      <xdr:nvSpPr>
        <xdr:cNvPr id="45" name="AutoShape 46">
          <a:extLst>
            <a:ext uri="{FF2B5EF4-FFF2-40B4-BE49-F238E27FC236}">
              <a16:creationId xmlns:a16="http://schemas.microsoft.com/office/drawing/2014/main" id="{F425C3E3-B50A-48BB-9927-FBB4046B1F44}"/>
            </a:ext>
          </a:extLst>
        </xdr:cNvPr>
        <xdr:cNvSpPr>
          <a:spLocks noChangeArrowheads="1"/>
        </xdr:cNvSpPr>
      </xdr:nvSpPr>
      <xdr:spPr bwMode="auto">
        <a:xfrm>
          <a:off x="63500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20</xdr:row>
      <xdr:rowOff>57150</xdr:rowOff>
    </xdr:from>
    <xdr:to>
      <xdr:col>16</xdr:col>
      <xdr:colOff>0</xdr:colOff>
      <xdr:row>21</xdr:row>
      <xdr:rowOff>190500</xdr:rowOff>
    </xdr:to>
    <xdr:sp macro="" textlink="">
      <xdr:nvSpPr>
        <xdr:cNvPr id="46" name="AutoShape 46">
          <a:extLst>
            <a:ext uri="{FF2B5EF4-FFF2-40B4-BE49-F238E27FC236}">
              <a16:creationId xmlns:a16="http://schemas.microsoft.com/office/drawing/2014/main" id="{C0BB4AF3-157A-4DE9-92E1-4A0E97E40EBE}"/>
            </a:ext>
          </a:extLst>
        </xdr:cNvPr>
        <xdr:cNvSpPr>
          <a:spLocks noChangeArrowheads="1"/>
        </xdr:cNvSpPr>
      </xdr:nvSpPr>
      <xdr:spPr bwMode="auto">
        <a:xfrm>
          <a:off x="72771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47" name="AutoShape 46">
          <a:extLst>
            <a:ext uri="{FF2B5EF4-FFF2-40B4-BE49-F238E27FC236}">
              <a16:creationId xmlns:a16="http://schemas.microsoft.com/office/drawing/2014/main" id="{FC90BB91-E3F9-4E08-8894-466BA87B2D00}"/>
            </a:ext>
          </a:extLst>
        </xdr:cNvPr>
        <xdr:cNvSpPr>
          <a:spLocks noChangeArrowheads="1"/>
        </xdr:cNvSpPr>
      </xdr:nvSpPr>
      <xdr:spPr bwMode="auto">
        <a:xfrm>
          <a:off x="82042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xdr:row>
      <xdr:rowOff>57150</xdr:rowOff>
    </xdr:from>
    <xdr:to>
      <xdr:col>20</xdr:col>
      <xdr:colOff>0</xdr:colOff>
      <xdr:row>21</xdr:row>
      <xdr:rowOff>190500</xdr:rowOff>
    </xdr:to>
    <xdr:sp macro="" textlink="">
      <xdr:nvSpPr>
        <xdr:cNvPr id="48" name="AutoShape 46">
          <a:extLst>
            <a:ext uri="{FF2B5EF4-FFF2-40B4-BE49-F238E27FC236}">
              <a16:creationId xmlns:a16="http://schemas.microsoft.com/office/drawing/2014/main" id="{85159B81-DD6F-47C5-A9B3-AA3268540F64}"/>
            </a:ext>
          </a:extLst>
        </xdr:cNvPr>
        <xdr:cNvSpPr>
          <a:spLocks noChangeArrowheads="1"/>
        </xdr:cNvSpPr>
      </xdr:nvSpPr>
      <xdr:spPr bwMode="auto">
        <a:xfrm>
          <a:off x="91313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xdr:row>
      <xdr:rowOff>57150</xdr:rowOff>
    </xdr:from>
    <xdr:to>
      <xdr:col>22</xdr:col>
      <xdr:colOff>0</xdr:colOff>
      <xdr:row>21</xdr:row>
      <xdr:rowOff>190500</xdr:rowOff>
    </xdr:to>
    <xdr:sp macro="" textlink="">
      <xdr:nvSpPr>
        <xdr:cNvPr id="49" name="AutoShape 46">
          <a:extLst>
            <a:ext uri="{FF2B5EF4-FFF2-40B4-BE49-F238E27FC236}">
              <a16:creationId xmlns:a16="http://schemas.microsoft.com/office/drawing/2014/main" id="{51C80106-593C-4F4B-8D75-D81357803E25}"/>
            </a:ext>
          </a:extLst>
        </xdr:cNvPr>
        <xdr:cNvSpPr>
          <a:spLocks noChangeArrowheads="1"/>
        </xdr:cNvSpPr>
      </xdr:nvSpPr>
      <xdr:spPr bwMode="auto">
        <a:xfrm>
          <a:off x="100584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xdr:row>
      <xdr:rowOff>57150</xdr:rowOff>
    </xdr:from>
    <xdr:to>
      <xdr:col>24</xdr:col>
      <xdr:colOff>0</xdr:colOff>
      <xdr:row>21</xdr:row>
      <xdr:rowOff>190500</xdr:rowOff>
    </xdr:to>
    <xdr:sp macro="" textlink="">
      <xdr:nvSpPr>
        <xdr:cNvPr id="50" name="AutoShape 46">
          <a:extLst>
            <a:ext uri="{FF2B5EF4-FFF2-40B4-BE49-F238E27FC236}">
              <a16:creationId xmlns:a16="http://schemas.microsoft.com/office/drawing/2014/main" id="{175F031D-C519-4394-98EF-5A837A87AA55}"/>
            </a:ext>
          </a:extLst>
        </xdr:cNvPr>
        <xdr:cNvSpPr>
          <a:spLocks noChangeArrowheads="1"/>
        </xdr:cNvSpPr>
      </xdr:nvSpPr>
      <xdr:spPr bwMode="auto">
        <a:xfrm>
          <a:off x="109855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xdr:row>
      <xdr:rowOff>57150</xdr:rowOff>
    </xdr:from>
    <xdr:to>
      <xdr:col>26</xdr:col>
      <xdr:colOff>0</xdr:colOff>
      <xdr:row>21</xdr:row>
      <xdr:rowOff>190500</xdr:rowOff>
    </xdr:to>
    <xdr:sp macro="" textlink="">
      <xdr:nvSpPr>
        <xdr:cNvPr id="51" name="AutoShape 46">
          <a:extLst>
            <a:ext uri="{FF2B5EF4-FFF2-40B4-BE49-F238E27FC236}">
              <a16:creationId xmlns:a16="http://schemas.microsoft.com/office/drawing/2014/main" id="{DDDA21ED-82E3-4B8D-BDDF-4DD566201580}"/>
            </a:ext>
          </a:extLst>
        </xdr:cNvPr>
        <xdr:cNvSpPr>
          <a:spLocks noChangeArrowheads="1"/>
        </xdr:cNvSpPr>
      </xdr:nvSpPr>
      <xdr:spPr bwMode="auto">
        <a:xfrm>
          <a:off x="11912600" y="5734050"/>
          <a:ext cx="52070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xdr:row>
      <xdr:rowOff>57150</xdr:rowOff>
    </xdr:from>
    <xdr:to>
      <xdr:col>28</xdr:col>
      <xdr:colOff>0</xdr:colOff>
      <xdr:row>21</xdr:row>
      <xdr:rowOff>190500</xdr:rowOff>
    </xdr:to>
    <xdr:sp macro="" textlink="">
      <xdr:nvSpPr>
        <xdr:cNvPr id="52" name="AutoShape 46">
          <a:extLst>
            <a:ext uri="{FF2B5EF4-FFF2-40B4-BE49-F238E27FC236}">
              <a16:creationId xmlns:a16="http://schemas.microsoft.com/office/drawing/2014/main" id="{E94ECF80-4BB8-4754-9E86-E8C1861A5A94}"/>
            </a:ext>
          </a:extLst>
        </xdr:cNvPr>
        <xdr:cNvSpPr>
          <a:spLocks noChangeArrowheads="1"/>
        </xdr:cNvSpPr>
      </xdr:nvSpPr>
      <xdr:spPr bwMode="auto">
        <a:xfrm>
          <a:off x="1289685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53" name="AutoShape 46">
          <a:extLst>
            <a:ext uri="{FF2B5EF4-FFF2-40B4-BE49-F238E27FC236}">
              <a16:creationId xmlns:a16="http://schemas.microsoft.com/office/drawing/2014/main" id="{AF2EA7E8-0AC2-4299-BF38-87FBF33C3D85}"/>
            </a:ext>
          </a:extLst>
        </xdr:cNvPr>
        <xdr:cNvSpPr>
          <a:spLocks noChangeArrowheads="1"/>
        </xdr:cNvSpPr>
      </xdr:nvSpPr>
      <xdr:spPr bwMode="auto">
        <a:xfrm>
          <a:off x="82042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20</xdr:row>
      <xdr:rowOff>57150</xdr:rowOff>
    </xdr:from>
    <xdr:to>
      <xdr:col>20</xdr:col>
      <xdr:colOff>0</xdr:colOff>
      <xdr:row>21</xdr:row>
      <xdr:rowOff>190500</xdr:rowOff>
    </xdr:to>
    <xdr:sp macro="" textlink="">
      <xdr:nvSpPr>
        <xdr:cNvPr id="54" name="AutoShape 46">
          <a:extLst>
            <a:ext uri="{FF2B5EF4-FFF2-40B4-BE49-F238E27FC236}">
              <a16:creationId xmlns:a16="http://schemas.microsoft.com/office/drawing/2014/main" id="{1195FAF0-1F22-44F0-90BF-9279E1DF8CBB}"/>
            </a:ext>
          </a:extLst>
        </xdr:cNvPr>
        <xdr:cNvSpPr>
          <a:spLocks noChangeArrowheads="1"/>
        </xdr:cNvSpPr>
      </xdr:nvSpPr>
      <xdr:spPr bwMode="auto">
        <a:xfrm>
          <a:off x="91313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20</xdr:row>
      <xdr:rowOff>57150</xdr:rowOff>
    </xdr:from>
    <xdr:to>
      <xdr:col>22</xdr:col>
      <xdr:colOff>0</xdr:colOff>
      <xdr:row>21</xdr:row>
      <xdr:rowOff>190500</xdr:rowOff>
    </xdr:to>
    <xdr:sp macro="" textlink="">
      <xdr:nvSpPr>
        <xdr:cNvPr id="55" name="AutoShape 46">
          <a:extLst>
            <a:ext uri="{FF2B5EF4-FFF2-40B4-BE49-F238E27FC236}">
              <a16:creationId xmlns:a16="http://schemas.microsoft.com/office/drawing/2014/main" id="{4127078D-C678-4357-B515-20314628D3FE}"/>
            </a:ext>
          </a:extLst>
        </xdr:cNvPr>
        <xdr:cNvSpPr>
          <a:spLocks noChangeArrowheads="1"/>
        </xdr:cNvSpPr>
      </xdr:nvSpPr>
      <xdr:spPr bwMode="auto">
        <a:xfrm>
          <a:off x="100584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20</xdr:row>
      <xdr:rowOff>57150</xdr:rowOff>
    </xdr:from>
    <xdr:to>
      <xdr:col>24</xdr:col>
      <xdr:colOff>0</xdr:colOff>
      <xdr:row>21</xdr:row>
      <xdr:rowOff>190500</xdr:rowOff>
    </xdr:to>
    <xdr:sp macro="" textlink="">
      <xdr:nvSpPr>
        <xdr:cNvPr id="56" name="AutoShape 46">
          <a:extLst>
            <a:ext uri="{FF2B5EF4-FFF2-40B4-BE49-F238E27FC236}">
              <a16:creationId xmlns:a16="http://schemas.microsoft.com/office/drawing/2014/main" id="{DDE71036-9862-4A71-8BA1-5335A615B5AA}"/>
            </a:ext>
          </a:extLst>
        </xdr:cNvPr>
        <xdr:cNvSpPr>
          <a:spLocks noChangeArrowheads="1"/>
        </xdr:cNvSpPr>
      </xdr:nvSpPr>
      <xdr:spPr bwMode="auto">
        <a:xfrm>
          <a:off x="109855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20</xdr:row>
      <xdr:rowOff>57150</xdr:rowOff>
    </xdr:from>
    <xdr:to>
      <xdr:col>26</xdr:col>
      <xdr:colOff>0</xdr:colOff>
      <xdr:row>21</xdr:row>
      <xdr:rowOff>190500</xdr:rowOff>
    </xdr:to>
    <xdr:sp macro="" textlink="">
      <xdr:nvSpPr>
        <xdr:cNvPr id="57" name="AutoShape 46">
          <a:extLst>
            <a:ext uri="{FF2B5EF4-FFF2-40B4-BE49-F238E27FC236}">
              <a16:creationId xmlns:a16="http://schemas.microsoft.com/office/drawing/2014/main" id="{C1619AD9-192C-453B-89E7-47CF72B9370A}"/>
            </a:ext>
          </a:extLst>
        </xdr:cNvPr>
        <xdr:cNvSpPr>
          <a:spLocks noChangeArrowheads="1"/>
        </xdr:cNvSpPr>
      </xdr:nvSpPr>
      <xdr:spPr bwMode="auto">
        <a:xfrm>
          <a:off x="11912600" y="5734050"/>
          <a:ext cx="520700" cy="3175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20</xdr:row>
      <xdr:rowOff>57150</xdr:rowOff>
    </xdr:from>
    <xdr:to>
      <xdr:col>28</xdr:col>
      <xdr:colOff>0</xdr:colOff>
      <xdr:row>21</xdr:row>
      <xdr:rowOff>190500</xdr:rowOff>
    </xdr:to>
    <xdr:sp macro="" textlink="">
      <xdr:nvSpPr>
        <xdr:cNvPr id="58" name="AutoShape 46">
          <a:extLst>
            <a:ext uri="{FF2B5EF4-FFF2-40B4-BE49-F238E27FC236}">
              <a16:creationId xmlns:a16="http://schemas.microsoft.com/office/drawing/2014/main" id="{2A100C0D-7AB0-4755-8A48-E95B7BC2D198}"/>
            </a:ext>
          </a:extLst>
        </xdr:cNvPr>
        <xdr:cNvSpPr>
          <a:spLocks noChangeArrowheads="1"/>
        </xdr:cNvSpPr>
      </xdr:nvSpPr>
      <xdr:spPr bwMode="auto">
        <a:xfrm>
          <a:off x="1289685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20</xdr:row>
      <xdr:rowOff>57150</xdr:rowOff>
    </xdr:from>
    <xdr:to>
      <xdr:col>16</xdr:col>
      <xdr:colOff>0</xdr:colOff>
      <xdr:row>21</xdr:row>
      <xdr:rowOff>190500</xdr:rowOff>
    </xdr:to>
    <xdr:sp macro="" textlink="">
      <xdr:nvSpPr>
        <xdr:cNvPr id="59" name="AutoShape 46">
          <a:extLst>
            <a:ext uri="{FF2B5EF4-FFF2-40B4-BE49-F238E27FC236}">
              <a16:creationId xmlns:a16="http://schemas.microsoft.com/office/drawing/2014/main" id="{9089F972-D5C0-41B2-9955-151F43246FC4}"/>
            </a:ext>
          </a:extLst>
        </xdr:cNvPr>
        <xdr:cNvSpPr>
          <a:spLocks noChangeArrowheads="1"/>
        </xdr:cNvSpPr>
      </xdr:nvSpPr>
      <xdr:spPr bwMode="auto">
        <a:xfrm>
          <a:off x="72771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60" name="AutoShape 46">
          <a:extLst>
            <a:ext uri="{FF2B5EF4-FFF2-40B4-BE49-F238E27FC236}">
              <a16:creationId xmlns:a16="http://schemas.microsoft.com/office/drawing/2014/main" id="{8EE653CB-0AED-47AB-9AE4-10F47BB01514}"/>
            </a:ext>
          </a:extLst>
        </xdr:cNvPr>
        <xdr:cNvSpPr>
          <a:spLocks noChangeArrowheads="1"/>
        </xdr:cNvSpPr>
      </xdr:nvSpPr>
      <xdr:spPr bwMode="auto">
        <a:xfrm>
          <a:off x="82042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20</xdr:row>
      <xdr:rowOff>57150</xdr:rowOff>
    </xdr:from>
    <xdr:to>
      <xdr:col>20</xdr:col>
      <xdr:colOff>0</xdr:colOff>
      <xdr:row>21</xdr:row>
      <xdr:rowOff>190500</xdr:rowOff>
    </xdr:to>
    <xdr:sp macro="" textlink="">
      <xdr:nvSpPr>
        <xdr:cNvPr id="61" name="AutoShape 46">
          <a:extLst>
            <a:ext uri="{FF2B5EF4-FFF2-40B4-BE49-F238E27FC236}">
              <a16:creationId xmlns:a16="http://schemas.microsoft.com/office/drawing/2014/main" id="{6616C07A-51F1-48EE-889E-38D3C8065C28}"/>
            </a:ext>
          </a:extLst>
        </xdr:cNvPr>
        <xdr:cNvSpPr>
          <a:spLocks noChangeArrowheads="1"/>
        </xdr:cNvSpPr>
      </xdr:nvSpPr>
      <xdr:spPr bwMode="auto">
        <a:xfrm>
          <a:off x="91313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20</xdr:row>
      <xdr:rowOff>57150</xdr:rowOff>
    </xdr:from>
    <xdr:to>
      <xdr:col>22</xdr:col>
      <xdr:colOff>0</xdr:colOff>
      <xdr:row>21</xdr:row>
      <xdr:rowOff>190500</xdr:rowOff>
    </xdr:to>
    <xdr:sp macro="" textlink="">
      <xdr:nvSpPr>
        <xdr:cNvPr id="62" name="AutoShape 46">
          <a:extLst>
            <a:ext uri="{FF2B5EF4-FFF2-40B4-BE49-F238E27FC236}">
              <a16:creationId xmlns:a16="http://schemas.microsoft.com/office/drawing/2014/main" id="{474C66BC-2A2A-451E-97E1-3C6EFA59A232}"/>
            </a:ext>
          </a:extLst>
        </xdr:cNvPr>
        <xdr:cNvSpPr>
          <a:spLocks noChangeArrowheads="1"/>
        </xdr:cNvSpPr>
      </xdr:nvSpPr>
      <xdr:spPr bwMode="auto">
        <a:xfrm>
          <a:off x="100584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20</xdr:row>
      <xdr:rowOff>57150</xdr:rowOff>
    </xdr:from>
    <xdr:to>
      <xdr:col>24</xdr:col>
      <xdr:colOff>0</xdr:colOff>
      <xdr:row>21</xdr:row>
      <xdr:rowOff>190500</xdr:rowOff>
    </xdr:to>
    <xdr:sp macro="" textlink="">
      <xdr:nvSpPr>
        <xdr:cNvPr id="63" name="AutoShape 46">
          <a:extLst>
            <a:ext uri="{FF2B5EF4-FFF2-40B4-BE49-F238E27FC236}">
              <a16:creationId xmlns:a16="http://schemas.microsoft.com/office/drawing/2014/main" id="{F10D1727-2B8B-4879-814D-B434E4B6034E}"/>
            </a:ext>
          </a:extLst>
        </xdr:cNvPr>
        <xdr:cNvSpPr>
          <a:spLocks noChangeArrowheads="1"/>
        </xdr:cNvSpPr>
      </xdr:nvSpPr>
      <xdr:spPr bwMode="auto">
        <a:xfrm>
          <a:off x="109855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20</xdr:row>
      <xdr:rowOff>57150</xdr:rowOff>
    </xdr:from>
    <xdr:to>
      <xdr:col>26</xdr:col>
      <xdr:colOff>0</xdr:colOff>
      <xdr:row>21</xdr:row>
      <xdr:rowOff>190500</xdr:rowOff>
    </xdr:to>
    <xdr:sp macro="" textlink="">
      <xdr:nvSpPr>
        <xdr:cNvPr id="64" name="AutoShape 46">
          <a:extLst>
            <a:ext uri="{FF2B5EF4-FFF2-40B4-BE49-F238E27FC236}">
              <a16:creationId xmlns:a16="http://schemas.microsoft.com/office/drawing/2014/main" id="{F85DB30C-2234-4F7F-A279-BA4DF72692DF}"/>
            </a:ext>
          </a:extLst>
        </xdr:cNvPr>
        <xdr:cNvSpPr>
          <a:spLocks noChangeArrowheads="1"/>
        </xdr:cNvSpPr>
      </xdr:nvSpPr>
      <xdr:spPr bwMode="auto">
        <a:xfrm>
          <a:off x="11912600" y="5734050"/>
          <a:ext cx="52070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20</xdr:row>
      <xdr:rowOff>57150</xdr:rowOff>
    </xdr:from>
    <xdr:to>
      <xdr:col>28</xdr:col>
      <xdr:colOff>0</xdr:colOff>
      <xdr:row>21</xdr:row>
      <xdr:rowOff>190500</xdr:rowOff>
    </xdr:to>
    <xdr:sp macro="" textlink="">
      <xdr:nvSpPr>
        <xdr:cNvPr id="65" name="AutoShape 46">
          <a:extLst>
            <a:ext uri="{FF2B5EF4-FFF2-40B4-BE49-F238E27FC236}">
              <a16:creationId xmlns:a16="http://schemas.microsoft.com/office/drawing/2014/main" id="{6A9ABDCE-5CDE-4B19-A1C9-6F1E165F21B1}"/>
            </a:ext>
          </a:extLst>
        </xdr:cNvPr>
        <xdr:cNvSpPr>
          <a:spLocks noChangeArrowheads="1"/>
        </xdr:cNvSpPr>
      </xdr:nvSpPr>
      <xdr:spPr bwMode="auto">
        <a:xfrm>
          <a:off x="1289685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28</xdr:row>
      <xdr:rowOff>57150</xdr:rowOff>
    </xdr:from>
    <xdr:to>
      <xdr:col>2</xdr:col>
      <xdr:colOff>0</xdr:colOff>
      <xdr:row>29</xdr:row>
      <xdr:rowOff>190500</xdr:rowOff>
    </xdr:to>
    <xdr:sp macro="" textlink="">
      <xdr:nvSpPr>
        <xdr:cNvPr id="66" name="AutoShape 46">
          <a:extLst>
            <a:ext uri="{FF2B5EF4-FFF2-40B4-BE49-F238E27FC236}">
              <a16:creationId xmlns:a16="http://schemas.microsoft.com/office/drawing/2014/main" id="{473BD771-5B3D-4472-AD62-8DE7AE7654C9}"/>
            </a:ext>
          </a:extLst>
        </xdr:cNvPr>
        <xdr:cNvSpPr>
          <a:spLocks noChangeArrowheads="1"/>
        </xdr:cNvSpPr>
      </xdr:nvSpPr>
      <xdr:spPr bwMode="auto">
        <a:xfrm>
          <a:off x="6096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28</xdr:row>
      <xdr:rowOff>57150</xdr:rowOff>
    </xdr:from>
    <xdr:to>
      <xdr:col>4</xdr:col>
      <xdr:colOff>0</xdr:colOff>
      <xdr:row>29</xdr:row>
      <xdr:rowOff>190500</xdr:rowOff>
    </xdr:to>
    <xdr:sp macro="" textlink="">
      <xdr:nvSpPr>
        <xdr:cNvPr id="67" name="AutoShape 46">
          <a:extLst>
            <a:ext uri="{FF2B5EF4-FFF2-40B4-BE49-F238E27FC236}">
              <a16:creationId xmlns:a16="http://schemas.microsoft.com/office/drawing/2014/main" id="{6E8C2293-0D3E-47C7-9C8D-805B54625565}"/>
            </a:ext>
          </a:extLst>
        </xdr:cNvPr>
        <xdr:cNvSpPr>
          <a:spLocks noChangeArrowheads="1"/>
        </xdr:cNvSpPr>
      </xdr:nvSpPr>
      <xdr:spPr bwMode="auto">
        <a:xfrm>
          <a:off x="15367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28</xdr:row>
      <xdr:rowOff>57150</xdr:rowOff>
    </xdr:from>
    <xdr:to>
      <xdr:col>6</xdr:col>
      <xdr:colOff>0</xdr:colOff>
      <xdr:row>29</xdr:row>
      <xdr:rowOff>190500</xdr:rowOff>
    </xdr:to>
    <xdr:sp macro="" textlink="">
      <xdr:nvSpPr>
        <xdr:cNvPr id="68" name="AutoShape 46">
          <a:extLst>
            <a:ext uri="{FF2B5EF4-FFF2-40B4-BE49-F238E27FC236}">
              <a16:creationId xmlns:a16="http://schemas.microsoft.com/office/drawing/2014/main" id="{7916E9CA-03DA-4255-B248-08BAED019731}"/>
            </a:ext>
          </a:extLst>
        </xdr:cNvPr>
        <xdr:cNvSpPr>
          <a:spLocks noChangeArrowheads="1"/>
        </xdr:cNvSpPr>
      </xdr:nvSpPr>
      <xdr:spPr bwMode="auto">
        <a:xfrm>
          <a:off x="2520950" y="76390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28</xdr:row>
      <xdr:rowOff>57150</xdr:rowOff>
    </xdr:from>
    <xdr:to>
      <xdr:col>8</xdr:col>
      <xdr:colOff>0</xdr:colOff>
      <xdr:row>29</xdr:row>
      <xdr:rowOff>190500</xdr:rowOff>
    </xdr:to>
    <xdr:sp macro="" textlink="">
      <xdr:nvSpPr>
        <xdr:cNvPr id="69" name="AutoShape 46">
          <a:extLst>
            <a:ext uri="{FF2B5EF4-FFF2-40B4-BE49-F238E27FC236}">
              <a16:creationId xmlns:a16="http://schemas.microsoft.com/office/drawing/2014/main" id="{10ABDA27-43BC-4C2F-B01A-6FB65923BF62}"/>
            </a:ext>
          </a:extLst>
        </xdr:cNvPr>
        <xdr:cNvSpPr>
          <a:spLocks noChangeArrowheads="1"/>
        </xdr:cNvSpPr>
      </xdr:nvSpPr>
      <xdr:spPr bwMode="auto">
        <a:xfrm>
          <a:off x="3498850" y="76390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28</xdr:row>
      <xdr:rowOff>57150</xdr:rowOff>
    </xdr:from>
    <xdr:to>
      <xdr:col>10</xdr:col>
      <xdr:colOff>0</xdr:colOff>
      <xdr:row>29</xdr:row>
      <xdr:rowOff>190500</xdr:rowOff>
    </xdr:to>
    <xdr:sp macro="" textlink="">
      <xdr:nvSpPr>
        <xdr:cNvPr id="70" name="AutoShape 46">
          <a:extLst>
            <a:ext uri="{FF2B5EF4-FFF2-40B4-BE49-F238E27FC236}">
              <a16:creationId xmlns:a16="http://schemas.microsoft.com/office/drawing/2014/main" id="{6BE3A8B9-4666-42ED-B1CF-27BE36AB614E}"/>
            </a:ext>
          </a:extLst>
        </xdr:cNvPr>
        <xdr:cNvSpPr>
          <a:spLocks noChangeArrowheads="1"/>
        </xdr:cNvSpPr>
      </xdr:nvSpPr>
      <xdr:spPr bwMode="auto">
        <a:xfrm>
          <a:off x="44958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28</xdr:row>
      <xdr:rowOff>57150</xdr:rowOff>
    </xdr:from>
    <xdr:to>
      <xdr:col>12</xdr:col>
      <xdr:colOff>0</xdr:colOff>
      <xdr:row>29</xdr:row>
      <xdr:rowOff>190500</xdr:rowOff>
    </xdr:to>
    <xdr:sp macro="" textlink="">
      <xdr:nvSpPr>
        <xdr:cNvPr id="71" name="AutoShape 46">
          <a:extLst>
            <a:ext uri="{FF2B5EF4-FFF2-40B4-BE49-F238E27FC236}">
              <a16:creationId xmlns:a16="http://schemas.microsoft.com/office/drawing/2014/main" id="{C6F76FC5-3F35-4A29-BC6F-D87C42D53AC4}"/>
            </a:ext>
          </a:extLst>
        </xdr:cNvPr>
        <xdr:cNvSpPr>
          <a:spLocks noChangeArrowheads="1"/>
        </xdr:cNvSpPr>
      </xdr:nvSpPr>
      <xdr:spPr bwMode="auto">
        <a:xfrm>
          <a:off x="54229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28</xdr:row>
      <xdr:rowOff>57150</xdr:rowOff>
    </xdr:from>
    <xdr:to>
      <xdr:col>14</xdr:col>
      <xdr:colOff>0</xdr:colOff>
      <xdr:row>29</xdr:row>
      <xdr:rowOff>190500</xdr:rowOff>
    </xdr:to>
    <xdr:sp macro="" textlink="">
      <xdr:nvSpPr>
        <xdr:cNvPr id="72" name="AutoShape 46">
          <a:extLst>
            <a:ext uri="{FF2B5EF4-FFF2-40B4-BE49-F238E27FC236}">
              <a16:creationId xmlns:a16="http://schemas.microsoft.com/office/drawing/2014/main" id="{E48E70FC-DB7C-4672-A34B-0A91A766EFCD}"/>
            </a:ext>
          </a:extLst>
        </xdr:cNvPr>
        <xdr:cNvSpPr>
          <a:spLocks noChangeArrowheads="1"/>
        </xdr:cNvSpPr>
      </xdr:nvSpPr>
      <xdr:spPr bwMode="auto">
        <a:xfrm>
          <a:off x="63500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28</xdr:row>
      <xdr:rowOff>57150</xdr:rowOff>
    </xdr:from>
    <xdr:to>
      <xdr:col>16</xdr:col>
      <xdr:colOff>0</xdr:colOff>
      <xdr:row>29</xdr:row>
      <xdr:rowOff>190500</xdr:rowOff>
    </xdr:to>
    <xdr:sp macro="" textlink="">
      <xdr:nvSpPr>
        <xdr:cNvPr id="73" name="AutoShape 46">
          <a:extLst>
            <a:ext uri="{FF2B5EF4-FFF2-40B4-BE49-F238E27FC236}">
              <a16:creationId xmlns:a16="http://schemas.microsoft.com/office/drawing/2014/main" id="{E016376D-17C3-4C23-B137-2F4039CB4816}"/>
            </a:ext>
          </a:extLst>
        </xdr:cNvPr>
        <xdr:cNvSpPr>
          <a:spLocks noChangeArrowheads="1"/>
        </xdr:cNvSpPr>
      </xdr:nvSpPr>
      <xdr:spPr bwMode="auto">
        <a:xfrm>
          <a:off x="72771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74" name="AutoShape 46">
          <a:extLst>
            <a:ext uri="{FF2B5EF4-FFF2-40B4-BE49-F238E27FC236}">
              <a16:creationId xmlns:a16="http://schemas.microsoft.com/office/drawing/2014/main" id="{3DCF161B-0B1A-4183-86BC-F615902E5E6B}"/>
            </a:ext>
          </a:extLst>
        </xdr:cNvPr>
        <xdr:cNvSpPr>
          <a:spLocks noChangeArrowheads="1"/>
        </xdr:cNvSpPr>
      </xdr:nvSpPr>
      <xdr:spPr bwMode="auto">
        <a:xfrm>
          <a:off x="82042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75" name="AutoShape 46">
          <a:extLst>
            <a:ext uri="{FF2B5EF4-FFF2-40B4-BE49-F238E27FC236}">
              <a16:creationId xmlns:a16="http://schemas.microsoft.com/office/drawing/2014/main" id="{FF2E7CBD-E123-48FE-B1FB-782C55DE2FB6}"/>
            </a:ext>
          </a:extLst>
        </xdr:cNvPr>
        <xdr:cNvSpPr>
          <a:spLocks noChangeArrowheads="1"/>
        </xdr:cNvSpPr>
      </xdr:nvSpPr>
      <xdr:spPr bwMode="auto">
        <a:xfrm>
          <a:off x="91313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76" name="AutoShape 46">
          <a:extLst>
            <a:ext uri="{FF2B5EF4-FFF2-40B4-BE49-F238E27FC236}">
              <a16:creationId xmlns:a16="http://schemas.microsoft.com/office/drawing/2014/main" id="{2B193444-0664-4534-B9FB-B557C9D7D400}"/>
            </a:ext>
          </a:extLst>
        </xdr:cNvPr>
        <xdr:cNvSpPr>
          <a:spLocks noChangeArrowheads="1"/>
        </xdr:cNvSpPr>
      </xdr:nvSpPr>
      <xdr:spPr bwMode="auto">
        <a:xfrm>
          <a:off x="100584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77" name="AutoShape 46">
          <a:extLst>
            <a:ext uri="{FF2B5EF4-FFF2-40B4-BE49-F238E27FC236}">
              <a16:creationId xmlns:a16="http://schemas.microsoft.com/office/drawing/2014/main" id="{947CA3EE-44FB-4B2B-8AB9-1C42DAACE644}"/>
            </a:ext>
          </a:extLst>
        </xdr:cNvPr>
        <xdr:cNvSpPr>
          <a:spLocks noChangeArrowheads="1"/>
        </xdr:cNvSpPr>
      </xdr:nvSpPr>
      <xdr:spPr bwMode="auto">
        <a:xfrm>
          <a:off x="109855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78" name="AutoShape 46">
          <a:extLst>
            <a:ext uri="{FF2B5EF4-FFF2-40B4-BE49-F238E27FC236}">
              <a16:creationId xmlns:a16="http://schemas.microsoft.com/office/drawing/2014/main" id="{E16B943C-0F62-4A8A-B481-DF81D797DE62}"/>
            </a:ext>
          </a:extLst>
        </xdr:cNvPr>
        <xdr:cNvSpPr>
          <a:spLocks noChangeArrowheads="1"/>
        </xdr:cNvSpPr>
      </xdr:nvSpPr>
      <xdr:spPr bwMode="auto">
        <a:xfrm>
          <a:off x="11912600" y="76390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79" name="AutoShape 46">
          <a:extLst>
            <a:ext uri="{FF2B5EF4-FFF2-40B4-BE49-F238E27FC236}">
              <a16:creationId xmlns:a16="http://schemas.microsoft.com/office/drawing/2014/main" id="{2060F389-71BD-412B-9EB8-1FFE0A5E55D2}"/>
            </a:ext>
          </a:extLst>
        </xdr:cNvPr>
        <xdr:cNvSpPr>
          <a:spLocks noChangeArrowheads="1"/>
        </xdr:cNvSpPr>
      </xdr:nvSpPr>
      <xdr:spPr bwMode="auto">
        <a:xfrm>
          <a:off x="1289685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80" name="AutoShape 46">
          <a:extLst>
            <a:ext uri="{FF2B5EF4-FFF2-40B4-BE49-F238E27FC236}">
              <a16:creationId xmlns:a16="http://schemas.microsoft.com/office/drawing/2014/main" id="{19E8DEB9-1954-4B9F-A90C-A29EC11F78B4}"/>
            </a:ext>
          </a:extLst>
        </xdr:cNvPr>
        <xdr:cNvSpPr>
          <a:spLocks noChangeArrowheads="1"/>
        </xdr:cNvSpPr>
      </xdr:nvSpPr>
      <xdr:spPr bwMode="auto">
        <a:xfrm>
          <a:off x="82042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81" name="AutoShape 46">
          <a:extLst>
            <a:ext uri="{FF2B5EF4-FFF2-40B4-BE49-F238E27FC236}">
              <a16:creationId xmlns:a16="http://schemas.microsoft.com/office/drawing/2014/main" id="{65B00B61-F500-4AB1-BC49-59659F33346F}"/>
            </a:ext>
          </a:extLst>
        </xdr:cNvPr>
        <xdr:cNvSpPr>
          <a:spLocks noChangeArrowheads="1"/>
        </xdr:cNvSpPr>
      </xdr:nvSpPr>
      <xdr:spPr bwMode="auto">
        <a:xfrm>
          <a:off x="91313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82" name="AutoShape 46">
          <a:extLst>
            <a:ext uri="{FF2B5EF4-FFF2-40B4-BE49-F238E27FC236}">
              <a16:creationId xmlns:a16="http://schemas.microsoft.com/office/drawing/2014/main" id="{63BEE403-3BFA-41E1-92D5-B4B79E477A53}"/>
            </a:ext>
          </a:extLst>
        </xdr:cNvPr>
        <xdr:cNvSpPr>
          <a:spLocks noChangeArrowheads="1"/>
        </xdr:cNvSpPr>
      </xdr:nvSpPr>
      <xdr:spPr bwMode="auto">
        <a:xfrm>
          <a:off x="100584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83" name="AutoShape 46">
          <a:extLst>
            <a:ext uri="{FF2B5EF4-FFF2-40B4-BE49-F238E27FC236}">
              <a16:creationId xmlns:a16="http://schemas.microsoft.com/office/drawing/2014/main" id="{AC4B3A3A-B307-430A-ADA4-27BCE01A6B56}"/>
            </a:ext>
          </a:extLst>
        </xdr:cNvPr>
        <xdr:cNvSpPr>
          <a:spLocks noChangeArrowheads="1"/>
        </xdr:cNvSpPr>
      </xdr:nvSpPr>
      <xdr:spPr bwMode="auto">
        <a:xfrm>
          <a:off x="109855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84" name="AutoShape 46">
          <a:extLst>
            <a:ext uri="{FF2B5EF4-FFF2-40B4-BE49-F238E27FC236}">
              <a16:creationId xmlns:a16="http://schemas.microsoft.com/office/drawing/2014/main" id="{8615DE28-822F-4CF3-AE71-A3772F3263F7}"/>
            </a:ext>
          </a:extLst>
        </xdr:cNvPr>
        <xdr:cNvSpPr>
          <a:spLocks noChangeArrowheads="1"/>
        </xdr:cNvSpPr>
      </xdr:nvSpPr>
      <xdr:spPr bwMode="auto">
        <a:xfrm>
          <a:off x="119126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85" name="AutoShape 46">
          <a:extLst>
            <a:ext uri="{FF2B5EF4-FFF2-40B4-BE49-F238E27FC236}">
              <a16:creationId xmlns:a16="http://schemas.microsoft.com/office/drawing/2014/main" id="{F7628DBA-A9FE-4C77-9F2B-5D94D2DE251C}"/>
            </a:ext>
          </a:extLst>
        </xdr:cNvPr>
        <xdr:cNvSpPr>
          <a:spLocks noChangeArrowheads="1"/>
        </xdr:cNvSpPr>
      </xdr:nvSpPr>
      <xdr:spPr bwMode="auto">
        <a:xfrm>
          <a:off x="1289685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28</xdr:row>
      <xdr:rowOff>57150</xdr:rowOff>
    </xdr:from>
    <xdr:to>
      <xdr:col>16</xdr:col>
      <xdr:colOff>0</xdr:colOff>
      <xdr:row>29</xdr:row>
      <xdr:rowOff>190500</xdr:rowOff>
    </xdr:to>
    <xdr:sp macro="" textlink="">
      <xdr:nvSpPr>
        <xdr:cNvPr id="86" name="AutoShape 46">
          <a:extLst>
            <a:ext uri="{FF2B5EF4-FFF2-40B4-BE49-F238E27FC236}">
              <a16:creationId xmlns:a16="http://schemas.microsoft.com/office/drawing/2014/main" id="{D42F83E0-0425-490B-A3F6-1250E9556F2A}"/>
            </a:ext>
          </a:extLst>
        </xdr:cNvPr>
        <xdr:cNvSpPr>
          <a:spLocks noChangeArrowheads="1"/>
        </xdr:cNvSpPr>
      </xdr:nvSpPr>
      <xdr:spPr bwMode="auto">
        <a:xfrm>
          <a:off x="72771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87" name="AutoShape 46">
          <a:extLst>
            <a:ext uri="{FF2B5EF4-FFF2-40B4-BE49-F238E27FC236}">
              <a16:creationId xmlns:a16="http://schemas.microsoft.com/office/drawing/2014/main" id="{5419A1B8-5075-4D1A-BBE4-0CEA2C968EE1}"/>
            </a:ext>
          </a:extLst>
        </xdr:cNvPr>
        <xdr:cNvSpPr>
          <a:spLocks noChangeArrowheads="1"/>
        </xdr:cNvSpPr>
      </xdr:nvSpPr>
      <xdr:spPr bwMode="auto">
        <a:xfrm>
          <a:off x="82042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88" name="AutoShape 46">
          <a:extLst>
            <a:ext uri="{FF2B5EF4-FFF2-40B4-BE49-F238E27FC236}">
              <a16:creationId xmlns:a16="http://schemas.microsoft.com/office/drawing/2014/main" id="{52A4BCBB-1314-4F8D-B70A-4DC128384D9D}"/>
            </a:ext>
          </a:extLst>
        </xdr:cNvPr>
        <xdr:cNvSpPr>
          <a:spLocks noChangeArrowheads="1"/>
        </xdr:cNvSpPr>
      </xdr:nvSpPr>
      <xdr:spPr bwMode="auto">
        <a:xfrm>
          <a:off x="91313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89" name="AutoShape 46">
          <a:extLst>
            <a:ext uri="{FF2B5EF4-FFF2-40B4-BE49-F238E27FC236}">
              <a16:creationId xmlns:a16="http://schemas.microsoft.com/office/drawing/2014/main" id="{9E8F3113-D12E-4A76-B226-472BE32719F2}"/>
            </a:ext>
          </a:extLst>
        </xdr:cNvPr>
        <xdr:cNvSpPr>
          <a:spLocks noChangeArrowheads="1"/>
        </xdr:cNvSpPr>
      </xdr:nvSpPr>
      <xdr:spPr bwMode="auto">
        <a:xfrm>
          <a:off x="100584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90" name="AutoShape 46">
          <a:extLst>
            <a:ext uri="{FF2B5EF4-FFF2-40B4-BE49-F238E27FC236}">
              <a16:creationId xmlns:a16="http://schemas.microsoft.com/office/drawing/2014/main" id="{1245E05E-1AD9-46DC-8EBF-AB57BAC20D77}"/>
            </a:ext>
          </a:extLst>
        </xdr:cNvPr>
        <xdr:cNvSpPr>
          <a:spLocks noChangeArrowheads="1"/>
        </xdr:cNvSpPr>
      </xdr:nvSpPr>
      <xdr:spPr bwMode="auto">
        <a:xfrm>
          <a:off x="109855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91" name="AutoShape 46">
          <a:extLst>
            <a:ext uri="{FF2B5EF4-FFF2-40B4-BE49-F238E27FC236}">
              <a16:creationId xmlns:a16="http://schemas.microsoft.com/office/drawing/2014/main" id="{A2D3BC15-4E71-49C6-9796-417BEB05F425}"/>
            </a:ext>
          </a:extLst>
        </xdr:cNvPr>
        <xdr:cNvSpPr>
          <a:spLocks noChangeArrowheads="1"/>
        </xdr:cNvSpPr>
      </xdr:nvSpPr>
      <xdr:spPr bwMode="auto">
        <a:xfrm>
          <a:off x="119126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92" name="AutoShape 46">
          <a:extLst>
            <a:ext uri="{FF2B5EF4-FFF2-40B4-BE49-F238E27FC236}">
              <a16:creationId xmlns:a16="http://schemas.microsoft.com/office/drawing/2014/main" id="{F5F7DE21-5745-4B53-AEC8-37E89DBDBDD1}"/>
            </a:ext>
          </a:extLst>
        </xdr:cNvPr>
        <xdr:cNvSpPr>
          <a:spLocks noChangeArrowheads="1"/>
        </xdr:cNvSpPr>
      </xdr:nvSpPr>
      <xdr:spPr bwMode="auto">
        <a:xfrm>
          <a:off x="1289685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36</xdr:row>
      <xdr:rowOff>57150</xdr:rowOff>
    </xdr:from>
    <xdr:to>
      <xdr:col>2</xdr:col>
      <xdr:colOff>0</xdr:colOff>
      <xdr:row>37</xdr:row>
      <xdr:rowOff>190500</xdr:rowOff>
    </xdr:to>
    <xdr:sp macro="" textlink="">
      <xdr:nvSpPr>
        <xdr:cNvPr id="93" name="AutoShape 46">
          <a:extLst>
            <a:ext uri="{FF2B5EF4-FFF2-40B4-BE49-F238E27FC236}">
              <a16:creationId xmlns:a16="http://schemas.microsoft.com/office/drawing/2014/main" id="{DE76ABD4-EB90-43E6-9585-72B1FDD9B5D3}"/>
            </a:ext>
          </a:extLst>
        </xdr:cNvPr>
        <xdr:cNvSpPr>
          <a:spLocks noChangeArrowheads="1"/>
        </xdr:cNvSpPr>
      </xdr:nvSpPr>
      <xdr:spPr bwMode="auto">
        <a:xfrm>
          <a:off x="6096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36</xdr:row>
      <xdr:rowOff>57150</xdr:rowOff>
    </xdr:from>
    <xdr:to>
      <xdr:col>4</xdr:col>
      <xdr:colOff>0</xdr:colOff>
      <xdr:row>37</xdr:row>
      <xdr:rowOff>190500</xdr:rowOff>
    </xdr:to>
    <xdr:sp macro="" textlink="">
      <xdr:nvSpPr>
        <xdr:cNvPr id="94" name="AutoShape 46">
          <a:extLst>
            <a:ext uri="{FF2B5EF4-FFF2-40B4-BE49-F238E27FC236}">
              <a16:creationId xmlns:a16="http://schemas.microsoft.com/office/drawing/2014/main" id="{42F16118-B532-4E77-8807-64F177DB27D0}"/>
            </a:ext>
          </a:extLst>
        </xdr:cNvPr>
        <xdr:cNvSpPr>
          <a:spLocks noChangeArrowheads="1"/>
        </xdr:cNvSpPr>
      </xdr:nvSpPr>
      <xdr:spPr bwMode="auto">
        <a:xfrm>
          <a:off x="15367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36</xdr:row>
      <xdr:rowOff>57150</xdr:rowOff>
    </xdr:from>
    <xdr:to>
      <xdr:col>6</xdr:col>
      <xdr:colOff>0</xdr:colOff>
      <xdr:row>37</xdr:row>
      <xdr:rowOff>190500</xdr:rowOff>
    </xdr:to>
    <xdr:sp macro="" textlink="">
      <xdr:nvSpPr>
        <xdr:cNvPr id="95" name="AutoShape 46">
          <a:extLst>
            <a:ext uri="{FF2B5EF4-FFF2-40B4-BE49-F238E27FC236}">
              <a16:creationId xmlns:a16="http://schemas.microsoft.com/office/drawing/2014/main" id="{954CF3C4-D739-4E3F-9A70-67106E234AA1}"/>
            </a:ext>
          </a:extLst>
        </xdr:cNvPr>
        <xdr:cNvSpPr>
          <a:spLocks noChangeArrowheads="1"/>
        </xdr:cNvSpPr>
      </xdr:nvSpPr>
      <xdr:spPr bwMode="auto">
        <a:xfrm>
          <a:off x="2520950" y="96329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36</xdr:row>
      <xdr:rowOff>57150</xdr:rowOff>
    </xdr:from>
    <xdr:to>
      <xdr:col>8</xdr:col>
      <xdr:colOff>0</xdr:colOff>
      <xdr:row>37</xdr:row>
      <xdr:rowOff>190500</xdr:rowOff>
    </xdr:to>
    <xdr:sp macro="" textlink="">
      <xdr:nvSpPr>
        <xdr:cNvPr id="96" name="AutoShape 46">
          <a:extLst>
            <a:ext uri="{FF2B5EF4-FFF2-40B4-BE49-F238E27FC236}">
              <a16:creationId xmlns:a16="http://schemas.microsoft.com/office/drawing/2014/main" id="{7585AF1F-1E1D-4523-B5B5-23052187DAD1}"/>
            </a:ext>
          </a:extLst>
        </xdr:cNvPr>
        <xdr:cNvSpPr>
          <a:spLocks noChangeArrowheads="1"/>
        </xdr:cNvSpPr>
      </xdr:nvSpPr>
      <xdr:spPr bwMode="auto">
        <a:xfrm>
          <a:off x="3498850" y="96329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36</xdr:row>
      <xdr:rowOff>57150</xdr:rowOff>
    </xdr:from>
    <xdr:to>
      <xdr:col>10</xdr:col>
      <xdr:colOff>0</xdr:colOff>
      <xdr:row>37</xdr:row>
      <xdr:rowOff>190500</xdr:rowOff>
    </xdr:to>
    <xdr:sp macro="" textlink="">
      <xdr:nvSpPr>
        <xdr:cNvPr id="97" name="AutoShape 46">
          <a:extLst>
            <a:ext uri="{FF2B5EF4-FFF2-40B4-BE49-F238E27FC236}">
              <a16:creationId xmlns:a16="http://schemas.microsoft.com/office/drawing/2014/main" id="{D0FEDC2A-960A-4A4D-8585-45C2767C62E0}"/>
            </a:ext>
          </a:extLst>
        </xdr:cNvPr>
        <xdr:cNvSpPr>
          <a:spLocks noChangeArrowheads="1"/>
        </xdr:cNvSpPr>
      </xdr:nvSpPr>
      <xdr:spPr bwMode="auto">
        <a:xfrm>
          <a:off x="44958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36</xdr:row>
      <xdr:rowOff>57150</xdr:rowOff>
    </xdr:from>
    <xdr:to>
      <xdr:col>12</xdr:col>
      <xdr:colOff>0</xdr:colOff>
      <xdr:row>37</xdr:row>
      <xdr:rowOff>190500</xdr:rowOff>
    </xdr:to>
    <xdr:sp macro="" textlink="">
      <xdr:nvSpPr>
        <xdr:cNvPr id="98" name="AutoShape 46">
          <a:extLst>
            <a:ext uri="{FF2B5EF4-FFF2-40B4-BE49-F238E27FC236}">
              <a16:creationId xmlns:a16="http://schemas.microsoft.com/office/drawing/2014/main" id="{1D8EEF1E-C70D-4F7C-BF9A-24AB15EEFE96}"/>
            </a:ext>
          </a:extLst>
        </xdr:cNvPr>
        <xdr:cNvSpPr>
          <a:spLocks noChangeArrowheads="1"/>
        </xdr:cNvSpPr>
      </xdr:nvSpPr>
      <xdr:spPr bwMode="auto">
        <a:xfrm>
          <a:off x="54229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36</xdr:row>
      <xdr:rowOff>57150</xdr:rowOff>
    </xdr:from>
    <xdr:to>
      <xdr:col>14</xdr:col>
      <xdr:colOff>0</xdr:colOff>
      <xdr:row>37</xdr:row>
      <xdr:rowOff>190500</xdr:rowOff>
    </xdr:to>
    <xdr:sp macro="" textlink="">
      <xdr:nvSpPr>
        <xdr:cNvPr id="99" name="AutoShape 46">
          <a:extLst>
            <a:ext uri="{FF2B5EF4-FFF2-40B4-BE49-F238E27FC236}">
              <a16:creationId xmlns:a16="http://schemas.microsoft.com/office/drawing/2014/main" id="{705290EA-CD87-4E11-916F-A4E74E07A5CB}"/>
            </a:ext>
          </a:extLst>
        </xdr:cNvPr>
        <xdr:cNvSpPr>
          <a:spLocks noChangeArrowheads="1"/>
        </xdr:cNvSpPr>
      </xdr:nvSpPr>
      <xdr:spPr bwMode="auto">
        <a:xfrm>
          <a:off x="63500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36</xdr:row>
      <xdr:rowOff>57150</xdr:rowOff>
    </xdr:from>
    <xdr:to>
      <xdr:col>16</xdr:col>
      <xdr:colOff>0</xdr:colOff>
      <xdr:row>37</xdr:row>
      <xdr:rowOff>190500</xdr:rowOff>
    </xdr:to>
    <xdr:sp macro="" textlink="">
      <xdr:nvSpPr>
        <xdr:cNvPr id="100" name="AutoShape 46">
          <a:extLst>
            <a:ext uri="{FF2B5EF4-FFF2-40B4-BE49-F238E27FC236}">
              <a16:creationId xmlns:a16="http://schemas.microsoft.com/office/drawing/2014/main" id="{EBA2295D-34CE-4AFC-B21E-DCF195D8F763}"/>
            </a:ext>
          </a:extLst>
        </xdr:cNvPr>
        <xdr:cNvSpPr>
          <a:spLocks noChangeArrowheads="1"/>
        </xdr:cNvSpPr>
      </xdr:nvSpPr>
      <xdr:spPr bwMode="auto">
        <a:xfrm>
          <a:off x="72771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36</xdr:row>
      <xdr:rowOff>57150</xdr:rowOff>
    </xdr:from>
    <xdr:to>
      <xdr:col>18</xdr:col>
      <xdr:colOff>0</xdr:colOff>
      <xdr:row>37</xdr:row>
      <xdr:rowOff>190500</xdr:rowOff>
    </xdr:to>
    <xdr:sp macro="" textlink="">
      <xdr:nvSpPr>
        <xdr:cNvPr id="101" name="AutoShape 46">
          <a:extLst>
            <a:ext uri="{FF2B5EF4-FFF2-40B4-BE49-F238E27FC236}">
              <a16:creationId xmlns:a16="http://schemas.microsoft.com/office/drawing/2014/main" id="{CACBDFF6-D852-4670-815F-A46D8A3A6DB0}"/>
            </a:ext>
          </a:extLst>
        </xdr:cNvPr>
        <xdr:cNvSpPr>
          <a:spLocks noChangeArrowheads="1"/>
        </xdr:cNvSpPr>
      </xdr:nvSpPr>
      <xdr:spPr bwMode="auto">
        <a:xfrm>
          <a:off x="82042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36</xdr:row>
      <xdr:rowOff>57150</xdr:rowOff>
    </xdr:from>
    <xdr:to>
      <xdr:col>20</xdr:col>
      <xdr:colOff>0</xdr:colOff>
      <xdr:row>37</xdr:row>
      <xdr:rowOff>190500</xdr:rowOff>
    </xdr:to>
    <xdr:sp macro="" textlink="">
      <xdr:nvSpPr>
        <xdr:cNvPr id="102" name="AutoShape 46">
          <a:extLst>
            <a:ext uri="{FF2B5EF4-FFF2-40B4-BE49-F238E27FC236}">
              <a16:creationId xmlns:a16="http://schemas.microsoft.com/office/drawing/2014/main" id="{CA79E5F5-899C-485A-AA25-1D5A7ACD41A4}"/>
            </a:ext>
          </a:extLst>
        </xdr:cNvPr>
        <xdr:cNvSpPr>
          <a:spLocks noChangeArrowheads="1"/>
        </xdr:cNvSpPr>
      </xdr:nvSpPr>
      <xdr:spPr bwMode="auto">
        <a:xfrm>
          <a:off x="91313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36</xdr:row>
      <xdr:rowOff>57150</xdr:rowOff>
    </xdr:from>
    <xdr:to>
      <xdr:col>22</xdr:col>
      <xdr:colOff>0</xdr:colOff>
      <xdr:row>37</xdr:row>
      <xdr:rowOff>190500</xdr:rowOff>
    </xdr:to>
    <xdr:sp macro="" textlink="">
      <xdr:nvSpPr>
        <xdr:cNvPr id="103" name="AutoShape 46">
          <a:extLst>
            <a:ext uri="{FF2B5EF4-FFF2-40B4-BE49-F238E27FC236}">
              <a16:creationId xmlns:a16="http://schemas.microsoft.com/office/drawing/2014/main" id="{798EA095-49C1-4025-9205-4EAB8A35FD86}"/>
            </a:ext>
          </a:extLst>
        </xdr:cNvPr>
        <xdr:cNvSpPr>
          <a:spLocks noChangeArrowheads="1"/>
        </xdr:cNvSpPr>
      </xdr:nvSpPr>
      <xdr:spPr bwMode="auto">
        <a:xfrm>
          <a:off x="100584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36</xdr:row>
      <xdr:rowOff>57150</xdr:rowOff>
    </xdr:from>
    <xdr:to>
      <xdr:col>24</xdr:col>
      <xdr:colOff>0</xdr:colOff>
      <xdr:row>37</xdr:row>
      <xdr:rowOff>190500</xdr:rowOff>
    </xdr:to>
    <xdr:sp macro="" textlink="">
      <xdr:nvSpPr>
        <xdr:cNvPr id="104" name="AutoShape 46">
          <a:extLst>
            <a:ext uri="{FF2B5EF4-FFF2-40B4-BE49-F238E27FC236}">
              <a16:creationId xmlns:a16="http://schemas.microsoft.com/office/drawing/2014/main" id="{935C6B40-42C7-4D84-8CF5-730E0BFDF490}"/>
            </a:ext>
          </a:extLst>
        </xdr:cNvPr>
        <xdr:cNvSpPr>
          <a:spLocks noChangeArrowheads="1"/>
        </xdr:cNvSpPr>
      </xdr:nvSpPr>
      <xdr:spPr bwMode="auto">
        <a:xfrm>
          <a:off x="109855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05" name="AutoShape 46">
          <a:extLst>
            <a:ext uri="{FF2B5EF4-FFF2-40B4-BE49-F238E27FC236}">
              <a16:creationId xmlns:a16="http://schemas.microsoft.com/office/drawing/2014/main" id="{96B62010-A3E7-43DD-B09C-C5B5E4878100}"/>
            </a:ext>
          </a:extLst>
        </xdr:cNvPr>
        <xdr:cNvSpPr>
          <a:spLocks noChangeArrowheads="1"/>
        </xdr:cNvSpPr>
      </xdr:nvSpPr>
      <xdr:spPr bwMode="auto">
        <a:xfrm>
          <a:off x="119126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06" name="AutoShape 46">
          <a:extLst>
            <a:ext uri="{FF2B5EF4-FFF2-40B4-BE49-F238E27FC236}">
              <a16:creationId xmlns:a16="http://schemas.microsoft.com/office/drawing/2014/main" id="{11EE280A-89D1-47A0-BE5C-5EF1EDB55130}"/>
            </a:ext>
          </a:extLst>
        </xdr:cNvPr>
        <xdr:cNvSpPr>
          <a:spLocks noChangeArrowheads="1"/>
        </xdr:cNvSpPr>
      </xdr:nvSpPr>
      <xdr:spPr bwMode="auto">
        <a:xfrm>
          <a:off x="1289685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36</xdr:row>
      <xdr:rowOff>57150</xdr:rowOff>
    </xdr:from>
    <xdr:to>
      <xdr:col>18</xdr:col>
      <xdr:colOff>0</xdr:colOff>
      <xdr:row>37</xdr:row>
      <xdr:rowOff>190500</xdr:rowOff>
    </xdr:to>
    <xdr:sp macro="" textlink="">
      <xdr:nvSpPr>
        <xdr:cNvPr id="107" name="AutoShape 46">
          <a:extLst>
            <a:ext uri="{FF2B5EF4-FFF2-40B4-BE49-F238E27FC236}">
              <a16:creationId xmlns:a16="http://schemas.microsoft.com/office/drawing/2014/main" id="{635BC295-3BC4-4F15-9704-8AF809A665F3}"/>
            </a:ext>
          </a:extLst>
        </xdr:cNvPr>
        <xdr:cNvSpPr>
          <a:spLocks noChangeArrowheads="1"/>
        </xdr:cNvSpPr>
      </xdr:nvSpPr>
      <xdr:spPr bwMode="auto">
        <a:xfrm>
          <a:off x="82042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36</xdr:row>
      <xdr:rowOff>57150</xdr:rowOff>
    </xdr:from>
    <xdr:to>
      <xdr:col>20</xdr:col>
      <xdr:colOff>0</xdr:colOff>
      <xdr:row>37</xdr:row>
      <xdr:rowOff>190500</xdr:rowOff>
    </xdr:to>
    <xdr:sp macro="" textlink="">
      <xdr:nvSpPr>
        <xdr:cNvPr id="108" name="AutoShape 46">
          <a:extLst>
            <a:ext uri="{FF2B5EF4-FFF2-40B4-BE49-F238E27FC236}">
              <a16:creationId xmlns:a16="http://schemas.microsoft.com/office/drawing/2014/main" id="{E8542EB7-F5EE-497E-8E92-55EA8FA21081}"/>
            </a:ext>
          </a:extLst>
        </xdr:cNvPr>
        <xdr:cNvSpPr>
          <a:spLocks noChangeArrowheads="1"/>
        </xdr:cNvSpPr>
      </xdr:nvSpPr>
      <xdr:spPr bwMode="auto">
        <a:xfrm>
          <a:off x="91313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36</xdr:row>
      <xdr:rowOff>57150</xdr:rowOff>
    </xdr:from>
    <xdr:to>
      <xdr:col>22</xdr:col>
      <xdr:colOff>0</xdr:colOff>
      <xdr:row>37</xdr:row>
      <xdr:rowOff>190500</xdr:rowOff>
    </xdr:to>
    <xdr:sp macro="" textlink="">
      <xdr:nvSpPr>
        <xdr:cNvPr id="109" name="AutoShape 46">
          <a:extLst>
            <a:ext uri="{FF2B5EF4-FFF2-40B4-BE49-F238E27FC236}">
              <a16:creationId xmlns:a16="http://schemas.microsoft.com/office/drawing/2014/main" id="{E8FE9166-FE01-41DA-AD56-539A4C27B06C}"/>
            </a:ext>
          </a:extLst>
        </xdr:cNvPr>
        <xdr:cNvSpPr>
          <a:spLocks noChangeArrowheads="1"/>
        </xdr:cNvSpPr>
      </xdr:nvSpPr>
      <xdr:spPr bwMode="auto">
        <a:xfrm>
          <a:off x="100584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36</xdr:row>
      <xdr:rowOff>57150</xdr:rowOff>
    </xdr:from>
    <xdr:to>
      <xdr:col>24</xdr:col>
      <xdr:colOff>0</xdr:colOff>
      <xdr:row>37</xdr:row>
      <xdr:rowOff>190500</xdr:rowOff>
    </xdr:to>
    <xdr:sp macro="" textlink="">
      <xdr:nvSpPr>
        <xdr:cNvPr id="110" name="AutoShape 46">
          <a:extLst>
            <a:ext uri="{FF2B5EF4-FFF2-40B4-BE49-F238E27FC236}">
              <a16:creationId xmlns:a16="http://schemas.microsoft.com/office/drawing/2014/main" id="{80C90E9E-38B1-449A-BB82-3A22555B8BEF}"/>
            </a:ext>
          </a:extLst>
        </xdr:cNvPr>
        <xdr:cNvSpPr>
          <a:spLocks noChangeArrowheads="1"/>
        </xdr:cNvSpPr>
      </xdr:nvSpPr>
      <xdr:spPr bwMode="auto">
        <a:xfrm>
          <a:off x="10985500" y="9632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11" name="AutoShape 46">
          <a:extLst>
            <a:ext uri="{FF2B5EF4-FFF2-40B4-BE49-F238E27FC236}">
              <a16:creationId xmlns:a16="http://schemas.microsoft.com/office/drawing/2014/main" id="{A9969FF4-22FA-4329-A7FF-5143BA9F6E9A}"/>
            </a:ext>
          </a:extLst>
        </xdr:cNvPr>
        <xdr:cNvSpPr>
          <a:spLocks noChangeArrowheads="1"/>
        </xdr:cNvSpPr>
      </xdr:nvSpPr>
      <xdr:spPr bwMode="auto">
        <a:xfrm>
          <a:off x="11912600" y="9632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12" name="AutoShape 46">
          <a:extLst>
            <a:ext uri="{FF2B5EF4-FFF2-40B4-BE49-F238E27FC236}">
              <a16:creationId xmlns:a16="http://schemas.microsoft.com/office/drawing/2014/main" id="{135A1341-DE12-439C-BB5F-E15C0CF6F793}"/>
            </a:ext>
          </a:extLst>
        </xdr:cNvPr>
        <xdr:cNvSpPr>
          <a:spLocks noChangeArrowheads="1"/>
        </xdr:cNvSpPr>
      </xdr:nvSpPr>
      <xdr:spPr bwMode="auto">
        <a:xfrm>
          <a:off x="1289685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15</xdr:col>
      <xdr:colOff>0</xdr:colOff>
      <xdr:row>36</xdr:row>
      <xdr:rowOff>57150</xdr:rowOff>
    </xdr:from>
    <xdr:to>
      <xdr:col>16</xdr:col>
      <xdr:colOff>0</xdr:colOff>
      <xdr:row>37</xdr:row>
      <xdr:rowOff>190500</xdr:rowOff>
    </xdr:to>
    <xdr:sp macro="" textlink="">
      <xdr:nvSpPr>
        <xdr:cNvPr id="113" name="AutoShape 46">
          <a:extLst>
            <a:ext uri="{FF2B5EF4-FFF2-40B4-BE49-F238E27FC236}">
              <a16:creationId xmlns:a16="http://schemas.microsoft.com/office/drawing/2014/main" id="{C1EF3003-F7E7-4C22-ABA6-DD130CA22AE3}"/>
            </a:ext>
          </a:extLst>
        </xdr:cNvPr>
        <xdr:cNvSpPr>
          <a:spLocks noChangeArrowheads="1"/>
        </xdr:cNvSpPr>
      </xdr:nvSpPr>
      <xdr:spPr bwMode="auto">
        <a:xfrm>
          <a:off x="72771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36</xdr:row>
      <xdr:rowOff>57150</xdr:rowOff>
    </xdr:from>
    <xdr:to>
      <xdr:col>18</xdr:col>
      <xdr:colOff>0</xdr:colOff>
      <xdr:row>37</xdr:row>
      <xdr:rowOff>190500</xdr:rowOff>
    </xdr:to>
    <xdr:sp macro="" textlink="">
      <xdr:nvSpPr>
        <xdr:cNvPr id="114" name="AutoShape 46">
          <a:extLst>
            <a:ext uri="{FF2B5EF4-FFF2-40B4-BE49-F238E27FC236}">
              <a16:creationId xmlns:a16="http://schemas.microsoft.com/office/drawing/2014/main" id="{6176F6AA-B5EB-4F70-86CA-083441C6E38B}"/>
            </a:ext>
          </a:extLst>
        </xdr:cNvPr>
        <xdr:cNvSpPr>
          <a:spLocks noChangeArrowheads="1"/>
        </xdr:cNvSpPr>
      </xdr:nvSpPr>
      <xdr:spPr bwMode="auto">
        <a:xfrm>
          <a:off x="82042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36</xdr:row>
      <xdr:rowOff>57150</xdr:rowOff>
    </xdr:from>
    <xdr:to>
      <xdr:col>20</xdr:col>
      <xdr:colOff>0</xdr:colOff>
      <xdr:row>37</xdr:row>
      <xdr:rowOff>190500</xdr:rowOff>
    </xdr:to>
    <xdr:sp macro="" textlink="">
      <xdr:nvSpPr>
        <xdr:cNvPr id="115" name="AutoShape 46">
          <a:extLst>
            <a:ext uri="{FF2B5EF4-FFF2-40B4-BE49-F238E27FC236}">
              <a16:creationId xmlns:a16="http://schemas.microsoft.com/office/drawing/2014/main" id="{897A9772-5384-41C1-88BA-A58AAF8DF595}"/>
            </a:ext>
          </a:extLst>
        </xdr:cNvPr>
        <xdr:cNvSpPr>
          <a:spLocks noChangeArrowheads="1"/>
        </xdr:cNvSpPr>
      </xdr:nvSpPr>
      <xdr:spPr bwMode="auto">
        <a:xfrm>
          <a:off x="91313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36</xdr:row>
      <xdr:rowOff>57150</xdr:rowOff>
    </xdr:from>
    <xdr:to>
      <xdr:col>22</xdr:col>
      <xdr:colOff>0</xdr:colOff>
      <xdr:row>37</xdr:row>
      <xdr:rowOff>190500</xdr:rowOff>
    </xdr:to>
    <xdr:sp macro="" textlink="">
      <xdr:nvSpPr>
        <xdr:cNvPr id="116" name="AutoShape 46">
          <a:extLst>
            <a:ext uri="{FF2B5EF4-FFF2-40B4-BE49-F238E27FC236}">
              <a16:creationId xmlns:a16="http://schemas.microsoft.com/office/drawing/2014/main" id="{6B56CB85-47A4-49C3-9D0F-210BC37AB19C}"/>
            </a:ext>
          </a:extLst>
        </xdr:cNvPr>
        <xdr:cNvSpPr>
          <a:spLocks noChangeArrowheads="1"/>
        </xdr:cNvSpPr>
      </xdr:nvSpPr>
      <xdr:spPr bwMode="auto">
        <a:xfrm>
          <a:off x="100584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36</xdr:row>
      <xdr:rowOff>57150</xdr:rowOff>
    </xdr:from>
    <xdr:to>
      <xdr:col>24</xdr:col>
      <xdr:colOff>0</xdr:colOff>
      <xdr:row>37</xdr:row>
      <xdr:rowOff>190500</xdr:rowOff>
    </xdr:to>
    <xdr:sp macro="" textlink="">
      <xdr:nvSpPr>
        <xdr:cNvPr id="117" name="AutoShape 46">
          <a:extLst>
            <a:ext uri="{FF2B5EF4-FFF2-40B4-BE49-F238E27FC236}">
              <a16:creationId xmlns:a16="http://schemas.microsoft.com/office/drawing/2014/main" id="{30F1F6F6-C2A5-49CF-B2E1-D0A3106D5B71}"/>
            </a:ext>
          </a:extLst>
        </xdr:cNvPr>
        <xdr:cNvSpPr>
          <a:spLocks noChangeArrowheads="1"/>
        </xdr:cNvSpPr>
      </xdr:nvSpPr>
      <xdr:spPr bwMode="auto">
        <a:xfrm>
          <a:off x="109855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18" name="AutoShape 46">
          <a:extLst>
            <a:ext uri="{FF2B5EF4-FFF2-40B4-BE49-F238E27FC236}">
              <a16:creationId xmlns:a16="http://schemas.microsoft.com/office/drawing/2014/main" id="{F5BBFAD9-845F-4CB4-A9B0-E2E7ABE44DEC}"/>
            </a:ext>
          </a:extLst>
        </xdr:cNvPr>
        <xdr:cNvSpPr>
          <a:spLocks noChangeArrowheads="1"/>
        </xdr:cNvSpPr>
      </xdr:nvSpPr>
      <xdr:spPr bwMode="auto">
        <a:xfrm>
          <a:off x="119126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19" name="AutoShape 46">
          <a:extLst>
            <a:ext uri="{FF2B5EF4-FFF2-40B4-BE49-F238E27FC236}">
              <a16:creationId xmlns:a16="http://schemas.microsoft.com/office/drawing/2014/main" id="{538BF893-5633-4709-914A-0B0DA7AF6FFC}"/>
            </a:ext>
          </a:extLst>
        </xdr:cNvPr>
        <xdr:cNvSpPr>
          <a:spLocks noChangeArrowheads="1"/>
        </xdr:cNvSpPr>
      </xdr:nvSpPr>
      <xdr:spPr bwMode="auto">
        <a:xfrm>
          <a:off x="1289685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44</xdr:row>
      <xdr:rowOff>57150</xdr:rowOff>
    </xdr:from>
    <xdr:to>
      <xdr:col>2</xdr:col>
      <xdr:colOff>0</xdr:colOff>
      <xdr:row>45</xdr:row>
      <xdr:rowOff>190500</xdr:rowOff>
    </xdr:to>
    <xdr:sp macro="" textlink="">
      <xdr:nvSpPr>
        <xdr:cNvPr id="120" name="AutoShape 46">
          <a:extLst>
            <a:ext uri="{FF2B5EF4-FFF2-40B4-BE49-F238E27FC236}">
              <a16:creationId xmlns:a16="http://schemas.microsoft.com/office/drawing/2014/main" id="{D3671F6E-389E-48F4-9BEF-3D1CD0C82EF6}"/>
            </a:ext>
          </a:extLst>
        </xdr:cNvPr>
        <xdr:cNvSpPr>
          <a:spLocks noChangeArrowheads="1"/>
        </xdr:cNvSpPr>
      </xdr:nvSpPr>
      <xdr:spPr bwMode="auto">
        <a:xfrm>
          <a:off x="6096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44</xdr:row>
      <xdr:rowOff>57150</xdr:rowOff>
    </xdr:from>
    <xdr:to>
      <xdr:col>4</xdr:col>
      <xdr:colOff>0</xdr:colOff>
      <xdr:row>45</xdr:row>
      <xdr:rowOff>190500</xdr:rowOff>
    </xdr:to>
    <xdr:sp macro="" textlink="">
      <xdr:nvSpPr>
        <xdr:cNvPr id="121" name="AutoShape 46">
          <a:extLst>
            <a:ext uri="{FF2B5EF4-FFF2-40B4-BE49-F238E27FC236}">
              <a16:creationId xmlns:a16="http://schemas.microsoft.com/office/drawing/2014/main" id="{2A0EF603-7010-4B39-94A2-7C4D35C69B45}"/>
            </a:ext>
          </a:extLst>
        </xdr:cNvPr>
        <xdr:cNvSpPr>
          <a:spLocks noChangeArrowheads="1"/>
        </xdr:cNvSpPr>
      </xdr:nvSpPr>
      <xdr:spPr bwMode="auto">
        <a:xfrm>
          <a:off x="1536700" y="11557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44</xdr:row>
      <xdr:rowOff>57150</xdr:rowOff>
    </xdr:from>
    <xdr:to>
      <xdr:col>6</xdr:col>
      <xdr:colOff>0</xdr:colOff>
      <xdr:row>45</xdr:row>
      <xdr:rowOff>190500</xdr:rowOff>
    </xdr:to>
    <xdr:sp macro="" textlink="">
      <xdr:nvSpPr>
        <xdr:cNvPr id="122" name="AutoShape 46">
          <a:extLst>
            <a:ext uri="{FF2B5EF4-FFF2-40B4-BE49-F238E27FC236}">
              <a16:creationId xmlns:a16="http://schemas.microsoft.com/office/drawing/2014/main" id="{4B3E8B9F-A6CA-4C99-883F-576202DCD068}"/>
            </a:ext>
          </a:extLst>
        </xdr:cNvPr>
        <xdr:cNvSpPr>
          <a:spLocks noChangeArrowheads="1"/>
        </xdr:cNvSpPr>
      </xdr:nvSpPr>
      <xdr:spPr bwMode="auto">
        <a:xfrm>
          <a:off x="2520950" y="115570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44</xdr:row>
      <xdr:rowOff>57150</xdr:rowOff>
    </xdr:from>
    <xdr:to>
      <xdr:col>8</xdr:col>
      <xdr:colOff>0</xdr:colOff>
      <xdr:row>45</xdr:row>
      <xdr:rowOff>190500</xdr:rowOff>
    </xdr:to>
    <xdr:sp macro="" textlink="">
      <xdr:nvSpPr>
        <xdr:cNvPr id="123" name="AutoShape 46">
          <a:extLst>
            <a:ext uri="{FF2B5EF4-FFF2-40B4-BE49-F238E27FC236}">
              <a16:creationId xmlns:a16="http://schemas.microsoft.com/office/drawing/2014/main" id="{1C40BD5C-DD58-4292-B07A-C19EA122E326}"/>
            </a:ext>
          </a:extLst>
        </xdr:cNvPr>
        <xdr:cNvSpPr>
          <a:spLocks noChangeArrowheads="1"/>
        </xdr:cNvSpPr>
      </xdr:nvSpPr>
      <xdr:spPr bwMode="auto">
        <a:xfrm>
          <a:off x="3498850" y="115570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44</xdr:row>
      <xdr:rowOff>57150</xdr:rowOff>
    </xdr:from>
    <xdr:to>
      <xdr:col>10</xdr:col>
      <xdr:colOff>0</xdr:colOff>
      <xdr:row>45</xdr:row>
      <xdr:rowOff>190500</xdr:rowOff>
    </xdr:to>
    <xdr:sp macro="" textlink="">
      <xdr:nvSpPr>
        <xdr:cNvPr id="124" name="AutoShape 46">
          <a:extLst>
            <a:ext uri="{FF2B5EF4-FFF2-40B4-BE49-F238E27FC236}">
              <a16:creationId xmlns:a16="http://schemas.microsoft.com/office/drawing/2014/main" id="{1E75533D-6E93-444C-8F0A-01531D39EF96}"/>
            </a:ext>
          </a:extLst>
        </xdr:cNvPr>
        <xdr:cNvSpPr>
          <a:spLocks noChangeArrowheads="1"/>
        </xdr:cNvSpPr>
      </xdr:nvSpPr>
      <xdr:spPr bwMode="auto">
        <a:xfrm>
          <a:off x="44958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44</xdr:row>
      <xdr:rowOff>57150</xdr:rowOff>
    </xdr:from>
    <xdr:to>
      <xdr:col>12</xdr:col>
      <xdr:colOff>0</xdr:colOff>
      <xdr:row>45</xdr:row>
      <xdr:rowOff>190500</xdr:rowOff>
    </xdr:to>
    <xdr:sp macro="" textlink="">
      <xdr:nvSpPr>
        <xdr:cNvPr id="125" name="AutoShape 46">
          <a:extLst>
            <a:ext uri="{FF2B5EF4-FFF2-40B4-BE49-F238E27FC236}">
              <a16:creationId xmlns:a16="http://schemas.microsoft.com/office/drawing/2014/main" id="{733A8E71-C5E1-4166-BC4C-C3B835FA924F}"/>
            </a:ext>
          </a:extLst>
        </xdr:cNvPr>
        <xdr:cNvSpPr>
          <a:spLocks noChangeArrowheads="1"/>
        </xdr:cNvSpPr>
      </xdr:nvSpPr>
      <xdr:spPr bwMode="auto">
        <a:xfrm>
          <a:off x="54229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44</xdr:row>
      <xdr:rowOff>57150</xdr:rowOff>
    </xdr:from>
    <xdr:to>
      <xdr:col>14</xdr:col>
      <xdr:colOff>0</xdr:colOff>
      <xdr:row>45</xdr:row>
      <xdr:rowOff>190500</xdr:rowOff>
    </xdr:to>
    <xdr:sp macro="" textlink="">
      <xdr:nvSpPr>
        <xdr:cNvPr id="126" name="AutoShape 46">
          <a:extLst>
            <a:ext uri="{FF2B5EF4-FFF2-40B4-BE49-F238E27FC236}">
              <a16:creationId xmlns:a16="http://schemas.microsoft.com/office/drawing/2014/main" id="{D161613C-EFBB-4DF2-9550-7C1080AB8B81}"/>
            </a:ext>
          </a:extLst>
        </xdr:cNvPr>
        <xdr:cNvSpPr>
          <a:spLocks noChangeArrowheads="1"/>
        </xdr:cNvSpPr>
      </xdr:nvSpPr>
      <xdr:spPr bwMode="auto">
        <a:xfrm>
          <a:off x="63500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44</xdr:row>
      <xdr:rowOff>57150</xdr:rowOff>
    </xdr:from>
    <xdr:to>
      <xdr:col>16</xdr:col>
      <xdr:colOff>0</xdr:colOff>
      <xdr:row>45</xdr:row>
      <xdr:rowOff>190500</xdr:rowOff>
    </xdr:to>
    <xdr:sp macro="" textlink="">
      <xdr:nvSpPr>
        <xdr:cNvPr id="127" name="AutoShape 46">
          <a:extLst>
            <a:ext uri="{FF2B5EF4-FFF2-40B4-BE49-F238E27FC236}">
              <a16:creationId xmlns:a16="http://schemas.microsoft.com/office/drawing/2014/main" id="{67B49CA4-F2E7-4239-8AE6-FFB2AB6EE4CA}"/>
            </a:ext>
          </a:extLst>
        </xdr:cNvPr>
        <xdr:cNvSpPr>
          <a:spLocks noChangeArrowheads="1"/>
        </xdr:cNvSpPr>
      </xdr:nvSpPr>
      <xdr:spPr bwMode="auto">
        <a:xfrm>
          <a:off x="72771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28" name="AutoShape 46">
          <a:extLst>
            <a:ext uri="{FF2B5EF4-FFF2-40B4-BE49-F238E27FC236}">
              <a16:creationId xmlns:a16="http://schemas.microsoft.com/office/drawing/2014/main" id="{150126FE-9734-4ECE-B662-088A8C201521}"/>
            </a:ext>
          </a:extLst>
        </xdr:cNvPr>
        <xdr:cNvSpPr>
          <a:spLocks noChangeArrowheads="1"/>
        </xdr:cNvSpPr>
      </xdr:nvSpPr>
      <xdr:spPr bwMode="auto">
        <a:xfrm>
          <a:off x="82042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29" name="AutoShape 46">
          <a:extLst>
            <a:ext uri="{FF2B5EF4-FFF2-40B4-BE49-F238E27FC236}">
              <a16:creationId xmlns:a16="http://schemas.microsoft.com/office/drawing/2014/main" id="{060EF92D-B8E2-4857-84A7-8CF339F5D3FF}"/>
            </a:ext>
          </a:extLst>
        </xdr:cNvPr>
        <xdr:cNvSpPr>
          <a:spLocks noChangeArrowheads="1"/>
        </xdr:cNvSpPr>
      </xdr:nvSpPr>
      <xdr:spPr bwMode="auto">
        <a:xfrm>
          <a:off x="91313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30" name="AutoShape 46">
          <a:extLst>
            <a:ext uri="{FF2B5EF4-FFF2-40B4-BE49-F238E27FC236}">
              <a16:creationId xmlns:a16="http://schemas.microsoft.com/office/drawing/2014/main" id="{031AC4A5-9A95-4011-AEB8-93BEE2B9949C}"/>
            </a:ext>
          </a:extLst>
        </xdr:cNvPr>
        <xdr:cNvSpPr>
          <a:spLocks noChangeArrowheads="1"/>
        </xdr:cNvSpPr>
      </xdr:nvSpPr>
      <xdr:spPr bwMode="auto">
        <a:xfrm>
          <a:off x="100584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44</xdr:row>
      <xdr:rowOff>57150</xdr:rowOff>
    </xdr:from>
    <xdr:to>
      <xdr:col>24</xdr:col>
      <xdr:colOff>0</xdr:colOff>
      <xdr:row>45</xdr:row>
      <xdr:rowOff>190500</xdr:rowOff>
    </xdr:to>
    <xdr:sp macro="" textlink="">
      <xdr:nvSpPr>
        <xdr:cNvPr id="131" name="AutoShape 46">
          <a:extLst>
            <a:ext uri="{FF2B5EF4-FFF2-40B4-BE49-F238E27FC236}">
              <a16:creationId xmlns:a16="http://schemas.microsoft.com/office/drawing/2014/main" id="{C1B3ACE9-252B-4ED3-B471-CCA891908046}"/>
            </a:ext>
          </a:extLst>
        </xdr:cNvPr>
        <xdr:cNvSpPr>
          <a:spLocks noChangeArrowheads="1"/>
        </xdr:cNvSpPr>
      </xdr:nvSpPr>
      <xdr:spPr bwMode="auto">
        <a:xfrm>
          <a:off x="109855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44</xdr:row>
      <xdr:rowOff>57150</xdr:rowOff>
    </xdr:from>
    <xdr:to>
      <xdr:col>26</xdr:col>
      <xdr:colOff>0</xdr:colOff>
      <xdr:row>45</xdr:row>
      <xdr:rowOff>190500</xdr:rowOff>
    </xdr:to>
    <xdr:sp macro="" textlink="">
      <xdr:nvSpPr>
        <xdr:cNvPr id="132" name="AutoShape 46">
          <a:extLst>
            <a:ext uri="{FF2B5EF4-FFF2-40B4-BE49-F238E27FC236}">
              <a16:creationId xmlns:a16="http://schemas.microsoft.com/office/drawing/2014/main" id="{C36E536E-A482-45B4-BAB8-4DA7210D6AA4}"/>
            </a:ext>
          </a:extLst>
        </xdr:cNvPr>
        <xdr:cNvSpPr>
          <a:spLocks noChangeArrowheads="1"/>
        </xdr:cNvSpPr>
      </xdr:nvSpPr>
      <xdr:spPr bwMode="auto">
        <a:xfrm>
          <a:off x="11912600" y="11557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44</xdr:row>
      <xdr:rowOff>57150</xdr:rowOff>
    </xdr:from>
    <xdr:to>
      <xdr:col>28</xdr:col>
      <xdr:colOff>0</xdr:colOff>
      <xdr:row>45</xdr:row>
      <xdr:rowOff>190500</xdr:rowOff>
    </xdr:to>
    <xdr:sp macro="" textlink="">
      <xdr:nvSpPr>
        <xdr:cNvPr id="133" name="AutoShape 46">
          <a:extLst>
            <a:ext uri="{FF2B5EF4-FFF2-40B4-BE49-F238E27FC236}">
              <a16:creationId xmlns:a16="http://schemas.microsoft.com/office/drawing/2014/main" id="{7E5C577F-8A44-4D95-8387-10D5395F922E}"/>
            </a:ext>
          </a:extLst>
        </xdr:cNvPr>
        <xdr:cNvSpPr>
          <a:spLocks noChangeArrowheads="1"/>
        </xdr:cNvSpPr>
      </xdr:nvSpPr>
      <xdr:spPr bwMode="auto">
        <a:xfrm>
          <a:off x="1289685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34" name="AutoShape 46">
          <a:extLst>
            <a:ext uri="{FF2B5EF4-FFF2-40B4-BE49-F238E27FC236}">
              <a16:creationId xmlns:a16="http://schemas.microsoft.com/office/drawing/2014/main" id="{CE13AAFA-7776-480D-9E6A-32E074F1DD43}"/>
            </a:ext>
          </a:extLst>
        </xdr:cNvPr>
        <xdr:cNvSpPr>
          <a:spLocks noChangeArrowheads="1"/>
        </xdr:cNvSpPr>
      </xdr:nvSpPr>
      <xdr:spPr bwMode="auto">
        <a:xfrm>
          <a:off x="82042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35" name="AutoShape 46">
          <a:extLst>
            <a:ext uri="{FF2B5EF4-FFF2-40B4-BE49-F238E27FC236}">
              <a16:creationId xmlns:a16="http://schemas.microsoft.com/office/drawing/2014/main" id="{F4ADFFE9-2052-47ED-A53A-7DB6E5C50236}"/>
            </a:ext>
          </a:extLst>
        </xdr:cNvPr>
        <xdr:cNvSpPr>
          <a:spLocks noChangeArrowheads="1"/>
        </xdr:cNvSpPr>
      </xdr:nvSpPr>
      <xdr:spPr bwMode="auto">
        <a:xfrm>
          <a:off x="91313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36" name="AutoShape 46">
          <a:extLst>
            <a:ext uri="{FF2B5EF4-FFF2-40B4-BE49-F238E27FC236}">
              <a16:creationId xmlns:a16="http://schemas.microsoft.com/office/drawing/2014/main" id="{EA0E996B-C0A3-4F9D-A274-E87F802FE0B5}"/>
            </a:ext>
          </a:extLst>
        </xdr:cNvPr>
        <xdr:cNvSpPr>
          <a:spLocks noChangeArrowheads="1"/>
        </xdr:cNvSpPr>
      </xdr:nvSpPr>
      <xdr:spPr bwMode="auto">
        <a:xfrm>
          <a:off x="10058400" y="115570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44</xdr:row>
      <xdr:rowOff>57150</xdr:rowOff>
    </xdr:from>
    <xdr:to>
      <xdr:col>24</xdr:col>
      <xdr:colOff>0</xdr:colOff>
      <xdr:row>45</xdr:row>
      <xdr:rowOff>190500</xdr:rowOff>
    </xdr:to>
    <xdr:sp macro="" textlink="">
      <xdr:nvSpPr>
        <xdr:cNvPr id="137" name="AutoShape 46">
          <a:extLst>
            <a:ext uri="{FF2B5EF4-FFF2-40B4-BE49-F238E27FC236}">
              <a16:creationId xmlns:a16="http://schemas.microsoft.com/office/drawing/2014/main" id="{3A6D6817-5ECF-4E5D-9993-69D43C4B8EDD}"/>
            </a:ext>
          </a:extLst>
        </xdr:cNvPr>
        <xdr:cNvSpPr>
          <a:spLocks noChangeArrowheads="1"/>
        </xdr:cNvSpPr>
      </xdr:nvSpPr>
      <xdr:spPr bwMode="auto">
        <a:xfrm>
          <a:off x="10985500" y="115570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44</xdr:row>
      <xdr:rowOff>57150</xdr:rowOff>
    </xdr:from>
    <xdr:to>
      <xdr:col>26</xdr:col>
      <xdr:colOff>0</xdr:colOff>
      <xdr:row>45</xdr:row>
      <xdr:rowOff>190500</xdr:rowOff>
    </xdr:to>
    <xdr:sp macro="" textlink="">
      <xdr:nvSpPr>
        <xdr:cNvPr id="138" name="AutoShape 46">
          <a:extLst>
            <a:ext uri="{FF2B5EF4-FFF2-40B4-BE49-F238E27FC236}">
              <a16:creationId xmlns:a16="http://schemas.microsoft.com/office/drawing/2014/main" id="{F8710500-DAD8-492F-BCB0-5F54D618BBEA}"/>
            </a:ext>
          </a:extLst>
        </xdr:cNvPr>
        <xdr:cNvSpPr>
          <a:spLocks noChangeArrowheads="1"/>
        </xdr:cNvSpPr>
      </xdr:nvSpPr>
      <xdr:spPr bwMode="auto">
        <a:xfrm>
          <a:off x="11912600" y="11557000"/>
          <a:ext cx="52070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44</xdr:row>
      <xdr:rowOff>57150</xdr:rowOff>
    </xdr:from>
    <xdr:to>
      <xdr:col>28</xdr:col>
      <xdr:colOff>0</xdr:colOff>
      <xdr:row>45</xdr:row>
      <xdr:rowOff>190500</xdr:rowOff>
    </xdr:to>
    <xdr:sp macro="" textlink="">
      <xdr:nvSpPr>
        <xdr:cNvPr id="139" name="AutoShape 46">
          <a:extLst>
            <a:ext uri="{FF2B5EF4-FFF2-40B4-BE49-F238E27FC236}">
              <a16:creationId xmlns:a16="http://schemas.microsoft.com/office/drawing/2014/main" id="{2B55470F-EB27-4579-B951-F3AFFBEBB695}"/>
            </a:ext>
          </a:extLst>
        </xdr:cNvPr>
        <xdr:cNvSpPr>
          <a:spLocks noChangeArrowheads="1"/>
        </xdr:cNvSpPr>
      </xdr:nvSpPr>
      <xdr:spPr bwMode="auto">
        <a:xfrm>
          <a:off x="1289685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44</xdr:row>
      <xdr:rowOff>57150</xdr:rowOff>
    </xdr:from>
    <xdr:to>
      <xdr:col>16</xdr:col>
      <xdr:colOff>0</xdr:colOff>
      <xdr:row>45</xdr:row>
      <xdr:rowOff>190500</xdr:rowOff>
    </xdr:to>
    <xdr:sp macro="" textlink="">
      <xdr:nvSpPr>
        <xdr:cNvPr id="140" name="AutoShape 46">
          <a:extLst>
            <a:ext uri="{FF2B5EF4-FFF2-40B4-BE49-F238E27FC236}">
              <a16:creationId xmlns:a16="http://schemas.microsoft.com/office/drawing/2014/main" id="{6F7045FB-CF50-492E-8B09-3193F11A6E7F}"/>
            </a:ext>
          </a:extLst>
        </xdr:cNvPr>
        <xdr:cNvSpPr>
          <a:spLocks noChangeArrowheads="1"/>
        </xdr:cNvSpPr>
      </xdr:nvSpPr>
      <xdr:spPr bwMode="auto">
        <a:xfrm>
          <a:off x="72771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41" name="AutoShape 46">
          <a:extLst>
            <a:ext uri="{FF2B5EF4-FFF2-40B4-BE49-F238E27FC236}">
              <a16:creationId xmlns:a16="http://schemas.microsoft.com/office/drawing/2014/main" id="{B27B6031-412B-4AF0-AE06-790606F99546}"/>
            </a:ext>
          </a:extLst>
        </xdr:cNvPr>
        <xdr:cNvSpPr>
          <a:spLocks noChangeArrowheads="1"/>
        </xdr:cNvSpPr>
      </xdr:nvSpPr>
      <xdr:spPr bwMode="auto">
        <a:xfrm>
          <a:off x="82042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42" name="AutoShape 46">
          <a:extLst>
            <a:ext uri="{FF2B5EF4-FFF2-40B4-BE49-F238E27FC236}">
              <a16:creationId xmlns:a16="http://schemas.microsoft.com/office/drawing/2014/main" id="{F76EAE9B-385B-4008-BE8C-A50D1ABAAED9}"/>
            </a:ext>
          </a:extLst>
        </xdr:cNvPr>
        <xdr:cNvSpPr>
          <a:spLocks noChangeArrowheads="1"/>
        </xdr:cNvSpPr>
      </xdr:nvSpPr>
      <xdr:spPr bwMode="auto">
        <a:xfrm>
          <a:off x="91313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43" name="AutoShape 46">
          <a:extLst>
            <a:ext uri="{FF2B5EF4-FFF2-40B4-BE49-F238E27FC236}">
              <a16:creationId xmlns:a16="http://schemas.microsoft.com/office/drawing/2014/main" id="{10805CE6-244B-4A89-9A2F-2BF727B2C9CF}"/>
            </a:ext>
          </a:extLst>
        </xdr:cNvPr>
        <xdr:cNvSpPr>
          <a:spLocks noChangeArrowheads="1"/>
        </xdr:cNvSpPr>
      </xdr:nvSpPr>
      <xdr:spPr bwMode="auto">
        <a:xfrm>
          <a:off x="100584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44</xdr:row>
      <xdr:rowOff>57150</xdr:rowOff>
    </xdr:from>
    <xdr:to>
      <xdr:col>24</xdr:col>
      <xdr:colOff>0</xdr:colOff>
      <xdr:row>45</xdr:row>
      <xdr:rowOff>190500</xdr:rowOff>
    </xdr:to>
    <xdr:sp macro="" textlink="">
      <xdr:nvSpPr>
        <xdr:cNvPr id="144" name="AutoShape 46">
          <a:extLst>
            <a:ext uri="{FF2B5EF4-FFF2-40B4-BE49-F238E27FC236}">
              <a16:creationId xmlns:a16="http://schemas.microsoft.com/office/drawing/2014/main" id="{A2977A19-397D-4385-98D9-54C0A51F029E}"/>
            </a:ext>
          </a:extLst>
        </xdr:cNvPr>
        <xdr:cNvSpPr>
          <a:spLocks noChangeArrowheads="1"/>
        </xdr:cNvSpPr>
      </xdr:nvSpPr>
      <xdr:spPr bwMode="auto">
        <a:xfrm>
          <a:off x="109855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44</xdr:row>
      <xdr:rowOff>57150</xdr:rowOff>
    </xdr:from>
    <xdr:to>
      <xdr:col>26</xdr:col>
      <xdr:colOff>0</xdr:colOff>
      <xdr:row>45</xdr:row>
      <xdr:rowOff>190500</xdr:rowOff>
    </xdr:to>
    <xdr:sp macro="" textlink="">
      <xdr:nvSpPr>
        <xdr:cNvPr id="145" name="AutoShape 46">
          <a:extLst>
            <a:ext uri="{FF2B5EF4-FFF2-40B4-BE49-F238E27FC236}">
              <a16:creationId xmlns:a16="http://schemas.microsoft.com/office/drawing/2014/main" id="{4DFF41BD-2438-4D7D-8690-5E8F5ED8932D}"/>
            </a:ext>
          </a:extLst>
        </xdr:cNvPr>
        <xdr:cNvSpPr>
          <a:spLocks noChangeArrowheads="1"/>
        </xdr:cNvSpPr>
      </xdr:nvSpPr>
      <xdr:spPr bwMode="auto">
        <a:xfrm>
          <a:off x="11912600" y="115570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44</xdr:row>
      <xdr:rowOff>57150</xdr:rowOff>
    </xdr:from>
    <xdr:to>
      <xdr:col>28</xdr:col>
      <xdr:colOff>0</xdr:colOff>
      <xdr:row>45</xdr:row>
      <xdr:rowOff>190500</xdr:rowOff>
    </xdr:to>
    <xdr:sp macro="" textlink="">
      <xdr:nvSpPr>
        <xdr:cNvPr id="146" name="AutoShape 46">
          <a:extLst>
            <a:ext uri="{FF2B5EF4-FFF2-40B4-BE49-F238E27FC236}">
              <a16:creationId xmlns:a16="http://schemas.microsoft.com/office/drawing/2014/main" id="{36204C1F-7032-4D38-8A1D-47F018669270}"/>
            </a:ext>
          </a:extLst>
        </xdr:cNvPr>
        <xdr:cNvSpPr>
          <a:spLocks noChangeArrowheads="1"/>
        </xdr:cNvSpPr>
      </xdr:nvSpPr>
      <xdr:spPr bwMode="auto">
        <a:xfrm>
          <a:off x="1289685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52</xdr:row>
      <xdr:rowOff>57150</xdr:rowOff>
    </xdr:from>
    <xdr:to>
      <xdr:col>2</xdr:col>
      <xdr:colOff>0</xdr:colOff>
      <xdr:row>53</xdr:row>
      <xdr:rowOff>190500</xdr:rowOff>
    </xdr:to>
    <xdr:sp macro="" textlink="">
      <xdr:nvSpPr>
        <xdr:cNvPr id="147" name="AutoShape 46">
          <a:extLst>
            <a:ext uri="{FF2B5EF4-FFF2-40B4-BE49-F238E27FC236}">
              <a16:creationId xmlns:a16="http://schemas.microsoft.com/office/drawing/2014/main" id="{E18DE957-5277-4487-911D-FCDBA9AC9746}"/>
            </a:ext>
          </a:extLst>
        </xdr:cNvPr>
        <xdr:cNvSpPr>
          <a:spLocks noChangeArrowheads="1"/>
        </xdr:cNvSpPr>
      </xdr:nvSpPr>
      <xdr:spPr bwMode="auto">
        <a:xfrm>
          <a:off x="6096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52</xdr:row>
      <xdr:rowOff>57150</xdr:rowOff>
    </xdr:from>
    <xdr:to>
      <xdr:col>4</xdr:col>
      <xdr:colOff>0</xdr:colOff>
      <xdr:row>53</xdr:row>
      <xdr:rowOff>190500</xdr:rowOff>
    </xdr:to>
    <xdr:sp macro="" textlink="">
      <xdr:nvSpPr>
        <xdr:cNvPr id="148" name="AutoShape 46">
          <a:extLst>
            <a:ext uri="{FF2B5EF4-FFF2-40B4-BE49-F238E27FC236}">
              <a16:creationId xmlns:a16="http://schemas.microsoft.com/office/drawing/2014/main" id="{DC6ABB58-2B40-4C49-9D9C-C3ED9D8CC8A2}"/>
            </a:ext>
          </a:extLst>
        </xdr:cNvPr>
        <xdr:cNvSpPr>
          <a:spLocks noChangeArrowheads="1"/>
        </xdr:cNvSpPr>
      </xdr:nvSpPr>
      <xdr:spPr bwMode="auto">
        <a:xfrm>
          <a:off x="1536700" y="1356360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52</xdr:row>
      <xdr:rowOff>57150</xdr:rowOff>
    </xdr:from>
    <xdr:to>
      <xdr:col>6</xdr:col>
      <xdr:colOff>0</xdr:colOff>
      <xdr:row>53</xdr:row>
      <xdr:rowOff>190500</xdr:rowOff>
    </xdr:to>
    <xdr:sp macro="" textlink="">
      <xdr:nvSpPr>
        <xdr:cNvPr id="149" name="AutoShape 46">
          <a:extLst>
            <a:ext uri="{FF2B5EF4-FFF2-40B4-BE49-F238E27FC236}">
              <a16:creationId xmlns:a16="http://schemas.microsoft.com/office/drawing/2014/main" id="{74F1F1B4-A3A4-4457-B474-C51FB8399EED}"/>
            </a:ext>
          </a:extLst>
        </xdr:cNvPr>
        <xdr:cNvSpPr>
          <a:spLocks noChangeArrowheads="1"/>
        </xdr:cNvSpPr>
      </xdr:nvSpPr>
      <xdr:spPr bwMode="auto">
        <a:xfrm>
          <a:off x="2520950" y="135636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52</xdr:row>
      <xdr:rowOff>57150</xdr:rowOff>
    </xdr:from>
    <xdr:to>
      <xdr:col>8</xdr:col>
      <xdr:colOff>0</xdr:colOff>
      <xdr:row>53</xdr:row>
      <xdr:rowOff>190500</xdr:rowOff>
    </xdr:to>
    <xdr:sp macro="" textlink="">
      <xdr:nvSpPr>
        <xdr:cNvPr id="150" name="AutoShape 46">
          <a:extLst>
            <a:ext uri="{FF2B5EF4-FFF2-40B4-BE49-F238E27FC236}">
              <a16:creationId xmlns:a16="http://schemas.microsoft.com/office/drawing/2014/main" id="{1ABD887E-1AAD-4C6B-B3EE-CF7913B02069}"/>
            </a:ext>
          </a:extLst>
        </xdr:cNvPr>
        <xdr:cNvSpPr>
          <a:spLocks noChangeArrowheads="1"/>
        </xdr:cNvSpPr>
      </xdr:nvSpPr>
      <xdr:spPr bwMode="auto">
        <a:xfrm>
          <a:off x="3498850" y="135636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52</xdr:row>
      <xdr:rowOff>57150</xdr:rowOff>
    </xdr:from>
    <xdr:to>
      <xdr:col>10</xdr:col>
      <xdr:colOff>0</xdr:colOff>
      <xdr:row>53</xdr:row>
      <xdr:rowOff>190500</xdr:rowOff>
    </xdr:to>
    <xdr:sp macro="" textlink="">
      <xdr:nvSpPr>
        <xdr:cNvPr id="151" name="AutoShape 46">
          <a:extLst>
            <a:ext uri="{FF2B5EF4-FFF2-40B4-BE49-F238E27FC236}">
              <a16:creationId xmlns:a16="http://schemas.microsoft.com/office/drawing/2014/main" id="{16002953-96E6-4DA6-826B-26ADA4BE46ED}"/>
            </a:ext>
          </a:extLst>
        </xdr:cNvPr>
        <xdr:cNvSpPr>
          <a:spLocks noChangeArrowheads="1"/>
        </xdr:cNvSpPr>
      </xdr:nvSpPr>
      <xdr:spPr bwMode="auto">
        <a:xfrm>
          <a:off x="44958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52</xdr:row>
      <xdr:rowOff>57150</xdr:rowOff>
    </xdr:from>
    <xdr:to>
      <xdr:col>12</xdr:col>
      <xdr:colOff>0</xdr:colOff>
      <xdr:row>53</xdr:row>
      <xdr:rowOff>190500</xdr:rowOff>
    </xdr:to>
    <xdr:sp macro="" textlink="">
      <xdr:nvSpPr>
        <xdr:cNvPr id="152" name="AutoShape 46">
          <a:extLst>
            <a:ext uri="{FF2B5EF4-FFF2-40B4-BE49-F238E27FC236}">
              <a16:creationId xmlns:a16="http://schemas.microsoft.com/office/drawing/2014/main" id="{056388FA-AD4B-4FC0-9011-A22E6B9940C8}"/>
            </a:ext>
          </a:extLst>
        </xdr:cNvPr>
        <xdr:cNvSpPr>
          <a:spLocks noChangeArrowheads="1"/>
        </xdr:cNvSpPr>
      </xdr:nvSpPr>
      <xdr:spPr bwMode="auto">
        <a:xfrm>
          <a:off x="54229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52</xdr:row>
      <xdr:rowOff>57150</xdr:rowOff>
    </xdr:from>
    <xdr:to>
      <xdr:col>14</xdr:col>
      <xdr:colOff>0</xdr:colOff>
      <xdr:row>53</xdr:row>
      <xdr:rowOff>190500</xdr:rowOff>
    </xdr:to>
    <xdr:sp macro="" textlink="">
      <xdr:nvSpPr>
        <xdr:cNvPr id="153" name="AutoShape 46">
          <a:extLst>
            <a:ext uri="{FF2B5EF4-FFF2-40B4-BE49-F238E27FC236}">
              <a16:creationId xmlns:a16="http://schemas.microsoft.com/office/drawing/2014/main" id="{12945B76-7D1B-4D17-9C24-02A8FA548E09}"/>
            </a:ext>
          </a:extLst>
        </xdr:cNvPr>
        <xdr:cNvSpPr>
          <a:spLocks noChangeArrowheads="1"/>
        </xdr:cNvSpPr>
      </xdr:nvSpPr>
      <xdr:spPr bwMode="auto">
        <a:xfrm>
          <a:off x="63500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52</xdr:row>
      <xdr:rowOff>57150</xdr:rowOff>
    </xdr:from>
    <xdr:to>
      <xdr:col>16</xdr:col>
      <xdr:colOff>0</xdr:colOff>
      <xdr:row>53</xdr:row>
      <xdr:rowOff>190500</xdr:rowOff>
    </xdr:to>
    <xdr:sp macro="" textlink="">
      <xdr:nvSpPr>
        <xdr:cNvPr id="154" name="AutoShape 46">
          <a:extLst>
            <a:ext uri="{FF2B5EF4-FFF2-40B4-BE49-F238E27FC236}">
              <a16:creationId xmlns:a16="http://schemas.microsoft.com/office/drawing/2014/main" id="{B66F0A36-C9A5-43EC-92C3-70ADD592CAA1}"/>
            </a:ext>
          </a:extLst>
        </xdr:cNvPr>
        <xdr:cNvSpPr>
          <a:spLocks noChangeArrowheads="1"/>
        </xdr:cNvSpPr>
      </xdr:nvSpPr>
      <xdr:spPr bwMode="auto">
        <a:xfrm>
          <a:off x="72771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52</xdr:row>
      <xdr:rowOff>57150</xdr:rowOff>
    </xdr:from>
    <xdr:to>
      <xdr:col>18</xdr:col>
      <xdr:colOff>0</xdr:colOff>
      <xdr:row>53</xdr:row>
      <xdr:rowOff>190500</xdr:rowOff>
    </xdr:to>
    <xdr:sp macro="" textlink="">
      <xdr:nvSpPr>
        <xdr:cNvPr id="155" name="AutoShape 46">
          <a:extLst>
            <a:ext uri="{FF2B5EF4-FFF2-40B4-BE49-F238E27FC236}">
              <a16:creationId xmlns:a16="http://schemas.microsoft.com/office/drawing/2014/main" id="{4418B2A7-5110-4F37-873F-36D731873B08}"/>
            </a:ext>
          </a:extLst>
        </xdr:cNvPr>
        <xdr:cNvSpPr>
          <a:spLocks noChangeArrowheads="1"/>
        </xdr:cNvSpPr>
      </xdr:nvSpPr>
      <xdr:spPr bwMode="auto">
        <a:xfrm>
          <a:off x="82042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52</xdr:row>
      <xdr:rowOff>57150</xdr:rowOff>
    </xdr:from>
    <xdr:to>
      <xdr:col>20</xdr:col>
      <xdr:colOff>0</xdr:colOff>
      <xdr:row>53</xdr:row>
      <xdr:rowOff>190500</xdr:rowOff>
    </xdr:to>
    <xdr:sp macro="" textlink="">
      <xdr:nvSpPr>
        <xdr:cNvPr id="156" name="AutoShape 46">
          <a:extLst>
            <a:ext uri="{FF2B5EF4-FFF2-40B4-BE49-F238E27FC236}">
              <a16:creationId xmlns:a16="http://schemas.microsoft.com/office/drawing/2014/main" id="{3FC62E68-7CCF-46FD-908F-31FACB2037E7}"/>
            </a:ext>
          </a:extLst>
        </xdr:cNvPr>
        <xdr:cNvSpPr>
          <a:spLocks noChangeArrowheads="1"/>
        </xdr:cNvSpPr>
      </xdr:nvSpPr>
      <xdr:spPr bwMode="auto">
        <a:xfrm>
          <a:off x="91313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52</xdr:row>
      <xdr:rowOff>57150</xdr:rowOff>
    </xdr:from>
    <xdr:to>
      <xdr:col>22</xdr:col>
      <xdr:colOff>0</xdr:colOff>
      <xdr:row>53</xdr:row>
      <xdr:rowOff>190500</xdr:rowOff>
    </xdr:to>
    <xdr:sp macro="" textlink="">
      <xdr:nvSpPr>
        <xdr:cNvPr id="157" name="AutoShape 46">
          <a:extLst>
            <a:ext uri="{FF2B5EF4-FFF2-40B4-BE49-F238E27FC236}">
              <a16:creationId xmlns:a16="http://schemas.microsoft.com/office/drawing/2014/main" id="{5A3640AE-BEDF-47B7-A6DB-8DE378D2ED3A}"/>
            </a:ext>
          </a:extLst>
        </xdr:cNvPr>
        <xdr:cNvSpPr>
          <a:spLocks noChangeArrowheads="1"/>
        </xdr:cNvSpPr>
      </xdr:nvSpPr>
      <xdr:spPr bwMode="auto">
        <a:xfrm>
          <a:off x="100584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52</xdr:row>
      <xdr:rowOff>57150</xdr:rowOff>
    </xdr:from>
    <xdr:to>
      <xdr:col>24</xdr:col>
      <xdr:colOff>0</xdr:colOff>
      <xdr:row>53</xdr:row>
      <xdr:rowOff>190500</xdr:rowOff>
    </xdr:to>
    <xdr:sp macro="" textlink="">
      <xdr:nvSpPr>
        <xdr:cNvPr id="158" name="AutoShape 46">
          <a:extLst>
            <a:ext uri="{FF2B5EF4-FFF2-40B4-BE49-F238E27FC236}">
              <a16:creationId xmlns:a16="http://schemas.microsoft.com/office/drawing/2014/main" id="{8B3B3D9E-6FA2-4FE5-AA3C-4BAEB1F588C8}"/>
            </a:ext>
          </a:extLst>
        </xdr:cNvPr>
        <xdr:cNvSpPr>
          <a:spLocks noChangeArrowheads="1"/>
        </xdr:cNvSpPr>
      </xdr:nvSpPr>
      <xdr:spPr bwMode="auto">
        <a:xfrm>
          <a:off x="109855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52</xdr:row>
      <xdr:rowOff>57150</xdr:rowOff>
    </xdr:from>
    <xdr:to>
      <xdr:col>26</xdr:col>
      <xdr:colOff>0</xdr:colOff>
      <xdr:row>53</xdr:row>
      <xdr:rowOff>190500</xdr:rowOff>
    </xdr:to>
    <xdr:sp macro="" textlink="">
      <xdr:nvSpPr>
        <xdr:cNvPr id="159" name="AutoShape 46">
          <a:extLst>
            <a:ext uri="{FF2B5EF4-FFF2-40B4-BE49-F238E27FC236}">
              <a16:creationId xmlns:a16="http://schemas.microsoft.com/office/drawing/2014/main" id="{1A995A3D-9CEF-45E3-A3C7-4AB832101CF6}"/>
            </a:ext>
          </a:extLst>
        </xdr:cNvPr>
        <xdr:cNvSpPr>
          <a:spLocks noChangeArrowheads="1"/>
        </xdr:cNvSpPr>
      </xdr:nvSpPr>
      <xdr:spPr bwMode="auto">
        <a:xfrm>
          <a:off x="11912600" y="13563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52</xdr:row>
      <xdr:rowOff>57150</xdr:rowOff>
    </xdr:from>
    <xdr:to>
      <xdr:col>28</xdr:col>
      <xdr:colOff>0</xdr:colOff>
      <xdr:row>53</xdr:row>
      <xdr:rowOff>190500</xdr:rowOff>
    </xdr:to>
    <xdr:sp macro="" textlink="">
      <xdr:nvSpPr>
        <xdr:cNvPr id="160" name="AutoShape 46">
          <a:extLst>
            <a:ext uri="{FF2B5EF4-FFF2-40B4-BE49-F238E27FC236}">
              <a16:creationId xmlns:a16="http://schemas.microsoft.com/office/drawing/2014/main" id="{7BDFABBC-1D6A-4AF8-B27B-4D9CC01CCC09}"/>
            </a:ext>
          </a:extLst>
        </xdr:cNvPr>
        <xdr:cNvSpPr>
          <a:spLocks noChangeArrowheads="1"/>
        </xdr:cNvSpPr>
      </xdr:nvSpPr>
      <xdr:spPr bwMode="auto">
        <a:xfrm>
          <a:off x="1289685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52</xdr:row>
      <xdr:rowOff>57150</xdr:rowOff>
    </xdr:from>
    <xdr:to>
      <xdr:col>18</xdr:col>
      <xdr:colOff>0</xdr:colOff>
      <xdr:row>53</xdr:row>
      <xdr:rowOff>190500</xdr:rowOff>
    </xdr:to>
    <xdr:sp macro="" textlink="">
      <xdr:nvSpPr>
        <xdr:cNvPr id="161" name="AutoShape 46">
          <a:extLst>
            <a:ext uri="{FF2B5EF4-FFF2-40B4-BE49-F238E27FC236}">
              <a16:creationId xmlns:a16="http://schemas.microsoft.com/office/drawing/2014/main" id="{766B09AF-D564-467C-99F8-A5ED20A61D91}"/>
            </a:ext>
          </a:extLst>
        </xdr:cNvPr>
        <xdr:cNvSpPr>
          <a:spLocks noChangeArrowheads="1"/>
        </xdr:cNvSpPr>
      </xdr:nvSpPr>
      <xdr:spPr bwMode="auto">
        <a:xfrm>
          <a:off x="82042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52</xdr:row>
      <xdr:rowOff>57150</xdr:rowOff>
    </xdr:from>
    <xdr:to>
      <xdr:col>20</xdr:col>
      <xdr:colOff>0</xdr:colOff>
      <xdr:row>53</xdr:row>
      <xdr:rowOff>190500</xdr:rowOff>
    </xdr:to>
    <xdr:sp macro="" textlink="">
      <xdr:nvSpPr>
        <xdr:cNvPr id="162" name="AutoShape 46">
          <a:extLst>
            <a:ext uri="{FF2B5EF4-FFF2-40B4-BE49-F238E27FC236}">
              <a16:creationId xmlns:a16="http://schemas.microsoft.com/office/drawing/2014/main" id="{4AD2492D-394B-44C6-B8CC-34C225437739}"/>
            </a:ext>
          </a:extLst>
        </xdr:cNvPr>
        <xdr:cNvSpPr>
          <a:spLocks noChangeArrowheads="1"/>
        </xdr:cNvSpPr>
      </xdr:nvSpPr>
      <xdr:spPr bwMode="auto">
        <a:xfrm>
          <a:off x="91313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52</xdr:row>
      <xdr:rowOff>57150</xdr:rowOff>
    </xdr:from>
    <xdr:to>
      <xdr:col>24</xdr:col>
      <xdr:colOff>0</xdr:colOff>
      <xdr:row>53</xdr:row>
      <xdr:rowOff>190500</xdr:rowOff>
    </xdr:to>
    <xdr:sp macro="" textlink="">
      <xdr:nvSpPr>
        <xdr:cNvPr id="163" name="AutoShape 46">
          <a:extLst>
            <a:ext uri="{FF2B5EF4-FFF2-40B4-BE49-F238E27FC236}">
              <a16:creationId xmlns:a16="http://schemas.microsoft.com/office/drawing/2014/main" id="{FBC320AE-B318-479B-82A0-220360371016}"/>
            </a:ext>
          </a:extLst>
        </xdr:cNvPr>
        <xdr:cNvSpPr>
          <a:spLocks noChangeArrowheads="1"/>
        </xdr:cNvSpPr>
      </xdr:nvSpPr>
      <xdr:spPr bwMode="auto">
        <a:xfrm>
          <a:off x="10985500" y="13563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52</xdr:row>
      <xdr:rowOff>57150</xdr:rowOff>
    </xdr:from>
    <xdr:to>
      <xdr:col>28</xdr:col>
      <xdr:colOff>0</xdr:colOff>
      <xdr:row>53</xdr:row>
      <xdr:rowOff>190500</xdr:rowOff>
    </xdr:to>
    <xdr:sp macro="" textlink="">
      <xdr:nvSpPr>
        <xdr:cNvPr id="164" name="AutoShape 46">
          <a:extLst>
            <a:ext uri="{FF2B5EF4-FFF2-40B4-BE49-F238E27FC236}">
              <a16:creationId xmlns:a16="http://schemas.microsoft.com/office/drawing/2014/main" id="{B206059C-329F-4EBD-91D8-C15730B3E41A}"/>
            </a:ext>
          </a:extLst>
        </xdr:cNvPr>
        <xdr:cNvSpPr>
          <a:spLocks noChangeArrowheads="1"/>
        </xdr:cNvSpPr>
      </xdr:nvSpPr>
      <xdr:spPr bwMode="auto">
        <a:xfrm>
          <a:off x="1289685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52</xdr:row>
      <xdr:rowOff>57150</xdr:rowOff>
    </xdr:from>
    <xdr:to>
      <xdr:col>16</xdr:col>
      <xdr:colOff>0</xdr:colOff>
      <xdr:row>53</xdr:row>
      <xdr:rowOff>190500</xdr:rowOff>
    </xdr:to>
    <xdr:sp macro="" textlink="">
      <xdr:nvSpPr>
        <xdr:cNvPr id="165" name="AutoShape 46">
          <a:extLst>
            <a:ext uri="{FF2B5EF4-FFF2-40B4-BE49-F238E27FC236}">
              <a16:creationId xmlns:a16="http://schemas.microsoft.com/office/drawing/2014/main" id="{463268E5-8F71-4742-8B0A-050E6992D7D2}"/>
            </a:ext>
          </a:extLst>
        </xdr:cNvPr>
        <xdr:cNvSpPr>
          <a:spLocks noChangeArrowheads="1"/>
        </xdr:cNvSpPr>
      </xdr:nvSpPr>
      <xdr:spPr bwMode="auto">
        <a:xfrm>
          <a:off x="72771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52</xdr:row>
      <xdr:rowOff>57150</xdr:rowOff>
    </xdr:from>
    <xdr:to>
      <xdr:col>18</xdr:col>
      <xdr:colOff>0</xdr:colOff>
      <xdr:row>53</xdr:row>
      <xdr:rowOff>190500</xdr:rowOff>
    </xdr:to>
    <xdr:sp macro="" textlink="">
      <xdr:nvSpPr>
        <xdr:cNvPr id="166" name="AutoShape 46">
          <a:extLst>
            <a:ext uri="{FF2B5EF4-FFF2-40B4-BE49-F238E27FC236}">
              <a16:creationId xmlns:a16="http://schemas.microsoft.com/office/drawing/2014/main" id="{C1C43ED7-2B42-4334-B79A-70A1A9BCDB01}"/>
            </a:ext>
          </a:extLst>
        </xdr:cNvPr>
        <xdr:cNvSpPr>
          <a:spLocks noChangeArrowheads="1"/>
        </xdr:cNvSpPr>
      </xdr:nvSpPr>
      <xdr:spPr bwMode="auto">
        <a:xfrm>
          <a:off x="82042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52</xdr:row>
      <xdr:rowOff>57150</xdr:rowOff>
    </xdr:from>
    <xdr:to>
      <xdr:col>20</xdr:col>
      <xdr:colOff>0</xdr:colOff>
      <xdr:row>53</xdr:row>
      <xdr:rowOff>190500</xdr:rowOff>
    </xdr:to>
    <xdr:sp macro="" textlink="">
      <xdr:nvSpPr>
        <xdr:cNvPr id="167" name="AutoShape 46">
          <a:extLst>
            <a:ext uri="{FF2B5EF4-FFF2-40B4-BE49-F238E27FC236}">
              <a16:creationId xmlns:a16="http://schemas.microsoft.com/office/drawing/2014/main" id="{C58BE2CA-E06C-49BD-821D-D60984C9699E}"/>
            </a:ext>
          </a:extLst>
        </xdr:cNvPr>
        <xdr:cNvSpPr>
          <a:spLocks noChangeArrowheads="1"/>
        </xdr:cNvSpPr>
      </xdr:nvSpPr>
      <xdr:spPr bwMode="auto">
        <a:xfrm>
          <a:off x="91313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52</xdr:row>
      <xdr:rowOff>57150</xdr:rowOff>
    </xdr:from>
    <xdr:to>
      <xdr:col>24</xdr:col>
      <xdr:colOff>0</xdr:colOff>
      <xdr:row>53</xdr:row>
      <xdr:rowOff>190500</xdr:rowOff>
    </xdr:to>
    <xdr:sp macro="" textlink="">
      <xdr:nvSpPr>
        <xdr:cNvPr id="168" name="AutoShape 46">
          <a:extLst>
            <a:ext uri="{FF2B5EF4-FFF2-40B4-BE49-F238E27FC236}">
              <a16:creationId xmlns:a16="http://schemas.microsoft.com/office/drawing/2014/main" id="{8B23443E-C961-4AF9-BA82-66CA6A3B1632}"/>
            </a:ext>
          </a:extLst>
        </xdr:cNvPr>
        <xdr:cNvSpPr>
          <a:spLocks noChangeArrowheads="1"/>
        </xdr:cNvSpPr>
      </xdr:nvSpPr>
      <xdr:spPr bwMode="auto">
        <a:xfrm>
          <a:off x="109855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60</xdr:row>
      <xdr:rowOff>57150</xdr:rowOff>
    </xdr:from>
    <xdr:to>
      <xdr:col>2</xdr:col>
      <xdr:colOff>0</xdr:colOff>
      <xdr:row>61</xdr:row>
      <xdr:rowOff>190500</xdr:rowOff>
    </xdr:to>
    <xdr:sp macro="" textlink="">
      <xdr:nvSpPr>
        <xdr:cNvPr id="169" name="AutoShape 46">
          <a:extLst>
            <a:ext uri="{FF2B5EF4-FFF2-40B4-BE49-F238E27FC236}">
              <a16:creationId xmlns:a16="http://schemas.microsoft.com/office/drawing/2014/main" id="{0501FD78-22D7-41F2-8DF0-4B423882BE20}"/>
            </a:ext>
          </a:extLst>
        </xdr:cNvPr>
        <xdr:cNvSpPr>
          <a:spLocks noChangeArrowheads="1"/>
        </xdr:cNvSpPr>
      </xdr:nvSpPr>
      <xdr:spPr bwMode="auto">
        <a:xfrm>
          <a:off x="6096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60</xdr:row>
      <xdr:rowOff>57150</xdr:rowOff>
    </xdr:from>
    <xdr:to>
      <xdr:col>4</xdr:col>
      <xdr:colOff>0</xdr:colOff>
      <xdr:row>61</xdr:row>
      <xdr:rowOff>190500</xdr:rowOff>
    </xdr:to>
    <xdr:sp macro="" textlink="">
      <xdr:nvSpPr>
        <xdr:cNvPr id="170" name="AutoShape 46">
          <a:extLst>
            <a:ext uri="{FF2B5EF4-FFF2-40B4-BE49-F238E27FC236}">
              <a16:creationId xmlns:a16="http://schemas.microsoft.com/office/drawing/2014/main" id="{7B722EC3-30CA-47CC-B26F-69359CA94433}"/>
            </a:ext>
          </a:extLst>
        </xdr:cNvPr>
        <xdr:cNvSpPr>
          <a:spLocks noChangeArrowheads="1"/>
        </xdr:cNvSpPr>
      </xdr:nvSpPr>
      <xdr:spPr bwMode="auto">
        <a:xfrm>
          <a:off x="15367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60</xdr:row>
      <xdr:rowOff>57150</xdr:rowOff>
    </xdr:from>
    <xdr:to>
      <xdr:col>6</xdr:col>
      <xdr:colOff>0</xdr:colOff>
      <xdr:row>61</xdr:row>
      <xdr:rowOff>190500</xdr:rowOff>
    </xdr:to>
    <xdr:sp macro="" textlink="">
      <xdr:nvSpPr>
        <xdr:cNvPr id="171" name="AutoShape 46">
          <a:extLst>
            <a:ext uri="{FF2B5EF4-FFF2-40B4-BE49-F238E27FC236}">
              <a16:creationId xmlns:a16="http://schemas.microsoft.com/office/drawing/2014/main" id="{F39E8B41-7096-4E4A-9A16-0DC75DC04294}"/>
            </a:ext>
          </a:extLst>
        </xdr:cNvPr>
        <xdr:cNvSpPr>
          <a:spLocks noChangeArrowheads="1"/>
        </xdr:cNvSpPr>
      </xdr:nvSpPr>
      <xdr:spPr bwMode="auto">
        <a:xfrm>
          <a:off x="2520950" y="155003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60</xdr:row>
      <xdr:rowOff>57150</xdr:rowOff>
    </xdr:from>
    <xdr:to>
      <xdr:col>8</xdr:col>
      <xdr:colOff>0</xdr:colOff>
      <xdr:row>61</xdr:row>
      <xdr:rowOff>190500</xdr:rowOff>
    </xdr:to>
    <xdr:sp macro="" textlink="">
      <xdr:nvSpPr>
        <xdr:cNvPr id="172" name="AutoShape 46">
          <a:extLst>
            <a:ext uri="{FF2B5EF4-FFF2-40B4-BE49-F238E27FC236}">
              <a16:creationId xmlns:a16="http://schemas.microsoft.com/office/drawing/2014/main" id="{EB8FBDEA-81D5-4C66-B701-FE3B86F05439}"/>
            </a:ext>
          </a:extLst>
        </xdr:cNvPr>
        <xdr:cNvSpPr>
          <a:spLocks noChangeArrowheads="1"/>
        </xdr:cNvSpPr>
      </xdr:nvSpPr>
      <xdr:spPr bwMode="auto">
        <a:xfrm>
          <a:off x="3498850" y="155003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60</xdr:row>
      <xdr:rowOff>57150</xdr:rowOff>
    </xdr:from>
    <xdr:to>
      <xdr:col>10</xdr:col>
      <xdr:colOff>0</xdr:colOff>
      <xdr:row>61</xdr:row>
      <xdr:rowOff>190500</xdr:rowOff>
    </xdr:to>
    <xdr:sp macro="" textlink="">
      <xdr:nvSpPr>
        <xdr:cNvPr id="173" name="AutoShape 46">
          <a:extLst>
            <a:ext uri="{FF2B5EF4-FFF2-40B4-BE49-F238E27FC236}">
              <a16:creationId xmlns:a16="http://schemas.microsoft.com/office/drawing/2014/main" id="{F9290167-8C4E-4DA8-92CE-4B2F40C4157A}"/>
            </a:ext>
          </a:extLst>
        </xdr:cNvPr>
        <xdr:cNvSpPr>
          <a:spLocks noChangeArrowheads="1"/>
        </xdr:cNvSpPr>
      </xdr:nvSpPr>
      <xdr:spPr bwMode="auto">
        <a:xfrm>
          <a:off x="44958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60</xdr:row>
      <xdr:rowOff>57150</xdr:rowOff>
    </xdr:from>
    <xdr:to>
      <xdr:col>12</xdr:col>
      <xdr:colOff>0</xdr:colOff>
      <xdr:row>61</xdr:row>
      <xdr:rowOff>190500</xdr:rowOff>
    </xdr:to>
    <xdr:sp macro="" textlink="">
      <xdr:nvSpPr>
        <xdr:cNvPr id="174" name="AutoShape 46">
          <a:extLst>
            <a:ext uri="{FF2B5EF4-FFF2-40B4-BE49-F238E27FC236}">
              <a16:creationId xmlns:a16="http://schemas.microsoft.com/office/drawing/2014/main" id="{382478B3-5BAE-47C2-9296-61F3D3043FBA}"/>
            </a:ext>
          </a:extLst>
        </xdr:cNvPr>
        <xdr:cNvSpPr>
          <a:spLocks noChangeArrowheads="1"/>
        </xdr:cNvSpPr>
      </xdr:nvSpPr>
      <xdr:spPr bwMode="auto">
        <a:xfrm>
          <a:off x="54229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60</xdr:row>
      <xdr:rowOff>57150</xdr:rowOff>
    </xdr:from>
    <xdr:to>
      <xdr:col>14</xdr:col>
      <xdr:colOff>0</xdr:colOff>
      <xdr:row>61</xdr:row>
      <xdr:rowOff>190500</xdr:rowOff>
    </xdr:to>
    <xdr:sp macro="" textlink="">
      <xdr:nvSpPr>
        <xdr:cNvPr id="175" name="AutoShape 46">
          <a:extLst>
            <a:ext uri="{FF2B5EF4-FFF2-40B4-BE49-F238E27FC236}">
              <a16:creationId xmlns:a16="http://schemas.microsoft.com/office/drawing/2014/main" id="{55C1C008-1A16-48C8-8EF0-8C558095E20E}"/>
            </a:ext>
          </a:extLst>
        </xdr:cNvPr>
        <xdr:cNvSpPr>
          <a:spLocks noChangeArrowheads="1"/>
        </xdr:cNvSpPr>
      </xdr:nvSpPr>
      <xdr:spPr bwMode="auto">
        <a:xfrm>
          <a:off x="63500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60</xdr:row>
      <xdr:rowOff>57150</xdr:rowOff>
    </xdr:from>
    <xdr:to>
      <xdr:col>16</xdr:col>
      <xdr:colOff>0</xdr:colOff>
      <xdr:row>61</xdr:row>
      <xdr:rowOff>190500</xdr:rowOff>
    </xdr:to>
    <xdr:sp macro="" textlink="">
      <xdr:nvSpPr>
        <xdr:cNvPr id="176" name="AutoShape 46">
          <a:extLst>
            <a:ext uri="{FF2B5EF4-FFF2-40B4-BE49-F238E27FC236}">
              <a16:creationId xmlns:a16="http://schemas.microsoft.com/office/drawing/2014/main" id="{61655C61-399A-485C-A2C0-024BA14CA8E0}"/>
            </a:ext>
          </a:extLst>
        </xdr:cNvPr>
        <xdr:cNvSpPr>
          <a:spLocks noChangeArrowheads="1"/>
        </xdr:cNvSpPr>
      </xdr:nvSpPr>
      <xdr:spPr bwMode="auto">
        <a:xfrm>
          <a:off x="72771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77" name="AutoShape 46">
          <a:extLst>
            <a:ext uri="{FF2B5EF4-FFF2-40B4-BE49-F238E27FC236}">
              <a16:creationId xmlns:a16="http://schemas.microsoft.com/office/drawing/2014/main" id="{BB627DF1-47B4-4353-BB2A-6EA9C539DF72}"/>
            </a:ext>
          </a:extLst>
        </xdr:cNvPr>
        <xdr:cNvSpPr>
          <a:spLocks noChangeArrowheads="1"/>
        </xdr:cNvSpPr>
      </xdr:nvSpPr>
      <xdr:spPr bwMode="auto">
        <a:xfrm>
          <a:off x="82042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78" name="AutoShape 46">
          <a:extLst>
            <a:ext uri="{FF2B5EF4-FFF2-40B4-BE49-F238E27FC236}">
              <a16:creationId xmlns:a16="http://schemas.microsoft.com/office/drawing/2014/main" id="{856D5D10-131F-456B-B16C-BC67C7274805}"/>
            </a:ext>
          </a:extLst>
        </xdr:cNvPr>
        <xdr:cNvSpPr>
          <a:spLocks noChangeArrowheads="1"/>
        </xdr:cNvSpPr>
      </xdr:nvSpPr>
      <xdr:spPr bwMode="auto">
        <a:xfrm>
          <a:off x="91313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79" name="AutoShape 46">
          <a:extLst>
            <a:ext uri="{FF2B5EF4-FFF2-40B4-BE49-F238E27FC236}">
              <a16:creationId xmlns:a16="http://schemas.microsoft.com/office/drawing/2014/main" id="{6AC52A96-120A-45E4-88EE-8218A89AD64C}"/>
            </a:ext>
          </a:extLst>
        </xdr:cNvPr>
        <xdr:cNvSpPr>
          <a:spLocks noChangeArrowheads="1"/>
        </xdr:cNvSpPr>
      </xdr:nvSpPr>
      <xdr:spPr bwMode="auto">
        <a:xfrm>
          <a:off x="100584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80" name="AutoShape 46">
          <a:extLst>
            <a:ext uri="{FF2B5EF4-FFF2-40B4-BE49-F238E27FC236}">
              <a16:creationId xmlns:a16="http://schemas.microsoft.com/office/drawing/2014/main" id="{EED50B58-6244-4317-AB31-A40E8C9D026A}"/>
            </a:ext>
          </a:extLst>
        </xdr:cNvPr>
        <xdr:cNvSpPr>
          <a:spLocks noChangeArrowheads="1"/>
        </xdr:cNvSpPr>
      </xdr:nvSpPr>
      <xdr:spPr bwMode="auto">
        <a:xfrm>
          <a:off x="109855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81" name="AutoShape 46">
          <a:extLst>
            <a:ext uri="{FF2B5EF4-FFF2-40B4-BE49-F238E27FC236}">
              <a16:creationId xmlns:a16="http://schemas.microsoft.com/office/drawing/2014/main" id="{5C9EF756-BB1A-4CAD-ACA9-C46D0F65C30A}"/>
            </a:ext>
          </a:extLst>
        </xdr:cNvPr>
        <xdr:cNvSpPr>
          <a:spLocks noChangeArrowheads="1"/>
        </xdr:cNvSpPr>
      </xdr:nvSpPr>
      <xdr:spPr bwMode="auto">
        <a:xfrm>
          <a:off x="11912600" y="15500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82" name="AutoShape 46">
          <a:extLst>
            <a:ext uri="{FF2B5EF4-FFF2-40B4-BE49-F238E27FC236}">
              <a16:creationId xmlns:a16="http://schemas.microsoft.com/office/drawing/2014/main" id="{74BE1E67-4760-4368-90F5-FCB11319B315}"/>
            </a:ext>
          </a:extLst>
        </xdr:cNvPr>
        <xdr:cNvSpPr>
          <a:spLocks noChangeArrowheads="1"/>
        </xdr:cNvSpPr>
      </xdr:nvSpPr>
      <xdr:spPr bwMode="auto">
        <a:xfrm>
          <a:off x="1289685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83" name="AutoShape 46">
          <a:extLst>
            <a:ext uri="{FF2B5EF4-FFF2-40B4-BE49-F238E27FC236}">
              <a16:creationId xmlns:a16="http://schemas.microsoft.com/office/drawing/2014/main" id="{CC3908ED-AF3C-4572-BD7D-D6C08D8E37F9}"/>
            </a:ext>
          </a:extLst>
        </xdr:cNvPr>
        <xdr:cNvSpPr>
          <a:spLocks noChangeArrowheads="1"/>
        </xdr:cNvSpPr>
      </xdr:nvSpPr>
      <xdr:spPr bwMode="auto">
        <a:xfrm>
          <a:off x="82042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84" name="AutoShape 46">
          <a:extLst>
            <a:ext uri="{FF2B5EF4-FFF2-40B4-BE49-F238E27FC236}">
              <a16:creationId xmlns:a16="http://schemas.microsoft.com/office/drawing/2014/main" id="{F39BEF33-A0BD-4632-9BAC-EB5F982A97F9}"/>
            </a:ext>
          </a:extLst>
        </xdr:cNvPr>
        <xdr:cNvSpPr>
          <a:spLocks noChangeArrowheads="1"/>
        </xdr:cNvSpPr>
      </xdr:nvSpPr>
      <xdr:spPr bwMode="auto">
        <a:xfrm>
          <a:off x="9131300" y="15500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85" name="AutoShape 46">
          <a:extLst>
            <a:ext uri="{FF2B5EF4-FFF2-40B4-BE49-F238E27FC236}">
              <a16:creationId xmlns:a16="http://schemas.microsoft.com/office/drawing/2014/main" id="{62D6057D-6C4D-48AD-B78D-C95009C91D02}"/>
            </a:ext>
          </a:extLst>
        </xdr:cNvPr>
        <xdr:cNvSpPr>
          <a:spLocks noChangeArrowheads="1"/>
        </xdr:cNvSpPr>
      </xdr:nvSpPr>
      <xdr:spPr bwMode="auto">
        <a:xfrm>
          <a:off x="10058400" y="15500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86" name="AutoShape 46">
          <a:extLst>
            <a:ext uri="{FF2B5EF4-FFF2-40B4-BE49-F238E27FC236}">
              <a16:creationId xmlns:a16="http://schemas.microsoft.com/office/drawing/2014/main" id="{CE4E56E3-3865-4E01-BDF8-70BEBA8D3971}"/>
            </a:ext>
          </a:extLst>
        </xdr:cNvPr>
        <xdr:cNvSpPr>
          <a:spLocks noChangeArrowheads="1"/>
        </xdr:cNvSpPr>
      </xdr:nvSpPr>
      <xdr:spPr bwMode="auto">
        <a:xfrm>
          <a:off x="109855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87" name="AutoShape 46">
          <a:extLst>
            <a:ext uri="{FF2B5EF4-FFF2-40B4-BE49-F238E27FC236}">
              <a16:creationId xmlns:a16="http://schemas.microsoft.com/office/drawing/2014/main" id="{B68BA049-4633-4702-912F-483DD79C80B8}"/>
            </a:ext>
          </a:extLst>
        </xdr:cNvPr>
        <xdr:cNvSpPr>
          <a:spLocks noChangeArrowheads="1"/>
        </xdr:cNvSpPr>
      </xdr:nvSpPr>
      <xdr:spPr bwMode="auto">
        <a:xfrm>
          <a:off x="119126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88" name="AutoShape 46">
          <a:extLst>
            <a:ext uri="{FF2B5EF4-FFF2-40B4-BE49-F238E27FC236}">
              <a16:creationId xmlns:a16="http://schemas.microsoft.com/office/drawing/2014/main" id="{FDBF329F-02C1-4BA0-A447-799138C5CDDF}"/>
            </a:ext>
          </a:extLst>
        </xdr:cNvPr>
        <xdr:cNvSpPr>
          <a:spLocks noChangeArrowheads="1"/>
        </xdr:cNvSpPr>
      </xdr:nvSpPr>
      <xdr:spPr bwMode="auto">
        <a:xfrm>
          <a:off x="1289685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60</xdr:row>
      <xdr:rowOff>57150</xdr:rowOff>
    </xdr:from>
    <xdr:to>
      <xdr:col>16</xdr:col>
      <xdr:colOff>0</xdr:colOff>
      <xdr:row>61</xdr:row>
      <xdr:rowOff>190500</xdr:rowOff>
    </xdr:to>
    <xdr:sp macro="" textlink="">
      <xdr:nvSpPr>
        <xdr:cNvPr id="189" name="AutoShape 46">
          <a:extLst>
            <a:ext uri="{FF2B5EF4-FFF2-40B4-BE49-F238E27FC236}">
              <a16:creationId xmlns:a16="http://schemas.microsoft.com/office/drawing/2014/main" id="{4BA2338E-8D0B-4FAB-9AF8-25F51F37893F}"/>
            </a:ext>
          </a:extLst>
        </xdr:cNvPr>
        <xdr:cNvSpPr>
          <a:spLocks noChangeArrowheads="1"/>
        </xdr:cNvSpPr>
      </xdr:nvSpPr>
      <xdr:spPr bwMode="auto">
        <a:xfrm>
          <a:off x="72771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90" name="AutoShape 46">
          <a:extLst>
            <a:ext uri="{FF2B5EF4-FFF2-40B4-BE49-F238E27FC236}">
              <a16:creationId xmlns:a16="http://schemas.microsoft.com/office/drawing/2014/main" id="{AF383DD1-9631-44E7-8261-681E1B5574B7}"/>
            </a:ext>
          </a:extLst>
        </xdr:cNvPr>
        <xdr:cNvSpPr>
          <a:spLocks noChangeArrowheads="1"/>
        </xdr:cNvSpPr>
      </xdr:nvSpPr>
      <xdr:spPr bwMode="auto">
        <a:xfrm>
          <a:off x="82042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91" name="AutoShape 46">
          <a:extLst>
            <a:ext uri="{FF2B5EF4-FFF2-40B4-BE49-F238E27FC236}">
              <a16:creationId xmlns:a16="http://schemas.microsoft.com/office/drawing/2014/main" id="{D0CAACC8-8163-4902-A5BD-81180D272DE3}"/>
            </a:ext>
          </a:extLst>
        </xdr:cNvPr>
        <xdr:cNvSpPr>
          <a:spLocks noChangeArrowheads="1"/>
        </xdr:cNvSpPr>
      </xdr:nvSpPr>
      <xdr:spPr bwMode="auto">
        <a:xfrm>
          <a:off x="91313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92" name="AutoShape 46">
          <a:extLst>
            <a:ext uri="{FF2B5EF4-FFF2-40B4-BE49-F238E27FC236}">
              <a16:creationId xmlns:a16="http://schemas.microsoft.com/office/drawing/2014/main" id="{FE7161ED-61D0-40E2-802C-B69CA796A243}"/>
            </a:ext>
          </a:extLst>
        </xdr:cNvPr>
        <xdr:cNvSpPr>
          <a:spLocks noChangeArrowheads="1"/>
        </xdr:cNvSpPr>
      </xdr:nvSpPr>
      <xdr:spPr bwMode="auto">
        <a:xfrm>
          <a:off x="100584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93" name="AutoShape 46">
          <a:extLst>
            <a:ext uri="{FF2B5EF4-FFF2-40B4-BE49-F238E27FC236}">
              <a16:creationId xmlns:a16="http://schemas.microsoft.com/office/drawing/2014/main" id="{8AD7AFAC-4BEE-4C7A-963D-3080EF4D9B64}"/>
            </a:ext>
          </a:extLst>
        </xdr:cNvPr>
        <xdr:cNvSpPr>
          <a:spLocks noChangeArrowheads="1"/>
        </xdr:cNvSpPr>
      </xdr:nvSpPr>
      <xdr:spPr bwMode="auto">
        <a:xfrm>
          <a:off x="109855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94" name="AutoShape 46">
          <a:extLst>
            <a:ext uri="{FF2B5EF4-FFF2-40B4-BE49-F238E27FC236}">
              <a16:creationId xmlns:a16="http://schemas.microsoft.com/office/drawing/2014/main" id="{C849A6F8-58B7-4D26-BD05-FE85B325FD87}"/>
            </a:ext>
          </a:extLst>
        </xdr:cNvPr>
        <xdr:cNvSpPr>
          <a:spLocks noChangeArrowheads="1"/>
        </xdr:cNvSpPr>
      </xdr:nvSpPr>
      <xdr:spPr bwMode="auto">
        <a:xfrm>
          <a:off x="119126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95" name="AutoShape 46">
          <a:extLst>
            <a:ext uri="{FF2B5EF4-FFF2-40B4-BE49-F238E27FC236}">
              <a16:creationId xmlns:a16="http://schemas.microsoft.com/office/drawing/2014/main" id="{07D20E9F-EFB2-4FDB-90F5-4E4EC671B751}"/>
            </a:ext>
          </a:extLst>
        </xdr:cNvPr>
        <xdr:cNvSpPr>
          <a:spLocks noChangeArrowheads="1"/>
        </xdr:cNvSpPr>
      </xdr:nvSpPr>
      <xdr:spPr bwMode="auto">
        <a:xfrm>
          <a:off x="1289685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68</xdr:row>
      <xdr:rowOff>57150</xdr:rowOff>
    </xdr:from>
    <xdr:to>
      <xdr:col>2</xdr:col>
      <xdr:colOff>0</xdr:colOff>
      <xdr:row>69</xdr:row>
      <xdr:rowOff>190500</xdr:rowOff>
    </xdr:to>
    <xdr:sp macro="" textlink="">
      <xdr:nvSpPr>
        <xdr:cNvPr id="196" name="AutoShape 46">
          <a:extLst>
            <a:ext uri="{FF2B5EF4-FFF2-40B4-BE49-F238E27FC236}">
              <a16:creationId xmlns:a16="http://schemas.microsoft.com/office/drawing/2014/main" id="{1EC556A1-D93B-443C-96B9-E1A0D3F61E05}"/>
            </a:ext>
          </a:extLst>
        </xdr:cNvPr>
        <xdr:cNvSpPr>
          <a:spLocks noChangeArrowheads="1"/>
        </xdr:cNvSpPr>
      </xdr:nvSpPr>
      <xdr:spPr bwMode="auto">
        <a:xfrm>
          <a:off x="6096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68</xdr:row>
      <xdr:rowOff>57150</xdr:rowOff>
    </xdr:from>
    <xdr:to>
      <xdr:col>4</xdr:col>
      <xdr:colOff>0</xdr:colOff>
      <xdr:row>69</xdr:row>
      <xdr:rowOff>190500</xdr:rowOff>
    </xdr:to>
    <xdr:sp macro="" textlink="">
      <xdr:nvSpPr>
        <xdr:cNvPr id="197" name="AutoShape 46">
          <a:extLst>
            <a:ext uri="{FF2B5EF4-FFF2-40B4-BE49-F238E27FC236}">
              <a16:creationId xmlns:a16="http://schemas.microsoft.com/office/drawing/2014/main" id="{B65C8591-6C3E-4DD1-9932-55A1A630555F}"/>
            </a:ext>
          </a:extLst>
        </xdr:cNvPr>
        <xdr:cNvSpPr>
          <a:spLocks noChangeArrowheads="1"/>
        </xdr:cNvSpPr>
      </xdr:nvSpPr>
      <xdr:spPr bwMode="auto">
        <a:xfrm>
          <a:off x="15367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68</xdr:row>
      <xdr:rowOff>57150</xdr:rowOff>
    </xdr:from>
    <xdr:to>
      <xdr:col>6</xdr:col>
      <xdr:colOff>0</xdr:colOff>
      <xdr:row>69</xdr:row>
      <xdr:rowOff>190500</xdr:rowOff>
    </xdr:to>
    <xdr:sp macro="" textlink="">
      <xdr:nvSpPr>
        <xdr:cNvPr id="198" name="AutoShape 46">
          <a:extLst>
            <a:ext uri="{FF2B5EF4-FFF2-40B4-BE49-F238E27FC236}">
              <a16:creationId xmlns:a16="http://schemas.microsoft.com/office/drawing/2014/main" id="{52CEFDEF-70CB-4B09-B7BE-FCEF066DC170}"/>
            </a:ext>
          </a:extLst>
        </xdr:cNvPr>
        <xdr:cNvSpPr>
          <a:spLocks noChangeArrowheads="1"/>
        </xdr:cNvSpPr>
      </xdr:nvSpPr>
      <xdr:spPr bwMode="auto">
        <a:xfrm>
          <a:off x="2520950" y="174244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68</xdr:row>
      <xdr:rowOff>57150</xdr:rowOff>
    </xdr:from>
    <xdr:to>
      <xdr:col>8</xdr:col>
      <xdr:colOff>0</xdr:colOff>
      <xdr:row>69</xdr:row>
      <xdr:rowOff>190500</xdr:rowOff>
    </xdr:to>
    <xdr:sp macro="" textlink="">
      <xdr:nvSpPr>
        <xdr:cNvPr id="199" name="AutoShape 46">
          <a:extLst>
            <a:ext uri="{FF2B5EF4-FFF2-40B4-BE49-F238E27FC236}">
              <a16:creationId xmlns:a16="http://schemas.microsoft.com/office/drawing/2014/main" id="{4881DF92-651A-45AF-A4E4-26272CB5FBDF}"/>
            </a:ext>
          </a:extLst>
        </xdr:cNvPr>
        <xdr:cNvSpPr>
          <a:spLocks noChangeArrowheads="1"/>
        </xdr:cNvSpPr>
      </xdr:nvSpPr>
      <xdr:spPr bwMode="auto">
        <a:xfrm>
          <a:off x="3498850" y="174244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68</xdr:row>
      <xdr:rowOff>57150</xdr:rowOff>
    </xdr:from>
    <xdr:to>
      <xdr:col>10</xdr:col>
      <xdr:colOff>0</xdr:colOff>
      <xdr:row>69</xdr:row>
      <xdr:rowOff>190500</xdr:rowOff>
    </xdr:to>
    <xdr:sp macro="" textlink="">
      <xdr:nvSpPr>
        <xdr:cNvPr id="200" name="AutoShape 46">
          <a:extLst>
            <a:ext uri="{FF2B5EF4-FFF2-40B4-BE49-F238E27FC236}">
              <a16:creationId xmlns:a16="http://schemas.microsoft.com/office/drawing/2014/main" id="{7D60362A-8781-4049-ACD4-80207BBE0224}"/>
            </a:ext>
          </a:extLst>
        </xdr:cNvPr>
        <xdr:cNvSpPr>
          <a:spLocks noChangeArrowheads="1"/>
        </xdr:cNvSpPr>
      </xdr:nvSpPr>
      <xdr:spPr bwMode="auto">
        <a:xfrm>
          <a:off x="44958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68</xdr:row>
      <xdr:rowOff>57150</xdr:rowOff>
    </xdr:from>
    <xdr:to>
      <xdr:col>12</xdr:col>
      <xdr:colOff>0</xdr:colOff>
      <xdr:row>69</xdr:row>
      <xdr:rowOff>190500</xdr:rowOff>
    </xdr:to>
    <xdr:sp macro="" textlink="">
      <xdr:nvSpPr>
        <xdr:cNvPr id="201" name="AutoShape 46">
          <a:extLst>
            <a:ext uri="{FF2B5EF4-FFF2-40B4-BE49-F238E27FC236}">
              <a16:creationId xmlns:a16="http://schemas.microsoft.com/office/drawing/2014/main" id="{4C00984C-3BC0-49FC-94C8-445596CB0B57}"/>
            </a:ext>
          </a:extLst>
        </xdr:cNvPr>
        <xdr:cNvSpPr>
          <a:spLocks noChangeArrowheads="1"/>
        </xdr:cNvSpPr>
      </xdr:nvSpPr>
      <xdr:spPr bwMode="auto">
        <a:xfrm>
          <a:off x="54229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68</xdr:row>
      <xdr:rowOff>57150</xdr:rowOff>
    </xdr:from>
    <xdr:to>
      <xdr:col>14</xdr:col>
      <xdr:colOff>0</xdr:colOff>
      <xdr:row>69</xdr:row>
      <xdr:rowOff>190500</xdr:rowOff>
    </xdr:to>
    <xdr:sp macro="" textlink="">
      <xdr:nvSpPr>
        <xdr:cNvPr id="202" name="AutoShape 46">
          <a:extLst>
            <a:ext uri="{FF2B5EF4-FFF2-40B4-BE49-F238E27FC236}">
              <a16:creationId xmlns:a16="http://schemas.microsoft.com/office/drawing/2014/main" id="{EAA49ABE-C83F-4A5F-9999-2070E34F31CF}"/>
            </a:ext>
          </a:extLst>
        </xdr:cNvPr>
        <xdr:cNvSpPr>
          <a:spLocks noChangeArrowheads="1"/>
        </xdr:cNvSpPr>
      </xdr:nvSpPr>
      <xdr:spPr bwMode="auto">
        <a:xfrm>
          <a:off x="63500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68</xdr:row>
      <xdr:rowOff>57150</xdr:rowOff>
    </xdr:from>
    <xdr:to>
      <xdr:col>16</xdr:col>
      <xdr:colOff>0</xdr:colOff>
      <xdr:row>69</xdr:row>
      <xdr:rowOff>190500</xdr:rowOff>
    </xdr:to>
    <xdr:sp macro="" textlink="">
      <xdr:nvSpPr>
        <xdr:cNvPr id="203" name="AutoShape 46">
          <a:extLst>
            <a:ext uri="{FF2B5EF4-FFF2-40B4-BE49-F238E27FC236}">
              <a16:creationId xmlns:a16="http://schemas.microsoft.com/office/drawing/2014/main" id="{1FABCC05-EBAE-430F-9D45-93C3709259AB}"/>
            </a:ext>
          </a:extLst>
        </xdr:cNvPr>
        <xdr:cNvSpPr>
          <a:spLocks noChangeArrowheads="1"/>
        </xdr:cNvSpPr>
      </xdr:nvSpPr>
      <xdr:spPr bwMode="auto">
        <a:xfrm>
          <a:off x="7277100" y="17424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04" name="AutoShape 46">
          <a:extLst>
            <a:ext uri="{FF2B5EF4-FFF2-40B4-BE49-F238E27FC236}">
              <a16:creationId xmlns:a16="http://schemas.microsoft.com/office/drawing/2014/main" id="{63E33836-0109-41B2-BD82-1096C7A00B5D}"/>
            </a:ext>
          </a:extLst>
        </xdr:cNvPr>
        <xdr:cNvSpPr>
          <a:spLocks noChangeArrowheads="1"/>
        </xdr:cNvSpPr>
      </xdr:nvSpPr>
      <xdr:spPr bwMode="auto">
        <a:xfrm>
          <a:off x="82042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68</xdr:row>
      <xdr:rowOff>57150</xdr:rowOff>
    </xdr:from>
    <xdr:to>
      <xdr:col>20</xdr:col>
      <xdr:colOff>0</xdr:colOff>
      <xdr:row>69</xdr:row>
      <xdr:rowOff>190500</xdr:rowOff>
    </xdr:to>
    <xdr:sp macro="" textlink="">
      <xdr:nvSpPr>
        <xdr:cNvPr id="205" name="AutoShape 46">
          <a:extLst>
            <a:ext uri="{FF2B5EF4-FFF2-40B4-BE49-F238E27FC236}">
              <a16:creationId xmlns:a16="http://schemas.microsoft.com/office/drawing/2014/main" id="{4425B2C3-44D3-487A-BD19-66ECEB905692}"/>
            </a:ext>
          </a:extLst>
        </xdr:cNvPr>
        <xdr:cNvSpPr>
          <a:spLocks noChangeArrowheads="1"/>
        </xdr:cNvSpPr>
      </xdr:nvSpPr>
      <xdr:spPr bwMode="auto">
        <a:xfrm>
          <a:off x="91313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06" name="AutoShape 46">
          <a:extLst>
            <a:ext uri="{FF2B5EF4-FFF2-40B4-BE49-F238E27FC236}">
              <a16:creationId xmlns:a16="http://schemas.microsoft.com/office/drawing/2014/main" id="{F11996BC-81FE-4B21-A5EB-CD68B614D6B3}"/>
            </a:ext>
          </a:extLst>
        </xdr:cNvPr>
        <xdr:cNvSpPr>
          <a:spLocks noChangeArrowheads="1"/>
        </xdr:cNvSpPr>
      </xdr:nvSpPr>
      <xdr:spPr bwMode="auto">
        <a:xfrm>
          <a:off x="100584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07" name="AutoShape 46">
          <a:extLst>
            <a:ext uri="{FF2B5EF4-FFF2-40B4-BE49-F238E27FC236}">
              <a16:creationId xmlns:a16="http://schemas.microsoft.com/office/drawing/2014/main" id="{6FA3B97E-2C15-401F-B4EB-62A55F6DBF1A}"/>
            </a:ext>
          </a:extLst>
        </xdr:cNvPr>
        <xdr:cNvSpPr>
          <a:spLocks noChangeArrowheads="1"/>
        </xdr:cNvSpPr>
      </xdr:nvSpPr>
      <xdr:spPr bwMode="auto">
        <a:xfrm>
          <a:off x="109855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08" name="AutoShape 46">
          <a:extLst>
            <a:ext uri="{FF2B5EF4-FFF2-40B4-BE49-F238E27FC236}">
              <a16:creationId xmlns:a16="http://schemas.microsoft.com/office/drawing/2014/main" id="{26841B8F-492A-420A-8E6C-E7C9FF0EE5F6}"/>
            </a:ext>
          </a:extLst>
        </xdr:cNvPr>
        <xdr:cNvSpPr>
          <a:spLocks noChangeArrowheads="1"/>
        </xdr:cNvSpPr>
      </xdr:nvSpPr>
      <xdr:spPr bwMode="auto">
        <a:xfrm>
          <a:off x="11912600" y="17424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09" name="AutoShape 46">
          <a:extLst>
            <a:ext uri="{FF2B5EF4-FFF2-40B4-BE49-F238E27FC236}">
              <a16:creationId xmlns:a16="http://schemas.microsoft.com/office/drawing/2014/main" id="{E04FECF5-FE10-4263-9F86-61BD621E0AF6}"/>
            </a:ext>
          </a:extLst>
        </xdr:cNvPr>
        <xdr:cNvSpPr>
          <a:spLocks noChangeArrowheads="1"/>
        </xdr:cNvSpPr>
      </xdr:nvSpPr>
      <xdr:spPr bwMode="auto">
        <a:xfrm>
          <a:off x="1289685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10" name="AutoShape 46">
          <a:extLst>
            <a:ext uri="{FF2B5EF4-FFF2-40B4-BE49-F238E27FC236}">
              <a16:creationId xmlns:a16="http://schemas.microsoft.com/office/drawing/2014/main" id="{A2FFA5E4-0336-48CD-8B45-5B62ED43199C}"/>
            </a:ext>
          </a:extLst>
        </xdr:cNvPr>
        <xdr:cNvSpPr>
          <a:spLocks noChangeArrowheads="1"/>
        </xdr:cNvSpPr>
      </xdr:nvSpPr>
      <xdr:spPr bwMode="auto">
        <a:xfrm>
          <a:off x="82042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11" name="AutoShape 46">
          <a:extLst>
            <a:ext uri="{FF2B5EF4-FFF2-40B4-BE49-F238E27FC236}">
              <a16:creationId xmlns:a16="http://schemas.microsoft.com/office/drawing/2014/main" id="{48CC6C4F-7D55-40AD-9C17-BF59FF432C8E}"/>
            </a:ext>
          </a:extLst>
        </xdr:cNvPr>
        <xdr:cNvSpPr>
          <a:spLocks noChangeArrowheads="1"/>
        </xdr:cNvSpPr>
      </xdr:nvSpPr>
      <xdr:spPr bwMode="auto">
        <a:xfrm>
          <a:off x="100584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12" name="AutoShape 46">
          <a:extLst>
            <a:ext uri="{FF2B5EF4-FFF2-40B4-BE49-F238E27FC236}">
              <a16:creationId xmlns:a16="http://schemas.microsoft.com/office/drawing/2014/main" id="{091AEAD6-E0AF-463E-BCB8-FB67A41720C2}"/>
            </a:ext>
          </a:extLst>
        </xdr:cNvPr>
        <xdr:cNvSpPr>
          <a:spLocks noChangeArrowheads="1"/>
        </xdr:cNvSpPr>
      </xdr:nvSpPr>
      <xdr:spPr bwMode="auto">
        <a:xfrm>
          <a:off x="109855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13" name="AutoShape 46">
          <a:extLst>
            <a:ext uri="{FF2B5EF4-FFF2-40B4-BE49-F238E27FC236}">
              <a16:creationId xmlns:a16="http://schemas.microsoft.com/office/drawing/2014/main" id="{FD0F5355-C870-4D18-A576-2DEC0398AB1F}"/>
            </a:ext>
          </a:extLst>
        </xdr:cNvPr>
        <xdr:cNvSpPr>
          <a:spLocks noChangeArrowheads="1"/>
        </xdr:cNvSpPr>
      </xdr:nvSpPr>
      <xdr:spPr bwMode="auto">
        <a:xfrm>
          <a:off x="119126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14" name="AutoShape 46">
          <a:extLst>
            <a:ext uri="{FF2B5EF4-FFF2-40B4-BE49-F238E27FC236}">
              <a16:creationId xmlns:a16="http://schemas.microsoft.com/office/drawing/2014/main" id="{FBBA2A88-DDD1-4AA0-B4A6-A0DE7478C6D5}"/>
            </a:ext>
          </a:extLst>
        </xdr:cNvPr>
        <xdr:cNvSpPr>
          <a:spLocks noChangeArrowheads="1"/>
        </xdr:cNvSpPr>
      </xdr:nvSpPr>
      <xdr:spPr bwMode="auto">
        <a:xfrm>
          <a:off x="12896850" y="17424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68</xdr:row>
      <xdr:rowOff>57150</xdr:rowOff>
    </xdr:from>
    <xdr:to>
      <xdr:col>16</xdr:col>
      <xdr:colOff>0</xdr:colOff>
      <xdr:row>69</xdr:row>
      <xdr:rowOff>190500</xdr:rowOff>
    </xdr:to>
    <xdr:sp macro="" textlink="">
      <xdr:nvSpPr>
        <xdr:cNvPr id="215" name="AutoShape 46">
          <a:extLst>
            <a:ext uri="{FF2B5EF4-FFF2-40B4-BE49-F238E27FC236}">
              <a16:creationId xmlns:a16="http://schemas.microsoft.com/office/drawing/2014/main" id="{A0D7D340-AE0A-4FEB-9CDB-4D4510D61CCD}"/>
            </a:ext>
          </a:extLst>
        </xdr:cNvPr>
        <xdr:cNvSpPr>
          <a:spLocks noChangeArrowheads="1"/>
        </xdr:cNvSpPr>
      </xdr:nvSpPr>
      <xdr:spPr bwMode="auto">
        <a:xfrm>
          <a:off x="72771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16" name="AutoShape 46">
          <a:extLst>
            <a:ext uri="{FF2B5EF4-FFF2-40B4-BE49-F238E27FC236}">
              <a16:creationId xmlns:a16="http://schemas.microsoft.com/office/drawing/2014/main" id="{8E207853-04C1-4D5D-A65F-ED1490840C0A}"/>
            </a:ext>
          </a:extLst>
        </xdr:cNvPr>
        <xdr:cNvSpPr>
          <a:spLocks noChangeArrowheads="1"/>
        </xdr:cNvSpPr>
      </xdr:nvSpPr>
      <xdr:spPr bwMode="auto">
        <a:xfrm>
          <a:off x="82042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68</xdr:row>
      <xdr:rowOff>57150</xdr:rowOff>
    </xdr:from>
    <xdr:to>
      <xdr:col>20</xdr:col>
      <xdr:colOff>0</xdr:colOff>
      <xdr:row>69</xdr:row>
      <xdr:rowOff>190500</xdr:rowOff>
    </xdr:to>
    <xdr:sp macro="" textlink="">
      <xdr:nvSpPr>
        <xdr:cNvPr id="217" name="AutoShape 46">
          <a:extLst>
            <a:ext uri="{FF2B5EF4-FFF2-40B4-BE49-F238E27FC236}">
              <a16:creationId xmlns:a16="http://schemas.microsoft.com/office/drawing/2014/main" id="{46D795D8-6AAD-48D5-BD47-01E5D524AD5A}"/>
            </a:ext>
          </a:extLst>
        </xdr:cNvPr>
        <xdr:cNvSpPr>
          <a:spLocks noChangeArrowheads="1"/>
        </xdr:cNvSpPr>
      </xdr:nvSpPr>
      <xdr:spPr bwMode="auto">
        <a:xfrm>
          <a:off x="91313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18" name="AutoShape 46">
          <a:extLst>
            <a:ext uri="{FF2B5EF4-FFF2-40B4-BE49-F238E27FC236}">
              <a16:creationId xmlns:a16="http://schemas.microsoft.com/office/drawing/2014/main" id="{E15F81C4-86EE-437C-9414-29C859CB8895}"/>
            </a:ext>
          </a:extLst>
        </xdr:cNvPr>
        <xdr:cNvSpPr>
          <a:spLocks noChangeArrowheads="1"/>
        </xdr:cNvSpPr>
      </xdr:nvSpPr>
      <xdr:spPr bwMode="auto">
        <a:xfrm>
          <a:off x="100584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19" name="AutoShape 46">
          <a:extLst>
            <a:ext uri="{FF2B5EF4-FFF2-40B4-BE49-F238E27FC236}">
              <a16:creationId xmlns:a16="http://schemas.microsoft.com/office/drawing/2014/main" id="{81784B89-4377-4030-860C-6A1CE8B35CB7}"/>
            </a:ext>
          </a:extLst>
        </xdr:cNvPr>
        <xdr:cNvSpPr>
          <a:spLocks noChangeArrowheads="1"/>
        </xdr:cNvSpPr>
      </xdr:nvSpPr>
      <xdr:spPr bwMode="auto">
        <a:xfrm>
          <a:off x="109855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20" name="AutoShape 46">
          <a:extLst>
            <a:ext uri="{FF2B5EF4-FFF2-40B4-BE49-F238E27FC236}">
              <a16:creationId xmlns:a16="http://schemas.microsoft.com/office/drawing/2014/main" id="{909E9F97-B1E7-4AA6-87F8-F9E93A4E9C16}"/>
            </a:ext>
          </a:extLst>
        </xdr:cNvPr>
        <xdr:cNvSpPr>
          <a:spLocks noChangeArrowheads="1"/>
        </xdr:cNvSpPr>
      </xdr:nvSpPr>
      <xdr:spPr bwMode="auto">
        <a:xfrm>
          <a:off x="119126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21" name="AutoShape 46">
          <a:extLst>
            <a:ext uri="{FF2B5EF4-FFF2-40B4-BE49-F238E27FC236}">
              <a16:creationId xmlns:a16="http://schemas.microsoft.com/office/drawing/2014/main" id="{65863323-BA7A-4FE2-B7DF-B01F8F7CFA48}"/>
            </a:ext>
          </a:extLst>
        </xdr:cNvPr>
        <xdr:cNvSpPr>
          <a:spLocks noChangeArrowheads="1"/>
        </xdr:cNvSpPr>
      </xdr:nvSpPr>
      <xdr:spPr bwMode="auto">
        <a:xfrm>
          <a:off x="1289685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76</xdr:row>
      <xdr:rowOff>57150</xdr:rowOff>
    </xdr:from>
    <xdr:to>
      <xdr:col>2</xdr:col>
      <xdr:colOff>0</xdr:colOff>
      <xdr:row>77</xdr:row>
      <xdr:rowOff>190500</xdr:rowOff>
    </xdr:to>
    <xdr:sp macro="" textlink="">
      <xdr:nvSpPr>
        <xdr:cNvPr id="222" name="AutoShape 46">
          <a:extLst>
            <a:ext uri="{FF2B5EF4-FFF2-40B4-BE49-F238E27FC236}">
              <a16:creationId xmlns:a16="http://schemas.microsoft.com/office/drawing/2014/main" id="{643EFB14-8894-48CB-AF77-A35E0C7B1198}"/>
            </a:ext>
          </a:extLst>
        </xdr:cNvPr>
        <xdr:cNvSpPr>
          <a:spLocks noChangeArrowheads="1"/>
        </xdr:cNvSpPr>
      </xdr:nvSpPr>
      <xdr:spPr bwMode="auto">
        <a:xfrm>
          <a:off x="6096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76</xdr:row>
      <xdr:rowOff>57150</xdr:rowOff>
    </xdr:from>
    <xdr:to>
      <xdr:col>4</xdr:col>
      <xdr:colOff>0</xdr:colOff>
      <xdr:row>77</xdr:row>
      <xdr:rowOff>190500</xdr:rowOff>
    </xdr:to>
    <xdr:sp macro="" textlink="">
      <xdr:nvSpPr>
        <xdr:cNvPr id="223" name="AutoShape 46">
          <a:extLst>
            <a:ext uri="{FF2B5EF4-FFF2-40B4-BE49-F238E27FC236}">
              <a16:creationId xmlns:a16="http://schemas.microsoft.com/office/drawing/2014/main" id="{E0575CA3-14C1-458F-84CF-51A76A01ADCE}"/>
            </a:ext>
          </a:extLst>
        </xdr:cNvPr>
        <xdr:cNvSpPr>
          <a:spLocks noChangeArrowheads="1"/>
        </xdr:cNvSpPr>
      </xdr:nvSpPr>
      <xdr:spPr bwMode="auto">
        <a:xfrm>
          <a:off x="15367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76</xdr:row>
      <xdr:rowOff>57150</xdr:rowOff>
    </xdr:from>
    <xdr:to>
      <xdr:col>6</xdr:col>
      <xdr:colOff>0</xdr:colOff>
      <xdr:row>77</xdr:row>
      <xdr:rowOff>190500</xdr:rowOff>
    </xdr:to>
    <xdr:sp macro="" textlink="">
      <xdr:nvSpPr>
        <xdr:cNvPr id="224" name="AutoShape 46">
          <a:extLst>
            <a:ext uri="{FF2B5EF4-FFF2-40B4-BE49-F238E27FC236}">
              <a16:creationId xmlns:a16="http://schemas.microsoft.com/office/drawing/2014/main" id="{E7B6A873-B251-4CB3-A959-31D0135ED5FA}"/>
            </a:ext>
          </a:extLst>
        </xdr:cNvPr>
        <xdr:cNvSpPr>
          <a:spLocks noChangeArrowheads="1"/>
        </xdr:cNvSpPr>
      </xdr:nvSpPr>
      <xdr:spPr bwMode="auto">
        <a:xfrm>
          <a:off x="2520950" y="193484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76</xdr:row>
      <xdr:rowOff>57150</xdr:rowOff>
    </xdr:from>
    <xdr:to>
      <xdr:col>8</xdr:col>
      <xdr:colOff>0</xdr:colOff>
      <xdr:row>77</xdr:row>
      <xdr:rowOff>190500</xdr:rowOff>
    </xdr:to>
    <xdr:sp macro="" textlink="">
      <xdr:nvSpPr>
        <xdr:cNvPr id="225" name="AutoShape 46">
          <a:extLst>
            <a:ext uri="{FF2B5EF4-FFF2-40B4-BE49-F238E27FC236}">
              <a16:creationId xmlns:a16="http://schemas.microsoft.com/office/drawing/2014/main" id="{CA74F654-1A06-4E5B-ADA4-F8AFA48F7119}"/>
            </a:ext>
          </a:extLst>
        </xdr:cNvPr>
        <xdr:cNvSpPr>
          <a:spLocks noChangeArrowheads="1"/>
        </xdr:cNvSpPr>
      </xdr:nvSpPr>
      <xdr:spPr bwMode="auto">
        <a:xfrm>
          <a:off x="3498850" y="193484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76</xdr:row>
      <xdr:rowOff>57150</xdr:rowOff>
    </xdr:from>
    <xdr:to>
      <xdr:col>10</xdr:col>
      <xdr:colOff>0</xdr:colOff>
      <xdr:row>77</xdr:row>
      <xdr:rowOff>190500</xdr:rowOff>
    </xdr:to>
    <xdr:sp macro="" textlink="">
      <xdr:nvSpPr>
        <xdr:cNvPr id="226" name="AutoShape 46">
          <a:extLst>
            <a:ext uri="{FF2B5EF4-FFF2-40B4-BE49-F238E27FC236}">
              <a16:creationId xmlns:a16="http://schemas.microsoft.com/office/drawing/2014/main" id="{5415368A-8157-446C-AE80-994B1B7FDA3E}"/>
            </a:ext>
          </a:extLst>
        </xdr:cNvPr>
        <xdr:cNvSpPr>
          <a:spLocks noChangeArrowheads="1"/>
        </xdr:cNvSpPr>
      </xdr:nvSpPr>
      <xdr:spPr bwMode="auto">
        <a:xfrm>
          <a:off x="44958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76</xdr:row>
      <xdr:rowOff>57150</xdr:rowOff>
    </xdr:from>
    <xdr:to>
      <xdr:col>12</xdr:col>
      <xdr:colOff>0</xdr:colOff>
      <xdr:row>77</xdr:row>
      <xdr:rowOff>190500</xdr:rowOff>
    </xdr:to>
    <xdr:sp macro="" textlink="">
      <xdr:nvSpPr>
        <xdr:cNvPr id="227" name="AutoShape 46">
          <a:extLst>
            <a:ext uri="{FF2B5EF4-FFF2-40B4-BE49-F238E27FC236}">
              <a16:creationId xmlns:a16="http://schemas.microsoft.com/office/drawing/2014/main" id="{3D9F8793-AB42-4485-A674-5C1630BD6A8A}"/>
            </a:ext>
          </a:extLst>
        </xdr:cNvPr>
        <xdr:cNvSpPr>
          <a:spLocks noChangeArrowheads="1"/>
        </xdr:cNvSpPr>
      </xdr:nvSpPr>
      <xdr:spPr bwMode="auto">
        <a:xfrm>
          <a:off x="54229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76</xdr:row>
      <xdr:rowOff>57150</xdr:rowOff>
    </xdr:from>
    <xdr:to>
      <xdr:col>14</xdr:col>
      <xdr:colOff>0</xdr:colOff>
      <xdr:row>77</xdr:row>
      <xdr:rowOff>190500</xdr:rowOff>
    </xdr:to>
    <xdr:sp macro="" textlink="">
      <xdr:nvSpPr>
        <xdr:cNvPr id="228" name="AutoShape 46">
          <a:extLst>
            <a:ext uri="{FF2B5EF4-FFF2-40B4-BE49-F238E27FC236}">
              <a16:creationId xmlns:a16="http://schemas.microsoft.com/office/drawing/2014/main" id="{783866B0-12F4-4BC7-B21B-3B3446C0CE0F}"/>
            </a:ext>
          </a:extLst>
        </xdr:cNvPr>
        <xdr:cNvSpPr>
          <a:spLocks noChangeArrowheads="1"/>
        </xdr:cNvSpPr>
      </xdr:nvSpPr>
      <xdr:spPr bwMode="auto">
        <a:xfrm>
          <a:off x="63500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76</xdr:row>
      <xdr:rowOff>57150</xdr:rowOff>
    </xdr:from>
    <xdr:to>
      <xdr:col>16</xdr:col>
      <xdr:colOff>0</xdr:colOff>
      <xdr:row>77</xdr:row>
      <xdr:rowOff>190500</xdr:rowOff>
    </xdr:to>
    <xdr:sp macro="" textlink="">
      <xdr:nvSpPr>
        <xdr:cNvPr id="229" name="AutoShape 46">
          <a:extLst>
            <a:ext uri="{FF2B5EF4-FFF2-40B4-BE49-F238E27FC236}">
              <a16:creationId xmlns:a16="http://schemas.microsoft.com/office/drawing/2014/main" id="{30281427-3787-45A3-BE08-B53DC4B37A0E}"/>
            </a:ext>
          </a:extLst>
        </xdr:cNvPr>
        <xdr:cNvSpPr>
          <a:spLocks noChangeArrowheads="1"/>
        </xdr:cNvSpPr>
      </xdr:nvSpPr>
      <xdr:spPr bwMode="auto">
        <a:xfrm>
          <a:off x="72771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30" name="AutoShape 46">
          <a:extLst>
            <a:ext uri="{FF2B5EF4-FFF2-40B4-BE49-F238E27FC236}">
              <a16:creationId xmlns:a16="http://schemas.microsoft.com/office/drawing/2014/main" id="{6FD80062-7F73-4E10-B22A-E287A12E46C6}"/>
            </a:ext>
          </a:extLst>
        </xdr:cNvPr>
        <xdr:cNvSpPr>
          <a:spLocks noChangeArrowheads="1"/>
        </xdr:cNvSpPr>
      </xdr:nvSpPr>
      <xdr:spPr bwMode="auto">
        <a:xfrm>
          <a:off x="82042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31" name="AutoShape 46">
          <a:extLst>
            <a:ext uri="{FF2B5EF4-FFF2-40B4-BE49-F238E27FC236}">
              <a16:creationId xmlns:a16="http://schemas.microsoft.com/office/drawing/2014/main" id="{D4BEFF79-8B8D-4682-9F60-5A8552D4FE32}"/>
            </a:ext>
          </a:extLst>
        </xdr:cNvPr>
        <xdr:cNvSpPr>
          <a:spLocks noChangeArrowheads="1"/>
        </xdr:cNvSpPr>
      </xdr:nvSpPr>
      <xdr:spPr bwMode="auto">
        <a:xfrm>
          <a:off x="91313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32" name="AutoShape 46">
          <a:extLst>
            <a:ext uri="{FF2B5EF4-FFF2-40B4-BE49-F238E27FC236}">
              <a16:creationId xmlns:a16="http://schemas.microsoft.com/office/drawing/2014/main" id="{4C747FE6-9CE5-406D-A692-F63E9913866C}"/>
            </a:ext>
          </a:extLst>
        </xdr:cNvPr>
        <xdr:cNvSpPr>
          <a:spLocks noChangeArrowheads="1"/>
        </xdr:cNvSpPr>
      </xdr:nvSpPr>
      <xdr:spPr bwMode="auto">
        <a:xfrm>
          <a:off x="100584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33" name="AutoShape 46">
          <a:extLst>
            <a:ext uri="{FF2B5EF4-FFF2-40B4-BE49-F238E27FC236}">
              <a16:creationId xmlns:a16="http://schemas.microsoft.com/office/drawing/2014/main" id="{FCA0317B-821F-4FAA-B929-B12D6C35F5B4}"/>
            </a:ext>
          </a:extLst>
        </xdr:cNvPr>
        <xdr:cNvSpPr>
          <a:spLocks noChangeArrowheads="1"/>
        </xdr:cNvSpPr>
      </xdr:nvSpPr>
      <xdr:spPr bwMode="auto">
        <a:xfrm>
          <a:off x="109855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34" name="AutoShape 46">
          <a:extLst>
            <a:ext uri="{FF2B5EF4-FFF2-40B4-BE49-F238E27FC236}">
              <a16:creationId xmlns:a16="http://schemas.microsoft.com/office/drawing/2014/main" id="{885AE3DD-2214-41AA-A003-CEBBC86D2F4D}"/>
            </a:ext>
          </a:extLst>
        </xdr:cNvPr>
        <xdr:cNvSpPr>
          <a:spLocks noChangeArrowheads="1"/>
        </xdr:cNvSpPr>
      </xdr:nvSpPr>
      <xdr:spPr bwMode="auto">
        <a:xfrm>
          <a:off x="11912600" y="193484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35" name="AutoShape 46">
          <a:extLst>
            <a:ext uri="{FF2B5EF4-FFF2-40B4-BE49-F238E27FC236}">
              <a16:creationId xmlns:a16="http://schemas.microsoft.com/office/drawing/2014/main" id="{73F60023-1411-432B-87E4-84E4BB33B0AD}"/>
            </a:ext>
          </a:extLst>
        </xdr:cNvPr>
        <xdr:cNvSpPr>
          <a:spLocks noChangeArrowheads="1"/>
        </xdr:cNvSpPr>
      </xdr:nvSpPr>
      <xdr:spPr bwMode="auto">
        <a:xfrm>
          <a:off x="1289685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36" name="AutoShape 46">
          <a:extLst>
            <a:ext uri="{FF2B5EF4-FFF2-40B4-BE49-F238E27FC236}">
              <a16:creationId xmlns:a16="http://schemas.microsoft.com/office/drawing/2014/main" id="{CCC6E30E-CD86-4A08-BEAC-D184BAFA30A3}"/>
            </a:ext>
          </a:extLst>
        </xdr:cNvPr>
        <xdr:cNvSpPr>
          <a:spLocks noChangeArrowheads="1"/>
        </xdr:cNvSpPr>
      </xdr:nvSpPr>
      <xdr:spPr bwMode="auto">
        <a:xfrm>
          <a:off x="82042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37" name="AutoShape 46">
          <a:extLst>
            <a:ext uri="{FF2B5EF4-FFF2-40B4-BE49-F238E27FC236}">
              <a16:creationId xmlns:a16="http://schemas.microsoft.com/office/drawing/2014/main" id="{505190EA-066C-46A1-9BA0-A4FA610F4D4B}"/>
            </a:ext>
          </a:extLst>
        </xdr:cNvPr>
        <xdr:cNvSpPr>
          <a:spLocks noChangeArrowheads="1"/>
        </xdr:cNvSpPr>
      </xdr:nvSpPr>
      <xdr:spPr bwMode="auto">
        <a:xfrm>
          <a:off x="91313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38" name="AutoShape 46">
          <a:extLst>
            <a:ext uri="{FF2B5EF4-FFF2-40B4-BE49-F238E27FC236}">
              <a16:creationId xmlns:a16="http://schemas.microsoft.com/office/drawing/2014/main" id="{8EE999AD-D38C-452D-A791-A19A117F52EB}"/>
            </a:ext>
          </a:extLst>
        </xdr:cNvPr>
        <xdr:cNvSpPr>
          <a:spLocks noChangeArrowheads="1"/>
        </xdr:cNvSpPr>
      </xdr:nvSpPr>
      <xdr:spPr bwMode="auto">
        <a:xfrm>
          <a:off x="100584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39" name="AutoShape 46">
          <a:extLst>
            <a:ext uri="{FF2B5EF4-FFF2-40B4-BE49-F238E27FC236}">
              <a16:creationId xmlns:a16="http://schemas.microsoft.com/office/drawing/2014/main" id="{E3E3EDC7-E316-4003-8F9D-96C6CB6B276D}"/>
            </a:ext>
          </a:extLst>
        </xdr:cNvPr>
        <xdr:cNvSpPr>
          <a:spLocks noChangeArrowheads="1"/>
        </xdr:cNvSpPr>
      </xdr:nvSpPr>
      <xdr:spPr bwMode="auto">
        <a:xfrm>
          <a:off x="109855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40" name="AutoShape 46">
          <a:extLst>
            <a:ext uri="{FF2B5EF4-FFF2-40B4-BE49-F238E27FC236}">
              <a16:creationId xmlns:a16="http://schemas.microsoft.com/office/drawing/2014/main" id="{121388A1-8752-4B03-8BE4-76EC1BBB744B}"/>
            </a:ext>
          </a:extLst>
        </xdr:cNvPr>
        <xdr:cNvSpPr>
          <a:spLocks noChangeArrowheads="1"/>
        </xdr:cNvSpPr>
      </xdr:nvSpPr>
      <xdr:spPr bwMode="auto">
        <a:xfrm>
          <a:off x="119126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41" name="AutoShape 46">
          <a:extLst>
            <a:ext uri="{FF2B5EF4-FFF2-40B4-BE49-F238E27FC236}">
              <a16:creationId xmlns:a16="http://schemas.microsoft.com/office/drawing/2014/main" id="{F0A46DB1-6558-496E-A270-FD63C1C2017E}"/>
            </a:ext>
          </a:extLst>
        </xdr:cNvPr>
        <xdr:cNvSpPr>
          <a:spLocks noChangeArrowheads="1"/>
        </xdr:cNvSpPr>
      </xdr:nvSpPr>
      <xdr:spPr bwMode="auto">
        <a:xfrm>
          <a:off x="1289685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76</xdr:row>
      <xdr:rowOff>57150</xdr:rowOff>
    </xdr:from>
    <xdr:to>
      <xdr:col>16</xdr:col>
      <xdr:colOff>0</xdr:colOff>
      <xdr:row>77</xdr:row>
      <xdr:rowOff>190500</xdr:rowOff>
    </xdr:to>
    <xdr:sp macro="" textlink="">
      <xdr:nvSpPr>
        <xdr:cNvPr id="242" name="AutoShape 46">
          <a:extLst>
            <a:ext uri="{FF2B5EF4-FFF2-40B4-BE49-F238E27FC236}">
              <a16:creationId xmlns:a16="http://schemas.microsoft.com/office/drawing/2014/main" id="{43D0CDA2-06A6-45D2-AADE-00CBCDD849C6}"/>
            </a:ext>
          </a:extLst>
        </xdr:cNvPr>
        <xdr:cNvSpPr>
          <a:spLocks noChangeArrowheads="1"/>
        </xdr:cNvSpPr>
      </xdr:nvSpPr>
      <xdr:spPr bwMode="auto">
        <a:xfrm>
          <a:off x="72771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43" name="AutoShape 46">
          <a:extLst>
            <a:ext uri="{FF2B5EF4-FFF2-40B4-BE49-F238E27FC236}">
              <a16:creationId xmlns:a16="http://schemas.microsoft.com/office/drawing/2014/main" id="{6527BE9F-0ECE-4A46-96D3-EFAC0DD71091}"/>
            </a:ext>
          </a:extLst>
        </xdr:cNvPr>
        <xdr:cNvSpPr>
          <a:spLocks noChangeArrowheads="1"/>
        </xdr:cNvSpPr>
      </xdr:nvSpPr>
      <xdr:spPr bwMode="auto">
        <a:xfrm>
          <a:off x="82042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44" name="AutoShape 46">
          <a:extLst>
            <a:ext uri="{FF2B5EF4-FFF2-40B4-BE49-F238E27FC236}">
              <a16:creationId xmlns:a16="http://schemas.microsoft.com/office/drawing/2014/main" id="{8BC9B7D1-6D9A-4276-9013-3367F2072A20}"/>
            </a:ext>
          </a:extLst>
        </xdr:cNvPr>
        <xdr:cNvSpPr>
          <a:spLocks noChangeArrowheads="1"/>
        </xdr:cNvSpPr>
      </xdr:nvSpPr>
      <xdr:spPr bwMode="auto">
        <a:xfrm>
          <a:off x="91313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45" name="AutoShape 46">
          <a:extLst>
            <a:ext uri="{FF2B5EF4-FFF2-40B4-BE49-F238E27FC236}">
              <a16:creationId xmlns:a16="http://schemas.microsoft.com/office/drawing/2014/main" id="{F7ECA261-9D4D-4BA4-8E48-F7D732EC7B0A}"/>
            </a:ext>
          </a:extLst>
        </xdr:cNvPr>
        <xdr:cNvSpPr>
          <a:spLocks noChangeArrowheads="1"/>
        </xdr:cNvSpPr>
      </xdr:nvSpPr>
      <xdr:spPr bwMode="auto">
        <a:xfrm>
          <a:off x="100584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46" name="AutoShape 46">
          <a:extLst>
            <a:ext uri="{FF2B5EF4-FFF2-40B4-BE49-F238E27FC236}">
              <a16:creationId xmlns:a16="http://schemas.microsoft.com/office/drawing/2014/main" id="{48FE9230-FC8F-47E6-8A60-D6F28349315A}"/>
            </a:ext>
          </a:extLst>
        </xdr:cNvPr>
        <xdr:cNvSpPr>
          <a:spLocks noChangeArrowheads="1"/>
        </xdr:cNvSpPr>
      </xdr:nvSpPr>
      <xdr:spPr bwMode="auto">
        <a:xfrm>
          <a:off x="109855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47" name="AutoShape 46">
          <a:extLst>
            <a:ext uri="{FF2B5EF4-FFF2-40B4-BE49-F238E27FC236}">
              <a16:creationId xmlns:a16="http://schemas.microsoft.com/office/drawing/2014/main" id="{044A65FB-0632-438D-B0E5-F80D8B0F38F3}"/>
            </a:ext>
          </a:extLst>
        </xdr:cNvPr>
        <xdr:cNvSpPr>
          <a:spLocks noChangeArrowheads="1"/>
        </xdr:cNvSpPr>
      </xdr:nvSpPr>
      <xdr:spPr bwMode="auto">
        <a:xfrm>
          <a:off x="119126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48" name="AutoShape 46">
          <a:extLst>
            <a:ext uri="{FF2B5EF4-FFF2-40B4-BE49-F238E27FC236}">
              <a16:creationId xmlns:a16="http://schemas.microsoft.com/office/drawing/2014/main" id="{CCC0F796-C243-4D28-BBD8-8C1B332DF53A}"/>
            </a:ext>
          </a:extLst>
        </xdr:cNvPr>
        <xdr:cNvSpPr>
          <a:spLocks noChangeArrowheads="1"/>
        </xdr:cNvSpPr>
      </xdr:nvSpPr>
      <xdr:spPr bwMode="auto">
        <a:xfrm>
          <a:off x="1289685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84</xdr:row>
      <xdr:rowOff>57150</xdr:rowOff>
    </xdr:from>
    <xdr:to>
      <xdr:col>2</xdr:col>
      <xdr:colOff>0</xdr:colOff>
      <xdr:row>85</xdr:row>
      <xdr:rowOff>190500</xdr:rowOff>
    </xdr:to>
    <xdr:sp macro="" textlink="">
      <xdr:nvSpPr>
        <xdr:cNvPr id="249" name="AutoShape 46">
          <a:extLst>
            <a:ext uri="{FF2B5EF4-FFF2-40B4-BE49-F238E27FC236}">
              <a16:creationId xmlns:a16="http://schemas.microsoft.com/office/drawing/2014/main" id="{5C11DA38-E80F-4057-99A4-AA4503FCA728}"/>
            </a:ext>
          </a:extLst>
        </xdr:cNvPr>
        <xdr:cNvSpPr>
          <a:spLocks noChangeArrowheads="1"/>
        </xdr:cNvSpPr>
      </xdr:nvSpPr>
      <xdr:spPr bwMode="auto">
        <a:xfrm>
          <a:off x="6096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84</xdr:row>
      <xdr:rowOff>57150</xdr:rowOff>
    </xdr:from>
    <xdr:to>
      <xdr:col>4</xdr:col>
      <xdr:colOff>0</xdr:colOff>
      <xdr:row>85</xdr:row>
      <xdr:rowOff>190500</xdr:rowOff>
    </xdr:to>
    <xdr:sp macro="" textlink="">
      <xdr:nvSpPr>
        <xdr:cNvPr id="250" name="AutoShape 46">
          <a:extLst>
            <a:ext uri="{FF2B5EF4-FFF2-40B4-BE49-F238E27FC236}">
              <a16:creationId xmlns:a16="http://schemas.microsoft.com/office/drawing/2014/main" id="{72878348-A5D2-41B6-BD47-C81663BA7AB2}"/>
            </a:ext>
          </a:extLst>
        </xdr:cNvPr>
        <xdr:cNvSpPr>
          <a:spLocks noChangeArrowheads="1"/>
        </xdr:cNvSpPr>
      </xdr:nvSpPr>
      <xdr:spPr bwMode="auto">
        <a:xfrm>
          <a:off x="1536700" y="21272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84</xdr:row>
      <xdr:rowOff>57150</xdr:rowOff>
    </xdr:from>
    <xdr:to>
      <xdr:col>6</xdr:col>
      <xdr:colOff>0</xdr:colOff>
      <xdr:row>85</xdr:row>
      <xdr:rowOff>190500</xdr:rowOff>
    </xdr:to>
    <xdr:sp macro="" textlink="">
      <xdr:nvSpPr>
        <xdr:cNvPr id="251" name="AutoShape 46">
          <a:extLst>
            <a:ext uri="{FF2B5EF4-FFF2-40B4-BE49-F238E27FC236}">
              <a16:creationId xmlns:a16="http://schemas.microsoft.com/office/drawing/2014/main" id="{FEEBAC17-BA78-4AD0-AEA0-CB22DFAA166B}"/>
            </a:ext>
          </a:extLst>
        </xdr:cNvPr>
        <xdr:cNvSpPr>
          <a:spLocks noChangeArrowheads="1"/>
        </xdr:cNvSpPr>
      </xdr:nvSpPr>
      <xdr:spPr bwMode="auto">
        <a:xfrm>
          <a:off x="2520950" y="212725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84</xdr:row>
      <xdr:rowOff>57150</xdr:rowOff>
    </xdr:from>
    <xdr:to>
      <xdr:col>8</xdr:col>
      <xdr:colOff>0</xdr:colOff>
      <xdr:row>85</xdr:row>
      <xdr:rowOff>190500</xdr:rowOff>
    </xdr:to>
    <xdr:sp macro="" textlink="">
      <xdr:nvSpPr>
        <xdr:cNvPr id="252" name="AutoShape 46">
          <a:extLst>
            <a:ext uri="{FF2B5EF4-FFF2-40B4-BE49-F238E27FC236}">
              <a16:creationId xmlns:a16="http://schemas.microsoft.com/office/drawing/2014/main" id="{A4F63364-CF90-4980-8C32-A4F0B66B6912}"/>
            </a:ext>
          </a:extLst>
        </xdr:cNvPr>
        <xdr:cNvSpPr>
          <a:spLocks noChangeArrowheads="1"/>
        </xdr:cNvSpPr>
      </xdr:nvSpPr>
      <xdr:spPr bwMode="auto">
        <a:xfrm>
          <a:off x="3498850" y="212725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84</xdr:row>
      <xdr:rowOff>57150</xdr:rowOff>
    </xdr:from>
    <xdr:to>
      <xdr:col>10</xdr:col>
      <xdr:colOff>0</xdr:colOff>
      <xdr:row>85</xdr:row>
      <xdr:rowOff>190500</xdr:rowOff>
    </xdr:to>
    <xdr:sp macro="" textlink="">
      <xdr:nvSpPr>
        <xdr:cNvPr id="253" name="AutoShape 46">
          <a:extLst>
            <a:ext uri="{FF2B5EF4-FFF2-40B4-BE49-F238E27FC236}">
              <a16:creationId xmlns:a16="http://schemas.microsoft.com/office/drawing/2014/main" id="{344384C8-D8E9-4AAC-A5DA-25AC49DE4990}"/>
            </a:ext>
          </a:extLst>
        </xdr:cNvPr>
        <xdr:cNvSpPr>
          <a:spLocks noChangeArrowheads="1"/>
        </xdr:cNvSpPr>
      </xdr:nvSpPr>
      <xdr:spPr bwMode="auto">
        <a:xfrm>
          <a:off x="44958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84</xdr:row>
      <xdr:rowOff>57150</xdr:rowOff>
    </xdr:from>
    <xdr:to>
      <xdr:col>12</xdr:col>
      <xdr:colOff>0</xdr:colOff>
      <xdr:row>85</xdr:row>
      <xdr:rowOff>190500</xdr:rowOff>
    </xdr:to>
    <xdr:sp macro="" textlink="">
      <xdr:nvSpPr>
        <xdr:cNvPr id="254" name="AutoShape 46">
          <a:extLst>
            <a:ext uri="{FF2B5EF4-FFF2-40B4-BE49-F238E27FC236}">
              <a16:creationId xmlns:a16="http://schemas.microsoft.com/office/drawing/2014/main" id="{7852494B-BAC3-468E-95F3-DC560700CD5C}"/>
            </a:ext>
          </a:extLst>
        </xdr:cNvPr>
        <xdr:cNvSpPr>
          <a:spLocks noChangeArrowheads="1"/>
        </xdr:cNvSpPr>
      </xdr:nvSpPr>
      <xdr:spPr bwMode="auto">
        <a:xfrm>
          <a:off x="54229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84</xdr:row>
      <xdr:rowOff>57150</xdr:rowOff>
    </xdr:from>
    <xdr:to>
      <xdr:col>14</xdr:col>
      <xdr:colOff>0</xdr:colOff>
      <xdr:row>85</xdr:row>
      <xdr:rowOff>190500</xdr:rowOff>
    </xdr:to>
    <xdr:sp macro="" textlink="">
      <xdr:nvSpPr>
        <xdr:cNvPr id="255" name="AutoShape 46">
          <a:extLst>
            <a:ext uri="{FF2B5EF4-FFF2-40B4-BE49-F238E27FC236}">
              <a16:creationId xmlns:a16="http://schemas.microsoft.com/office/drawing/2014/main" id="{C781F295-ED1E-4B97-9F50-1B664ED876EB}"/>
            </a:ext>
          </a:extLst>
        </xdr:cNvPr>
        <xdr:cNvSpPr>
          <a:spLocks noChangeArrowheads="1"/>
        </xdr:cNvSpPr>
      </xdr:nvSpPr>
      <xdr:spPr bwMode="auto">
        <a:xfrm>
          <a:off x="63500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84</xdr:row>
      <xdr:rowOff>57150</xdr:rowOff>
    </xdr:from>
    <xdr:to>
      <xdr:col>16</xdr:col>
      <xdr:colOff>0</xdr:colOff>
      <xdr:row>85</xdr:row>
      <xdr:rowOff>190500</xdr:rowOff>
    </xdr:to>
    <xdr:sp macro="" textlink="">
      <xdr:nvSpPr>
        <xdr:cNvPr id="256" name="AutoShape 46">
          <a:extLst>
            <a:ext uri="{FF2B5EF4-FFF2-40B4-BE49-F238E27FC236}">
              <a16:creationId xmlns:a16="http://schemas.microsoft.com/office/drawing/2014/main" id="{6DA87B5D-6193-41F6-A7CA-4E762C490DD6}"/>
            </a:ext>
          </a:extLst>
        </xdr:cNvPr>
        <xdr:cNvSpPr>
          <a:spLocks noChangeArrowheads="1"/>
        </xdr:cNvSpPr>
      </xdr:nvSpPr>
      <xdr:spPr bwMode="auto">
        <a:xfrm>
          <a:off x="72771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57" name="AutoShape 46">
          <a:extLst>
            <a:ext uri="{FF2B5EF4-FFF2-40B4-BE49-F238E27FC236}">
              <a16:creationId xmlns:a16="http://schemas.microsoft.com/office/drawing/2014/main" id="{AAD5471E-D7C2-46E1-93BE-698A75D3C813}"/>
            </a:ext>
          </a:extLst>
        </xdr:cNvPr>
        <xdr:cNvSpPr>
          <a:spLocks noChangeArrowheads="1"/>
        </xdr:cNvSpPr>
      </xdr:nvSpPr>
      <xdr:spPr bwMode="auto">
        <a:xfrm>
          <a:off x="82042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58" name="AutoShape 46">
          <a:extLst>
            <a:ext uri="{FF2B5EF4-FFF2-40B4-BE49-F238E27FC236}">
              <a16:creationId xmlns:a16="http://schemas.microsoft.com/office/drawing/2014/main" id="{E94C1323-D2BE-419B-BCA1-D76242794957}"/>
            </a:ext>
          </a:extLst>
        </xdr:cNvPr>
        <xdr:cNvSpPr>
          <a:spLocks noChangeArrowheads="1"/>
        </xdr:cNvSpPr>
      </xdr:nvSpPr>
      <xdr:spPr bwMode="auto">
        <a:xfrm>
          <a:off x="91313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59" name="AutoShape 46">
          <a:extLst>
            <a:ext uri="{FF2B5EF4-FFF2-40B4-BE49-F238E27FC236}">
              <a16:creationId xmlns:a16="http://schemas.microsoft.com/office/drawing/2014/main" id="{71006B62-B8FD-40A7-9796-45644FF742CB}"/>
            </a:ext>
          </a:extLst>
        </xdr:cNvPr>
        <xdr:cNvSpPr>
          <a:spLocks noChangeArrowheads="1"/>
        </xdr:cNvSpPr>
      </xdr:nvSpPr>
      <xdr:spPr bwMode="auto">
        <a:xfrm>
          <a:off x="100584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60" name="AutoShape 46">
          <a:extLst>
            <a:ext uri="{FF2B5EF4-FFF2-40B4-BE49-F238E27FC236}">
              <a16:creationId xmlns:a16="http://schemas.microsoft.com/office/drawing/2014/main" id="{A52DCB97-2A99-4373-B57B-EC50660C6069}"/>
            </a:ext>
          </a:extLst>
        </xdr:cNvPr>
        <xdr:cNvSpPr>
          <a:spLocks noChangeArrowheads="1"/>
        </xdr:cNvSpPr>
      </xdr:nvSpPr>
      <xdr:spPr bwMode="auto">
        <a:xfrm>
          <a:off x="109855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61" name="AutoShape 46">
          <a:extLst>
            <a:ext uri="{FF2B5EF4-FFF2-40B4-BE49-F238E27FC236}">
              <a16:creationId xmlns:a16="http://schemas.microsoft.com/office/drawing/2014/main" id="{2BBB7E11-38E0-4098-8F6B-F60C61DF7FCA}"/>
            </a:ext>
          </a:extLst>
        </xdr:cNvPr>
        <xdr:cNvSpPr>
          <a:spLocks noChangeArrowheads="1"/>
        </xdr:cNvSpPr>
      </xdr:nvSpPr>
      <xdr:spPr bwMode="auto">
        <a:xfrm>
          <a:off x="11912600" y="21272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62" name="AutoShape 46">
          <a:extLst>
            <a:ext uri="{FF2B5EF4-FFF2-40B4-BE49-F238E27FC236}">
              <a16:creationId xmlns:a16="http://schemas.microsoft.com/office/drawing/2014/main" id="{EB38FE08-BAF9-4190-8B3B-5AECB650C3FE}"/>
            </a:ext>
          </a:extLst>
        </xdr:cNvPr>
        <xdr:cNvSpPr>
          <a:spLocks noChangeArrowheads="1"/>
        </xdr:cNvSpPr>
      </xdr:nvSpPr>
      <xdr:spPr bwMode="auto">
        <a:xfrm>
          <a:off x="1289685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63" name="AutoShape 46">
          <a:extLst>
            <a:ext uri="{FF2B5EF4-FFF2-40B4-BE49-F238E27FC236}">
              <a16:creationId xmlns:a16="http://schemas.microsoft.com/office/drawing/2014/main" id="{8498DFBA-7B1D-4F5C-88CB-B88B4B8B1F87}"/>
            </a:ext>
          </a:extLst>
        </xdr:cNvPr>
        <xdr:cNvSpPr>
          <a:spLocks noChangeArrowheads="1"/>
        </xdr:cNvSpPr>
      </xdr:nvSpPr>
      <xdr:spPr bwMode="auto">
        <a:xfrm>
          <a:off x="82042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64" name="AutoShape 46">
          <a:extLst>
            <a:ext uri="{FF2B5EF4-FFF2-40B4-BE49-F238E27FC236}">
              <a16:creationId xmlns:a16="http://schemas.microsoft.com/office/drawing/2014/main" id="{12F149D7-1D31-4C82-B334-AB60581FF1BF}"/>
            </a:ext>
          </a:extLst>
        </xdr:cNvPr>
        <xdr:cNvSpPr>
          <a:spLocks noChangeArrowheads="1"/>
        </xdr:cNvSpPr>
      </xdr:nvSpPr>
      <xdr:spPr bwMode="auto">
        <a:xfrm>
          <a:off x="91313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65" name="AutoShape 46">
          <a:extLst>
            <a:ext uri="{FF2B5EF4-FFF2-40B4-BE49-F238E27FC236}">
              <a16:creationId xmlns:a16="http://schemas.microsoft.com/office/drawing/2014/main" id="{340E647B-D661-4378-BAB7-D0D54F453B1D}"/>
            </a:ext>
          </a:extLst>
        </xdr:cNvPr>
        <xdr:cNvSpPr>
          <a:spLocks noChangeArrowheads="1"/>
        </xdr:cNvSpPr>
      </xdr:nvSpPr>
      <xdr:spPr bwMode="auto">
        <a:xfrm>
          <a:off x="100584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66" name="AutoShape 46">
          <a:extLst>
            <a:ext uri="{FF2B5EF4-FFF2-40B4-BE49-F238E27FC236}">
              <a16:creationId xmlns:a16="http://schemas.microsoft.com/office/drawing/2014/main" id="{D6E5532C-90D6-43EF-A7EA-A4B80C4B54B6}"/>
            </a:ext>
          </a:extLst>
        </xdr:cNvPr>
        <xdr:cNvSpPr>
          <a:spLocks noChangeArrowheads="1"/>
        </xdr:cNvSpPr>
      </xdr:nvSpPr>
      <xdr:spPr bwMode="auto">
        <a:xfrm>
          <a:off x="109855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67" name="AutoShape 46">
          <a:extLst>
            <a:ext uri="{FF2B5EF4-FFF2-40B4-BE49-F238E27FC236}">
              <a16:creationId xmlns:a16="http://schemas.microsoft.com/office/drawing/2014/main" id="{79E84D61-67C4-44AB-B523-82789B5EF437}"/>
            </a:ext>
          </a:extLst>
        </xdr:cNvPr>
        <xdr:cNvSpPr>
          <a:spLocks noChangeArrowheads="1"/>
        </xdr:cNvSpPr>
      </xdr:nvSpPr>
      <xdr:spPr bwMode="auto">
        <a:xfrm>
          <a:off x="11912600" y="212725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68" name="AutoShape 46">
          <a:extLst>
            <a:ext uri="{FF2B5EF4-FFF2-40B4-BE49-F238E27FC236}">
              <a16:creationId xmlns:a16="http://schemas.microsoft.com/office/drawing/2014/main" id="{EB2F3386-A6B5-4D0E-86FE-0116A3F4C551}"/>
            </a:ext>
          </a:extLst>
        </xdr:cNvPr>
        <xdr:cNvSpPr>
          <a:spLocks noChangeArrowheads="1"/>
        </xdr:cNvSpPr>
      </xdr:nvSpPr>
      <xdr:spPr bwMode="auto">
        <a:xfrm>
          <a:off x="1289685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84</xdr:row>
      <xdr:rowOff>57150</xdr:rowOff>
    </xdr:from>
    <xdr:to>
      <xdr:col>16</xdr:col>
      <xdr:colOff>0</xdr:colOff>
      <xdr:row>85</xdr:row>
      <xdr:rowOff>190500</xdr:rowOff>
    </xdr:to>
    <xdr:sp macro="" textlink="">
      <xdr:nvSpPr>
        <xdr:cNvPr id="269" name="AutoShape 46">
          <a:extLst>
            <a:ext uri="{FF2B5EF4-FFF2-40B4-BE49-F238E27FC236}">
              <a16:creationId xmlns:a16="http://schemas.microsoft.com/office/drawing/2014/main" id="{41A910C8-AF24-426C-8A6F-01C5F2D8D889}"/>
            </a:ext>
          </a:extLst>
        </xdr:cNvPr>
        <xdr:cNvSpPr>
          <a:spLocks noChangeArrowheads="1"/>
        </xdr:cNvSpPr>
      </xdr:nvSpPr>
      <xdr:spPr bwMode="auto">
        <a:xfrm>
          <a:off x="72771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70" name="AutoShape 46">
          <a:extLst>
            <a:ext uri="{FF2B5EF4-FFF2-40B4-BE49-F238E27FC236}">
              <a16:creationId xmlns:a16="http://schemas.microsoft.com/office/drawing/2014/main" id="{F88EAC09-DDA7-4391-B4FB-89DA470CE877}"/>
            </a:ext>
          </a:extLst>
        </xdr:cNvPr>
        <xdr:cNvSpPr>
          <a:spLocks noChangeArrowheads="1"/>
        </xdr:cNvSpPr>
      </xdr:nvSpPr>
      <xdr:spPr bwMode="auto">
        <a:xfrm>
          <a:off x="82042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71" name="AutoShape 46">
          <a:extLst>
            <a:ext uri="{FF2B5EF4-FFF2-40B4-BE49-F238E27FC236}">
              <a16:creationId xmlns:a16="http://schemas.microsoft.com/office/drawing/2014/main" id="{6D10545A-93ED-4D6C-B01D-76F35B91D695}"/>
            </a:ext>
          </a:extLst>
        </xdr:cNvPr>
        <xdr:cNvSpPr>
          <a:spLocks noChangeArrowheads="1"/>
        </xdr:cNvSpPr>
      </xdr:nvSpPr>
      <xdr:spPr bwMode="auto">
        <a:xfrm>
          <a:off x="91313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72" name="AutoShape 46">
          <a:extLst>
            <a:ext uri="{FF2B5EF4-FFF2-40B4-BE49-F238E27FC236}">
              <a16:creationId xmlns:a16="http://schemas.microsoft.com/office/drawing/2014/main" id="{ECEB6EE5-7FEE-4E9F-B0DB-05EFEDC38246}"/>
            </a:ext>
          </a:extLst>
        </xdr:cNvPr>
        <xdr:cNvSpPr>
          <a:spLocks noChangeArrowheads="1"/>
        </xdr:cNvSpPr>
      </xdr:nvSpPr>
      <xdr:spPr bwMode="auto">
        <a:xfrm>
          <a:off x="100584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73" name="AutoShape 46">
          <a:extLst>
            <a:ext uri="{FF2B5EF4-FFF2-40B4-BE49-F238E27FC236}">
              <a16:creationId xmlns:a16="http://schemas.microsoft.com/office/drawing/2014/main" id="{B1DE7B62-6EC4-4691-882B-D7675DFCB3E0}"/>
            </a:ext>
          </a:extLst>
        </xdr:cNvPr>
        <xdr:cNvSpPr>
          <a:spLocks noChangeArrowheads="1"/>
        </xdr:cNvSpPr>
      </xdr:nvSpPr>
      <xdr:spPr bwMode="auto">
        <a:xfrm>
          <a:off x="109855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74" name="AutoShape 46">
          <a:extLst>
            <a:ext uri="{FF2B5EF4-FFF2-40B4-BE49-F238E27FC236}">
              <a16:creationId xmlns:a16="http://schemas.microsoft.com/office/drawing/2014/main" id="{65360CD2-34E2-4642-B6F2-5DE01D0B1C1F}"/>
            </a:ext>
          </a:extLst>
        </xdr:cNvPr>
        <xdr:cNvSpPr>
          <a:spLocks noChangeArrowheads="1"/>
        </xdr:cNvSpPr>
      </xdr:nvSpPr>
      <xdr:spPr bwMode="auto">
        <a:xfrm>
          <a:off x="11912600" y="21272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75" name="AutoShape 46">
          <a:extLst>
            <a:ext uri="{FF2B5EF4-FFF2-40B4-BE49-F238E27FC236}">
              <a16:creationId xmlns:a16="http://schemas.microsoft.com/office/drawing/2014/main" id="{F4BD9485-B222-4430-8DDB-57DF201A818F}"/>
            </a:ext>
          </a:extLst>
        </xdr:cNvPr>
        <xdr:cNvSpPr>
          <a:spLocks noChangeArrowheads="1"/>
        </xdr:cNvSpPr>
      </xdr:nvSpPr>
      <xdr:spPr bwMode="auto">
        <a:xfrm>
          <a:off x="1289685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92</xdr:row>
      <xdr:rowOff>57150</xdr:rowOff>
    </xdr:from>
    <xdr:to>
      <xdr:col>2</xdr:col>
      <xdr:colOff>0</xdr:colOff>
      <xdr:row>93</xdr:row>
      <xdr:rowOff>190500</xdr:rowOff>
    </xdr:to>
    <xdr:sp macro="" textlink="">
      <xdr:nvSpPr>
        <xdr:cNvPr id="276" name="AutoShape 46">
          <a:extLst>
            <a:ext uri="{FF2B5EF4-FFF2-40B4-BE49-F238E27FC236}">
              <a16:creationId xmlns:a16="http://schemas.microsoft.com/office/drawing/2014/main" id="{F6833CF3-7048-4DC6-9EF0-02FBC02E2037}"/>
            </a:ext>
          </a:extLst>
        </xdr:cNvPr>
        <xdr:cNvSpPr>
          <a:spLocks noChangeArrowheads="1"/>
        </xdr:cNvSpPr>
      </xdr:nvSpPr>
      <xdr:spPr bwMode="auto">
        <a:xfrm>
          <a:off x="6096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92</xdr:row>
      <xdr:rowOff>57150</xdr:rowOff>
    </xdr:from>
    <xdr:to>
      <xdr:col>4</xdr:col>
      <xdr:colOff>0</xdr:colOff>
      <xdr:row>93</xdr:row>
      <xdr:rowOff>190500</xdr:rowOff>
    </xdr:to>
    <xdr:sp macro="" textlink="">
      <xdr:nvSpPr>
        <xdr:cNvPr id="277" name="AutoShape 46">
          <a:extLst>
            <a:ext uri="{FF2B5EF4-FFF2-40B4-BE49-F238E27FC236}">
              <a16:creationId xmlns:a16="http://schemas.microsoft.com/office/drawing/2014/main" id="{E7372362-4E01-449A-ABD8-8F4E37FE6A71}"/>
            </a:ext>
          </a:extLst>
        </xdr:cNvPr>
        <xdr:cNvSpPr>
          <a:spLocks noChangeArrowheads="1"/>
        </xdr:cNvSpPr>
      </xdr:nvSpPr>
      <xdr:spPr bwMode="auto">
        <a:xfrm>
          <a:off x="1536700" y="23202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92</xdr:row>
      <xdr:rowOff>57150</xdr:rowOff>
    </xdr:from>
    <xdr:to>
      <xdr:col>6</xdr:col>
      <xdr:colOff>0</xdr:colOff>
      <xdr:row>93</xdr:row>
      <xdr:rowOff>190500</xdr:rowOff>
    </xdr:to>
    <xdr:sp macro="" textlink="">
      <xdr:nvSpPr>
        <xdr:cNvPr id="278" name="AutoShape 46">
          <a:extLst>
            <a:ext uri="{FF2B5EF4-FFF2-40B4-BE49-F238E27FC236}">
              <a16:creationId xmlns:a16="http://schemas.microsoft.com/office/drawing/2014/main" id="{339B1BE4-F2B5-4E0E-94F0-3D2835EDCF9E}"/>
            </a:ext>
          </a:extLst>
        </xdr:cNvPr>
        <xdr:cNvSpPr>
          <a:spLocks noChangeArrowheads="1"/>
        </xdr:cNvSpPr>
      </xdr:nvSpPr>
      <xdr:spPr bwMode="auto">
        <a:xfrm>
          <a:off x="2520950" y="232029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92</xdr:row>
      <xdr:rowOff>57150</xdr:rowOff>
    </xdr:from>
    <xdr:to>
      <xdr:col>8</xdr:col>
      <xdr:colOff>0</xdr:colOff>
      <xdr:row>93</xdr:row>
      <xdr:rowOff>190500</xdr:rowOff>
    </xdr:to>
    <xdr:sp macro="" textlink="">
      <xdr:nvSpPr>
        <xdr:cNvPr id="279" name="AutoShape 46">
          <a:extLst>
            <a:ext uri="{FF2B5EF4-FFF2-40B4-BE49-F238E27FC236}">
              <a16:creationId xmlns:a16="http://schemas.microsoft.com/office/drawing/2014/main" id="{BF117C1B-16BA-4937-82F0-60ACE6AD279C}"/>
            </a:ext>
          </a:extLst>
        </xdr:cNvPr>
        <xdr:cNvSpPr>
          <a:spLocks noChangeArrowheads="1"/>
        </xdr:cNvSpPr>
      </xdr:nvSpPr>
      <xdr:spPr bwMode="auto">
        <a:xfrm>
          <a:off x="3498850" y="232029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92</xdr:row>
      <xdr:rowOff>57150</xdr:rowOff>
    </xdr:from>
    <xdr:to>
      <xdr:col>10</xdr:col>
      <xdr:colOff>0</xdr:colOff>
      <xdr:row>93</xdr:row>
      <xdr:rowOff>190500</xdr:rowOff>
    </xdr:to>
    <xdr:sp macro="" textlink="">
      <xdr:nvSpPr>
        <xdr:cNvPr id="280" name="AutoShape 46">
          <a:extLst>
            <a:ext uri="{FF2B5EF4-FFF2-40B4-BE49-F238E27FC236}">
              <a16:creationId xmlns:a16="http://schemas.microsoft.com/office/drawing/2014/main" id="{59416F13-B2F8-46D5-BEAE-8E3B2E36DFBE}"/>
            </a:ext>
          </a:extLst>
        </xdr:cNvPr>
        <xdr:cNvSpPr>
          <a:spLocks noChangeArrowheads="1"/>
        </xdr:cNvSpPr>
      </xdr:nvSpPr>
      <xdr:spPr bwMode="auto">
        <a:xfrm>
          <a:off x="44958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92</xdr:row>
      <xdr:rowOff>57150</xdr:rowOff>
    </xdr:from>
    <xdr:to>
      <xdr:col>12</xdr:col>
      <xdr:colOff>0</xdr:colOff>
      <xdr:row>93</xdr:row>
      <xdr:rowOff>190500</xdr:rowOff>
    </xdr:to>
    <xdr:sp macro="" textlink="">
      <xdr:nvSpPr>
        <xdr:cNvPr id="281" name="AutoShape 46">
          <a:extLst>
            <a:ext uri="{FF2B5EF4-FFF2-40B4-BE49-F238E27FC236}">
              <a16:creationId xmlns:a16="http://schemas.microsoft.com/office/drawing/2014/main" id="{0313A744-0825-48AD-B1B4-CD46FD6F9F03}"/>
            </a:ext>
          </a:extLst>
        </xdr:cNvPr>
        <xdr:cNvSpPr>
          <a:spLocks noChangeArrowheads="1"/>
        </xdr:cNvSpPr>
      </xdr:nvSpPr>
      <xdr:spPr bwMode="auto">
        <a:xfrm>
          <a:off x="54229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92</xdr:row>
      <xdr:rowOff>57150</xdr:rowOff>
    </xdr:from>
    <xdr:to>
      <xdr:col>14</xdr:col>
      <xdr:colOff>0</xdr:colOff>
      <xdr:row>93</xdr:row>
      <xdr:rowOff>190500</xdr:rowOff>
    </xdr:to>
    <xdr:sp macro="" textlink="">
      <xdr:nvSpPr>
        <xdr:cNvPr id="282" name="AutoShape 46">
          <a:extLst>
            <a:ext uri="{FF2B5EF4-FFF2-40B4-BE49-F238E27FC236}">
              <a16:creationId xmlns:a16="http://schemas.microsoft.com/office/drawing/2014/main" id="{19796BA6-747A-43E1-8533-05C321B64712}"/>
            </a:ext>
          </a:extLst>
        </xdr:cNvPr>
        <xdr:cNvSpPr>
          <a:spLocks noChangeArrowheads="1"/>
        </xdr:cNvSpPr>
      </xdr:nvSpPr>
      <xdr:spPr bwMode="auto">
        <a:xfrm>
          <a:off x="63500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92</xdr:row>
      <xdr:rowOff>57150</xdr:rowOff>
    </xdr:from>
    <xdr:to>
      <xdr:col>16</xdr:col>
      <xdr:colOff>0</xdr:colOff>
      <xdr:row>93</xdr:row>
      <xdr:rowOff>190500</xdr:rowOff>
    </xdr:to>
    <xdr:sp macro="" textlink="">
      <xdr:nvSpPr>
        <xdr:cNvPr id="283" name="AutoShape 46">
          <a:extLst>
            <a:ext uri="{FF2B5EF4-FFF2-40B4-BE49-F238E27FC236}">
              <a16:creationId xmlns:a16="http://schemas.microsoft.com/office/drawing/2014/main" id="{F459C3F4-119F-4844-855F-CEE7C5A337FD}"/>
            </a:ext>
          </a:extLst>
        </xdr:cNvPr>
        <xdr:cNvSpPr>
          <a:spLocks noChangeArrowheads="1"/>
        </xdr:cNvSpPr>
      </xdr:nvSpPr>
      <xdr:spPr bwMode="auto">
        <a:xfrm>
          <a:off x="72771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84" name="AutoShape 46">
          <a:extLst>
            <a:ext uri="{FF2B5EF4-FFF2-40B4-BE49-F238E27FC236}">
              <a16:creationId xmlns:a16="http://schemas.microsoft.com/office/drawing/2014/main" id="{EE68FA5F-D9EB-4D5E-AEB1-63531BBDB045}"/>
            </a:ext>
          </a:extLst>
        </xdr:cNvPr>
        <xdr:cNvSpPr>
          <a:spLocks noChangeArrowheads="1"/>
        </xdr:cNvSpPr>
      </xdr:nvSpPr>
      <xdr:spPr bwMode="auto">
        <a:xfrm>
          <a:off x="82042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85" name="AutoShape 46">
          <a:extLst>
            <a:ext uri="{FF2B5EF4-FFF2-40B4-BE49-F238E27FC236}">
              <a16:creationId xmlns:a16="http://schemas.microsoft.com/office/drawing/2014/main" id="{C647F8CB-91BF-468E-ABBF-875B01AD58F0}"/>
            </a:ext>
          </a:extLst>
        </xdr:cNvPr>
        <xdr:cNvSpPr>
          <a:spLocks noChangeArrowheads="1"/>
        </xdr:cNvSpPr>
      </xdr:nvSpPr>
      <xdr:spPr bwMode="auto">
        <a:xfrm>
          <a:off x="91313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86" name="AutoShape 46">
          <a:extLst>
            <a:ext uri="{FF2B5EF4-FFF2-40B4-BE49-F238E27FC236}">
              <a16:creationId xmlns:a16="http://schemas.microsoft.com/office/drawing/2014/main" id="{0DA6553C-313B-49DE-A731-BED92C2F89D4}"/>
            </a:ext>
          </a:extLst>
        </xdr:cNvPr>
        <xdr:cNvSpPr>
          <a:spLocks noChangeArrowheads="1"/>
        </xdr:cNvSpPr>
      </xdr:nvSpPr>
      <xdr:spPr bwMode="auto">
        <a:xfrm>
          <a:off x="100584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287" name="AutoShape 46">
          <a:extLst>
            <a:ext uri="{FF2B5EF4-FFF2-40B4-BE49-F238E27FC236}">
              <a16:creationId xmlns:a16="http://schemas.microsoft.com/office/drawing/2014/main" id="{3E3BCBA0-A37F-4D5D-9F48-E3D10C92FDB9}"/>
            </a:ext>
          </a:extLst>
        </xdr:cNvPr>
        <xdr:cNvSpPr>
          <a:spLocks noChangeArrowheads="1"/>
        </xdr:cNvSpPr>
      </xdr:nvSpPr>
      <xdr:spPr bwMode="auto">
        <a:xfrm>
          <a:off x="109855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288" name="AutoShape 46">
          <a:extLst>
            <a:ext uri="{FF2B5EF4-FFF2-40B4-BE49-F238E27FC236}">
              <a16:creationId xmlns:a16="http://schemas.microsoft.com/office/drawing/2014/main" id="{810608A1-3F9F-4B32-9640-008F2E61105E}"/>
            </a:ext>
          </a:extLst>
        </xdr:cNvPr>
        <xdr:cNvSpPr>
          <a:spLocks noChangeArrowheads="1"/>
        </xdr:cNvSpPr>
      </xdr:nvSpPr>
      <xdr:spPr bwMode="auto">
        <a:xfrm>
          <a:off x="11912600" y="23202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289" name="AutoShape 46">
          <a:extLst>
            <a:ext uri="{FF2B5EF4-FFF2-40B4-BE49-F238E27FC236}">
              <a16:creationId xmlns:a16="http://schemas.microsoft.com/office/drawing/2014/main" id="{C10AEB59-20FB-432D-BF4F-1ED26AC5B3B4}"/>
            </a:ext>
          </a:extLst>
        </xdr:cNvPr>
        <xdr:cNvSpPr>
          <a:spLocks noChangeArrowheads="1"/>
        </xdr:cNvSpPr>
      </xdr:nvSpPr>
      <xdr:spPr bwMode="auto">
        <a:xfrm>
          <a:off x="1289685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90" name="AutoShape 46">
          <a:extLst>
            <a:ext uri="{FF2B5EF4-FFF2-40B4-BE49-F238E27FC236}">
              <a16:creationId xmlns:a16="http://schemas.microsoft.com/office/drawing/2014/main" id="{2712F618-65C3-4BAA-99E9-C5C5F96A9BF1}"/>
            </a:ext>
          </a:extLst>
        </xdr:cNvPr>
        <xdr:cNvSpPr>
          <a:spLocks noChangeArrowheads="1"/>
        </xdr:cNvSpPr>
      </xdr:nvSpPr>
      <xdr:spPr bwMode="auto">
        <a:xfrm>
          <a:off x="82042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91" name="AutoShape 46">
          <a:extLst>
            <a:ext uri="{FF2B5EF4-FFF2-40B4-BE49-F238E27FC236}">
              <a16:creationId xmlns:a16="http://schemas.microsoft.com/office/drawing/2014/main" id="{1F935F56-6EC3-4EE0-9149-BA5D967EE674}"/>
            </a:ext>
          </a:extLst>
        </xdr:cNvPr>
        <xdr:cNvSpPr>
          <a:spLocks noChangeArrowheads="1"/>
        </xdr:cNvSpPr>
      </xdr:nvSpPr>
      <xdr:spPr bwMode="auto">
        <a:xfrm>
          <a:off x="91313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92" name="AutoShape 46">
          <a:extLst>
            <a:ext uri="{FF2B5EF4-FFF2-40B4-BE49-F238E27FC236}">
              <a16:creationId xmlns:a16="http://schemas.microsoft.com/office/drawing/2014/main" id="{F183A669-318E-4B95-A6C2-DB991D9375D6}"/>
            </a:ext>
          </a:extLst>
        </xdr:cNvPr>
        <xdr:cNvSpPr>
          <a:spLocks noChangeArrowheads="1"/>
        </xdr:cNvSpPr>
      </xdr:nvSpPr>
      <xdr:spPr bwMode="auto">
        <a:xfrm>
          <a:off x="100584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293" name="AutoShape 46">
          <a:extLst>
            <a:ext uri="{FF2B5EF4-FFF2-40B4-BE49-F238E27FC236}">
              <a16:creationId xmlns:a16="http://schemas.microsoft.com/office/drawing/2014/main" id="{B3ED896C-8E7D-4FC8-B48A-24B280E25168}"/>
            </a:ext>
          </a:extLst>
        </xdr:cNvPr>
        <xdr:cNvSpPr>
          <a:spLocks noChangeArrowheads="1"/>
        </xdr:cNvSpPr>
      </xdr:nvSpPr>
      <xdr:spPr bwMode="auto">
        <a:xfrm>
          <a:off x="109855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294" name="AutoShape 46">
          <a:extLst>
            <a:ext uri="{FF2B5EF4-FFF2-40B4-BE49-F238E27FC236}">
              <a16:creationId xmlns:a16="http://schemas.microsoft.com/office/drawing/2014/main" id="{6B0BAE17-33E1-44EC-9CF0-784B66D906B0}"/>
            </a:ext>
          </a:extLst>
        </xdr:cNvPr>
        <xdr:cNvSpPr>
          <a:spLocks noChangeArrowheads="1"/>
        </xdr:cNvSpPr>
      </xdr:nvSpPr>
      <xdr:spPr bwMode="auto">
        <a:xfrm>
          <a:off x="11912600" y="232029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295" name="AutoShape 46">
          <a:extLst>
            <a:ext uri="{FF2B5EF4-FFF2-40B4-BE49-F238E27FC236}">
              <a16:creationId xmlns:a16="http://schemas.microsoft.com/office/drawing/2014/main" id="{632AA71F-3398-455D-9390-0B9576DF30D2}"/>
            </a:ext>
          </a:extLst>
        </xdr:cNvPr>
        <xdr:cNvSpPr>
          <a:spLocks noChangeArrowheads="1"/>
        </xdr:cNvSpPr>
      </xdr:nvSpPr>
      <xdr:spPr bwMode="auto">
        <a:xfrm>
          <a:off x="1289685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92</xdr:row>
      <xdr:rowOff>57150</xdr:rowOff>
    </xdr:from>
    <xdr:to>
      <xdr:col>16</xdr:col>
      <xdr:colOff>0</xdr:colOff>
      <xdr:row>93</xdr:row>
      <xdr:rowOff>190500</xdr:rowOff>
    </xdr:to>
    <xdr:sp macro="" textlink="">
      <xdr:nvSpPr>
        <xdr:cNvPr id="296" name="AutoShape 46">
          <a:extLst>
            <a:ext uri="{FF2B5EF4-FFF2-40B4-BE49-F238E27FC236}">
              <a16:creationId xmlns:a16="http://schemas.microsoft.com/office/drawing/2014/main" id="{63573C0A-9310-4CF2-89D1-80A431D32DD8}"/>
            </a:ext>
          </a:extLst>
        </xdr:cNvPr>
        <xdr:cNvSpPr>
          <a:spLocks noChangeArrowheads="1"/>
        </xdr:cNvSpPr>
      </xdr:nvSpPr>
      <xdr:spPr bwMode="auto">
        <a:xfrm>
          <a:off x="72771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97" name="AutoShape 46">
          <a:extLst>
            <a:ext uri="{FF2B5EF4-FFF2-40B4-BE49-F238E27FC236}">
              <a16:creationId xmlns:a16="http://schemas.microsoft.com/office/drawing/2014/main" id="{7AF95637-D1DE-49AB-B186-E432A0D5A11F}"/>
            </a:ext>
          </a:extLst>
        </xdr:cNvPr>
        <xdr:cNvSpPr>
          <a:spLocks noChangeArrowheads="1"/>
        </xdr:cNvSpPr>
      </xdr:nvSpPr>
      <xdr:spPr bwMode="auto">
        <a:xfrm>
          <a:off x="82042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98" name="AutoShape 46">
          <a:extLst>
            <a:ext uri="{FF2B5EF4-FFF2-40B4-BE49-F238E27FC236}">
              <a16:creationId xmlns:a16="http://schemas.microsoft.com/office/drawing/2014/main" id="{76E96B78-1B1F-4129-A484-F79DC0F3BF6F}"/>
            </a:ext>
          </a:extLst>
        </xdr:cNvPr>
        <xdr:cNvSpPr>
          <a:spLocks noChangeArrowheads="1"/>
        </xdr:cNvSpPr>
      </xdr:nvSpPr>
      <xdr:spPr bwMode="auto">
        <a:xfrm>
          <a:off x="91313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99" name="AutoShape 46">
          <a:extLst>
            <a:ext uri="{FF2B5EF4-FFF2-40B4-BE49-F238E27FC236}">
              <a16:creationId xmlns:a16="http://schemas.microsoft.com/office/drawing/2014/main" id="{554E4F9F-6D1E-4020-B472-EC73942B36F4}"/>
            </a:ext>
          </a:extLst>
        </xdr:cNvPr>
        <xdr:cNvSpPr>
          <a:spLocks noChangeArrowheads="1"/>
        </xdr:cNvSpPr>
      </xdr:nvSpPr>
      <xdr:spPr bwMode="auto">
        <a:xfrm>
          <a:off x="100584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300" name="AutoShape 46">
          <a:extLst>
            <a:ext uri="{FF2B5EF4-FFF2-40B4-BE49-F238E27FC236}">
              <a16:creationId xmlns:a16="http://schemas.microsoft.com/office/drawing/2014/main" id="{CBF9C993-3F8D-45CC-9D9C-586AFC1DC153}"/>
            </a:ext>
          </a:extLst>
        </xdr:cNvPr>
        <xdr:cNvSpPr>
          <a:spLocks noChangeArrowheads="1"/>
        </xdr:cNvSpPr>
      </xdr:nvSpPr>
      <xdr:spPr bwMode="auto">
        <a:xfrm>
          <a:off x="109855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301" name="AutoShape 46">
          <a:extLst>
            <a:ext uri="{FF2B5EF4-FFF2-40B4-BE49-F238E27FC236}">
              <a16:creationId xmlns:a16="http://schemas.microsoft.com/office/drawing/2014/main" id="{9509A999-D216-4F79-BA62-FCDDBACF7E54}"/>
            </a:ext>
          </a:extLst>
        </xdr:cNvPr>
        <xdr:cNvSpPr>
          <a:spLocks noChangeArrowheads="1"/>
        </xdr:cNvSpPr>
      </xdr:nvSpPr>
      <xdr:spPr bwMode="auto">
        <a:xfrm>
          <a:off x="11912600" y="23202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302" name="AutoShape 46">
          <a:extLst>
            <a:ext uri="{FF2B5EF4-FFF2-40B4-BE49-F238E27FC236}">
              <a16:creationId xmlns:a16="http://schemas.microsoft.com/office/drawing/2014/main" id="{5BD7CB0E-0843-42E6-9F1C-D1D7AE179340}"/>
            </a:ext>
          </a:extLst>
        </xdr:cNvPr>
        <xdr:cNvSpPr>
          <a:spLocks noChangeArrowheads="1"/>
        </xdr:cNvSpPr>
      </xdr:nvSpPr>
      <xdr:spPr bwMode="auto">
        <a:xfrm>
          <a:off x="1289685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100</xdr:row>
      <xdr:rowOff>57150</xdr:rowOff>
    </xdr:from>
    <xdr:to>
      <xdr:col>2</xdr:col>
      <xdr:colOff>0</xdr:colOff>
      <xdr:row>101</xdr:row>
      <xdr:rowOff>190500</xdr:rowOff>
    </xdr:to>
    <xdr:sp macro="" textlink="">
      <xdr:nvSpPr>
        <xdr:cNvPr id="303" name="AutoShape 46">
          <a:extLst>
            <a:ext uri="{FF2B5EF4-FFF2-40B4-BE49-F238E27FC236}">
              <a16:creationId xmlns:a16="http://schemas.microsoft.com/office/drawing/2014/main" id="{924AA98E-C4A0-48A1-AE5E-D3290D0B7929}"/>
            </a:ext>
          </a:extLst>
        </xdr:cNvPr>
        <xdr:cNvSpPr>
          <a:spLocks noChangeArrowheads="1"/>
        </xdr:cNvSpPr>
      </xdr:nvSpPr>
      <xdr:spPr bwMode="auto">
        <a:xfrm>
          <a:off x="6096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100</xdr:row>
      <xdr:rowOff>57150</xdr:rowOff>
    </xdr:from>
    <xdr:to>
      <xdr:col>4</xdr:col>
      <xdr:colOff>0</xdr:colOff>
      <xdr:row>101</xdr:row>
      <xdr:rowOff>190500</xdr:rowOff>
    </xdr:to>
    <xdr:sp macro="" textlink="">
      <xdr:nvSpPr>
        <xdr:cNvPr id="304" name="AutoShape 46">
          <a:extLst>
            <a:ext uri="{FF2B5EF4-FFF2-40B4-BE49-F238E27FC236}">
              <a16:creationId xmlns:a16="http://schemas.microsoft.com/office/drawing/2014/main" id="{42C82BFB-D946-4B9A-A642-EBC8C023CAC6}"/>
            </a:ext>
          </a:extLst>
        </xdr:cNvPr>
        <xdr:cNvSpPr>
          <a:spLocks noChangeArrowheads="1"/>
        </xdr:cNvSpPr>
      </xdr:nvSpPr>
      <xdr:spPr bwMode="auto">
        <a:xfrm>
          <a:off x="1536700" y="25146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100</xdr:row>
      <xdr:rowOff>57150</xdr:rowOff>
    </xdr:from>
    <xdr:to>
      <xdr:col>6</xdr:col>
      <xdr:colOff>0</xdr:colOff>
      <xdr:row>101</xdr:row>
      <xdr:rowOff>190500</xdr:rowOff>
    </xdr:to>
    <xdr:sp macro="" textlink="">
      <xdr:nvSpPr>
        <xdr:cNvPr id="305" name="AutoShape 46">
          <a:extLst>
            <a:ext uri="{FF2B5EF4-FFF2-40B4-BE49-F238E27FC236}">
              <a16:creationId xmlns:a16="http://schemas.microsoft.com/office/drawing/2014/main" id="{491C34AE-2C0C-49C1-88F0-2CDBE288C4BE}"/>
            </a:ext>
          </a:extLst>
        </xdr:cNvPr>
        <xdr:cNvSpPr>
          <a:spLocks noChangeArrowheads="1"/>
        </xdr:cNvSpPr>
      </xdr:nvSpPr>
      <xdr:spPr bwMode="auto">
        <a:xfrm>
          <a:off x="2520950" y="25146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100</xdr:row>
      <xdr:rowOff>57150</xdr:rowOff>
    </xdr:from>
    <xdr:to>
      <xdr:col>8</xdr:col>
      <xdr:colOff>0</xdr:colOff>
      <xdr:row>101</xdr:row>
      <xdr:rowOff>190500</xdr:rowOff>
    </xdr:to>
    <xdr:sp macro="" textlink="">
      <xdr:nvSpPr>
        <xdr:cNvPr id="306" name="AutoShape 46">
          <a:extLst>
            <a:ext uri="{FF2B5EF4-FFF2-40B4-BE49-F238E27FC236}">
              <a16:creationId xmlns:a16="http://schemas.microsoft.com/office/drawing/2014/main" id="{0E366170-4C10-4560-A9F4-AC165619E756}"/>
            </a:ext>
          </a:extLst>
        </xdr:cNvPr>
        <xdr:cNvSpPr>
          <a:spLocks noChangeArrowheads="1"/>
        </xdr:cNvSpPr>
      </xdr:nvSpPr>
      <xdr:spPr bwMode="auto">
        <a:xfrm>
          <a:off x="3498850" y="25146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100</xdr:row>
      <xdr:rowOff>57150</xdr:rowOff>
    </xdr:from>
    <xdr:to>
      <xdr:col>10</xdr:col>
      <xdr:colOff>0</xdr:colOff>
      <xdr:row>101</xdr:row>
      <xdr:rowOff>190500</xdr:rowOff>
    </xdr:to>
    <xdr:sp macro="" textlink="">
      <xdr:nvSpPr>
        <xdr:cNvPr id="307" name="AutoShape 46">
          <a:extLst>
            <a:ext uri="{FF2B5EF4-FFF2-40B4-BE49-F238E27FC236}">
              <a16:creationId xmlns:a16="http://schemas.microsoft.com/office/drawing/2014/main" id="{73B07860-5A51-4629-9353-986F063B7517}"/>
            </a:ext>
          </a:extLst>
        </xdr:cNvPr>
        <xdr:cNvSpPr>
          <a:spLocks noChangeArrowheads="1"/>
        </xdr:cNvSpPr>
      </xdr:nvSpPr>
      <xdr:spPr bwMode="auto">
        <a:xfrm>
          <a:off x="44958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100</xdr:row>
      <xdr:rowOff>57150</xdr:rowOff>
    </xdr:from>
    <xdr:to>
      <xdr:col>14</xdr:col>
      <xdr:colOff>0</xdr:colOff>
      <xdr:row>101</xdr:row>
      <xdr:rowOff>190500</xdr:rowOff>
    </xdr:to>
    <xdr:sp macro="" textlink="">
      <xdr:nvSpPr>
        <xdr:cNvPr id="308" name="AutoShape 46">
          <a:extLst>
            <a:ext uri="{FF2B5EF4-FFF2-40B4-BE49-F238E27FC236}">
              <a16:creationId xmlns:a16="http://schemas.microsoft.com/office/drawing/2014/main" id="{53A81B23-0A3B-44C5-B978-5E18A917BBA6}"/>
            </a:ext>
          </a:extLst>
        </xdr:cNvPr>
        <xdr:cNvSpPr>
          <a:spLocks noChangeArrowheads="1"/>
        </xdr:cNvSpPr>
      </xdr:nvSpPr>
      <xdr:spPr bwMode="auto">
        <a:xfrm>
          <a:off x="54229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100</xdr:row>
      <xdr:rowOff>57150</xdr:rowOff>
    </xdr:from>
    <xdr:to>
      <xdr:col>16</xdr:col>
      <xdr:colOff>0</xdr:colOff>
      <xdr:row>101</xdr:row>
      <xdr:rowOff>190500</xdr:rowOff>
    </xdr:to>
    <xdr:sp macro="" textlink="">
      <xdr:nvSpPr>
        <xdr:cNvPr id="309" name="AutoShape 46">
          <a:extLst>
            <a:ext uri="{FF2B5EF4-FFF2-40B4-BE49-F238E27FC236}">
              <a16:creationId xmlns:a16="http://schemas.microsoft.com/office/drawing/2014/main" id="{184E5D4D-20C4-444C-A0BB-BA737786D4CA}"/>
            </a:ext>
          </a:extLst>
        </xdr:cNvPr>
        <xdr:cNvSpPr>
          <a:spLocks noChangeArrowheads="1"/>
        </xdr:cNvSpPr>
      </xdr:nvSpPr>
      <xdr:spPr bwMode="auto">
        <a:xfrm>
          <a:off x="63500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100</xdr:row>
      <xdr:rowOff>57150</xdr:rowOff>
    </xdr:from>
    <xdr:to>
      <xdr:col>18</xdr:col>
      <xdr:colOff>0</xdr:colOff>
      <xdr:row>101</xdr:row>
      <xdr:rowOff>190500</xdr:rowOff>
    </xdr:to>
    <xdr:sp macro="" textlink="">
      <xdr:nvSpPr>
        <xdr:cNvPr id="310" name="AutoShape 46">
          <a:extLst>
            <a:ext uri="{FF2B5EF4-FFF2-40B4-BE49-F238E27FC236}">
              <a16:creationId xmlns:a16="http://schemas.microsoft.com/office/drawing/2014/main" id="{D67FFEA8-115E-4FE7-B9DA-F275A59505E9}"/>
            </a:ext>
          </a:extLst>
        </xdr:cNvPr>
        <xdr:cNvSpPr>
          <a:spLocks noChangeArrowheads="1"/>
        </xdr:cNvSpPr>
      </xdr:nvSpPr>
      <xdr:spPr bwMode="auto">
        <a:xfrm>
          <a:off x="72771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11" name="AutoShape 46">
          <a:extLst>
            <a:ext uri="{FF2B5EF4-FFF2-40B4-BE49-F238E27FC236}">
              <a16:creationId xmlns:a16="http://schemas.microsoft.com/office/drawing/2014/main" id="{17263FE3-C6A2-4E41-B708-584FEEE3C072}"/>
            </a:ext>
          </a:extLst>
        </xdr:cNvPr>
        <xdr:cNvSpPr>
          <a:spLocks noChangeArrowheads="1"/>
        </xdr:cNvSpPr>
      </xdr:nvSpPr>
      <xdr:spPr bwMode="auto">
        <a:xfrm>
          <a:off x="82042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12" name="AutoShape 46">
          <a:extLst>
            <a:ext uri="{FF2B5EF4-FFF2-40B4-BE49-F238E27FC236}">
              <a16:creationId xmlns:a16="http://schemas.microsoft.com/office/drawing/2014/main" id="{66FACA1A-AC8B-4C58-AEE5-44BBDA9664A6}"/>
            </a:ext>
          </a:extLst>
        </xdr:cNvPr>
        <xdr:cNvSpPr>
          <a:spLocks noChangeArrowheads="1"/>
        </xdr:cNvSpPr>
      </xdr:nvSpPr>
      <xdr:spPr bwMode="auto">
        <a:xfrm>
          <a:off x="91313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13" name="AutoShape 46">
          <a:extLst>
            <a:ext uri="{FF2B5EF4-FFF2-40B4-BE49-F238E27FC236}">
              <a16:creationId xmlns:a16="http://schemas.microsoft.com/office/drawing/2014/main" id="{003A2919-53C3-44BD-B280-03EFFB0E03ED}"/>
            </a:ext>
          </a:extLst>
        </xdr:cNvPr>
        <xdr:cNvSpPr>
          <a:spLocks noChangeArrowheads="1"/>
        </xdr:cNvSpPr>
      </xdr:nvSpPr>
      <xdr:spPr bwMode="auto">
        <a:xfrm>
          <a:off x="100584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14" name="AutoShape 46">
          <a:extLst>
            <a:ext uri="{FF2B5EF4-FFF2-40B4-BE49-F238E27FC236}">
              <a16:creationId xmlns:a16="http://schemas.microsoft.com/office/drawing/2014/main" id="{17C7DF81-AF43-4354-85C7-FD2249669599}"/>
            </a:ext>
          </a:extLst>
        </xdr:cNvPr>
        <xdr:cNvSpPr>
          <a:spLocks noChangeArrowheads="1"/>
        </xdr:cNvSpPr>
      </xdr:nvSpPr>
      <xdr:spPr bwMode="auto">
        <a:xfrm>
          <a:off x="109855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15" name="AutoShape 46">
          <a:extLst>
            <a:ext uri="{FF2B5EF4-FFF2-40B4-BE49-F238E27FC236}">
              <a16:creationId xmlns:a16="http://schemas.microsoft.com/office/drawing/2014/main" id="{EF1F17A8-EC43-498E-B79D-8CF07A38B593}"/>
            </a:ext>
          </a:extLst>
        </xdr:cNvPr>
        <xdr:cNvSpPr>
          <a:spLocks noChangeArrowheads="1"/>
        </xdr:cNvSpPr>
      </xdr:nvSpPr>
      <xdr:spPr bwMode="auto">
        <a:xfrm>
          <a:off x="11912600" y="25146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16" name="AutoShape 46">
          <a:extLst>
            <a:ext uri="{FF2B5EF4-FFF2-40B4-BE49-F238E27FC236}">
              <a16:creationId xmlns:a16="http://schemas.microsoft.com/office/drawing/2014/main" id="{A35AF12F-D8DE-4CC9-8B11-06087CF9FDB4}"/>
            </a:ext>
          </a:extLst>
        </xdr:cNvPr>
        <xdr:cNvSpPr>
          <a:spLocks noChangeArrowheads="1"/>
        </xdr:cNvSpPr>
      </xdr:nvSpPr>
      <xdr:spPr bwMode="auto">
        <a:xfrm>
          <a:off x="1289685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17" name="AutoShape 46">
          <a:extLst>
            <a:ext uri="{FF2B5EF4-FFF2-40B4-BE49-F238E27FC236}">
              <a16:creationId xmlns:a16="http://schemas.microsoft.com/office/drawing/2014/main" id="{3F87A72A-F03B-462A-86AE-331F7D490EAD}"/>
            </a:ext>
          </a:extLst>
        </xdr:cNvPr>
        <xdr:cNvSpPr>
          <a:spLocks noChangeArrowheads="1"/>
        </xdr:cNvSpPr>
      </xdr:nvSpPr>
      <xdr:spPr bwMode="auto">
        <a:xfrm>
          <a:off x="82042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18" name="AutoShape 46">
          <a:extLst>
            <a:ext uri="{FF2B5EF4-FFF2-40B4-BE49-F238E27FC236}">
              <a16:creationId xmlns:a16="http://schemas.microsoft.com/office/drawing/2014/main" id="{E8D8F99C-7957-46FB-8495-CAB52C729688}"/>
            </a:ext>
          </a:extLst>
        </xdr:cNvPr>
        <xdr:cNvSpPr>
          <a:spLocks noChangeArrowheads="1"/>
        </xdr:cNvSpPr>
      </xdr:nvSpPr>
      <xdr:spPr bwMode="auto">
        <a:xfrm>
          <a:off x="91313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19" name="AutoShape 46">
          <a:extLst>
            <a:ext uri="{FF2B5EF4-FFF2-40B4-BE49-F238E27FC236}">
              <a16:creationId xmlns:a16="http://schemas.microsoft.com/office/drawing/2014/main" id="{C88C33D0-A483-4DD4-8A8E-7971F028EC5D}"/>
            </a:ext>
          </a:extLst>
        </xdr:cNvPr>
        <xdr:cNvSpPr>
          <a:spLocks noChangeArrowheads="1"/>
        </xdr:cNvSpPr>
      </xdr:nvSpPr>
      <xdr:spPr bwMode="auto">
        <a:xfrm>
          <a:off x="100584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20" name="AutoShape 46">
          <a:extLst>
            <a:ext uri="{FF2B5EF4-FFF2-40B4-BE49-F238E27FC236}">
              <a16:creationId xmlns:a16="http://schemas.microsoft.com/office/drawing/2014/main" id="{58E5CE4A-04E9-42F7-AB54-F0C25145A028}"/>
            </a:ext>
          </a:extLst>
        </xdr:cNvPr>
        <xdr:cNvSpPr>
          <a:spLocks noChangeArrowheads="1"/>
        </xdr:cNvSpPr>
      </xdr:nvSpPr>
      <xdr:spPr bwMode="auto">
        <a:xfrm>
          <a:off x="109855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21" name="AutoShape 46">
          <a:extLst>
            <a:ext uri="{FF2B5EF4-FFF2-40B4-BE49-F238E27FC236}">
              <a16:creationId xmlns:a16="http://schemas.microsoft.com/office/drawing/2014/main" id="{EEF2A479-1BD1-42C5-BD42-E3657F1881A1}"/>
            </a:ext>
          </a:extLst>
        </xdr:cNvPr>
        <xdr:cNvSpPr>
          <a:spLocks noChangeArrowheads="1"/>
        </xdr:cNvSpPr>
      </xdr:nvSpPr>
      <xdr:spPr bwMode="auto">
        <a:xfrm>
          <a:off x="11912600" y="251460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22" name="AutoShape 46">
          <a:extLst>
            <a:ext uri="{FF2B5EF4-FFF2-40B4-BE49-F238E27FC236}">
              <a16:creationId xmlns:a16="http://schemas.microsoft.com/office/drawing/2014/main" id="{325B4582-12D1-4FC4-81AB-C47DB72CAE4B}"/>
            </a:ext>
          </a:extLst>
        </xdr:cNvPr>
        <xdr:cNvSpPr>
          <a:spLocks noChangeArrowheads="1"/>
        </xdr:cNvSpPr>
      </xdr:nvSpPr>
      <xdr:spPr bwMode="auto">
        <a:xfrm>
          <a:off x="1289685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100</xdr:row>
      <xdr:rowOff>57150</xdr:rowOff>
    </xdr:from>
    <xdr:to>
      <xdr:col>18</xdr:col>
      <xdr:colOff>0</xdr:colOff>
      <xdr:row>101</xdr:row>
      <xdr:rowOff>190500</xdr:rowOff>
    </xdr:to>
    <xdr:sp macro="" textlink="">
      <xdr:nvSpPr>
        <xdr:cNvPr id="323" name="AutoShape 46">
          <a:extLst>
            <a:ext uri="{FF2B5EF4-FFF2-40B4-BE49-F238E27FC236}">
              <a16:creationId xmlns:a16="http://schemas.microsoft.com/office/drawing/2014/main" id="{E15E7181-126D-405A-9C09-913B52185FC3}"/>
            </a:ext>
          </a:extLst>
        </xdr:cNvPr>
        <xdr:cNvSpPr>
          <a:spLocks noChangeArrowheads="1"/>
        </xdr:cNvSpPr>
      </xdr:nvSpPr>
      <xdr:spPr bwMode="auto">
        <a:xfrm>
          <a:off x="72771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24" name="AutoShape 46">
          <a:extLst>
            <a:ext uri="{FF2B5EF4-FFF2-40B4-BE49-F238E27FC236}">
              <a16:creationId xmlns:a16="http://schemas.microsoft.com/office/drawing/2014/main" id="{29B769F1-45B0-4D7B-B2D6-E27A3F82D4A9}"/>
            </a:ext>
          </a:extLst>
        </xdr:cNvPr>
        <xdr:cNvSpPr>
          <a:spLocks noChangeArrowheads="1"/>
        </xdr:cNvSpPr>
      </xdr:nvSpPr>
      <xdr:spPr bwMode="auto">
        <a:xfrm>
          <a:off x="82042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25" name="AutoShape 46">
          <a:extLst>
            <a:ext uri="{FF2B5EF4-FFF2-40B4-BE49-F238E27FC236}">
              <a16:creationId xmlns:a16="http://schemas.microsoft.com/office/drawing/2014/main" id="{7DC97930-9374-4E53-B501-5DE1018C1649}"/>
            </a:ext>
          </a:extLst>
        </xdr:cNvPr>
        <xdr:cNvSpPr>
          <a:spLocks noChangeArrowheads="1"/>
        </xdr:cNvSpPr>
      </xdr:nvSpPr>
      <xdr:spPr bwMode="auto">
        <a:xfrm>
          <a:off x="91313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26" name="AutoShape 46">
          <a:extLst>
            <a:ext uri="{FF2B5EF4-FFF2-40B4-BE49-F238E27FC236}">
              <a16:creationId xmlns:a16="http://schemas.microsoft.com/office/drawing/2014/main" id="{7C2333E5-94B9-45B0-A6AF-661418BA6532}"/>
            </a:ext>
          </a:extLst>
        </xdr:cNvPr>
        <xdr:cNvSpPr>
          <a:spLocks noChangeArrowheads="1"/>
        </xdr:cNvSpPr>
      </xdr:nvSpPr>
      <xdr:spPr bwMode="auto">
        <a:xfrm>
          <a:off x="100584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27" name="AutoShape 46">
          <a:extLst>
            <a:ext uri="{FF2B5EF4-FFF2-40B4-BE49-F238E27FC236}">
              <a16:creationId xmlns:a16="http://schemas.microsoft.com/office/drawing/2014/main" id="{09AA9F57-0A23-492C-98AB-78CB0CD89108}"/>
            </a:ext>
          </a:extLst>
        </xdr:cNvPr>
        <xdr:cNvSpPr>
          <a:spLocks noChangeArrowheads="1"/>
        </xdr:cNvSpPr>
      </xdr:nvSpPr>
      <xdr:spPr bwMode="auto">
        <a:xfrm>
          <a:off x="109855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28" name="AutoShape 46">
          <a:extLst>
            <a:ext uri="{FF2B5EF4-FFF2-40B4-BE49-F238E27FC236}">
              <a16:creationId xmlns:a16="http://schemas.microsoft.com/office/drawing/2014/main" id="{F9D1BCD8-EE27-4860-BBC1-B9F094350585}"/>
            </a:ext>
          </a:extLst>
        </xdr:cNvPr>
        <xdr:cNvSpPr>
          <a:spLocks noChangeArrowheads="1"/>
        </xdr:cNvSpPr>
      </xdr:nvSpPr>
      <xdr:spPr bwMode="auto">
        <a:xfrm>
          <a:off x="11912600" y="25146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29" name="AutoShape 46">
          <a:extLst>
            <a:ext uri="{FF2B5EF4-FFF2-40B4-BE49-F238E27FC236}">
              <a16:creationId xmlns:a16="http://schemas.microsoft.com/office/drawing/2014/main" id="{51150045-239C-4CDC-A649-464ACBEF1A50}"/>
            </a:ext>
          </a:extLst>
        </xdr:cNvPr>
        <xdr:cNvSpPr>
          <a:spLocks noChangeArrowheads="1"/>
        </xdr:cNvSpPr>
      </xdr:nvSpPr>
      <xdr:spPr bwMode="auto">
        <a:xfrm>
          <a:off x="1289685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108</xdr:row>
      <xdr:rowOff>57150</xdr:rowOff>
    </xdr:from>
    <xdr:to>
      <xdr:col>2</xdr:col>
      <xdr:colOff>0</xdr:colOff>
      <xdr:row>109</xdr:row>
      <xdr:rowOff>190500</xdr:rowOff>
    </xdr:to>
    <xdr:sp macro="" textlink="">
      <xdr:nvSpPr>
        <xdr:cNvPr id="330" name="AutoShape 46">
          <a:extLst>
            <a:ext uri="{FF2B5EF4-FFF2-40B4-BE49-F238E27FC236}">
              <a16:creationId xmlns:a16="http://schemas.microsoft.com/office/drawing/2014/main" id="{8457C5B4-51D8-42D3-ABE6-199F879C19F1}"/>
            </a:ext>
          </a:extLst>
        </xdr:cNvPr>
        <xdr:cNvSpPr>
          <a:spLocks noChangeArrowheads="1"/>
        </xdr:cNvSpPr>
      </xdr:nvSpPr>
      <xdr:spPr bwMode="auto">
        <a:xfrm>
          <a:off x="6096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108</xdr:row>
      <xdr:rowOff>57150</xdr:rowOff>
    </xdr:from>
    <xdr:to>
      <xdr:col>4</xdr:col>
      <xdr:colOff>0</xdr:colOff>
      <xdr:row>109</xdr:row>
      <xdr:rowOff>190500</xdr:rowOff>
    </xdr:to>
    <xdr:sp macro="" textlink="">
      <xdr:nvSpPr>
        <xdr:cNvPr id="331" name="AutoShape 46">
          <a:extLst>
            <a:ext uri="{FF2B5EF4-FFF2-40B4-BE49-F238E27FC236}">
              <a16:creationId xmlns:a16="http://schemas.microsoft.com/office/drawing/2014/main" id="{C6B072E7-BB7F-4430-B6DF-D6D9F64B4B31}"/>
            </a:ext>
          </a:extLst>
        </xdr:cNvPr>
        <xdr:cNvSpPr>
          <a:spLocks noChangeArrowheads="1"/>
        </xdr:cNvSpPr>
      </xdr:nvSpPr>
      <xdr:spPr bwMode="auto">
        <a:xfrm>
          <a:off x="1536700" y="27076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108</xdr:row>
      <xdr:rowOff>57150</xdr:rowOff>
    </xdr:from>
    <xdr:to>
      <xdr:col>6</xdr:col>
      <xdr:colOff>0</xdr:colOff>
      <xdr:row>109</xdr:row>
      <xdr:rowOff>190500</xdr:rowOff>
    </xdr:to>
    <xdr:sp macro="" textlink="">
      <xdr:nvSpPr>
        <xdr:cNvPr id="332" name="AutoShape 46">
          <a:extLst>
            <a:ext uri="{FF2B5EF4-FFF2-40B4-BE49-F238E27FC236}">
              <a16:creationId xmlns:a16="http://schemas.microsoft.com/office/drawing/2014/main" id="{34472706-B232-4143-80F9-3E2966F6D826}"/>
            </a:ext>
          </a:extLst>
        </xdr:cNvPr>
        <xdr:cNvSpPr>
          <a:spLocks noChangeArrowheads="1"/>
        </xdr:cNvSpPr>
      </xdr:nvSpPr>
      <xdr:spPr bwMode="auto">
        <a:xfrm>
          <a:off x="2520950" y="27076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108</xdr:row>
      <xdr:rowOff>57150</xdr:rowOff>
    </xdr:from>
    <xdr:to>
      <xdr:col>8</xdr:col>
      <xdr:colOff>0</xdr:colOff>
      <xdr:row>109</xdr:row>
      <xdr:rowOff>190500</xdr:rowOff>
    </xdr:to>
    <xdr:sp macro="" textlink="">
      <xdr:nvSpPr>
        <xdr:cNvPr id="333" name="AutoShape 46">
          <a:extLst>
            <a:ext uri="{FF2B5EF4-FFF2-40B4-BE49-F238E27FC236}">
              <a16:creationId xmlns:a16="http://schemas.microsoft.com/office/drawing/2014/main" id="{E79B1B91-5DE8-4796-A5C5-885BC48D72CF}"/>
            </a:ext>
          </a:extLst>
        </xdr:cNvPr>
        <xdr:cNvSpPr>
          <a:spLocks noChangeArrowheads="1"/>
        </xdr:cNvSpPr>
      </xdr:nvSpPr>
      <xdr:spPr bwMode="auto">
        <a:xfrm>
          <a:off x="3498850" y="27076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108</xdr:row>
      <xdr:rowOff>57150</xdr:rowOff>
    </xdr:from>
    <xdr:to>
      <xdr:col>10</xdr:col>
      <xdr:colOff>0</xdr:colOff>
      <xdr:row>109</xdr:row>
      <xdr:rowOff>190500</xdr:rowOff>
    </xdr:to>
    <xdr:sp macro="" textlink="">
      <xdr:nvSpPr>
        <xdr:cNvPr id="334" name="AutoShape 46">
          <a:extLst>
            <a:ext uri="{FF2B5EF4-FFF2-40B4-BE49-F238E27FC236}">
              <a16:creationId xmlns:a16="http://schemas.microsoft.com/office/drawing/2014/main" id="{507C8387-68F3-44CE-BE0E-CE5313A2332F}"/>
            </a:ext>
          </a:extLst>
        </xdr:cNvPr>
        <xdr:cNvSpPr>
          <a:spLocks noChangeArrowheads="1"/>
        </xdr:cNvSpPr>
      </xdr:nvSpPr>
      <xdr:spPr bwMode="auto">
        <a:xfrm>
          <a:off x="44958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108</xdr:row>
      <xdr:rowOff>57150</xdr:rowOff>
    </xdr:from>
    <xdr:to>
      <xdr:col>12</xdr:col>
      <xdr:colOff>0</xdr:colOff>
      <xdr:row>109</xdr:row>
      <xdr:rowOff>190500</xdr:rowOff>
    </xdr:to>
    <xdr:sp macro="" textlink="">
      <xdr:nvSpPr>
        <xdr:cNvPr id="335" name="AutoShape 46">
          <a:extLst>
            <a:ext uri="{FF2B5EF4-FFF2-40B4-BE49-F238E27FC236}">
              <a16:creationId xmlns:a16="http://schemas.microsoft.com/office/drawing/2014/main" id="{BEC9D97F-35C6-4E34-9B19-AA798E7220FB}"/>
            </a:ext>
          </a:extLst>
        </xdr:cNvPr>
        <xdr:cNvSpPr>
          <a:spLocks noChangeArrowheads="1"/>
        </xdr:cNvSpPr>
      </xdr:nvSpPr>
      <xdr:spPr bwMode="auto">
        <a:xfrm>
          <a:off x="54229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108</xdr:row>
      <xdr:rowOff>57150</xdr:rowOff>
    </xdr:from>
    <xdr:to>
      <xdr:col>14</xdr:col>
      <xdr:colOff>0</xdr:colOff>
      <xdr:row>109</xdr:row>
      <xdr:rowOff>190500</xdr:rowOff>
    </xdr:to>
    <xdr:sp macro="" textlink="">
      <xdr:nvSpPr>
        <xdr:cNvPr id="336" name="AutoShape 46">
          <a:extLst>
            <a:ext uri="{FF2B5EF4-FFF2-40B4-BE49-F238E27FC236}">
              <a16:creationId xmlns:a16="http://schemas.microsoft.com/office/drawing/2014/main" id="{385E97C4-19E1-4D4F-9170-A34E63AFDA90}"/>
            </a:ext>
          </a:extLst>
        </xdr:cNvPr>
        <xdr:cNvSpPr>
          <a:spLocks noChangeArrowheads="1"/>
        </xdr:cNvSpPr>
      </xdr:nvSpPr>
      <xdr:spPr bwMode="auto">
        <a:xfrm>
          <a:off x="63500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108</xdr:row>
      <xdr:rowOff>57150</xdr:rowOff>
    </xdr:from>
    <xdr:to>
      <xdr:col>16</xdr:col>
      <xdr:colOff>0</xdr:colOff>
      <xdr:row>109</xdr:row>
      <xdr:rowOff>190500</xdr:rowOff>
    </xdr:to>
    <xdr:sp macro="" textlink="">
      <xdr:nvSpPr>
        <xdr:cNvPr id="337" name="AutoShape 46">
          <a:extLst>
            <a:ext uri="{FF2B5EF4-FFF2-40B4-BE49-F238E27FC236}">
              <a16:creationId xmlns:a16="http://schemas.microsoft.com/office/drawing/2014/main" id="{EC4F1A01-F61C-4BFA-A5A9-E7D2A8039972}"/>
            </a:ext>
          </a:extLst>
        </xdr:cNvPr>
        <xdr:cNvSpPr>
          <a:spLocks noChangeArrowheads="1"/>
        </xdr:cNvSpPr>
      </xdr:nvSpPr>
      <xdr:spPr bwMode="auto">
        <a:xfrm>
          <a:off x="72771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38" name="AutoShape 46">
          <a:extLst>
            <a:ext uri="{FF2B5EF4-FFF2-40B4-BE49-F238E27FC236}">
              <a16:creationId xmlns:a16="http://schemas.microsoft.com/office/drawing/2014/main" id="{12F54DFF-835A-4557-BD9A-67812221790A}"/>
            </a:ext>
          </a:extLst>
        </xdr:cNvPr>
        <xdr:cNvSpPr>
          <a:spLocks noChangeArrowheads="1"/>
        </xdr:cNvSpPr>
      </xdr:nvSpPr>
      <xdr:spPr bwMode="auto">
        <a:xfrm>
          <a:off x="82042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39" name="AutoShape 46">
          <a:extLst>
            <a:ext uri="{FF2B5EF4-FFF2-40B4-BE49-F238E27FC236}">
              <a16:creationId xmlns:a16="http://schemas.microsoft.com/office/drawing/2014/main" id="{5A86899D-BAE7-4940-88F9-76132C3DA5B7}"/>
            </a:ext>
          </a:extLst>
        </xdr:cNvPr>
        <xdr:cNvSpPr>
          <a:spLocks noChangeArrowheads="1"/>
        </xdr:cNvSpPr>
      </xdr:nvSpPr>
      <xdr:spPr bwMode="auto">
        <a:xfrm>
          <a:off x="91313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40" name="AutoShape 46">
          <a:extLst>
            <a:ext uri="{FF2B5EF4-FFF2-40B4-BE49-F238E27FC236}">
              <a16:creationId xmlns:a16="http://schemas.microsoft.com/office/drawing/2014/main" id="{BB87D42A-B966-4167-A1BB-7F9695D69A22}"/>
            </a:ext>
          </a:extLst>
        </xdr:cNvPr>
        <xdr:cNvSpPr>
          <a:spLocks noChangeArrowheads="1"/>
        </xdr:cNvSpPr>
      </xdr:nvSpPr>
      <xdr:spPr bwMode="auto">
        <a:xfrm>
          <a:off x="100584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41" name="AutoShape 46">
          <a:extLst>
            <a:ext uri="{FF2B5EF4-FFF2-40B4-BE49-F238E27FC236}">
              <a16:creationId xmlns:a16="http://schemas.microsoft.com/office/drawing/2014/main" id="{219B5D0E-E0A9-45E1-B9C6-2F62A67C01ED}"/>
            </a:ext>
          </a:extLst>
        </xdr:cNvPr>
        <xdr:cNvSpPr>
          <a:spLocks noChangeArrowheads="1"/>
        </xdr:cNvSpPr>
      </xdr:nvSpPr>
      <xdr:spPr bwMode="auto">
        <a:xfrm>
          <a:off x="109855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42" name="AutoShape 46">
          <a:extLst>
            <a:ext uri="{FF2B5EF4-FFF2-40B4-BE49-F238E27FC236}">
              <a16:creationId xmlns:a16="http://schemas.microsoft.com/office/drawing/2014/main" id="{9CDF01E7-8147-4E14-9D26-BFFE30C7EEDC}"/>
            </a:ext>
          </a:extLst>
        </xdr:cNvPr>
        <xdr:cNvSpPr>
          <a:spLocks noChangeArrowheads="1"/>
        </xdr:cNvSpPr>
      </xdr:nvSpPr>
      <xdr:spPr bwMode="auto">
        <a:xfrm>
          <a:off x="11912600" y="27076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43" name="AutoShape 46">
          <a:extLst>
            <a:ext uri="{FF2B5EF4-FFF2-40B4-BE49-F238E27FC236}">
              <a16:creationId xmlns:a16="http://schemas.microsoft.com/office/drawing/2014/main" id="{ADB6482B-F005-418E-9359-1094B4A5BBB4}"/>
            </a:ext>
          </a:extLst>
        </xdr:cNvPr>
        <xdr:cNvSpPr>
          <a:spLocks noChangeArrowheads="1"/>
        </xdr:cNvSpPr>
      </xdr:nvSpPr>
      <xdr:spPr bwMode="auto">
        <a:xfrm>
          <a:off x="1289685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44" name="AutoShape 46">
          <a:extLst>
            <a:ext uri="{FF2B5EF4-FFF2-40B4-BE49-F238E27FC236}">
              <a16:creationId xmlns:a16="http://schemas.microsoft.com/office/drawing/2014/main" id="{5A9D6BD6-7F07-43A3-9AEB-D498A6965988}"/>
            </a:ext>
          </a:extLst>
        </xdr:cNvPr>
        <xdr:cNvSpPr>
          <a:spLocks noChangeArrowheads="1"/>
        </xdr:cNvSpPr>
      </xdr:nvSpPr>
      <xdr:spPr bwMode="auto">
        <a:xfrm>
          <a:off x="82042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45" name="AutoShape 46">
          <a:extLst>
            <a:ext uri="{FF2B5EF4-FFF2-40B4-BE49-F238E27FC236}">
              <a16:creationId xmlns:a16="http://schemas.microsoft.com/office/drawing/2014/main" id="{3894917A-F866-44CD-8A91-D982969BD63A}"/>
            </a:ext>
          </a:extLst>
        </xdr:cNvPr>
        <xdr:cNvSpPr>
          <a:spLocks noChangeArrowheads="1"/>
        </xdr:cNvSpPr>
      </xdr:nvSpPr>
      <xdr:spPr bwMode="auto">
        <a:xfrm>
          <a:off x="91313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46" name="AutoShape 46">
          <a:extLst>
            <a:ext uri="{FF2B5EF4-FFF2-40B4-BE49-F238E27FC236}">
              <a16:creationId xmlns:a16="http://schemas.microsoft.com/office/drawing/2014/main" id="{01282055-1F71-4CFD-A146-B33D2390F0FE}"/>
            </a:ext>
          </a:extLst>
        </xdr:cNvPr>
        <xdr:cNvSpPr>
          <a:spLocks noChangeArrowheads="1"/>
        </xdr:cNvSpPr>
      </xdr:nvSpPr>
      <xdr:spPr bwMode="auto">
        <a:xfrm>
          <a:off x="100584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47" name="AutoShape 46">
          <a:extLst>
            <a:ext uri="{FF2B5EF4-FFF2-40B4-BE49-F238E27FC236}">
              <a16:creationId xmlns:a16="http://schemas.microsoft.com/office/drawing/2014/main" id="{BF27FDB3-4A64-42D7-8790-D400B88965DA}"/>
            </a:ext>
          </a:extLst>
        </xdr:cNvPr>
        <xdr:cNvSpPr>
          <a:spLocks noChangeArrowheads="1"/>
        </xdr:cNvSpPr>
      </xdr:nvSpPr>
      <xdr:spPr bwMode="auto">
        <a:xfrm>
          <a:off x="109855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48" name="AutoShape 46">
          <a:extLst>
            <a:ext uri="{FF2B5EF4-FFF2-40B4-BE49-F238E27FC236}">
              <a16:creationId xmlns:a16="http://schemas.microsoft.com/office/drawing/2014/main" id="{F69D2656-6692-4FF3-A67C-2F3ED378B54E}"/>
            </a:ext>
          </a:extLst>
        </xdr:cNvPr>
        <xdr:cNvSpPr>
          <a:spLocks noChangeArrowheads="1"/>
        </xdr:cNvSpPr>
      </xdr:nvSpPr>
      <xdr:spPr bwMode="auto">
        <a:xfrm>
          <a:off x="11912600" y="27076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49" name="AutoShape 46">
          <a:extLst>
            <a:ext uri="{FF2B5EF4-FFF2-40B4-BE49-F238E27FC236}">
              <a16:creationId xmlns:a16="http://schemas.microsoft.com/office/drawing/2014/main" id="{F4DE49E1-57B2-4C27-A5FF-4BB87A9C1CF6}"/>
            </a:ext>
          </a:extLst>
        </xdr:cNvPr>
        <xdr:cNvSpPr>
          <a:spLocks noChangeArrowheads="1"/>
        </xdr:cNvSpPr>
      </xdr:nvSpPr>
      <xdr:spPr bwMode="auto">
        <a:xfrm>
          <a:off x="1289685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108</xdr:row>
      <xdr:rowOff>57150</xdr:rowOff>
    </xdr:from>
    <xdr:to>
      <xdr:col>16</xdr:col>
      <xdr:colOff>0</xdr:colOff>
      <xdr:row>109</xdr:row>
      <xdr:rowOff>190500</xdr:rowOff>
    </xdr:to>
    <xdr:sp macro="" textlink="">
      <xdr:nvSpPr>
        <xdr:cNvPr id="350" name="AutoShape 46">
          <a:extLst>
            <a:ext uri="{FF2B5EF4-FFF2-40B4-BE49-F238E27FC236}">
              <a16:creationId xmlns:a16="http://schemas.microsoft.com/office/drawing/2014/main" id="{96ADF1CF-CAC8-45D7-B755-C5A67ED403B0}"/>
            </a:ext>
          </a:extLst>
        </xdr:cNvPr>
        <xdr:cNvSpPr>
          <a:spLocks noChangeArrowheads="1"/>
        </xdr:cNvSpPr>
      </xdr:nvSpPr>
      <xdr:spPr bwMode="auto">
        <a:xfrm>
          <a:off x="72771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51" name="AutoShape 46">
          <a:extLst>
            <a:ext uri="{FF2B5EF4-FFF2-40B4-BE49-F238E27FC236}">
              <a16:creationId xmlns:a16="http://schemas.microsoft.com/office/drawing/2014/main" id="{5B0982E2-4524-4A30-AF38-A0F95DD092EB}"/>
            </a:ext>
          </a:extLst>
        </xdr:cNvPr>
        <xdr:cNvSpPr>
          <a:spLocks noChangeArrowheads="1"/>
        </xdr:cNvSpPr>
      </xdr:nvSpPr>
      <xdr:spPr bwMode="auto">
        <a:xfrm>
          <a:off x="82042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52" name="AutoShape 46">
          <a:extLst>
            <a:ext uri="{FF2B5EF4-FFF2-40B4-BE49-F238E27FC236}">
              <a16:creationId xmlns:a16="http://schemas.microsoft.com/office/drawing/2014/main" id="{B4A8C82E-9DE1-405D-B0AA-5C5682ADFEAF}"/>
            </a:ext>
          </a:extLst>
        </xdr:cNvPr>
        <xdr:cNvSpPr>
          <a:spLocks noChangeArrowheads="1"/>
        </xdr:cNvSpPr>
      </xdr:nvSpPr>
      <xdr:spPr bwMode="auto">
        <a:xfrm>
          <a:off x="91313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53" name="AutoShape 46">
          <a:extLst>
            <a:ext uri="{FF2B5EF4-FFF2-40B4-BE49-F238E27FC236}">
              <a16:creationId xmlns:a16="http://schemas.microsoft.com/office/drawing/2014/main" id="{645F71FD-22D6-4238-87D5-D6AD0D48278A}"/>
            </a:ext>
          </a:extLst>
        </xdr:cNvPr>
        <xdr:cNvSpPr>
          <a:spLocks noChangeArrowheads="1"/>
        </xdr:cNvSpPr>
      </xdr:nvSpPr>
      <xdr:spPr bwMode="auto">
        <a:xfrm>
          <a:off x="100584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54" name="AutoShape 46">
          <a:extLst>
            <a:ext uri="{FF2B5EF4-FFF2-40B4-BE49-F238E27FC236}">
              <a16:creationId xmlns:a16="http://schemas.microsoft.com/office/drawing/2014/main" id="{17DFFE6C-C363-4F29-B407-01DC1B968EB0}"/>
            </a:ext>
          </a:extLst>
        </xdr:cNvPr>
        <xdr:cNvSpPr>
          <a:spLocks noChangeArrowheads="1"/>
        </xdr:cNvSpPr>
      </xdr:nvSpPr>
      <xdr:spPr bwMode="auto">
        <a:xfrm>
          <a:off x="109855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55" name="AutoShape 46">
          <a:extLst>
            <a:ext uri="{FF2B5EF4-FFF2-40B4-BE49-F238E27FC236}">
              <a16:creationId xmlns:a16="http://schemas.microsoft.com/office/drawing/2014/main" id="{BB88BBF9-0878-4481-81DF-B7C8BE1622FE}"/>
            </a:ext>
          </a:extLst>
        </xdr:cNvPr>
        <xdr:cNvSpPr>
          <a:spLocks noChangeArrowheads="1"/>
        </xdr:cNvSpPr>
      </xdr:nvSpPr>
      <xdr:spPr bwMode="auto">
        <a:xfrm>
          <a:off x="11912600" y="27076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56" name="AutoShape 46">
          <a:extLst>
            <a:ext uri="{FF2B5EF4-FFF2-40B4-BE49-F238E27FC236}">
              <a16:creationId xmlns:a16="http://schemas.microsoft.com/office/drawing/2014/main" id="{609B9788-0287-4CE8-A3E6-2D578FF4CD04}"/>
            </a:ext>
          </a:extLst>
        </xdr:cNvPr>
        <xdr:cNvSpPr>
          <a:spLocks noChangeArrowheads="1"/>
        </xdr:cNvSpPr>
      </xdr:nvSpPr>
      <xdr:spPr bwMode="auto">
        <a:xfrm>
          <a:off x="1289685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116</xdr:row>
      <xdr:rowOff>57150</xdr:rowOff>
    </xdr:from>
    <xdr:to>
      <xdr:col>2</xdr:col>
      <xdr:colOff>0</xdr:colOff>
      <xdr:row>117</xdr:row>
      <xdr:rowOff>190500</xdr:rowOff>
    </xdr:to>
    <xdr:sp macro="" textlink="">
      <xdr:nvSpPr>
        <xdr:cNvPr id="357" name="AutoShape 46">
          <a:extLst>
            <a:ext uri="{FF2B5EF4-FFF2-40B4-BE49-F238E27FC236}">
              <a16:creationId xmlns:a16="http://schemas.microsoft.com/office/drawing/2014/main" id="{105C2B5A-E0CF-432E-80B4-DFC78229A919}"/>
            </a:ext>
          </a:extLst>
        </xdr:cNvPr>
        <xdr:cNvSpPr>
          <a:spLocks noChangeArrowheads="1"/>
        </xdr:cNvSpPr>
      </xdr:nvSpPr>
      <xdr:spPr bwMode="auto">
        <a:xfrm>
          <a:off x="6096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116</xdr:row>
      <xdr:rowOff>57150</xdr:rowOff>
    </xdr:from>
    <xdr:to>
      <xdr:col>4</xdr:col>
      <xdr:colOff>0</xdr:colOff>
      <xdr:row>117</xdr:row>
      <xdr:rowOff>190500</xdr:rowOff>
    </xdr:to>
    <xdr:sp macro="" textlink="">
      <xdr:nvSpPr>
        <xdr:cNvPr id="358" name="AutoShape 46">
          <a:extLst>
            <a:ext uri="{FF2B5EF4-FFF2-40B4-BE49-F238E27FC236}">
              <a16:creationId xmlns:a16="http://schemas.microsoft.com/office/drawing/2014/main" id="{470B22F6-353F-4837-BE77-264DB02375FC}"/>
            </a:ext>
          </a:extLst>
        </xdr:cNvPr>
        <xdr:cNvSpPr>
          <a:spLocks noChangeArrowheads="1"/>
        </xdr:cNvSpPr>
      </xdr:nvSpPr>
      <xdr:spPr bwMode="auto">
        <a:xfrm>
          <a:off x="1536700" y="29006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116</xdr:row>
      <xdr:rowOff>57150</xdr:rowOff>
    </xdr:from>
    <xdr:to>
      <xdr:col>6</xdr:col>
      <xdr:colOff>0</xdr:colOff>
      <xdr:row>117</xdr:row>
      <xdr:rowOff>190500</xdr:rowOff>
    </xdr:to>
    <xdr:sp macro="" textlink="">
      <xdr:nvSpPr>
        <xdr:cNvPr id="359" name="AutoShape 46">
          <a:extLst>
            <a:ext uri="{FF2B5EF4-FFF2-40B4-BE49-F238E27FC236}">
              <a16:creationId xmlns:a16="http://schemas.microsoft.com/office/drawing/2014/main" id="{CA01F73A-EDD3-4FF3-A474-6CBC0DF3F806}"/>
            </a:ext>
          </a:extLst>
        </xdr:cNvPr>
        <xdr:cNvSpPr>
          <a:spLocks noChangeArrowheads="1"/>
        </xdr:cNvSpPr>
      </xdr:nvSpPr>
      <xdr:spPr bwMode="auto">
        <a:xfrm>
          <a:off x="2520950" y="29006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116</xdr:row>
      <xdr:rowOff>57150</xdr:rowOff>
    </xdr:from>
    <xdr:to>
      <xdr:col>8</xdr:col>
      <xdr:colOff>0</xdr:colOff>
      <xdr:row>117</xdr:row>
      <xdr:rowOff>190500</xdr:rowOff>
    </xdr:to>
    <xdr:sp macro="" textlink="">
      <xdr:nvSpPr>
        <xdr:cNvPr id="360" name="AutoShape 46">
          <a:extLst>
            <a:ext uri="{FF2B5EF4-FFF2-40B4-BE49-F238E27FC236}">
              <a16:creationId xmlns:a16="http://schemas.microsoft.com/office/drawing/2014/main" id="{F94959BE-D328-4FD7-9FD1-595E6CC16EC1}"/>
            </a:ext>
          </a:extLst>
        </xdr:cNvPr>
        <xdr:cNvSpPr>
          <a:spLocks noChangeArrowheads="1"/>
        </xdr:cNvSpPr>
      </xdr:nvSpPr>
      <xdr:spPr bwMode="auto">
        <a:xfrm>
          <a:off x="3498850" y="29006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116</xdr:row>
      <xdr:rowOff>57150</xdr:rowOff>
    </xdr:from>
    <xdr:to>
      <xdr:col>10</xdr:col>
      <xdr:colOff>0</xdr:colOff>
      <xdr:row>117</xdr:row>
      <xdr:rowOff>190500</xdr:rowOff>
    </xdr:to>
    <xdr:sp macro="" textlink="">
      <xdr:nvSpPr>
        <xdr:cNvPr id="361" name="AutoShape 46">
          <a:extLst>
            <a:ext uri="{FF2B5EF4-FFF2-40B4-BE49-F238E27FC236}">
              <a16:creationId xmlns:a16="http://schemas.microsoft.com/office/drawing/2014/main" id="{84B95D8B-7B90-4BEE-B678-764DE4882293}"/>
            </a:ext>
          </a:extLst>
        </xdr:cNvPr>
        <xdr:cNvSpPr>
          <a:spLocks noChangeArrowheads="1"/>
        </xdr:cNvSpPr>
      </xdr:nvSpPr>
      <xdr:spPr bwMode="auto">
        <a:xfrm>
          <a:off x="44958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116</xdr:row>
      <xdr:rowOff>57150</xdr:rowOff>
    </xdr:from>
    <xdr:to>
      <xdr:col>12</xdr:col>
      <xdr:colOff>0</xdr:colOff>
      <xdr:row>117</xdr:row>
      <xdr:rowOff>190500</xdr:rowOff>
    </xdr:to>
    <xdr:sp macro="" textlink="">
      <xdr:nvSpPr>
        <xdr:cNvPr id="362" name="AutoShape 46">
          <a:extLst>
            <a:ext uri="{FF2B5EF4-FFF2-40B4-BE49-F238E27FC236}">
              <a16:creationId xmlns:a16="http://schemas.microsoft.com/office/drawing/2014/main" id="{7843CFBD-018D-4450-9CA3-D0038D9EC86A}"/>
            </a:ext>
          </a:extLst>
        </xdr:cNvPr>
        <xdr:cNvSpPr>
          <a:spLocks noChangeArrowheads="1"/>
        </xdr:cNvSpPr>
      </xdr:nvSpPr>
      <xdr:spPr bwMode="auto">
        <a:xfrm>
          <a:off x="54229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116</xdr:row>
      <xdr:rowOff>57150</xdr:rowOff>
    </xdr:from>
    <xdr:to>
      <xdr:col>14</xdr:col>
      <xdr:colOff>0</xdr:colOff>
      <xdr:row>117</xdr:row>
      <xdr:rowOff>190500</xdr:rowOff>
    </xdr:to>
    <xdr:sp macro="" textlink="">
      <xdr:nvSpPr>
        <xdr:cNvPr id="363" name="AutoShape 46">
          <a:extLst>
            <a:ext uri="{FF2B5EF4-FFF2-40B4-BE49-F238E27FC236}">
              <a16:creationId xmlns:a16="http://schemas.microsoft.com/office/drawing/2014/main" id="{C884C272-D81B-45DB-92F1-92CE08620987}"/>
            </a:ext>
          </a:extLst>
        </xdr:cNvPr>
        <xdr:cNvSpPr>
          <a:spLocks noChangeArrowheads="1"/>
        </xdr:cNvSpPr>
      </xdr:nvSpPr>
      <xdr:spPr bwMode="auto">
        <a:xfrm>
          <a:off x="63500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116</xdr:row>
      <xdr:rowOff>57150</xdr:rowOff>
    </xdr:from>
    <xdr:to>
      <xdr:col>16</xdr:col>
      <xdr:colOff>0</xdr:colOff>
      <xdr:row>117</xdr:row>
      <xdr:rowOff>190500</xdr:rowOff>
    </xdr:to>
    <xdr:sp macro="" textlink="">
      <xdr:nvSpPr>
        <xdr:cNvPr id="364" name="AutoShape 46">
          <a:extLst>
            <a:ext uri="{FF2B5EF4-FFF2-40B4-BE49-F238E27FC236}">
              <a16:creationId xmlns:a16="http://schemas.microsoft.com/office/drawing/2014/main" id="{1B0BBD1A-1C6A-4A95-81F6-BD174A55FBCC}"/>
            </a:ext>
          </a:extLst>
        </xdr:cNvPr>
        <xdr:cNvSpPr>
          <a:spLocks noChangeArrowheads="1"/>
        </xdr:cNvSpPr>
      </xdr:nvSpPr>
      <xdr:spPr bwMode="auto">
        <a:xfrm>
          <a:off x="72771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65" name="AutoShape 46">
          <a:extLst>
            <a:ext uri="{FF2B5EF4-FFF2-40B4-BE49-F238E27FC236}">
              <a16:creationId xmlns:a16="http://schemas.microsoft.com/office/drawing/2014/main" id="{005D6650-1666-49DA-9B26-F2F9078A4017}"/>
            </a:ext>
          </a:extLst>
        </xdr:cNvPr>
        <xdr:cNvSpPr>
          <a:spLocks noChangeArrowheads="1"/>
        </xdr:cNvSpPr>
      </xdr:nvSpPr>
      <xdr:spPr bwMode="auto">
        <a:xfrm>
          <a:off x="82042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66" name="AutoShape 46">
          <a:extLst>
            <a:ext uri="{FF2B5EF4-FFF2-40B4-BE49-F238E27FC236}">
              <a16:creationId xmlns:a16="http://schemas.microsoft.com/office/drawing/2014/main" id="{8D7C60F7-C5CF-4452-94E7-3AF65D8C596A}"/>
            </a:ext>
          </a:extLst>
        </xdr:cNvPr>
        <xdr:cNvSpPr>
          <a:spLocks noChangeArrowheads="1"/>
        </xdr:cNvSpPr>
      </xdr:nvSpPr>
      <xdr:spPr bwMode="auto">
        <a:xfrm>
          <a:off x="91313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67" name="AutoShape 46">
          <a:extLst>
            <a:ext uri="{FF2B5EF4-FFF2-40B4-BE49-F238E27FC236}">
              <a16:creationId xmlns:a16="http://schemas.microsoft.com/office/drawing/2014/main" id="{6F833FDE-B562-47B4-B08A-C56B7F9CFA51}"/>
            </a:ext>
          </a:extLst>
        </xdr:cNvPr>
        <xdr:cNvSpPr>
          <a:spLocks noChangeArrowheads="1"/>
        </xdr:cNvSpPr>
      </xdr:nvSpPr>
      <xdr:spPr bwMode="auto">
        <a:xfrm>
          <a:off x="100584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68" name="AutoShape 46">
          <a:extLst>
            <a:ext uri="{FF2B5EF4-FFF2-40B4-BE49-F238E27FC236}">
              <a16:creationId xmlns:a16="http://schemas.microsoft.com/office/drawing/2014/main" id="{FA3D5F2C-9993-44F2-B115-ADC7A680420A}"/>
            </a:ext>
          </a:extLst>
        </xdr:cNvPr>
        <xdr:cNvSpPr>
          <a:spLocks noChangeArrowheads="1"/>
        </xdr:cNvSpPr>
      </xdr:nvSpPr>
      <xdr:spPr bwMode="auto">
        <a:xfrm>
          <a:off x="109855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69" name="AutoShape 46">
          <a:extLst>
            <a:ext uri="{FF2B5EF4-FFF2-40B4-BE49-F238E27FC236}">
              <a16:creationId xmlns:a16="http://schemas.microsoft.com/office/drawing/2014/main" id="{7A59E5D0-89A6-4E1A-803C-781642D5C051}"/>
            </a:ext>
          </a:extLst>
        </xdr:cNvPr>
        <xdr:cNvSpPr>
          <a:spLocks noChangeArrowheads="1"/>
        </xdr:cNvSpPr>
      </xdr:nvSpPr>
      <xdr:spPr bwMode="auto">
        <a:xfrm>
          <a:off x="11912600" y="29006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70" name="AutoShape 46">
          <a:extLst>
            <a:ext uri="{FF2B5EF4-FFF2-40B4-BE49-F238E27FC236}">
              <a16:creationId xmlns:a16="http://schemas.microsoft.com/office/drawing/2014/main" id="{80E3A663-0A22-4A9B-B1E7-DD71C7E7D000}"/>
            </a:ext>
          </a:extLst>
        </xdr:cNvPr>
        <xdr:cNvSpPr>
          <a:spLocks noChangeArrowheads="1"/>
        </xdr:cNvSpPr>
      </xdr:nvSpPr>
      <xdr:spPr bwMode="auto">
        <a:xfrm>
          <a:off x="1289685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71" name="AutoShape 46">
          <a:extLst>
            <a:ext uri="{FF2B5EF4-FFF2-40B4-BE49-F238E27FC236}">
              <a16:creationId xmlns:a16="http://schemas.microsoft.com/office/drawing/2014/main" id="{665A7216-97BA-40CA-8C55-1A34683012CC}"/>
            </a:ext>
          </a:extLst>
        </xdr:cNvPr>
        <xdr:cNvSpPr>
          <a:spLocks noChangeArrowheads="1"/>
        </xdr:cNvSpPr>
      </xdr:nvSpPr>
      <xdr:spPr bwMode="auto">
        <a:xfrm>
          <a:off x="82042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72" name="AutoShape 46">
          <a:extLst>
            <a:ext uri="{FF2B5EF4-FFF2-40B4-BE49-F238E27FC236}">
              <a16:creationId xmlns:a16="http://schemas.microsoft.com/office/drawing/2014/main" id="{13427E6E-1B2F-4CCE-B52D-F5DED04B0EF5}"/>
            </a:ext>
          </a:extLst>
        </xdr:cNvPr>
        <xdr:cNvSpPr>
          <a:spLocks noChangeArrowheads="1"/>
        </xdr:cNvSpPr>
      </xdr:nvSpPr>
      <xdr:spPr bwMode="auto">
        <a:xfrm>
          <a:off x="91313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73" name="AutoShape 46">
          <a:extLst>
            <a:ext uri="{FF2B5EF4-FFF2-40B4-BE49-F238E27FC236}">
              <a16:creationId xmlns:a16="http://schemas.microsoft.com/office/drawing/2014/main" id="{3561DBC1-ACEB-4BB1-A380-A8BFEC3BD6F3}"/>
            </a:ext>
          </a:extLst>
        </xdr:cNvPr>
        <xdr:cNvSpPr>
          <a:spLocks noChangeArrowheads="1"/>
        </xdr:cNvSpPr>
      </xdr:nvSpPr>
      <xdr:spPr bwMode="auto">
        <a:xfrm>
          <a:off x="100584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74" name="AutoShape 46">
          <a:extLst>
            <a:ext uri="{FF2B5EF4-FFF2-40B4-BE49-F238E27FC236}">
              <a16:creationId xmlns:a16="http://schemas.microsoft.com/office/drawing/2014/main" id="{24945457-0479-46A3-8FD9-77351DBD6E95}"/>
            </a:ext>
          </a:extLst>
        </xdr:cNvPr>
        <xdr:cNvSpPr>
          <a:spLocks noChangeArrowheads="1"/>
        </xdr:cNvSpPr>
      </xdr:nvSpPr>
      <xdr:spPr bwMode="auto">
        <a:xfrm>
          <a:off x="109855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75" name="AutoShape 46">
          <a:extLst>
            <a:ext uri="{FF2B5EF4-FFF2-40B4-BE49-F238E27FC236}">
              <a16:creationId xmlns:a16="http://schemas.microsoft.com/office/drawing/2014/main" id="{8D8757E4-E9B3-4DB4-963A-F994F215AA9A}"/>
            </a:ext>
          </a:extLst>
        </xdr:cNvPr>
        <xdr:cNvSpPr>
          <a:spLocks noChangeArrowheads="1"/>
        </xdr:cNvSpPr>
      </xdr:nvSpPr>
      <xdr:spPr bwMode="auto">
        <a:xfrm>
          <a:off x="11912600" y="29006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76" name="AutoShape 46">
          <a:extLst>
            <a:ext uri="{FF2B5EF4-FFF2-40B4-BE49-F238E27FC236}">
              <a16:creationId xmlns:a16="http://schemas.microsoft.com/office/drawing/2014/main" id="{ABFE2623-33F9-45C0-9151-6C9786D8946D}"/>
            </a:ext>
          </a:extLst>
        </xdr:cNvPr>
        <xdr:cNvSpPr>
          <a:spLocks noChangeArrowheads="1"/>
        </xdr:cNvSpPr>
      </xdr:nvSpPr>
      <xdr:spPr bwMode="auto">
        <a:xfrm>
          <a:off x="1289685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116</xdr:row>
      <xdr:rowOff>57150</xdr:rowOff>
    </xdr:from>
    <xdr:to>
      <xdr:col>16</xdr:col>
      <xdr:colOff>0</xdr:colOff>
      <xdr:row>117</xdr:row>
      <xdr:rowOff>190500</xdr:rowOff>
    </xdr:to>
    <xdr:sp macro="" textlink="">
      <xdr:nvSpPr>
        <xdr:cNvPr id="377" name="AutoShape 46">
          <a:extLst>
            <a:ext uri="{FF2B5EF4-FFF2-40B4-BE49-F238E27FC236}">
              <a16:creationId xmlns:a16="http://schemas.microsoft.com/office/drawing/2014/main" id="{533A79B9-2567-4E63-82F5-5FDAA53D1738}"/>
            </a:ext>
          </a:extLst>
        </xdr:cNvPr>
        <xdr:cNvSpPr>
          <a:spLocks noChangeArrowheads="1"/>
        </xdr:cNvSpPr>
      </xdr:nvSpPr>
      <xdr:spPr bwMode="auto">
        <a:xfrm>
          <a:off x="72771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78" name="AutoShape 46">
          <a:extLst>
            <a:ext uri="{FF2B5EF4-FFF2-40B4-BE49-F238E27FC236}">
              <a16:creationId xmlns:a16="http://schemas.microsoft.com/office/drawing/2014/main" id="{3580BD60-F8FD-4241-9524-530377EFB877}"/>
            </a:ext>
          </a:extLst>
        </xdr:cNvPr>
        <xdr:cNvSpPr>
          <a:spLocks noChangeArrowheads="1"/>
        </xdr:cNvSpPr>
      </xdr:nvSpPr>
      <xdr:spPr bwMode="auto">
        <a:xfrm>
          <a:off x="82042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79" name="AutoShape 46">
          <a:extLst>
            <a:ext uri="{FF2B5EF4-FFF2-40B4-BE49-F238E27FC236}">
              <a16:creationId xmlns:a16="http://schemas.microsoft.com/office/drawing/2014/main" id="{15F74699-7ADC-47BB-A61A-2BBCAE3652C1}"/>
            </a:ext>
          </a:extLst>
        </xdr:cNvPr>
        <xdr:cNvSpPr>
          <a:spLocks noChangeArrowheads="1"/>
        </xdr:cNvSpPr>
      </xdr:nvSpPr>
      <xdr:spPr bwMode="auto">
        <a:xfrm>
          <a:off x="91313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80" name="AutoShape 46">
          <a:extLst>
            <a:ext uri="{FF2B5EF4-FFF2-40B4-BE49-F238E27FC236}">
              <a16:creationId xmlns:a16="http://schemas.microsoft.com/office/drawing/2014/main" id="{40A56716-46A6-4971-84FF-22352BDF5007}"/>
            </a:ext>
          </a:extLst>
        </xdr:cNvPr>
        <xdr:cNvSpPr>
          <a:spLocks noChangeArrowheads="1"/>
        </xdr:cNvSpPr>
      </xdr:nvSpPr>
      <xdr:spPr bwMode="auto">
        <a:xfrm>
          <a:off x="100584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81" name="AutoShape 46">
          <a:extLst>
            <a:ext uri="{FF2B5EF4-FFF2-40B4-BE49-F238E27FC236}">
              <a16:creationId xmlns:a16="http://schemas.microsoft.com/office/drawing/2014/main" id="{34B452DE-C5A7-493F-BB07-DF0B981615F7}"/>
            </a:ext>
          </a:extLst>
        </xdr:cNvPr>
        <xdr:cNvSpPr>
          <a:spLocks noChangeArrowheads="1"/>
        </xdr:cNvSpPr>
      </xdr:nvSpPr>
      <xdr:spPr bwMode="auto">
        <a:xfrm>
          <a:off x="109855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82" name="AutoShape 46">
          <a:extLst>
            <a:ext uri="{FF2B5EF4-FFF2-40B4-BE49-F238E27FC236}">
              <a16:creationId xmlns:a16="http://schemas.microsoft.com/office/drawing/2014/main" id="{77F85584-9DE6-458E-90C7-EE5A2B3FAA97}"/>
            </a:ext>
          </a:extLst>
        </xdr:cNvPr>
        <xdr:cNvSpPr>
          <a:spLocks noChangeArrowheads="1"/>
        </xdr:cNvSpPr>
      </xdr:nvSpPr>
      <xdr:spPr bwMode="auto">
        <a:xfrm>
          <a:off x="11912600" y="29006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83" name="AutoShape 46">
          <a:extLst>
            <a:ext uri="{FF2B5EF4-FFF2-40B4-BE49-F238E27FC236}">
              <a16:creationId xmlns:a16="http://schemas.microsoft.com/office/drawing/2014/main" id="{2F49CCEF-10FA-4958-8CF6-4C595EB6A67F}"/>
            </a:ext>
          </a:extLst>
        </xdr:cNvPr>
        <xdr:cNvSpPr>
          <a:spLocks noChangeArrowheads="1"/>
        </xdr:cNvSpPr>
      </xdr:nvSpPr>
      <xdr:spPr bwMode="auto">
        <a:xfrm>
          <a:off x="1289685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124</xdr:row>
      <xdr:rowOff>57150</xdr:rowOff>
    </xdr:from>
    <xdr:to>
      <xdr:col>2</xdr:col>
      <xdr:colOff>0</xdr:colOff>
      <xdr:row>125</xdr:row>
      <xdr:rowOff>190500</xdr:rowOff>
    </xdr:to>
    <xdr:sp macro="" textlink="">
      <xdr:nvSpPr>
        <xdr:cNvPr id="384" name="AutoShape 46">
          <a:extLst>
            <a:ext uri="{FF2B5EF4-FFF2-40B4-BE49-F238E27FC236}">
              <a16:creationId xmlns:a16="http://schemas.microsoft.com/office/drawing/2014/main" id="{02CBF3FC-7EE6-488A-8204-01B2AF951ED2}"/>
            </a:ext>
          </a:extLst>
        </xdr:cNvPr>
        <xdr:cNvSpPr>
          <a:spLocks noChangeArrowheads="1"/>
        </xdr:cNvSpPr>
      </xdr:nvSpPr>
      <xdr:spPr bwMode="auto">
        <a:xfrm>
          <a:off x="6096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124</xdr:row>
      <xdr:rowOff>57150</xdr:rowOff>
    </xdr:from>
    <xdr:to>
      <xdr:col>4</xdr:col>
      <xdr:colOff>0</xdr:colOff>
      <xdr:row>125</xdr:row>
      <xdr:rowOff>190500</xdr:rowOff>
    </xdr:to>
    <xdr:sp macro="" textlink="">
      <xdr:nvSpPr>
        <xdr:cNvPr id="385" name="AutoShape 46">
          <a:extLst>
            <a:ext uri="{FF2B5EF4-FFF2-40B4-BE49-F238E27FC236}">
              <a16:creationId xmlns:a16="http://schemas.microsoft.com/office/drawing/2014/main" id="{0BC8A543-E73E-422B-9EF0-71F845A1ACC8}"/>
            </a:ext>
          </a:extLst>
        </xdr:cNvPr>
        <xdr:cNvSpPr>
          <a:spLocks noChangeArrowheads="1"/>
        </xdr:cNvSpPr>
      </xdr:nvSpPr>
      <xdr:spPr bwMode="auto">
        <a:xfrm>
          <a:off x="1536700" y="30937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124</xdr:row>
      <xdr:rowOff>57150</xdr:rowOff>
    </xdr:from>
    <xdr:to>
      <xdr:col>6</xdr:col>
      <xdr:colOff>0</xdr:colOff>
      <xdr:row>125</xdr:row>
      <xdr:rowOff>190500</xdr:rowOff>
    </xdr:to>
    <xdr:sp macro="" textlink="">
      <xdr:nvSpPr>
        <xdr:cNvPr id="386" name="AutoShape 46">
          <a:extLst>
            <a:ext uri="{FF2B5EF4-FFF2-40B4-BE49-F238E27FC236}">
              <a16:creationId xmlns:a16="http://schemas.microsoft.com/office/drawing/2014/main" id="{A64293F2-9A29-4888-BFF7-03624C5F383D}"/>
            </a:ext>
          </a:extLst>
        </xdr:cNvPr>
        <xdr:cNvSpPr>
          <a:spLocks noChangeArrowheads="1"/>
        </xdr:cNvSpPr>
      </xdr:nvSpPr>
      <xdr:spPr bwMode="auto">
        <a:xfrm>
          <a:off x="2520950" y="30937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124</xdr:row>
      <xdr:rowOff>57150</xdr:rowOff>
    </xdr:from>
    <xdr:to>
      <xdr:col>8</xdr:col>
      <xdr:colOff>0</xdr:colOff>
      <xdr:row>125</xdr:row>
      <xdr:rowOff>190500</xdr:rowOff>
    </xdr:to>
    <xdr:sp macro="" textlink="">
      <xdr:nvSpPr>
        <xdr:cNvPr id="387" name="AutoShape 46">
          <a:extLst>
            <a:ext uri="{FF2B5EF4-FFF2-40B4-BE49-F238E27FC236}">
              <a16:creationId xmlns:a16="http://schemas.microsoft.com/office/drawing/2014/main" id="{341364F9-3640-4E64-BB22-E3D62A2C1864}"/>
            </a:ext>
          </a:extLst>
        </xdr:cNvPr>
        <xdr:cNvSpPr>
          <a:spLocks noChangeArrowheads="1"/>
        </xdr:cNvSpPr>
      </xdr:nvSpPr>
      <xdr:spPr bwMode="auto">
        <a:xfrm>
          <a:off x="3498850" y="30937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124</xdr:row>
      <xdr:rowOff>57150</xdr:rowOff>
    </xdr:from>
    <xdr:to>
      <xdr:col>10</xdr:col>
      <xdr:colOff>0</xdr:colOff>
      <xdr:row>125</xdr:row>
      <xdr:rowOff>190500</xdr:rowOff>
    </xdr:to>
    <xdr:sp macro="" textlink="">
      <xdr:nvSpPr>
        <xdr:cNvPr id="388" name="AutoShape 46">
          <a:extLst>
            <a:ext uri="{FF2B5EF4-FFF2-40B4-BE49-F238E27FC236}">
              <a16:creationId xmlns:a16="http://schemas.microsoft.com/office/drawing/2014/main" id="{2317BCA2-9FD1-4F96-98E9-8509AA7CDB22}"/>
            </a:ext>
          </a:extLst>
        </xdr:cNvPr>
        <xdr:cNvSpPr>
          <a:spLocks noChangeArrowheads="1"/>
        </xdr:cNvSpPr>
      </xdr:nvSpPr>
      <xdr:spPr bwMode="auto">
        <a:xfrm>
          <a:off x="44958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124</xdr:row>
      <xdr:rowOff>57150</xdr:rowOff>
    </xdr:from>
    <xdr:to>
      <xdr:col>12</xdr:col>
      <xdr:colOff>0</xdr:colOff>
      <xdr:row>125</xdr:row>
      <xdr:rowOff>190500</xdr:rowOff>
    </xdr:to>
    <xdr:sp macro="" textlink="">
      <xdr:nvSpPr>
        <xdr:cNvPr id="389" name="AutoShape 46">
          <a:extLst>
            <a:ext uri="{FF2B5EF4-FFF2-40B4-BE49-F238E27FC236}">
              <a16:creationId xmlns:a16="http://schemas.microsoft.com/office/drawing/2014/main" id="{623BD1A1-537E-4E73-A173-664330E841EE}"/>
            </a:ext>
          </a:extLst>
        </xdr:cNvPr>
        <xdr:cNvSpPr>
          <a:spLocks noChangeArrowheads="1"/>
        </xdr:cNvSpPr>
      </xdr:nvSpPr>
      <xdr:spPr bwMode="auto">
        <a:xfrm>
          <a:off x="54229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124</xdr:row>
      <xdr:rowOff>57150</xdr:rowOff>
    </xdr:from>
    <xdr:to>
      <xdr:col>14</xdr:col>
      <xdr:colOff>0</xdr:colOff>
      <xdr:row>125</xdr:row>
      <xdr:rowOff>190500</xdr:rowOff>
    </xdr:to>
    <xdr:sp macro="" textlink="">
      <xdr:nvSpPr>
        <xdr:cNvPr id="390" name="AutoShape 46">
          <a:extLst>
            <a:ext uri="{FF2B5EF4-FFF2-40B4-BE49-F238E27FC236}">
              <a16:creationId xmlns:a16="http://schemas.microsoft.com/office/drawing/2014/main" id="{45BEF36C-B680-4DB3-8355-3DE645C51664}"/>
            </a:ext>
          </a:extLst>
        </xdr:cNvPr>
        <xdr:cNvSpPr>
          <a:spLocks noChangeArrowheads="1"/>
        </xdr:cNvSpPr>
      </xdr:nvSpPr>
      <xdr:spPr bwMode="auto">
        <a:xfrm>
          <a:off x="63500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124</xdr:row>
      <xdr:rowOff>57150</xdr:rowOff>
    </xdr:from>
    <xdr:to>
      <xdr:col>16</xdr:col>
      <xdr:colOff>0</xdr:colOff>
      <xdr:row>125</xdr:row>
      <xdr:rowOff>190500</xdr:rowOff>
    </xdr:to>
    <xdr:sp macro="" textlink="">
      <xdr:nvSpPr>
        <xdr:cNvPr id="391" name="AutoShape 46">
          <a:extLst>
            <a:ext uri="{FF2B5EF4-FFF2-40B4-BE49-F238E27FC236}">
              <a16:creationId xmlns:a16="http://schemas.microsoft.com/office/drawing/2014/main" id="{1DFD6F6C-120F-443A-9739-93CC702C7518}"/>
            </a:ext>
          </a:extLst>
        </xdr:cNvPr>
        <xdr:cNvSpPr>
          <a:spLocks noChangeArrowheads="1"/>
        </xdr:cNvSpPr>
      </xdr:nvSpPr>
      <xdr:spPr bwMode="auto">
        <a:xfrm>
          <a:off x="72771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392" name="AutoShape 46">
          <a:extLst>
            <a:ext uri="{FF2B5EF4-FFF2-40B4-BE49-F238E27FC236}">
              <a16:creationId xmlns:a16="http://schemas.microsoft.com/office/drawing/2014/main" id="{3AD031F4-F2F9-47B3-B6B7-2AF01201CC3A}"/>
            </a:ext>
          </a:extLst>
        </xdr:cNvPr>
        <xdr:cNvSpPr>
          <a:spLocks noChangeArrowheads="1"/>
        </xdr:cNvSpPr>
      </xdr:nvSpPr>
      <xdr:spPr bwMode="auto">
        <a:xfrm>
          <a:off x="82042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393" name="AutoShape 46">
          <a:extLst>
            <a:ext uri="{FF2B5EF4-FFF2-40B4-BE49-F238E27FC236}">
              <a16:creationId xmlns:a16="http://schemas.microsoft.com/office/drawing/2014/main" id="{A4B74633-B05D-45E9-A64B-DD1FA8B16E94}"/>
            </a:ext>
          </a:extLst>
        </xdr:cNvPr>
        <xdr:cNvSpPr>
          <a:spLocks noChangeArrowheads="1"/>
        </xdr:cNvSpPr>
      </xdr:nvSpPr>
      <xdr:spPr bwMode="auto">
        <a:xfrm>
          <a:off x="91313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394" name="AutoShape 46">
          <a:extLst>
            <a:ext uri="{FF2B5EF4-FFF2-40B4-BE49-F238E27FC236}">
              <a16:creationId xmlns:a16="http://schemas.microsoft.com/office/drawing/2014/main" id="{3089302C-AEF0-4F15-8160-50A81B0F36B2}"/>
            </a:ext>
          </a:extLst>
        </xdr:cNvPr>
        <xdr:cNvSpPr>
          <a:spLocks noChangeArrowheads="1"/>
        </xdr:cNvSpPr>
      </xdr:nvSpPr>
      <xdr:spPr bwMode="auto">
        <a:xfrm>
          <a:off x="100584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395" name="AutoShape 46">
          <a:extLst>
            <a:ext uri="{FF2B5EF4-FFF2-40B4-BE49-F238E27FC236}">
              <a16:creationId xmlns:a16="http://schemas.microsoft.com/office/drawing/2014/main" id="{E688A303-CF55-4A45-9672-A7154D98AC3F}"/>
            </a:ext>
          </a:extLst>
        </xdr:cNvPr>
        <xdr:cNvSpPr>
          <a:spLocks noChangeArrowheads="1"/>
        </xdr:cNvSpPr>
      </xdr:nvSpPr>
      <xdr:spPr bwMode="auto">
        <a:xfrm>
          <a:off x="109855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396" name="AutoShape 46">
          <a:extLst>
            <a:ext uri="{FF2B5EF4-FFF2-40B4-BE49-F238E27FC236}">
              <a16:creationId xmlns:a16="http://schemas.microsoft.com/office/drawing/2014/main" id="{BA5F859D-721D-4B9D-B243-78EF4B724B1F}"/>
            </a:ext>
          </a:extLst>
        </xdr:cNvPr>
        <xdr:cNvSpPr>
          <a:spLocks noChangeArrowheads="1"/>
        </xdr:cNvSpPr>
      </xdr:nvSpPr>
      <xdr:spPr bwMode="auto">
        <a:xfrm>
          <a:off x="11912600" y="30937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397" name="AutoShape 46">
          <a:extLst>
            <a:ext uri="{FF2B5EF4-FFF2-40B4-BE49-F238E27FC236}">
              <a16:creationId xmlns:a16="http://schemas.microsoft.com/office/drawing/2014/main" id="{0F4C7F86-BA5D-4B28-A2E9-A4FC1390DFD6}"/>
            </a:ext>
          </a:extLst>
        </xdr:cNvPr>
        <xdr:cNvSpPr>
          <a:spLocks noChangeArrowheads="1"/>
        </xdr:cNvSpPr>
      </xdr:nvSpPr>
      <xdr:spPr bwMode="auto">
        <a:xfrm>
          <a:off x="1289685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398" name="AutoShape 46">
          <a:extLst>
            <a:ext uri="{FF2B5EF4-FFF2-40B4-BE49-F238E27FC236}">
              <a16:creationId xmlns:a16="http://schemas.microsoft.com/office/drawing/2014/main" id="{7EEEB401-0D7F-4D99-BA57-8FFAD0D492D6}"/>
            </a:ext>
          </a:extLst>
        </xdr:cNvPr>
        <xdr:cNvSpPr>
          <a:spLocks noChangeArrowheads="1"/>
        </xdr:cNvSpPr>
      </xdr:nvSpPr>
      <xdr:spPr bwMode="auto">
        <a:xfrm>
          <a:off x="82042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399" name="AutoShape 46">
          <a:extLst>
            <a:ext uri="{FF2B5EF4-FFF2-40B4-BE49-F238E27FC236}">
              <a16:creationId xmlns:a16="http://schemas.microsoft.com/office/drawing/2014/main" id="{A27F7166-D71E-4C5F-BC86-F9015AFBC821}"/>
            </a:ext>
          </a:extLst>
        </xdr:cNvPr>
        <xdr:cNvSpPr>
          <a:spLocks noChangeArrowheads="1"/>
        </xdr:cNvSpPr>
      </xdr:nvSpPr>
      <xdr:spPr bwMode="auto">
        <a:xfrm>
          <a:off x="91313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400" name="AutoShape 46">
          <a:extLst>
            <a:ext uri="{FF2B5EF4-FFF2-40B4-BE49-F238E27FC236}">
              <a16:creationId xmlns:a16="http://schemas.microsoft.com/office/drawing/2014/main" id="{14DACB3B-F732-448F-BA9C-CB570C47F4B7}"/>
            </a:ext>
          </a:extLst>
        </xdr:cNvPr>
        <xdr:cNvSpPr>
          <a:spLocks noChangeArrowheads="1"/>
        </xdr:cNvSpPr>
      </xdr:nvSpPr>
      <xdr:spPr bwMode="auto">
        <a:xfrm>
          <a:off x="100584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401" name="AutoShape 46">
          <a:extLst>
            <a:ext uri="{FF2B5EF4-FFF2-40B4-BE49-F238E27FC236}">
              <a16:creationId xmlns:a16="http://schemas.microsoft.com/office/drawing/2014/main" id="{8D0E9BD8-2945-4D6A-AE24-585D2209C36B}"/>
            </a:ext>
          </a:extLst>
        </xdr:cNvPr>
        <xdr:cNvSpPr>
          <a:spLocks noChangeArrowheads="1"/>
        </xdr:cNvSpPr>
      </xdr:nvSpPr>
      <xdr:spPr bwMode="auto">
        <a:xfrm>
          <a:off x="109855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402" name="AutoShape 46">
          <a:extLst>
            <a:ext uri="{FF2B5EF4-FFF2-40B4-BE49-F238E27FC236}">
              <a16:creationId xmlns:a16="http://schemas.microsoft.com/office/drawing/2014/main" id="{85D73422-F8C9-4902-8849-20E2F4C6EDAE}"/>
            </a:ext>
          </a:extLst>
        </xdr:cNvPr>
        <xdr:cNvSpPr>
          <a:spLocks noChangeArrowheads="1"/>
        </xdr:cNvSpPr>
      </xdr:nvSpPr>
      <xdr:spPr bwMode="auto">
        <a:xfrm>
          <a:off x="11912600" y="30937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403" name="AutoShape 46">
          <a:extLst>
            <a:ext uri="{FF2B5EF4-FFF2-40B4-BE49-F238E27FC236}">
              <a16:creationId xmlns:a16="http://schemas.microsoft.com/office/drawing/2014/main" id="{5ED267B9-B308-427E-A633-DA7889B5890A}"/>
            </a:ext>
          </a:extLst>
        </xdr:cNvPr>
        <xdr:cNvSpPr>
          <a:spLocks noChangeArrowheads="1"/>
        </xdr:cNvSpPr>
      </xdr:nvSpPr>
      <xdr:spPr bwMode="auto">
        <a:xfrm>
          <a:off x="1289685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124</xdr:row>
      <xdr:rowOff>57150</xdr:rowOff>
    </xdr:from>
    <xdr:to>
      <xdr:col>16</xdr:col>
      <xdr:colOff>0</xdr:colOff>
      <xdr:row>125</xdr:row>
      <xdr:rowOff>190500</xdr:rowOff>
    </xdr:to>
    <xdr:sp macro="" textlink="">
      <xdr:nvSpPr>
        <xdr:cNvPr id="404" name="AutoShape 46">
          <a:extLst>
            <a:ext uri="{FF2B5EF4-FFF2-40B4-BE49-F238E27FC236}">
              <a16:creationId xmlns:a16="http://schemas.microsoft.com/office/drawing/2014/main" id="{138F6F0E-D6EE-48BC-85AC-98030267EB8F}"/>
            </a:ext>
          </a:extLst>
        </xdr:cNvPr>
        <xdr:cNvSpPr>
          <a:spLocks noChangeArrowheads="1"/>
        </xdr:cNvSpPr>
      </xdr:nvSpPr>
      <xdr:spPr bwMode="auto">
        <a:xfrm>
          <a:off x="72771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405" name="AutoShape 46">
          <a:extLst>
            <a:ext uri="{FF2B5EF4-FFF2-40B4-BE49-F238E27FC236}">
              <a16:creationId xmlns:a16="http://schemas.microsoft.com/office/drawing/2014/main" id="{7159D651-5167-4CF9-9DD4-6291DAD0E3FC}"/>
            </a:ext>
          </a:extLst>
        </xdr:cNvPr>
        <xdr:cNvSpPr>
          <a:spLocks noChangeArrowheads="1"/>
        </xdr:cNvSpPr>
      </xdr:nvSpPr>
      <xdr:spPr bwMode="auto">
        <a:xfrm>
          <a:off x="82042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406" name="AutoShape 46">
          <a:extLst>
            <a:ext uri="{FF2B5EF4-FFF2-40B4-BE49-F238E27FC236}">
              <a16:creationId xmlns:a16="http://schemas.microsoft.com/office/drawing/2014/main" id="{CA838D4A-06BC-450D-B019-01E832134280}"/>
            </a:ext>
          </a:extLst>
        </xdr:cNvPr>
        <xdr:cNvSpPr>
          <a:spLocks noChangeArrowheads="1"/>
        </xdr:cNvSpPr>
      </xdr:nvSpPr>
      <xdr:spPr bwMode="auto">
        <a:xfrm>
          <a:off x="91313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407" name="AutoShape 46">
          <a:extLst>
            <a:ext uri="{FF2B5EF4-FFF2-40B4-BE49-F238E27FC236}">
              <a16:creationId xmlns:a16="http://schemas.microsoft.com/office/drawing/2014/main" id="{8D2004CD-D118-4C74-BD91-AABE4EDB2005}"/>
            </a:ext>
          </a:extLst>
        </xdr:cNvPr>
        <xdr:cNvSpPr>
          <a:spLocks noChangeArrowheads="1"/>
        </xdr:cNvSpPr>
      </xdr:nvSpPr>
      <xdr:spPr bwMode="auto">
        <a:xfrm>
          <a:off x="100584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408" name="AutoShape 46">
          <a:extLst>
            <a:ext uri="{FF2B5EF4-FFF2-40B4-BE49-F238E27FC236}">
              <a16:creationId xmlns:a16="http://schemas.microsoft.com/office/drawing/2014/main" id="{34912BA8-C175-40B3-8790-B002B1E20DFB}"/>
            </a:ext>
          </a:extLst>
        </xdr:cNvPr>
        <xdr:cNvSpPr>
          <a:spLocks noChangeArrowheads="1"/>
        </xdr:cNvSpPr>
      </xdr:nvSpPr>
      <xdr:spPr bwMode="auto">
        <a:xfrm>
          <a:off x="109855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409" name="AutoShape 46">
          <a:extLst>
            <a:ext uri="{FF2B5EF4-FFF2-40B4-BE49-F238E27FC236}">
              <a16:creationId xmlns:a16="http://schemas.microsoft.com/office/drawing/2014/main" id="{C55F927C-E6D7-4C00-A49D-CBB5C790655C}"/>
            </a:ext>
          </a:extLst>
        </xdr:cNvPr>
        <xdr:cNvSpPr>
          <a:spLocks noChangeArrowheads="1"/>
        </xdr:cNvSpPr>
      </xdr:nvSpPr>
      <xdr:spPr bwMode="auto">
        <a:xfrm>
          <a:off x="11912600" y="30937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410" name="AutoShape 46">
          <a:extLst>
            <a:ext uri="{FF2B5EF4-FFF2-40B4-BE49-F238E27FC236}">
              <a16:creationId xmlns:a16="http://schemas.microsoft.com/office/drawing/2014/main" id="{245C4BD2-C6E8-458F-AA45-008545B9B1E3}"/>
            </a:ext>
          </a:extLst>
        </xdr:cNvPr>
        <xdr:cNvSpPr>
          <a:spLocks noChangeArrowheads="1"/>
        </xdr:cNvSpPr>
      </xdr:nvSpPr>
      <xdr:spPr bwMode="auto">
        <a:xfrm>
          <a:off x="1289685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132</xdr:row>
      <xdr:rowOff>57150</xdr:rowOff>
    </xdr:from>
    <xdr:to>
      <xdr:col>2</xdr:col>
      <xdr:colOff>0</xdr:colOff>
      <xdr:row>133</xdr:row>
      <xdr:rowOff>190500</xdr:rowOff>
    </xdr:to>
    <xdr:sp macro="" textlink="">
      <xdr:nvSpPr>
        <xdr:cNvPr id="411" name="AutoShape 46">
          <a:extLst>
            <a:ext uri="{FF2B5EF4-FFF2-40B4-BE49-F238E27FC236}">
              <a16:creationId xmlns:a16="http://schemas.microsoft.com/office/drawing/2014/main" id="{5FAEAC2F-17E8-4C8A-AAB5-F64068C9F372}"/>
            </a:ext>
          </a:extLst>
        </xdr:cNvPr>
        <xdr:cNvSpPr>
          <a:spLocks noChangeArrowheads="1"/>
        </xdr:cNvSpPr>
      </xdr:nvSpPr>
      <xdr:spPr bwMode="auto">
        <a:xfrm>
          <a:off x="6096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132</xdr:row>
      <xdr:rowOff>57150</xdr:rowOff>
    </xdr:from>
    <xdr:to>
      <xdr:col>4</xdr:col>
      <xdr:colOff>0</xdr:colOff>
      <xdr:row>133</xdr:row>
      <xdr:rowOff>190500</xdr:rowOff>
    </xdr:to>
    <xdr:sp macro="" textlink="">
      <xdr:nvSpPr>
        <xdr:cNvPr id="412" name="AutoShape 46">
          <a:extLst>
            <a:ext uri="{FF2B5EF4-FFF2-40B4-BE49-F238E27FC236}">
              <a16:creationId xmlns:a16="http://schemas.microsoft.com/office/drawing/2014/main" id="{DCCF53D0-55F7-4A8B-A9E7-0EC1755CCC25}"/>
            </a:ext>
          </a:extLst>
        </xdr:cNvPr>
        <xdr:cNvSpPr>
          <a:spLocks noChangeArrowheads="1"/>
        </xdr:cNvSpPr>
      </xdr:nvSpPr>
      <xdr:spPr bwMode="auto">
        <a:xfrm>
          <a:off x="15367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132</xdr:row>
      <xdr:rowOff>57150</xdr:rowOff>
    </xdr:from>
    <xdr:to>
      <xdr:col>6</xdr:col>
      <xdr:colOff>0</xdr:colOff>
      <xdr:row>133</xdr:row>
      <xdr:rowOff>190500</xdr:rowOff>
    </xdr:to>
    <xdr:sp macro="" textlink="">
      <xdr:nvSpPr>
        <xdr:cNvPr id="413" name="AutoShape 46">
          <a:extLst>
            <a:ext uri="{FF2B5EF4-FFF2-40B4-BE49-F238E27FC236}">
              <a16:creationId xmlns:a16="http://schemas.microsoft.com/office/drawing/2014/main" id="{1250FF72-5192-4788-8624-369DA2B86C7F}"/>
            </a:ext>
          </a:extLst>
        </xdr:cNvPr>
        <xdr:cNvSpPr>
          <a:spLocks noChangeArrowheads="1"/>
        </xdr:cNvSpPr>
      </xdr:nvSpPr>
      <xdr:spPr bwMode="auto">
        <a:xfrm>
          <a:off x="2520950" y="3287395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132</xdr:row>
      <xdr:rowOff>57150</xdr:rowOff>
    </xdr:from>
    <xdr:to>
      <xdr:col>8</xdr:col>
      <xdr:colOff>0</xdr:colOff>
      <xdr:row>133</xdr:row>
      <xdr:rowOff>190500</xdr:rowOff>
    </xdr:to>
    <xdr:sp macro="" textlink="">
      <xdr:nvSpPr>
        <xdr:cNvPr id="414" name="AutoShape 46">
          <a:extLst>
            <a:ext uri="{FF2B5EF4-FFF2-40B4-BE49-F238E27FC236}">
              <a16:creationId xmlns:a16="http://schemas.microsoft.com/office/drawing/2014/main" id="{87EAE01F-36FB-4362-9018-E778DA48C35A}"/>
            </a:ext>
          </a:extLst>
        </xdr:cNvPr>
        <xdr:cNvSpPr>
          <a:spLocks noChangeArrowheads="1"/>
        </xdr:cNvSpPr>
      </xdr:nvSpPr>
      <xdr:spPr bwMode="auto">
        <a:xfrm>
          <a:off x="3498850" y="3287395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132</xdr:row>
      <xdr:rowOff>57150</xdr:rowOff>
    </xdr:from>
    <xdr:to>
      <xdr:col>10</xdr:col>
      <xdr:colOff>0</xdr:colOff>
      <xdr:row>133</xdr:row>
      <xdr:rowOff>190500</xdr:rowOff>
    </xdr:to>
    <xdr:sp macro="" textlink="">
      <xdr:nvSpPr>
        <xdr:cNvPr id="415" name="AutoShape 46">
          <a:extLst>
            <a:ext uri="{FF2B5EF4-FFF2-40B4-BE49-F238E27FC236}">
              <a16:creationId xmlns:a16="http://schemas.microsoft.com/office/drawing/2014/main" id="{ED931151-9422-40EA-9A5D-A3FF748F9B4B}"/>
            </a:ext>
          </a:extLst>
        </xdr:cNvPr>
        <xdr:cNvSpPr>
          <a:spLocks noChangeArrowheads="1"/>
        </xdr:cNvSpPr>
      </xdr:nvSpPr>
      <xdr:spPr bwMode="auto">
        <a:xfrm>
          <a:off x="44958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132</xdr:row>
      <xdr:rowOff>57150</xdr:rowOff>
    </xdr:from>
    <xdr:to>
      <xdr:col>12</xdr:col>
      <xdr:colOff>0</xdr:colOff>
      <xdr:row>133</xdr:row>
      <xdr:rowOff>190500</xdr:rowOff>
    </xdr:to>
    <xdr:sp macro="" textlink="">
      <xdr:nvSpPr>
        <xdr:cNvPr id="416" name="AutoShape 46">
          <a:extLst>
            <a:ext uri="{FF2B5EF4-FFF2-40B4-BE49-F238E27FC236}">
              <a16:creationId xmlns:a16="http://schemas.microsoft.com/office/drawing/2014/main" id="{B23DAB74-CA90-498D-872E-2AD3E9D35856}"/>
            </a:ext>
          </a:extLst>
        </xdr:cNvPr>
        <xdr:cNvSpPr>
          <a:spLocks noChangeArrowheads="1"/>
        </xdr:cNvSpPr>
      </xdr:nvSpPr>
      <xdr:spPr bwMode="auto">
        <a:xfrm>
          <a:off x="54229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132</xdr:row>
      <xdr:rowOff>57150</xdr:rowOff>
    </xdr:from>
    <xdr:to>
      <xdr:col>14</xdr:col>
      <xdr:colOff>0</xdr:colOff>
      <xdr:row>133</xdr:row>
      <xdr:rowOff>190500</xdr:rowOff>
    </xdr:to>
    <xdr:sp macro="" textlink="">
      <xdr:nvSpPr>
        <xdr:cNvPr id="417" name="AutoShape 46">
          <a:extLst>
            <a:ext uri="{FF2B5EF4-FFF2-40B4-BE49-F238E27FC236}">
              <a16:creationId xmlns:a16="http://schemas.microsoft.com/office/drawing/2014/main" id="{E771E66A-E74C-48E6-8D94-9058F8C29BE5}"/>
            </a:ext>
          </a:extLst>
        </xdr:cNvPr>
        <xdr:cNvSpPr>
          <a:spLocks noChangeArrowheads="1"/>
        </xdr:cNvSpPr>
      </xdr:nvSpPr>
      <xdr:spPr bwMode="auto">
        <a:xfrm>
          <a:off x="63500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132</xdr:row>
      <xdr:rowOff>57150</xdr:rowOff>
    </xdr:from>
    <xdr:to>
      <xdr:col>16</xdr:col>
      <xdr:colOff>0</xdr:colOff>
      <xdr:row>133</xdr:row>
      <xdr:rowOff>190500</xdr:rowOff>
    </xdr:to>
    <xdr:sp macro="" textlink="">
      <xdr:nvSpPr>
        <xdr:cNvPr id="418" name="AutoShape 46">
          <a:extLst>
            <a:ext uri="{FF2B5EF4-FFF2-40B4-BE49-F238E27FC236}">
              <a16:creationId xmlns:a16="http://schemas.microsoft.com/office/drawing/2014/main" id="{81477E02-F063-467A-BA59-00103C9760F5}"/>
            </a:ext>
          </a:extLst>
        </xdr:cNvPr>
        <xdr:cNvSpPr>
          <a:spLocks noChangeArrowheads="1"/>
        </xdr:cNvSpPr>
      </xdr:nvSpPr>
      <xdr:spPr bwMode="auto">
        <a:xfrm>
          <a:off x="72771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19" name="AutoShape 46">
          <a:extLst>
            <a:ext uri="{FF2B5EF4-FFF2-40B4-BE49-F238E27FC236}">
              <a16:creationId xmlns:a16="http://schemas.microsoft.com/office/drawing/2014/main" id="{7BB90564-4A19-4B0B-BCAD-72627F2FB54E}"/>
            </a:ext>
          </a:extLst>
        </xdr:cNvPr>
        <xdr:cNvSpPr>
          <a:spLocks noChangeArrowheads="1"/>
        </xdr:cNvSpPr>
      </xdr:nvSpPr>
      <xdr:spPr bwMode="auto">
        <a:xfrm>
          <a:off x="82042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20" name="AutoShape 46">
          <a:extLst>
            <a:ext uri="{FF2B5EF4-FFF2-40B4-BE49-F238E27FC236}">
              <a16:creationId xmlns:a16="http://schemas.microsoft.com/office/drawing/2014/main" id="{AD244154-8D11-47BA-B2E8-D73BDE94BD88}"/>
            </a:ext>
          </a:extLst>
        </xdr:cNvPr>
        <xdr:cNvSpPr>
          <a:spLocks noChangeArrowheads="1"/>
        </xdr:cNvSpPr>
      </xdr:nvSpPr>
      <xdr:spPr bwMode="auto">
        <a:xfrm>
          <a:off x="91313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21" name="AutoShape 46">
          <a:extLst>
            <a:ext uri="{FF2B5EF4-FFF2-40B4-BE49-F238E27FC236}">
              <a16:creationId xmlns:a16="http://schemas.microsoft.com/office/drawing/2014/main" id="{ED47811D-257E-4D9F-B904-A83A63A8731B}"/>
            </a:ext>
          </a:extLst>
        </xdr:cNvPr>
        <xdr:cNvSpPr>
          <a:spLocks noChangeArrowheads="1"/>
        </xdr:cNvSpPr>
      </xdr:nvSpPr>
      <xdr:spPr bwMode="auto">
        <a:xfrm>
          <a:off x="100584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22" name="AutoShape 46">
          <a:extLst>
            <a:ext uri="{FF2B5EF4-FFF2-40B4-BE49-F238E27FC236}">
              <a16:creationId xmlns:a16="http://schemas.microsoft.com/office/drawing/2014/main" id="{7C490B59-1CCB-464E-BAB7-36DDDFAC8949}"/>
            </a:ext>
          </a:extLst>
        </xdr:cNvPr>
        <xdr:cNvSpPr>
          <a:spLocks noChangeArrowheads="1"/>
        </xdr:cNvSpPr>
      </xdr:nvSpPr>
      <xdr:spPr bwMode="auto">
        <a:xfrm>
          <a:off x="109855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23" name="AutoShape 46">
          <a:extLst>
            <a:ext uri="{FF2B5EF4-FFF2-40B4-BE49-F238E27FC236}">
              <a16:creationId xmlns:a16="http://schemas.microsoft.com/office/drawing/2014/main" id="{6A5BAA6E-45DF-4298-A79B-123B2C73C553}"/>
            </a:ext>
          </a:extLst>
        </xdr:cNvPr>
        <xdr:cNvSpPr>
          <a:spLocks noChangeArrowheads="1"/>
        </xdr:cNvSpPr>
      </xdr:nvSpPr>
      <xdr:spPr bwMode="auto">
        <a:xfrm>
          <a:off x="1289685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24" name="AutoShape 46">
          <a:extLst>
            <a:ext uri="{FF2B5EF4-FFF2-40B4-BE49-F238E27FC236}">
              <a16:creationId xmlns:a16="http://schemas.microsoft.com/office/drawing/2014/main" id="{4F1F3A5B-9454-40C2-80B1-01447E4B02AA}"/>
            </a:ext>
          </a:extLst>
        </xdr:cNvPr>
        <xdr:cNvSpPr>
          <a:spLocks noChangeArrowheads="1"/>
        </xdr:cNvSpPr>
      </xdr:nvSpPr>
      <xdr:spPr bwMode="auto">
        <a:xfrm>
          <a:off x="82042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25" name="AutoShape 46">
          <a:extLst>
            <a:ext uri="{FF2B5EF4-FFF2-40B4-BE49-F238E27FC236}">
              <a16:creationId xmlns:a16="http://schemas.microsoft.com/office/drawing/2014/main" id="{92FA8408-FD4D-4C53-ABFE-3F3E22749FEA}"/>
            </a:ext>
          </a:extLst>
        </xdr:cNvPr>
        <xdr:cNvSpPr>
          <a:spLocks noChangeArrowheads="1"/>
        </xdr:cNvSpPr>
      </xdr:nvSpPr>
      <xdr:spPr bwMode="auto">
        <a:xfrm>
          <a:off x="91313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26" name="AutoShape 46">
          <a:extLst>
            <a:ext uri="{FF2B5EF4-FFF2-40B4-BE49-F238E27FC236}">
              <a16:creationId xmlns:a16="http://schemas.microsoft.com/office/drawing/2014/main" id="{99866127-0DAD-4228-920B-7030D5362AB2}"/>
            </a:ext>
          </a:extLst>
        </xdr:cNvPr>
        <xdr:cNvSpPr>
          <a:spLocks noChangeArrowheads="1"/>
        </xdr:cNvSpPr>
      </xdr:nvSpPr>
      <xdr:spPr bwMode="auto">
        <a:xfrm>
          <a:off x="100584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27" name="AutoShape 46">
          <a:extLst>
            <a:ext uri="{FF2B5EF4-FFF2-40B4-BE49-F238E27FC236}">
              <a16:creationId xmlns:a16="http://schemas.microsoft.com/office/drawing/2014/main" id="{A5508913-FA80-45B6-8791-14834F980F29}"/>
            </a:ext>
          </a:extLst>
        </xdr:cNvPr>
        <xdr:cNvSpPr>
          <a:spLocks noChangeArrowheads="1"/>
        </xdr:cNvSpPr>
      </xdr:nvSpPr>
      <xdr:spPr bwMode="auto">
        <a:xfrm>
          <a:off x="109855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28" name="AutoShape 46">
          <a:extLst>
            <a:ext uri="{FF2B5EF4-FFF2-40B4-BE49-F238E27FC236}">
              <a16:creationId xmlns:a16="http://schemas.microsoft.com/office/drawing/2014/main" id="{6D3916F7-E874-4260-9F99-595DF3DE6F29}"/>
            </a:ext>
          </a:extLst>
        </xdr:cNvPr>
        <xdr:cNvSpPr>
          <a:spLocks noChangeArrowheads="1"/>
        </xdr:cNvSpPr>
      </xdr:nvSpPr>
      <xdr:spPr bwMode="auto">
        <a:xfrm>
          <a:off x="1289685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132</xdr:row>
      <xdr:rowOff>57150</xdr:rowOff>
    </xdr:from>
    <xdr:to>
      <xdr:col>16</xdr:col>
      <xdr:colOff>0</xdr:colOff>
      <xdr:row>133</xdr:row>
      <xdr:rowOff>190500</xdr:rowOff>
    </xdr:to>
    <xdr:sp macro="" textlink="">
      <xdr:nvSpPr>
        <xdr:cNvPr id="429" name="AutoShape 46">
          <a:extLst>
            <a:ext uri="{FF2B5EF4-FFF2-40B4-BE49-F238E27FC236}">
              <a16:creationId xmlns:a16="http://schemas.microsoft.com/office/drawing/2014/main" id="{9F0A6D0E-69E9-439F-957E-7A9A175E7518}"/>
            </a:ext>
          </a:extLst>
        </xdr:cNvPr>
        <xdr:cNvSpPr>
          <a:spLocks noChangeArrowheads="1"/>
        </xdr:cNvSpPr>
      </xdr:nvSpPr>
      <xdr:spPr bwMode="auto">
        <a:xfrm>
          <a:off x="72771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30" name="AutoShape 46">
          <a:extLst>
            <a:ext uri="{FF2B5EF4-FFF2-40B4-BE49-F238E27FC236}">
              <a16:creationId xmlns:a16="http://schemas.microsoft.com/office/drawing/2014/main" id="{2780AC39-5B76-4651-A62B-ADA8A9875F5E}"/>
            </a:ext>
          </a:extLst>
        </xdr:cNvPr>
        <xdr:cNvSpPr>
          <a:spLocks noChangeArrowheads="1"/>
        </xdr:cNvSpPr>
      </xdr:nvSpPr>
      <xdr:spPr bwMode="auto">
        <a:xfrm>
          <a:off x="82042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31" name="AutoShape 46">
          <a:extLst>
            <a:ext uri="{FF2B5EF4-FFF2-40B4-BE49-F238E27FC236}">
              <a16:creationId xmlns:a16="http://schemas.microsoft.com/office/drawing/2014/main" id="{0BE6B910-C091-4038-A00D-B64148A20339}"/>
            </a:ext>
          </a:extLst>
        </xdr:cNvPr>
        <xdr:cNvSpPr>
          <a:spLocks noChangeArrowheads="1"/>
        </xdr:cNvSpPr>
      </xdr:nvSpPr>
      <xdr:spPr bwMode="auto">
        <a:xfrm>
          <a:off x="91313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32" name="AutoShape 46">
          <a:extLst>
            <a:ext uri="{FF2B5EF4-FFF2-40B4-BE49-F238E27FC236}">
              <a16:creationId xmlns:a16="http://schemas.microsoft.com/office/drawing/2014/main" id="{045D5B97-DBC5-4725-8AB4-1EAE1BB3FD18}"/>
            </a:ext>
          </a:extLst>
        </xdr:cNvPr>
        <xdr:cNvSpPr>
          <a:spLocks noChangeArrowheads="1"/>
        </xdr:cNvSpPr>
      </xdr:nvSpPr>
      <xdr:spPr bwMode="auto">
        <a:xfrm>
          <a:off x="100584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33" name="AutoShape 46">
          <a:extLst>
            <a:ext uri="{FF2B5EF4-FFF2-40B4-BE49-F238E27FC236}">
              <a16:creationId xmlns:a16="http://schemas.microsoft.com/office/drawing/2014/main" id="{FAFBD7E5-6342-4E5E-9F02-2EE1660294FE}"/>
            </a:ext>
          </a:extLst>
        </xdr:cNvPr>
        <xdr:cNvSpPr>
          <a:spLocks noChangeArrowheads="1"/>
        </xdr:cNvSpPr>
      </xdr:nvSpPr>
      <xdr:spPr bwMode="auto">
        <a:xfrm>
          <a:off x="109855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34" name="AutoShape 46">
          <a:extLst>
            <a:ext uri="{FF2B5EF4-FFF2-40B4-BE49-F238E27FC236}">
              <a16:creationId xmlns:a16="http://schemas.microsoft.com/office/drawing/2014/main" id="{B0324883-909A-4959-9BAE-65AEA17E7921}"/>
            </a:ext>
          </a:extLst>
        </xdr:cNvPr>
        <xdr:cNvSpPr>
          <a:spLocks noChangeArrowheads="1"/>
        </xdr:cNvSpPr>
      </xdr:nvSpPr>
      <xdr:spPr bwMode="auto">
        <a:xfrm>
          <a:off x="1289685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140</xdr:row>
      <xdr:rowOff>57150</xdr:rowOff>
    </xdr:from>
    <xdr:to>
      <xdr:col>2</xdr:col>
      <xdr:colOff>0</xdr:colOff>
      <xdr:row>141</xdr:row>
      <xdr:rowOff>190500</xdr:rowOff>
    </xdr:to>
    <xdr:sp macro="" textlink="">
      <xdr:nvSpPr>
        <xdr:cNvPr id="435" name="AutoShape 46">
          <a:extLst>
            <a:ext uri="{FF2B5EF4-FFF2-40B4-BE49-F238E27FC236}">
              <a16:creationId xmlns:a16="http://schemas.microsoft.com/office/drawing/2014/main" id="{F5DAC7D0-2381-4DF0-8F64-3255C21A5B63}"/>
            </a:ext>
          </a:extLst>
        </xdr:cNvPr>
        <xdr:cNvSpPr>
          <a:spLocks noChangeArrowheads="1"/>
        </xdr:cNvSpPr>
      </xdr:nvSpPr>
      <xdr:spPr bwMode="auto">
        <a:xfrm>
          <a:off x="6096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140</xdr:row>
      <xdr:rowOff>57150</xdr:rowOff>
    </xdr:from>
    <xdr:to>
      <xdr:col>6</xdr:col>
      <xdr:colOff>0</xdr:colOff>
      <xdr:row>141</xdr:row>
      <xdr:rowOff>190500</xdr:rowOff>
    </xdr:to>
    <xdr:sp macro="" textlink="">
      <xdr:nvSpPr>
        <xdr:cNvPr id="436" name="AutoShape 46">
          <a:extLst>
            <a:ext uri="{FF2B5EF4-FFF2-40B4-BE49-F238E27FC236}">
              <a16:creationId xmlns:a16="http://schemas.microsoft.com/office/drawing/2014/main" id="{509ADA94-FD2D-4ABD-90E3-1A0B8D8656CF}"/>
            </a:ext>
          </a:extLst>
        </xdr:cNvPr>
        <xdr:cNvSpPr>
          <a:spLocks noChangeArrowheads="1"/>
        </xdr:cNvSpPr>
      </xdr:nvSpPr>
      <xdr:spPr bwMode="auto">
        <a:xfrm>
          <a:off x="2520950" y="3480435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140</xdr:row>
      <xdr:rowOff>57150</xdr:rowOff>
    </xdr:from>
    <xdr:to>
      <xdr:col>8</xdr:col>
      <xdr:colOff>0</xdr:colOff>
      <xdr:row>141</xdr:row>
      <xdr:rowOff>190500</xdr:rowOff>
    </xdr:to>
    <xdr:sp macro="" textlink="">
      <xdr:nvSpPr>
        <xdr:cNvPr id="437" name="AutoShape 46">
          <a:extLst>
            <a:ext uri="{FF2B5EF4-FFF2-40B4-BE49-F238E27FC236}">
              <a16:creationId xmlns:a16="http://schemas.microsoft.com/office/drawing/2014/main" id="{CAD277EB-F0D4-4CC4-BFB3-6E765C1D6461}"/>
            </a:ext>
          </a:extLst>
        </xdr:cNvPr>
        <xdr:cNvSpPr>
          <a:spLocks noChangeArrowheads="1"/>
        </xdr:cNvSpPr>
      </xdr:nvSpPr>
      <xdr:spPr bwMode="auto">
        <a:xfrm>
          <a:off x="3498850" y="348043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140</xdr:row>
      <xdr:rowOff>57150</xdr:rowOff>
    </xdr:from>
    <xdr:to>
      <xdr:col>10</xdr:col>
      <xdr:colOff>0</xdr:colOff>
      <xdr:row>141</xdr:row>
      <xdr:rowOff>190500</xdr:rowOff>
    </xdr:to>
    <xdr:sp macro="" textlink="">
      <xdr:nvSpPr>
        <xdr:cNvPr id="438" name="AutoShape 46">
          <a:extLst>
            <a:ext uri="{FF2B5EF4-FFF2-40B4-BE49-F238E27FC236}">
              <a16:creationId xmlns:a16="http://schemas.microsoft.com/office/drawing/2014/main" id="{31D0CEBB-32CE-45E5-899F-8115A680F668}"/>
            </a:ext>
          </a:extLst>
        </xdr:cNvPr>
        <xdr:cNvSpPr>
          <a:spLocks noChangeArrowheads="1"/>
        </xdr:cNvSpPr>
      </xdr:nvSpPr>
      <xdr:spPr bwMode="auto">
        <a:xfrm>
          <a:off x="44958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555625</xdr:colOff>
      <xdr:row>140</xdr:row>
      <xdr:rowOff>57150</xdr:rowOff>
    </xdr:from>
    <xdr:to>
      <xdr:col>11</xdr:col>
      <xdr:colOff>555625</xdr:colOff>
      <xdr:row>141</xdr:row>
      <xdr:rowOff>190500</xdr:rowOff>
    </xdr:to>
    <xdr:sp macro="" textlink="">
      <xdr:nvSpPr>
        <xdr:cNvPr id="439" name="AutoShape 46">
          <a:extLst>
            <a:ext uri="{FF2B5EF4-FFF2-40B4-BE49-F238E27FC236}">
              <a16:creationId xmlns:a16="http://schemas.microsoft.com/office/drawing/2014/main" id="{2A8F8AE9-28C1-4EE6-A188-BDC16427229C}"/>
            </a:ext>
          </a:extLst>
        </xdr:cNvPr>
        <xdr:cNvSpPr>
          <a:spLocks noChangeArrowheads="1"/>
        </xdr:cNvSpPr>
      </xdr:nvSpPr>
      <xdr:spPr bwMode="auto">
        <a:xfrm>
          <a:off x="5419725"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140</xdr:row>
      <xdr:rowOff>57150</xdr:rowOff>
    </xdr:from>
    <xdr:to>
      <xdr:col>14</xdr:col>
      <xdr:colOff>0</xdr:colOff>
      <xdr:row>141</xdr:row>
      <xdr:rowOff>190500</xdr:rowOff>
    </xdr:to>
    <xdr:sp macro="" textlink="">
      <xdr:nvSpPr>
        <xdr:cNvPr id="440" name="AutoShape 46">
          <a:extLst>
            <a:ext uri="{FF2B5EF4-FFF2-40B4-BE49-F238E27FC236}">
              <a16:creationId xmlns:a16="http://schemas.microsoft.com/office/drawing/2014/main" id="{2D67EF4A-12DA-415E-8FCE-B224D710F565}"/>
            </a:ext>
          </a:extLst>
        </xdr:cNvPr>
        <xdr:cNvSpPr>
          <a:spLocks noChangeArrowheads="1"/>
        </xdr:cNvSpPr>
      </xdr:nvSpPr>
      <xdr:spPr bwMode="auto">
        <a:xfrm>
          <a:off x="63500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140</xdr:row>
      <xdr:rowOff>57150</xdr:rowOff>
    </xdr:from>
    <xdr:to>
      <xdr:col>16</xdr:col>
      <xdr:colOff>0</xdr:colOff>
      <xdr:row>141</xdr:row>
      <xdr:rowOff>190500</xdr:rowOff>
    </xdr:to>
    <xdr:sp macro="" textlink="">
      <xdr:nvSpPr>
        <xdr:cNvPr id="441" name="AutoShape 46">
          <a:extLst>
            <a:ext uri="{FF2B5EF4-FFF2-40B4-BE49-F238E27FC236}">
              <a16:creationId xmlns:a16="http://schemas.microsoft.com/office/drawing/2014/main" id="{1D2ECEE9-9C36-4F85-AE64-1F526F1D6ECD}"/>
            </a:ext>
          </a:extLst>
        </xdr:cNvPr>
        <xdr:cNvSpPr>
          <a:spLocks noChangeArrowheads="1"/>
        </xdr:cNvSpPr>
      </xdr:nvSpPr>
      <xdr:spPr bwMode="auto">
        <a:xfrm>
          <a:off x="72771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42" name="AutoShape 46">
          <a:extLst>
            <a:ext uri="{FF2B5EF4-FFF2-40B4-BE49-F238E27FC236}">
              <a16:creationId xmlns:a16="http://schemas.microsoft.com/office/drawing/2014/main" id="{A8E63DD8-3399-4717-9385-F60A8A0B9BA9}"/>
            </a:ext>
          </a:extLst>
        </xdr:cNvPr>
        <xdr:cNvSpPr>
          <a:spLocks noChangeArrowheads="1"/>
        </xdr:cNvSpPr>
      </xdr:nvSpPr>
      <xdr:spPr bwMode="auto">
        <a:xfrm>
          <a:off x="82042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43" name="AutoShape 46">
          <a:extLst>
            <a:ext uri="{FF2B5EF4-FFF2-40B4-BE49-F238E27FC236}">
              <a16:creationId xmlns:a16="http://schemas.microsoft.com/office/drawing/2014/main" id="{B6146C4E-DBFF-4295-8F9D-668B59DD88C7}"/>
            </a:ext>
          </a:extLst>
        </xdr:cNvPr>
        <xdr:cNvSpPr>
          <a:spLocks noChangeArrowheads="1"/>
        </xdr:cNvSpPr>
      </xdr:nvSpPr>
      <xdr:spPr bwMode="auto">
        <a:xfrm>
          <a:off x="91313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44" name="AutoShape 46">
          <a:extLst>
            <a:ext uri="{FF2B5EF4-FFF2-40B4-BE49-F238E27FC236}">
              <a16:creationId xmlns:a16="http://schemas.microsoft.com/office/drawing/2014/main" id="{267FB896-357B-400D-9755-D363FE6B3A30}"/>
            </a:ext>
          </a:extLst>
        </xdr:cNvPr>
        <xdr:cNvSpPr>
          <a:spLocks noChangeArrowheads="1"/>
        </xdr:cNvSpPr>
      </xdr:nvSpPr>
      <xdr:spPr bwMode="auto">
        <a:xfrm>
          <a:off x="100584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45" name="AutoShape 46">
          <a:extLst>
            <a:ext uri="{FF2B5EF4-FFF2-40B4-BE49-F238E27FC236}">
              <a16:creationId xmlns:a16="http://schemas.microsoft.com/office/drawing/2014/main" id="{EA82DA3D-6EF7-4892-8EC2-6F7C1DCBD4B4}"/>
            </a:ext>
          </a:extLst>
        </xdr:cNvPr>
        <xdr:cNvSpPr>
          <a:spLocks noChangeArrowheads="1"/>
        </xdr:cNvSpPr>
      </xdr:nvSpPr>
      <xdr:spPr bwMode="auto">
        <a:xfrm>
          <a:off x="109855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46" name="AutoShape 46">
          <a:extLst>
            <a:ext uri="{FF2B5EF4-FFF2-40B4-BE49-F238E27FC236}">
              <a16:creationId xmlns:a16="http://schemas.microsoft.com/office/drawing/2014/main" id="{89C932CF-E9C0-47D5-BCA7-47D79B1A6CAE}"/>
            </a:ext>
          </a:extLst>
        </xdr:cNvPr>
        <xdr:cNvSpPr>
          <a:spLocks noChangeArrowheads="1"/>
        </xdr:cNvSpPr>
      </xdr:nvSpPr>
      <xdr:spPr bwMode="auto">
        <a:xfrm>
          <a:off x="119126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47" name="AutoShape 46">
          <a:extLst>
            <a:ext uri="{FF2B5EF4-FFF2-40B4-BE49-F238E27FC236}">
              <a16:creationId xmlns:a16="http://schemas.microsoft.com/office/drawing/2014/main" id="{54EDD2DA-40EA-435F-A47A-3F97F19094C3}"/>
            </a:ext>
          </a:extLst>
        </xdr:cNvPr>
        <xdr:cNvSpPr>
          <a:spLocks noChangeArrowheads="1"/>
        </xdr:cNvSpPr>
      </xdr:nvSpPr>
      <xdr:spPr bwMode="auto">
        <a:xfrm>
          <a:off x="1289685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48" name="AutoShape 46">
          <a:extLst>
            <a:ext uri="{FF2B5EF4-FFF2-40B4-BE49-F238E27FC236}">
              <a16:creationId xmlns:a16="http://schemas.microsoft.com/office/drawing/2014/main" id="{824E42F9-09B4-4C4D-8BB2-43042CFE7471}"/>
            </a:ext>
          </a:extLst>
        </xdr:cNvPr>
        <xdr:cNvSpPr>
          <a:spLocks noChangeArrowheads="1"/>
        </xdr:cNvSpPr>
      </xdr:nvSpPr>
      <xdr:spPr bwMode="auto">
        <a:xfrm>
          <a:off x="82042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49" name="AutoShape 46">
          <a:extLst>
            <a:ext uri="{FF2B5EF4-FFF2-40B4-BE49-F238E27FC236}">
              <a16:creationId xmlns:a16="http://schemas.microsoft.com/office/drawing/2014/main" id="{A86D46D0-12BD-441E-873F-F4511E984FF8}"/>
            </a:ext>
          </a:extLst>
        </xdr:cNvPr>
        <xdr:cNvSpPr>
          <a:spLocks noChangeArrowheads="1"/>
        </xdr:cNvSpPr>
      </xdr:nvSpPr>
      <xdr:spPr bwMode="auto">
        <a:xfrm>
          <a:off x="91313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50" name="AutoShape 46">
          <a:extLst>
            <a:ext uri="{FF2B5EF4-FFF2-40B4-BE49-F238E27FC236}">
              <a16:creationId xmlns:a16="http://schemas.microsoft.com/office/drawing/2014/main" id="{FEC1EF5B-C572-4A59-981A-5529537319F5}"/>
            </a:ext>
          </a:extLst>
        </xdr:cNvPr>
        <xdr:cNvSpPr>
          <a:spLocks noChangeArrowheads="1"/>
        </xdr:cNvSpPr>
      </xdr:nvSpPr>
      <xdr:spPr bwMode="auto">
        <a:xfrm>
          <a:off x="100584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51" name="AutoShape 46">
          <a:extLst>
            <a:ext uri="{FF2B5EF4-FFF2-40B4-BE49-F238E27FC236}">
              <a16:creationId xmlns:a16="http://schemas.microsoft.com/office/drawing/2014/main" id="{B521F3A7-5D8C-4655-983F-6AEC298FDD89}"/>
            </a:ext>
          </a:extLst>
        </xdr:cNvPr>
        <xdr:cNvSpPr>
          <a:spLocks noChangeArrowheads="1"/>
        </xdr:cNvSpPr>
      </xdr:nvSpPr>
      <xdr:spPr bwMode="auto">
        <a:xfrm>
          <a:off x="109855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52" name="AutoShape 46">
          <a:extLst>
            <a:ext uri="{FF2B5EF4-FFF2-40B4-BE49-F238E27FC236}">
              <a16:creationId xmlns:a16="http://schemas.microsoft.com/office/drawing/2014/main" id="{4753D8F9-31AC-4E0A-9AFA-D70A46D1A4F3}"/>
            </a:ext>
          </a:extLst>
        </xdr:cNvPr>
        <xdr:cNvSpPr>
          <a:spLocks noChangeArrowheads="1"/>
        </xdr:cNvSpPr>
      </xdr:nvSpPr>
      <xdr:spPr bwMode="auto">
        <a:xfrm>
          <a:off x="11912600" y="348043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53" name="AutoShape 46">
          <a:extLst>
            <a:ext uri="{FF2B5EF4-FFF2-40B4-BE49-F238E27FC236}">
              <a16:creationId xmlns:a16="http://schemas.microsoft.com/office/drawing/2014/main" id="{05AB0C46-3415-4DAB-9183-9A09EF03CC85}"/>
            </a:ext>
          </a:extLst>
        </xdr:cNvPr>
        <xdr:cNvSpPr>
          <a:spLocks noChangeArrowheads="1"/>
        </xdr:cNvSpPr>
      </xdr:nvSpPr>
      <xdr:spPr bwMode="auto">
        <a:xfrm>
          <a:off x="1289685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140</xdr:row>
      <xdr:rowOff>57150</xdr:rowOff>
    </xdr:from>
    <xdr:to>
      <xdr:col>16</xdr:col>
      <xdr:colOff>0</xdr:colOff>
      <xdr:row>141</xdr:row>
      <xdr:rowOff>190500</xdr:rowOff>
    </xdr:to>
    <xdr:sp macro="" textlink="">
      <xdr:nvSpPr>
        <xdr:cNvPr id="454" name="AutoShape 46">
          <a:extLst>
            <a:ext uri="{FF2B5EF4-FFF2-40B4-BE49-F238E27FC236}">
              <a16:creationId xmlns:a16="http://schemas.microsoft.com/office/drawing/2014/main" id="{E74EEBA7-C749-4449-A632-CCFE513C250A}"/>
            </a:ext>
          </a:extLst>
        </xdr:cNvPr>
        <xdr:cNvSpPr>
          <a:spLocks noChangeArrowheads="1"/>
        </xdr:cNvSpPr>
      </xdr:nvSpPr>
      <xdr:spPr bwMode="auto">
        <a:xfrm>
          <a:off x="72771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55" name="AutoShape 46">
          <a:extLst>
            <a:ext uri="{FF2B5EF4-FFF2-40B4-BE49-F238E27FC236}">
              <a16:creationId xmlns:a16="http://schemas.microsoft.com/office/drawing/2014/main" id="{C1F06E2E-90FA-46D8-B45F-70B0A4B91CF3}"/>
            </a:ext>
          </a:extLst>
        </xdr:cNvPr>
        <xdr:cNvSpPr>
          <a:spLocks noChangeArrowheads="1"/>
        </xdr:cNvSpPr>
      </xdr:nvSpPr>
      <xdr:spPr bwMode="auto">
        <a:xfrm>
          <a:off x="82042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56" name="AutoShape 46">
          <a:extLst>
            <a:ext uri="{FF2B5EF4-FFF2-40B4-BE49-F238E27FC236}">
              <a16:creationId xmlns:a16="http://schemas.microsoft.com/office/drawing/2014/main" id="{6A83A065-28AA-43F9-88C9-0F3BDADC3BBE}"/>
            </a:ext>
          </a:extLst>
        </xdr:cNvPr>
        <xdr:cNvSpPr>
          <a:spLocks noChangeArrowheads="1"/>
        </xdr:cNvSpPr>
      </xdr:nvSpPr>
      <xdr:spPr bwMode="auto">
        <a:xfrm>
          <a:off x="91313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57" name="AutoShape 46">
          <a:extLst>
            <a:ext uri="{FF2B5EF4-FFF2-40B4-BE49-F238E27FC236}">
              <a16:creationId xmlns:a16="http://schemas.microsoft.com/office/drawing/2014/main" id="{C09B1A3A-EE6D-4572-9BA4-14E4CEC6B096}"/>
            </a:ext>
          </a:extLst>
        </xdr:cNvPr>
        <xdr:cNvSpPr>
          <a:spLocks noChangeArrowheads="1"/>
        </xdr:cNvSpPr>
      </xdr:nvSpPr>
      <xdr:spPr bwMode="auto">
        <a:xfrm>
          <a:off x="100584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58" name="AutoShape 46">
          <a:extLst>
            <a:ext uri="{FF2B5EF4-FFF2-40B4-BE49-F238E27FC236}">
              <a16:creationId xmlns:a16="http://schemas.microsoft.com/office/drawing/2014/main" id="{BD50FE1F-EF3C-425F-B14A-D8C24689C2F9}"/>
            </a:ext>
          </a:extLst>
        </xdr:cNvPr>
        <xdr:cNvSpPr>
          <a:spLocks noChangeArrowheads="1"/>
        </xdr:cNvSpPr>
      </xdr:nvSpPr>
      <xdr:spPr bwMode="auto">
        <a:xfrm>
          <a:off x="109855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59" name="AutoShape 46">
          <a:extLst>
            <a:ext uri="{FF2B5EF4-FFF2-40B4-BE49-F238E27FC236}">
              <a16:creationId xmlns:a16="http://schemas.microsoft.com/office/drawing/2014/main" id="{D202CF99-A782-4A45-BDD3-139A0DE9FA7E}"/>
            </a:ext>
          </a:extLst>
        </xdr:cNvPr>
        <xdr:cNvSpPr>
          <a:spLocks noChangeArrowheads="1"/>
        </xdr:cNvSpPr>
      </xdr:nvSpPr>
      <xdr:spPr bwMode="auto">
        <a:xfrm>
          <a:off x="119126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60" name="AutoShape 46">
          <a:extLst>
            <a:ext uri="{FF2B5EF4-FFF2-40B4-BE49-F238E27FC236}">
              <a16:creationId xmlns:a16="http://schemas.microsoft.com/office/drawing/2014/main" id="{9A9CA65E-5831-4B4E-99D5-11A48E57BFDB}"/>
            </a:ext>
          </a:extLst>
        </xdr:cNvPr>
        <xdr:cNvSpPr>
          <a:spLocks noChangeArrowheads="1"/>
        </xdr:cNvSpPr>
      </xdr:nvSpPr>
      <xdr:spPr bwMode="auto">
        <a:xfrm>
          <a:off x="1289685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148</xdr:row>
      <xdr:rowOff>57150</xdr:rowOff>
    </xdr:from>
    <xdr:to>
      <xdr:col>2</xdr:col>
      <xdr:colOff>0</xdr:colOff>
      <xdr:row>149</xdr:row>
      <xdr:rowOff>190500</xdr:rowOff>
    </xdr:to>
    <xdr:sp macro="" textlink="">
      <xdr:nvSpPr>
        <xdr:cNvPr id="461" name="AutoShape 46">
          <a:extLst>
            <a:ext uri="{FF2B5EF4-FFF2-40B4-BE49-F238E27FC236}">
              <a16:creationId xmlns:a16="http://schemas.microsoft.com/office/drawing/2014/main" id="{BF1B70B4-5497-4C70-A08D-BA1EF8C88E62}"/>
            </a:ext>
          </a:extLst>
        </xdr:cNvPr>
        <xdr:cNvSpPr>
          <a:spLocks noChangeArrowheads="1"/>
        </xdr:cNvSpPr>
      </xdr:nvSpPr>
      <xdr:spPr bwMode="auto">
        <a:xfrm>
          <a:off x="6096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148</xdr:row>
      <xdr:rowOff>57150</xdr:rowOff>
    </xdr:from>
    <xdr:to>
      <xdr:col>4</xdr:col>
      <xdr:colOff>0</xdr:colOff>
      <xdr:row>149</xdr:row>
      <xdr:rowOff>190500</xdr:rowOff>
    </xdr:to>
    <xdr:sp macro="" textlink="">
      <xdr:nvSpPr>
        <xdr:cNvPr id="462" name="AutoShape 46">
          <a:extLst>
            <a:ext uri="{FF2B5EF4-FFF2-40B4-BE49-F238E27FC236}">
              <a16:creationId xmlns:a16="http://schemas.microsoft.com/office/drawing/2014/main" id="{6729FD58-41D2-4854-98DE-E2A725115D19}"/>
            </a:ext>
          </a:extLst>
        </xdr:cNvPr>
        <xdr:cNvSpPr>
          <a:spLocks noChangeArrowheads="1"/>
        </xdr:cNvSpPr>
      </xdr:nvSpPr>
      <xdr:spPr bwMode="auto">
        <a:xfrm>
          <a:off x="1536700" y="3670935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148</xdr:row>
      <xdr:rowOff>57150</xdr:rowOff>
    </xdr:from>
    <xdr:to>
      <xdr:col>6</xdr:col>
      <xdr:colOff>0</xdr:colOff>
      <xdr:row>149</xdr:row>
      <xdr:rowOff>190500</xdr:rowOff>
    </xdr:to>
    <xdr:sp macro="" textlink="">
      <xdr:nvSpPr>
        <xdr:cNvPr id="463" name="AutoShape 46">
          <a:extLst>
            <a:ext uri="{FF2B5EF4-FFF2-40B4-BE49-F238E27FC236}">
              <a16:creationId xmlns:a16="http://schemas.microsoft.com/office/drawing/2014/main" id="{CAF6718C-8CCB-4E35-BA8D-98B5153A8154}"/>
            </a:ext>
          </a:extLst>
        </xdr:cNvPr>
        <xdr:cNvSpPr>
          <a:spLocks noChangeArrowheads="1"/>
        </xdr:cNvSpPr>
      </xdr:nvSpPr>
      <xdr:spPr bwMode="auto">
        <a:xfrm>
          <a:off x="2520950" y="3670935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148</xdr:row>
      <xdr:rowOff>57150</xdr:rowOff>
    </xdr:from>
    <xdr:to>
      <xdr:col>8</xdr:col>
      <xdr:colOff>0</xdr:colOff>
      <xdr:row>149</xdr:row>
      <xdr:rowOff>190500</xdr:rowOff>
    </xdr:to>
    <xdr:sp macro="" textlink="">
      <xdr:nvSpPr>
        <xdr:cNvPr id="464" name="AutoShape 46">
          <a:extLst>
            <a:ext uri="{FF2B5EF4-FFF2-40B4-BE49-F238E27FC236}">
              <a16:creationId xmlns:a16="http://schemas.microsoft.com/office/drawing/2014/main" id="{3D5AC1F5-AA8B-4798-9972-B588AE8DADE0}"/>
            </a:ext>
          </a:extLst>
        </xdr:cNvPr>
        <xdr:cNvSpPr>
          <a:spLocks noChangeArrowheads="1"/>
        </xdr:cNvSpPr>
      </xdr:nvSpPr>
      <xdr:spPr bwMode="auto">
        <a:xfrm>
          <a:off x="3498850" y="367093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148</xdr:row>
      <xdr:rowOff>57150</xdr:rowOff>
    </xdr:from>
    <xdr:to>
      <xdr:col>10</xdr:col>
      <xdr:colOff>0</xdr:colOff>
      <xdr:row>149</xdr:row>
      <xdr:rowOff>190500</xdr:rowOff>
    </xdr:to>
    <xdr:sp macro="" textlink="">
      <xdr:nvSpPr>
        <xdr:cNvPr id="465" name="AutoShape 46">
          <a:extLst>
            <a:ext uri="{FF2B5EF4-FFF2-40B4-BE49-F238E27FC236}">
              <a16:creationId xmlns:a16="http://schemas.microsoft.com/office/drawing/2014/main" id="{FC8C795E-6F31-42FB-B1C6-F23E6337CC6E}"/>
            </a:ext>
          </a:extLst>
        </xdr:cNvPr>
        <xdr:cNvSpPr>
          <a:spLocks noChangeArrowheads="1"/>
        </xdr:cNvSpPr>
      </xdr:nvSpPr>
      <xdr:spPr bwMode="auto">
        <a:xfrm>
          <a:off x="44958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148</xdr:row>
      <xdr:rowOff>57150</xdr:rowOff>
    </xdr:from>
    <xdr:to>
      <xdr:col>12</xdr:col>
      <xdr:colOff>0</xdr:colOff>
      <xdr:row>149</xdr:row>
      <xdr:rowOff>190500</xdr:rowOff>
    </xdr:to>
    <xdr:sp macro="" textlink="">
      <xdr:nvSpPr>
        <xdr:cNvPr id="466" name="AutoShape 46">
          <a:extLst>
            <a:ext uri="{FF2B5EF4-FFF2-40B4-BE49-F238E27FC236}">
              <a16:creationId xmlns:a16="http://schemas.microsoft.com/office/drawing/2014/main" id="{D4B4661C-EAF4-42F9-B53A-31471FD5BC18}"/>
            </a:ext>
          </a:extLst>
        </xdr:cNvPr>
        <xdr:cNvSpPr>
          <a:spLocks noChangeArrowheads="1"/>
        </xdr:cNvSpPr>
      </xdr:nvSpPr>
      <xdr:spPr bwMode="auto">
        <a:xfrm>
          <a:off x="54229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148</xdr:row>
      <xdr:rowOff>57150</xdr:rowOff>
    </xdr:from>
    <xdr:to>
      <xdr:col>14</xdr:col>
      <xdr:colOff>0</xdr:colOff>
      <xdr:row>149</xdr:row>
      <xdr:rowOff>190500</xdr:rowOff>
    </xdr:to>
    <xdr:sp macro="" textlink="">
      <xdr:nvSpPr>
        <xdr:cNvPr id="467" name="AutoShape 46">
          <a:extLst>
            <a:ext uri="{FF2B5EF4-FFF2-40B4-BE49-F238E27FC236}">
              <a16:creationId xmlns:a16="http://schemas.microsoft.com/office/drawing/2014/main" id="{8FF8AB4E-9B6D-4896-BF0E-85D9678B2333}"/>
            </a:ext>
          </a:extLst>
        </xdr:cNvPr>
        <xdr:cNvSpPr>
          <a:spLocks noChangeArrowheads="1"/>
        </xdr:cNvSpPr>
      </xdr:nvSpPr>
      <xdr:spPr bwMode="auto">
        <a:xfrm>
          <a:off x="63500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148</xdr:row>
      <xdr:rowOff>57150</xdr:rowOff>
    </xdr:from>
    <xdr:to>
      <xdr:col>16</xdr:col>
      <xdr:colOff>0</xdr:colOff>
      <xdr:row>149</xdr:row>
      <xdr:rowOff>190500</xdr:rowOff>
    </xdr:to>
    <xdr:sp macro="" textlink="">
      <xdr:nvSpPr>
        <xdr:cNvPr id="468" name="AutoShape 46">
          <a:extLst>
            <a:ext uri="{FF2B5EF4-FFF2-40B4-BE49-F238E27FC236}">
              <a16:creationId xmlns:a16="http://schemas.microsoft.com/office/drawing/2014/main" id="{A80EE282-6B37-4654-934A-ABDFD415F920}"/>
            </a:ext>
          </a:extLst>
        </xdr:cNvPr>
        <xdr:cNvSpPr>
          <a:spLocks noChangeArrowheads="1"/>
        </xdr:cNvSpPr>
      </xdr:nvSpPr>
      <xdr:spPr bwMode="auto">
        <a:xfrm>
          <a:off x="72771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69" name="AutoShape 46">
          <a:extLst>
            <a:ext uri="{FF2B5EF4-FFF2-40B4-BE49-F238E27FC236}">
              <a16:creationId xmlns:a16="http://schemas.microsoft.com/office/drawing/2014/main" id="{0C712528-8A5E-4820-8FF6-2EB2C5BED18F}"/>
            </a:ext>
          </a:extLst>
        </xdr:cNvPr>
        <xdr:cNvSpPr>
          <a:spLocks noChangeArrowheads="1"/>
        </xdr:cNvSpPr>
      </xdr:nvSpPr>
      <xdr:spPr bwMode="auto">
        <a:xfrm>
          <a:off x="82042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70" name="AutoShape 46">
          <a:extLst>
            <a:ext uri="{FF2B5EF4-FFF2-40B4-BE49-F238E27FC236}">
              <a16:creationId xmlns:a16="http://schemas.microsoft.com/office/drawing/2014/main" id="{0B976081-7F91-495F-8DD1-479A4647F1CC}"/>
            </a:ext>
          </a:extLst>
        </xdr:cNvPr>
        <xdr:cNvSpPr>
          <a:spLocks noChangeArrowheads="1"/>
        </xdr:cNvSpPr>
      </xdr:nvSpPr>
      <xdr:spPr bwMode="auto">
        <a:xfrm>
          <a:off x="91313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71" name="AutoShape 46">
          <a:extLst>
            <a:ext uri="{FF2B5EF4-FFF2-40B4-BE49-F238E27FC236}">
              <a16:creationId xmlns:a16="http://schemas.microsoft.com/office/drawing/2014/main" id="{B023BB30-C1BD-4765-98DF-440E6B35604D}"/>
            </a:ext>
          </a:extLst>
        </xdr:cNvPr>
        <xdr:cNvSpPr>
          <a:spLocks noChangeArrowheads="1"/>
        </xdr:cNvSpPr>
      </xdr:nvSpPr>
      <xdr:spPr bwMode="auto">
        <a:xfrm>
          <a:off x="100584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72" name="AutoShape 46">
          <a:extLst>
            <a:ext uri="{FF2B5EF4-FFF2-40B4-BE49-F238E27FC236}">
              <a16:creationId xmlns:a16="http://schemas.microsoft.com/office/drawing/2014/main" id="{6E597472-1AF4-4060-951D-3C3E3A6CC0A7}"/>
            </a:ext>
          </a:extLst>
        </xdr:cNvPr>
        <xdr:cNvSpPr>
          <a:spLocks noChangeArrowheads="1"/>
        </xdr:cNvSpPr>
      </xdr:nvSpPr>
      <xdr:spPr bwMode="auto">
        <a:xfrm>
          <a:off x="109855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73" name="AutoShape 46">
          <a:extLst>
            <a:ext uri="{FF2B5EF4-FFF2-40B4-BE49-F238E27FC236}">
              <a16:creationId xmlns:a16="http://schemas.microsoft.com/office/drawing/2014/main" id="{E895D73A-3011-45C8-926E-285662627744}"/>
            </a:ext>
          </a:extLst>
        </xdr:cNvPr>
        <xdr:cNvSpPr>
          <a:spLocks noChangeArrowheads="1"/>
        </xdr:cNvSpPr>
      </xdr:nvSpPr>
      <xdr:spPr bwMode="auto">
        <a:xfrm>
          <a:off x="11912600" y="36709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74" name="AutoShape 46">
          <a:extLst>
            <a:ext uri="{FF2B5EF4-FFF2-40B4-BE49-F238E27FC236}">
              <a16:creationId xmlns:a16="http://schemas.microsoft.com/office/drawing/2014/main" id="{7F25D806-9A5F-46F5-B709-3031F2881494}"/>
            </a:ext>
          </a:extLst>
        </xdr:cNvPr>
        <xdr:cNvSpPr>
          <a:spLocks noChangeArrowheads="1"/>
        </xdr:cNvSpPr>
      </xdr:nvSpPr>
      <xdr:spPr bwMode="auto">
        <a:xfrm>
          <a:off x="1289685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75" name="AutoShape 46">
          <a:extLst>
            <a:ext uri="{FF2B5EF4-FFF2-40B4-BE49-F238E27FC236}">
              <a16:creationId xmlns:a16="http://schemas.microsoft.com/office/drawing/2014/main" id="{D48308AF-316F-4331-BE4F-F8B8EB2B7507}"/>
            </a:ext>
          </a:extLst>
        </xdr:cNvPr>
        <xdr:cNvSpPr>
          <a:spLocks noChangeArrowheads="1"/>
        </xdr:cNvSpPr>
      </xdr:nvSpPr>
      <xdr:spPr bwMode="auto">
        <a:xfrm>
          <a:off x="82042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76" name="AutoShape 46">
          <a:extLst>
            <a:ext uri="{FF2B5EF4-FFF2-40B4-BE49-F238E27FC236}">
              <a16:creationId xmlns:a16="http://schemas.microsoft.com/office/drawing/2014/main" id="{5B8BF65C-FCC2-4C5B-BC7C-02C0516BB072}"/>
            </a:ext>
          </a:extLst>
        </xdr:cNvPr>
        <xdr:cNvSpPr>
          <a:spLocks noChangeArrowheads="1"/>
        </xdr:cNvSpPr>
      </xdr:nvSpPr>
      <xdr:spPr bwMode="auto">
        <a:xfrm>
          <a:off x="91313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77" name="AutoShape 46">
          <a:extLst>
            <a:ext uri="{FF2B5EF4-FFF2-40B4-BE49-F238E27FC236}">
              <a16:creationId xmlns:a16="http://schemas.microsoft.com/office/drawing/2014/main" id="{802F01BB-61A4-4E03-A1AB-0EF917173544}"/>
            </a:ext>
          </a:extLst>
        </xdr:cNvPr>
        <xdr:cNvSpPr>
          <a:spLocks noChangeArrowheads="1"/>
        </xdr:cNvSpPr>
      </xdr:nvSpPr>
      <xdr:spPr bwMode="auto">
        <a:xfrm>
          <a:off x="100584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78" name="AutoShape 46">
          <a:extLst>
            <a:ext uri="{FF2B5EF4-FFF2-40B4-BE49-F238E27FC236}">
              <a16:creationId xmlns:a16="http://schemas.microsoft.com/office/drawing/2014/main" id="{C40BE12A-16BB-46D4-8AE8-B8B8B1120B96}"/>
            </a:ext>
          </a:extLst>
        </xdr:cNvPr>
        <xdr:cNvSpPr>
          <a:spLocks noChangeArrowheads="1"/>
        </xdr:cNvSpPr>
      </xdr:nvSpPr>
      <xdr:spPr bwMode="auto">
        <a:xfrm>
          <a:off x="109855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79" name="AutoShape 46">
          <a:extLst>
            <a:ext uri="{FF2B5EF4-FFF2-40B4-BE49-F238E27FC236}">
              <a16:creationId xmlns:a16="http://schemas.microsoft.com/office/drawing/2014/main" id="{C278D5AB-D199-493A-909A-5C0336DB1CD2}"/>
            </a:ext>
          </a:extLst>
        </xdr:cNvPr>
        <xdr:cNvSpPr>
          <a:spLocks noChangeArrowheads="1"/>
        </xdr:cNvSpPr>
      </xdr:nvSpPr>
      <xdr:spPr bwMode="auto">
        <a:xfrm>
          <a:off x="11912600" y="367093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80" name="AutoShape 46">
          <a:extLst>
            <a:ext uri="{FF2B5EF4-FFF2-40B4-BE49-F238E27FC236}">
              <a16:creationId xmlns:a16="http://schemas.microsoft.com/office/drawing/2014/main" id="{6C4878CD-A180-4712-B062-FFF717FBE63C}"/>
            </a:ext>
          </a:extLst>
        </xdr:cNvPr>
        <xdr:cNvSpPr>
          <a:spLocks noChangeArrowheads="1"/>
        </xdr:cNvSpPr>
      </xdr:nvSpPr>
      <xdr:spPr bwMode="auto">
        <a:xfrm>
          <a:off x="1289685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148</xdr:row>
      <xdr:rowOff>57150</xdr:rowOff>
    </xdr:from>
    <xdr:to>
      <xdr:col>16</xdr:col>
      <xdr:colOff>0</xdr:colOff>
      <xdr:row>149</xdr:row>
      <xdr:rowOff>190500</xdr:rowOff>
    </xdr:to>
    <xdr:sp macro="" textlink="">
      <xdr:nvSpPr>
        <xdr:cNvPr id="481" name="AutoShape 46">
          <a:extLst>
            <a:ext uri="{FF2B5EF4-FFF2-40B4-BE49-F238E27FC236}">
              <a16:creationId xmlns:a16="http://schemas.microsoft.com/office/drawing/2014/main" id="{E24A9A56-AF92-441E-A9F0-6BD494A69CA8}"/>
            </a:ext>
          </a:extLst>
        </xdr:cNvPr>
        <xdr:cNvSpPr>
          <a:spLocks noChangeArrowheads="1"/>
        </xdr:cNvSpPr>
      </xdr:nvSpPr>
      <xdr:spPr bwMode="auto">
        <a:xfrm>
          <a:off x="72771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82" name="AutoShape 46">
          <a:extLst>
            <a:ext uri="{FF2B5EF4-FFF2-40B4-BE49-F238E27FC236}">
              <a16:creationId xmlns:a16="http://schemas.microsoft.com/office/drawing/2014/main" id="{A7151BDA-779D-47F2-8A45-043244EB4660}"/>
            </a:ext>
          </a:extLst>
        </xdr:cNvPr>
        <xdr:cNvSpPr>
          <a:spLocks noChangeArrowheads="1"/>
        </xdr:cNvSpPr>
      </xdr:nvSpPr>
      <xdr:spPr bwMode="auto">
        <a:xfrm>
          <a:off x="82042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83" name="AutoShape 46">
          <a:extLst>
            <a:ext uri="{FF2B5EF4-FFF2-40B4-BE49-F238E27FC236}">
              <a16:creationId xmlns:a16="http://schemas.microsoft.com/office/drawing/2014/main" id="{2864F51C-AE80-4238-B5D0-B163C75FC0A2}"/>
            </a:ext>
          </a:extLst>
        </xdr:cNvPr>
        <xdr:cNvSpPr>
          <a:spLocks noChangeArrowheads="1"/>
        </xdr:cNvSpPr>
      </xdr:nvSpPr>
      <xdr:spPr bwMode="auto">
        <a:xfrm>
          <a:off x="91313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84" name="AutoShape 46">
          <a:extLst>
            <a:ext uri="{FF2B5EF4-FFF2-40B4-BE49-F238E27FC236}">
              <a16:creationId xmlns:a16="http://schemas.microsoft.com/office/drawing/2014/main" id="{6BF67F43-6D26-4EF6-B8AB-B6B3BF6881AC}"/>
            </a:ext>
          </a:extLst>
        </xdr:cNvPr>
        <xdr:cNvSpPr>
          <a:spLocks noChangeArrowheads="1"/>
        </xdr:cNvSpPr>
      </xdr:nvSpPr>
      <xdr:spPr bwMode="auto">
        <a:xfrm>
          <a:off x="100584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85" name="AutoShape 46">
          <a:extLst>
            <a:ext uri="{FF2B5EF4-FFF2-40B4-BE49-F238E27FC236}">
              <a16:creationId xmlns:a16="http://schemas.microsoft.com/office/drawing/2014/main" id="{7D273030-27FC-4535-A6E4-3E2BC0AAC63D}"/>
            </a:ext>
          </a:extLst>
        </xdr:cNvPr>
        <xdr:cNvSpPr>
          <a:spLocks noChangeArrowheads="1"/>
        </xdr:cNvSpPr>
      </xdr:nvSpPr>
      <xdr:spPr bwMode="auto">
        <a:xfrm>
          <a:off x="109855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86" name="AutoShape 46">
          <a:extLst>
            <a:ext uri="{FF2B5EF4-FFF2-40B4-BE49-F238E27FC236}">
              <a16:creationId xmlns:a16="http://schemas.microsoft.com/office/drawing/2014/main" id="{63906C83-9CC9-4C1D-861C-E9FCFE3A2DC5}"/>
            </a:ext>
          </a:extLst>
        </xdr:cNvPr>
        <xdr:cNvSpPr>
          <a:spLocks noChangeArrowheads="1"/>
        </xdr:cNvSpPr>
      </xdr:nvSpPr>
      <xdr:spPr bwMode="auto">
        <a:xfrm>
          <a:off x="11912600" y="3670935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87" name="AutoShape 46">
          <a:extLst>
            <a:ext uri="{FF2B5EF4-FFF2-40B4-BE49-F238E27FC236}">
              <a16:creationId xmlns:a16="http://schemas.microsoft.com/office/drawing/2014/main" id="{BB28682B-FFC1-4846-BDB2-1414C38E5EDC}"/>
            </a:ext>
          </a:extLst>
        </xdr:cNvPr>
        <xdr:cNvSpPr>
          <a:spLocks noChangeArrowheads="1"/>
        </xdr:cNvSpPr>
      </xdr:nvSpPr>
      <xdr:spPr bwMode="auto">
        <a:xfrm>
          <a:off x="1289685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156</xdr:row>
      <xdr:rowOff>57150</xdr:rowOff>
    </xdr:from>
    <xdr:to>
      <xdr:col>2</xdr:col>
      <xdr:colOff>0</xdr:colOff>
      <xdr:row>157</xdr:row>
      <xdr:rowOff>190500</xdr:rowOff>
    </xdr:to>
    <xdr:sp macro="" textlink="">
      <xdr:nvSpPr>
        <xdr:cNvPr id="488" name="AutoShape 46">
          <a:extLst>
            <a:ext uri="{FF2B5EF4-FFF2-40B4-BE49-F238E27FC236}">
              <a16:creationId xmlns:a16="http://schemas.microsoft.com/office/drawing/2014/main" id="{41F924A0-6369-4EA8-89C9-9B6D7BA29217}"/>
            </a:ext>
          </a:extLst>
        </xdr:cNvPr>
        <xdr:cNvSpPr>
          <a:spLocks noChangeArrowheads="1"/>
        </xdr:cNvSpPr>
      </xdr:nvSpPr>
      <xdr:spPr bwMode="auto">
        <a:xfrm>
          <a:off x="6096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156</xdr:row>
      <xdr:rowOff>57150</xdr:rowOff>
    </xdr:from>
    <xdr:to>
      <xdr:col>4</xdr:col>
      <xdr:colOff>0</xdr:colOff>
      <xdr:row>157</xdr:row>
      <xdr:rowOff>190500</xdr:rowOff>
    </xdr:to>
    <xdr:sp macro="" textlink="">
      <xdr:nvSpPr>
        <xdr:cNvPr id="489" name="AutoShape 46">
          <a:extLst>
            <a:ext uri="{FF2B5EF4-FFF2-40B4-BE49-F238E27FC236}">
              <a16:creationId xmlns:a16="http://schemas.microsoft.com/office/drawing/2014/main" id="{566C18E0-A263-4721-BF64-D8D5FC9E87D1}"/>
            </a:ext>
          </a:extLst>
        </xdr:cNvPr>
        <xdr:cNvSpPr>
          <a:spLocks noChangeArrowheads="1"/>
        </xdr:cNvSpPr>
      </xdr:nvSpPr>
      <xdr:spPr bwMode="auto">
        <a:xfrm>
          <a:off x="1536700" y="38633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156</xdr:row>
      <xdr:rowOff>57150</xdr:rowOff>
    </xdr:from>
    <xdr:to>
      <xdr:col>6</xdr:col>
      <xdr:colOff>0</xdr:colOff>
      <xdr:row>157</xdr:row>
      <xdr:rowOff>190500</xdr:rowOff>
    </xdr:to>
    <xdr:sp macro="" textlink="">
      <xdr:nvSpPr>
        <xdr:cNvPr id="490" name="AutoShape 46">
          <a:extLst>
            <a:ext uri="{FF2B5EF4-FFF2-40B4-BE49-F238E27FC236}">
              <a16:creationId xmlns:a16="http://schemas.microsoft.com/office/drawing/2014/main" id="{F3C6F175-6475-45B5-B1A8-EBEE1578DB73}"/>
            </a:ext>
          </a:extLst>
        </xdr:cNvPr>
        <xdr:cNvSpPr>
          <a:spLocks noChangeArrowheads="1"/>
        </xdr:cNvSpPr>
      </xdr:nvSpPr>
      <xdr:spPr bwMode="auto">
        <a:xfrm>
          <a:off x="2520950" y="38633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156</xdr:row>
      <xdr:rowOff>57150</xdr:rowOff>
    </xdr:from>
    <xdr:to>
      <xdr:col>8</xdr:col>
      <xdr:colOff>0</xdr:colOff>
      <xdr:row>157</xdr:row>
      <xdr:rowOff>190500</xdr:rowOff>
    </xdr:to>
    <xdr:sp macro="" textlink="">
      <xdr:nvSpPr>
        <xdr:cNvPr id="491" name="AutoShape 46">
          <a:extLst>
            <a:ext uri="{FF2B5EF4-FFF2-40B4-BE49-F238E27FC236}">
              <a16:creationId xmlns:a16="http://schemas.microsoft.com/office/drawing/2014/main" id="{EF0BC6B5-6860-4586-B0E5-B9016A44A7B5}"/>
            </a:ext>
          </a:extLst>
        </xdr:cNvPr>
        <xdr:cNvSpPr>
          <a:spLocks noChangeArrowheads="1"/>
        </xdr:cNvSpPr>
      </xdr:nvSpPr>
      <xdr:spPr bwMode="auto">
        <a:xfrm>
          <a:off x="3498850" y="38633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156</xdr:row>
      <xdr:rowOff>57150</xdr:rowOff>
    </xdr:from>
    <xdr:to>
      <xdr:col>10</xdr:col>
      <xdr:colOff>0</xdr:colOff>
      <xdr:row>157</xdr:row>
      <xdr:rowOff>190500</xdr:rowOff>
    </xdr:to>
    <xdr:sp macro="" textlink="">
      <xdr:nvSpPr>
        <xdr:cNvPr id="492" name="AutoShape 46">
          <a:extLst>
            <a:ext uri="{FF2B5EF4-FFF2-40B4-BE49-F238E27FC236}">
              <a16:creationId xmlns:a16="http://schemas.microsoft.com/office/drawing/2014/main" id="{449059CD-7E4C-4AD9-97EA-65FFF8893E29}"/>
            </a:ext>
          </a:extLst>
        </xdr:cNvPr>
        <xdr:cNvSpPr>
          <a:spLocks noChangeArrowheads="1"/>
        </xdr:cNvSpPr>
      </xdr:nvSpPr>
      <xdr:spPr bwMode="auto">
        <a:xfrm>
          <a:off x="44958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156</xdr:row>
      <xdr:rowOff>57150</xdr:rowOff>
    </xdr:from>
    <xdr:to>
      <xdr:col>12</xdr:col>
      <xdr:colOff>0</xdr:colOff>
      <xdr:row>157</xdr:row>
      <xdr:rowOff>190500</xdr:rowOff>
    </xdr:to>
    <xdr:sp macro="" textlink="">
      <xdr:nvSpPr>
        <xdr:cNvPr id="493" name="AutoShape 46">
          <a:extLst>
            <a:ext uri="{FF2B5EF4-FFF2-40B4-BE49-F238E27FC236}">
              <a16:creationId xmlns:a16="http://schemas.microsoft.com/office/drawing/2014/main" id="{F1955031-BD2F-424F-94A2-2FBF2108D384}"/>
            </a:ext>
          </a:extLst>
        </xdr:cNvPr>
        <xdr:cNvSpPr>
          <a:spLocks noChangeArrowheads="1"/>
        </xdr:cNvSpPr>
      </xdr:nvSpPr>
      <xdr:spPr bwMode="auto">
        <a:xfrm>
          <a:off x="54229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156</xdr:row>
      <xdr:rowOff>57150</xdr:rowOff>
    </xdr:from>
    <xdr:to>
      <xdr:col>14</xdr:col>
      <xdr:colOff>0</xdr:colOff>
      <xdr:row>157</xdr:row>
      <xdr:rowOff>190500</xdr:rowOff>
    </xdr:to>
    <xdr:sp macro="" textlink="">
      <xdr:nvSpPr>
        <xdr:cNvPr id="494" name="AutoShape 46">
          <a:extLst>
            <a:ext uri="{FF2B5EF4-FFF2-40B4-BE49-F238E27FC236}">
              <a16:creationId xmlns:a16="http://schemas.microsoft.com/office/drawing/2014/main" id="{B96FB6A0-DE72-4EF0-BD36-D022404DF8F1}"/>
            </a:ext>
          </a:extLst>
        </xdr:cNvPr>
        <xdr:cNvSpPr>
          <a:spLocks noChangeArrowheads="1"/>
        </xdr:cNvSpPr>
      </xdr:nvSpPr>
      <xdr:spPr bwMode="auto">
        <a:xfrm>
          <a:off x="63500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95" name="AutoShape 46">
          <a:extLst>
            <a:ext uri="{FF2B5EF4-FFF2-40B4-BE49-F238E27FC236}">
              <a16:creationId xmlns:a16="http://schemas.microsoft.com/office/drawing/2014/main" id="{C1382103-8331-44BE-8D68-34EF01CDE04B}"/>
            </a:ext>
          </a:extLst>
        </xdr:cNvPr>
        <xdr:cNvSpPr>
          <a:spLocks noChangeArrowheads="1"/>
        </xdr:cNvSpPr>
      </xdr:nvSpPr>
      <xdr:spPr bwMode="auto">
        <a:xfrm>
          <a:off x="72771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96" name="AutoShape 46">
          <a:extLst>
            <a:ext uri="{FF2B5EF4-FFF2-40B4-BE49-F238E27FC236}">
              <a16:creationId xmlns:a16="http://schemas.microsoft.com/office/drawing/2014/main" id="{ABAD65D6-9CEC-4C3E-9ADC-EDDC48D5E2DF}"/>
            </a:ext>
          </a:extLst>
        </xdr:cNvPr>
        <xdr:cNvSpPr>
          <a:spLocks noChangeArrowheads="1"/>
        </xdr:cNvSpPr>
      </xdr:nvSpPr>
      <xdr:spPr bwMode="auto">
        <a:xfrm>
          <a:off x="82042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97" name="AutoShape 46">
          <a:extLst>
            <a:ext uri="{FF2B5EF4-FFF2-40B4-BE49-F238E27FC236}">
              <a16:creationId xmlns:a16="http://schemas.microsoft.com/office/drawing/2014/main" id="{B6A28EFE-4333-425D-89A9-060F1C470504}"/>
            </a:ext>
          </a:extLst>
        </xdr:cNvPr>
        <xdr:cNvSpPr>
          <a:spLocks noChangeArrowheads="1"/>
        </xdr:cNvSpPr>
      </xdr:nvSpPr>
      <xdr:spPr bwMode="auto">
        <a:xfrm>
          <a:off x="91313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98" name="AutoShape 46">
          <a:extLst>
            <a:ext uri="{FF2B5EF4-FFF2-40B4-BE49-F238E27FC236}">
              <a16:creationId xmlns:a16="http://schemas.microsoft.com/office/drawing/2014/main" id="{1590AE53-44EE-4A94-AC53-3DA3EBC35D05}"/>
            </a:ext>
          </a:extLst>
        </xdr:cNvPr>
        <xdr:cNvSpPr>
          <a:spLocks noChangeArrowheads="1"/>
        </xdr:cNvSpPr>
      </xdr:nvSpPr>
      <xdr:spPr bwMode="auto">
        <a:xfrm>
          <a:off x="100584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99" name="AutoShape 46">
          <a:extLst>
            <a:ext uri="{FF2B5EF4-FFF2-40B4-BE49-F238E27FC236}">
              <a16:creationId xmlns:a16="http://schemas.microsoft.com/office/drawing/2014/main" id="{FE70C235-6779-4C6E-88E3-BAF68B3751D1}"/>
            </a:ext>
          </a:extLst>
        </xdr:cNvPr>
        <xdr:cNvSpPr>
          <a:spLocks noChangeArrowheads="1"/>
        </xdr:cNvSpPr>
      </xdr:nvSpPr>
      <xdr:spPr bwMode="auto">
        <a:xfrm>
          <a:off x="109855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00" name="AutoShape 46">
          <a:extLst>
            <a:ext uri="{FF2B5EF4-FFF2-40B4-BE49-F238E27FC236}">
              <a16:creationId xmlns:a16="http://schemas.microsoft.com/office/drawing/2014/main" id="{73BF4E01-AB3A-4180-9DDA-F339591C7C1C}"/>
            </a:ext>
          </a:extLst>
        </xdr:cNvPr>
        <xdr:cNvSpPr>
          <a:spLocks noChangeArrowheads="1"/>
        </xdr:cNvSpPr>
      </xdr:nvSpPr>
      <xdr:spPr bwMode="auto">
        <a:xfrm>
          <a:off x="11912600" y="38633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01" name="AutoShape 46">
          <a:extLst>
            <a:ext uri="{FF2B5EF4-FFF2-40B4-BE49-F238E27FC236}">
              <a16:creationId xmlns:a16="http://schemas.microsoft.com/office/drawing/2014/main" id="{92697712-9F16-499B-8D9A-2FB3169CC95E}"/>
            </a:ext>
          </a:extLst>
        </xdr:cNvPr>
        <xdr:cNvSpPr>
          <a:spLocks noChangeArrowheads="1"/>
        </xdr:cNvSpPr>
      </xdr:nvSpPr>
      <xdr:spPr bwMode="auto">
        <a:xfrm>
          <a:off x="1289685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502" name="AutoShape 46">
          <a:extLst>
            <a:ext uri="{FF2B5EF4-FFF2-40B4-BE49-F238E27FC236}">
              <a16:creationId xmlns:a16="http://schemas.microsoft.com/office/drawing/2014/main" id="{EA1A63E2-2AF0-4B36-B356-04DE7F479F56}"/>
            </a:ext>
          </a:extLst>
        </xdr:cNvPr>
        <xdr:cNvSpPr>
          <a:spLocks noChangeArrowheads="1"/>
        </xdr:cNvSpPr>
      </xdr:nvSpPr>
      <xdr:spPr bwMode="auto">
        <a:xfrm>
          <a:off x="82042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503" name="AutoShape 46">
          <a:extLst>
            <a:ext uri="{FF2B5EF4-FFF2-40B4-BE49-F238E27FC236}">
              <a16:creationId xmlns:a16="http://schemas.microsoft.com/office/drawing/2014/main" id="{A14CFA59-773E-47DC-8A72-6BB0906B0C4F}"/>
            </a:ext>
          </a:extLst>
        </xdr:cNvPr>
        <xdr:cNvSpPr>
          <a:spLocks noChangeArrowheads="1"/>
        </xdr:cNvSpPr>
      </xdr:nvSpPr>
      <xdr:spPr bwMode="auto">
        <a:xfrm>
          <a:off x="91313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504" name="AutoShape 46">
          <a:extLst>
            <a:ext uri="{FF2B5EF4-FFF2-40B4-BE49-F238E27FC236}">
              <a16:creationId xmlns:a16="http://schemas.microsoft.com/office/drawing/2014/main" id="{043619D2-FA2A-4F86-B922-9F0A9A6EFC20}"/>
            </a:ext>
          </a:extLst>
        </xdr:cNvPr>
        <xdr:cNvSpPr>
          <a:spLocks noChangeArrowheads="1"/>
        </xdr:cNvSpPr>
      </xdr:nvSpPr>
      <xdr:spPr bwMode="auto">
        <a:xfrm>
          <a:off x="100584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505" name="AutoShape 46">
          <a:extLst>
            <a:ext uri="{FF2B5EF4-FFF2-40B4-BE49-F238E27FC236}">
              <a16:creationId xmlns:a16="http://schemas.microsoft.com/office/drawing/2014/main" id="{7BB63101-A852-481D-B155-BA310130E9F9}"/>
            </a:ext>
          </a:extLst>
        </xdr:cNvPr>
        <xdr:cNvSpPr>
          <a:spLocks noChangeArrowheads="1"/>
        </xdr:cNvSpPr>
      </xdr:nvSpPr>
      <xdr:spPr bwMode="auto">
        <a:xfrm>
          <a:off x="109855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06" name="AutoShape 46">
          <a:extLst>
            <a:ext uri="{FF2B5EF4-FFF2-40B4-BE49-F238E27FC236}">
              <a16:creationId xmlns:a16="http://schemas.microsoft.com/office/drawing/2014/main" id="{9812B45B-FBB6-49A4-9221-A5E7BF016F9F}"/>
            </a:ext>
          </a:extLst>
        </xdr:cNvPr>
        <xdr:cNvSpPr>
          <a:spLocks noChangeArrowheads="1"/>
        </xdr:cNvSpPr>
      </xdr:nvSpPr>
      <xdr:spPr bwMode="auto">
        <a:xfrm>
          <a:off x="11912600" y="38633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07" name="AutoShape 46">
          <a:extLst>
            <a:ext uri="{FF2B5EF4-FFF2-40B4-BE49-F238E27FC236}">
              <a16:creationId xmlns:a16="http://schemas.microsoft.com/office/drawing/2014/main" id="{AE0DB64E-0DBC-4481-BE5C-A69681CA549B}"/>
            </a:ext>
          </a:extLst>
        </xdr:cNvPr>
        <xdr:cNvSpPr>
          <a:spLocks noChangeArrowheads="1"/>
        </xdr:cNvSpPr>
      </xdr:nvSpPr>
      <xdr:spPr bwMode="auto">
        <a:xfrm>
          <a:off x="1289685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508" name="AutoShape 46">
          <a:extLst>
            <a:ext uri="{FF2B5EF4-FFF2-40B4-BE49-F238E27FC236}">
              <a16:creationId xmlns:a16="http://schemas.microsoft.com/office/drawing/2014/main" id="{A624AF66-06A4-40DE-890C-A9A75E474B89}"/>
            </a:ext>
          </a:extLst>
        </xdr:cNvPr>
        <xdr:cNvSpPr>
          <a:spLocks noChangeArrowheads="1"/>
        </xdr:cNvSpPr>
      </xdr:nvSpPr>
      <xdr:spPr bwMode="auto">
        <a:xfrm>
          <a:off x="72771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509" name="AutoShape 46">
          <a:extLst>
            <a:ext uri="{FF2B5EF4-FFF2-40B4-BE49-F238E27FC236}">
              <a16:creationId xmlns:a16="http://schemas.microsoft.com/office/drawing/2014/main" id="{AB13EFB2-AF9E-4BE8-9511-61D1412DEEDD}"/>
            </a:ext>
          </a:extLst>
        </xdr:cNvPr>
        <xdr:cNvSpPr>
          <a:spLocks noChangeArrowheads="1"/>
        </xdr:cNvSpPr>
      </xdr:nvSpPr>
      <xdr:spPr bwMode="auto">
        <a:xfrm>
          <a:off x="82042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510" name="AutoShape 46">
          <a:extLst>
            <a:ext uri="{FF2B5EF4-FFF2-40B4-BE49-F238E27FC236}">
              <a16:creationId xmlns:a16="http://schemas.microsoft.com/office/drawing/2014/main" id="{AA0D6BB7-0F4E-4AB8-8B8F-6FAD593A546C}"/>
            </a:ext>
          </a:extLst>
        </xdr:cNvPr>
        <xdr:cNvSpPr>
          <a:spLocks noChangeArrowheads="1"/>
        </xdr:cNvSpPr>
      </xdr:nvSpPr>
      <xdr:spPr bwMode="auto">
        <a:xfrm>
          <a:off x="91313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511" name="AutoShape 46">
          <a:extLst>
            <a:ext uri="{FF2B5EF4-FFF2-40B4-BE49-F238E27FC236}">
              <a16:creationId xmlns:a16="http://schemas.microsoft.com/office/drawing/2014/main" id="{84478C84-F9A5-4FBD-963D-D8711CDF55C6}"/>
            </a:ext>
          </a:extLst>
        </xdr:cNvPr>
        <xdr:cNvSpPr>
          <a:spLocks noChangeArrowheads="1"/>
        </xdr:cNvSpPr>
      </xdr:nvSpPr>
      <xdr:spPr bwMode="auto">
        <a:xfrm>
          <a:off x="100584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512" name="AutoShape 46">
          <a:extLst>
            <a:ext uri="{FF2B5EF4-FFF2-40B4-BE49-F238E27FC236}">
              <a16:creationId xmlns:a16="http://schemas.microsoft.com/office/drawing/2014/main" id="{EF46E9A7-2EF1-44E1-B542-4D92A0CB0537}"/>
            </a:ext>
          </a:extLst>
        </xdr:cNvPr>
        <xdr:cNvSpPr>
          <a:spLocks noChangeArrowheads="1"/>
        </xdr:cNvSpPr>
      </xdr:nvSpPr>
      <xdr:spPr bwMode="auto">
        <a:xfrm>
          <a:off x="109855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13" name="AutoShape 46">
          <a:extLst>
            <a:ext uri="{FF2B5EF4-FFF2-40B4-BE49-F238E27FC236}">
              <a16:creationId xmlns:a16="http://schemas.microsoft.com/office/drawing/2014/main" id="{4BE9C8B8-6BDB-4A24-90D4-EF0F5922502A}"/>
            </a:ext>
          </a:extLst>
        </xdr:cNvPr>
        <xdr:cNvSpPr>
          <a:spLocks noChangeArrowheads="1"/>
        </xdr:cNvSpPr>
      </xdr:nvSpPr>
      <xdr:spPr bwMode="auto">
        <a:xfrm>
          <a:off x="11912600" y="38633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14" name="AutoShape 46">
          <a:extLst>
            <a:ext uri="{FF2B5EF4-FFF2-40B4-BE49-F238E27FC236}">
              <a16:creationId xmlns:a16="http://schemas.microsoft.com/office/drawing/2014/main" id="{CD34FBA6-3CA1-4F1C-927D-BFF75C2586A4}"/>
            </a:ext>
          </a:extLst>
        </xdr:cNvPr>
        <xdr:cNvSpPr>
          <a:spLocks noChangeArrowheads="1"/>
        </xdr:cNvSpPr>
      </xdr:nvSpPr>
      <xdr:spPr bwMode="auto">
        <a:xfrm>
          <a:off x="1289685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164</xdr:row>
      <xdr:rowOff>57150</xdr:rowOff>
    </xdr:from>
    <xdr:to>
      <xdr:col>2</xdr:col>
      <xdr:colOff>0</xdr:colOff>
      <xdr:row>165</xdr:row>
      <xdr:rowOff>190500</xdr:rowOff>
    </xdr:to>
    <xdr:sp macro="" textlink="">
      <xdr:nvSpPr>
        <xdr:cNvPr id="515" name="AutoShape 46">
          <a:extLst>
            <a:ext uri="{FF2B5EF4-FFF2-40B4-BE49-F238E27FC236}">
              <a16:creationId xmlns:a16="http://schemas.microsoft.com/office/drawing/2014/main" id="{E2DDADE9-45AF-4FCF-ABE3-D4A13F538B3C}"/>
            </a:ext>
          </a:extLst>
        </xdr:cNvPr>
        <xdr:cNvSpPr>
          <a:spLocks noChangeArrowheads="1"/>
        </xdr:cNvSpPr>
      </xdr:nvSpPr>
      <xdr:spPr bwMode="auto">
        <a:xfrm>
          <a:off x="6096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164</xdr:row>
      <xdr:rowOff>57150</xdr:rowOff>
    </xdr:from>
    <xdr:to>
      <xdr:col>4</xdr:col>
      <xdr:colOff>0</xdr:colOff>
      <xdr:row>165</xdr:row>
      <xdr:rowOff>190500</xdr:rowOff>
    </xdr:to>
    <xdr:sp macro="" textlink="">
      <xdr:nvSpPr>
        <xdr:cNvPr id="516" name="AutoShape 46">
          <a:extLst>
            <a:ext uri="{FF2B5EF4-FFF2-40B4-BE49-F238E27FC236}">
              <a16:creationId xmlns:a16="http://schemas.microsoft.com/office/drawing/2014/main" id="{6377BD25-9A8D-4CF1-91BB-77A2892F80B1}"/>
            </a:ext>
          </a:extLst>
        </xdr:cNvPr>
        <xdr:cNvSpPr>
          <a:spLocks noChangeArrowheads="1"/>
        </xdr:cNvSpPr>
      </xdr:nvSpPr>
      <xdr:spPr bwMode="auto">
        <a:xfrm>
          <a:off x="1536700" y="40563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164</xdr:row>
      <xdr:rowOff>57150</xdr:rowOff>
    </xdr:from>
    <xdr:to>
      <xdr:col>6</xdr:col>
      <xdr:colOff>0</xdr:colOff>
      <xdr:row>165</xdr:row>
      <xdr:rowOff>190500</xdr:rowOff>
    </xdr:to>
    <xdr:sp macro="" textlink="">
      <xdr:nvSpPr>
        <xdr:cNvPr id="517" name="AutoShape 46">
          <a:extLst>
            <a:ext uri="{FF2B5EF4-FFF2-40B4-BE49-F238E27FC236}">
              <a16:creationId xmlns:a16="http://schemas.microsoft.com/office/drawing/2014/main" id="{4D115173-CD6F-4553-9D2A-DF190D699DED}"/>
            </a:ext>
          </a:extLst>
        </xdr:cNvPr>
        <xdr:cNvSpPr>
          <a:spLocks noChangeArrowheads="1"/>
        </xdr:cNvSpPr>
      </xdr:nvSpPr>
      <xdr:spPr bwMode="auto">
        <a:xfrm>
          <a:off x="2520950" y="40563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164</xdr:row>
      <xdr:rowOff>57150</xdr:rowOff>
    </xdr:from>
    <xdr:to>
      <xdr:col>8</xdr:col>
      <xdr:colOff>0</xdr:colOff>
      <xdr:row>165</xdr:row>
      <xdr:rowOff>190500</xdr:rowOff>
    </xdr:to>
    <xdr:sp macro="" textlink="">
      <xdr:nvSpPr>
        <xdr:cNvPr id="518" name="AutoShape 46">
          <a:extLst>
            <a:ext uri="{FF2B5EF4-FFF2-40B4-BE49-F238E27FC236}">
              <a16:creationId xmlns:a16="http://schemas.microsoft.com/office/drawing/2014/main" id="{E05AAFAE-8E8E-4D0A-9DBE-4396A45E8A9D}"/>
            </a:ext>
          </a:extLst>
        </xdr:cNvPr>
        <xdr:cNvSpPr>
          <a:spLocks noChangeArrowheads="1"/>
        </xdr:cNvSpPr>
      </xdr:nvSpPr>
      <xdr:spPr bwMode="auto">
        <a:xfrm>
          <a:off x="3498850" y="40563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164</xdr:row>
      <xdr:rowOff>57150</xdr:rowOff>
    </xdr:from>
    <xdr:to>
      <xdr:col>10</xdr:col>
      <xdr:colOff>0</xdr:colOff>
      <xdr:row>165</xdr:row>
      <xdr:rowOff>190500</xdr:rowOff>
    </xdr:to>
    <xdr:sp macro="" textlink="">
      <xdr:nvSpPr>
        <xdr:cNvPr id="519" name="AutoShape 46">
          <a:extLst>
            <a:ext uri="{FF2B5EF4-FFF2-40B4-BE49-F238E27FC236}">
              <a16:creationId xmlns:a16="http://schemas.microsoft.com/office/drawing/2014/main" id="{DC92C3CD-B5FC-4812-80EB-9D0B4D624CDA}"/>
            </a:ext>
          </a:extLst>
        </xdr:cNvPr>
        <xdr:cNvSpPr>
          <a:spLocks noChangeArrowheads="1"/>
        </xdr:cNvSpPr>
      </xdr:nvSpPr>
      <xdr:spPr bwMode="auto">
        <a:xfrm>
          <a:off x="44958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164</xdr:row>
      <xdr:rowOff>57150</xdr:rowOff>
    </xdr:from>
    <xdr:to>
      <xdr:col>12</xdr:col>
      <xdr:colOff>0</xdr:colOff>
      <xdr:row>165</xdr:row>
      <xdr:rowOff>190500</xdr:rowOff>
    </xdr:to>
    <xdr:sp macro="" textlink="">
      <xdr:nvSpPr>
        <xdr:cNvPr id="520" name="AutoShape 46">
          <a:extLst>
            <a:ext uri="{FF2B5EF4-FFF2-40B4-BE49-F238E27FC236}">
              <a16:creationId xmlns:a16="http://schemas.microsoft.com/office/drawing/2014/main" id="{BF9CEE77-E73F-4058-BF38-FCBC7F1585EC}"/>
            </a:ext>
          </a:extLst>
        </xdr:cNvPr>
        <xdr:cNvSpPr>
          <a:spLocks noChangeArrowheads="1"/>
        </xdr:cNvSpPr>
      </xdr:nvSpPr>
      <xdr:spPr bwMode="auto">
        <a:xfrm>
          <a:off x="54229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164</xdr:row>
      <xdr:rowOff>57150</xdr:rowOff>
    </xdr:from>
    <xdr:to>
      <xdr:col>14</xdr:col>
      <xdr:colOff>0</xdr:colOff>
      <xdr:row>165</xdr:row>
      <xdr:rowOff>190500</xdr:rowOff>
    </xdr:to>
    <xdr:sp macro="" textlink="">
      <xdr:nvSpPr>
        <xdr:cNvPr id="521" name="AutoShape 46">
          <a:extLst>
            <a:ext uri="{FF2B5EF4-FFF2-40B4-BE49-F238E27FC236}">
              <a16:creationId xmlns:a16="http://schemas.microsoft.com/office/drawing/2014/main" id="{38154FC9-7516-4655-B767-607E0BF43E01}"/>
            </a:ext>
          </a:extLst>
        </xdr:cNvPr>
        <xdr:cNvSpPr>
          <a:spLocks noChangeArrowheads="1"/>
        </xdr:cNvSpPr>
      </xdr:nvSpPr>
      <xdr:spPr bwMode="auto">
        <a:xfrm>
          <a:off x="63500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164</xdr:row>
      <xdr:rowOff>57150</xdr:rowOff>
    </xdr:from>
    <xdr:to>
      <xdr:col>16</xdr:col>
      <xdr:colOff>0</xdr:colOff>
      <xdr:row>165</xdr:row>
      <xdr:rowOff>190500</xdr:rowOff>
    </xdr:to>
    <xdr:sp macro="" textlink="">
      <xdr:nvSpPr>
        <xdr:cNvPr id="522" name="AutoShape 46">
          <a:extLst>
            <a:ext uri="{FF2B5EF4-FFF2-40B4-BE49-F238E27FC236}">
              <a16:creationId xmlns:a16="http://schemas.microsoft.com/office/drawing/2014/main" id="{FC611906-BBD8-44B3-A1D6-37BB37239395}"/>
            </a:ext>
          </a:extLst>
        </xdr:cNvPr>
        <xdr:cNvSpPr>
          <a:spLocks noChangeArrowheads="1"/>
        </xdr:cNvSpPr>
      </xdr:nvSpPr>
      <xdr:spPr bwMode="auto">
        <a:xfrm>
          <a:off x="72771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23" name="AutoShape 46">
          <a:extLst>
            <a:ext uri="{FF2B5EF4-FFF2-40B4-BE49-F238E27FC236}">
              <a16:creationId xmlns:a16="http://schemas.microsoft.com/office/drawing/2014/main" id="{65BAD510-9750-4D6D-81FB-4BFA10E0F641}"/>
            </a:ext>
          </a:extLst>
        </xdr:cNvPr>
        <xdr:cNvSpPr>
          <a:spLocks noChangeArrowheads="1"/>
        </xdr:cNvSpPr>
      </xdr:nvSpPr>
      <xdr:spPr bwMode="auto">
        <a:xfrm>
          <a:off x="82042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24" name="AutoShape 46">
          <a:extLst>
            <a:ext uri="{FF2B5EF4-FFF2-40B4-BE49-F238E27FC236}">
              <a16:creationId xmlns:a16="http://schemas.microsoft.com/office/drawing/2014/main" id="{EB56CA27-B295-4BF3-B6A7-8A96E9E8B480}"/>
            </a:ext>
          </a:extLst>
        </xdr:cNvPr>
        <xdr:cNvSpPr>
          <a:spLocks noChangeArrowheads="1"/>
        </xdr:cNvSpPr>
      </xdr:nvSpPr>
      <xdr:spPr bwMode="auto">
        <a:xfrm>
          <a:off x="91313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25" name="AutoShape 46">
          <a:extLst>
            <a:ext uri="{FF2B5EF4-FFF2-40B4-BE49-F238E27FC236}">
              <a16:creationId xmlns:a16="http://schemas.microsoft.com/office/drawing/2014/main" id="{626C6114-5680-4CFF-B4F8-87676ADC3D7A}"/>
            </a:ext>
          </a:extLst>
        </xdr:cNvPr>
        <xdr:cNvSpPr>
          <a:spLocks noChangeArrowheads="1"/>
        </xdr:cNvSpPr>
      </xdr:nvSpPr>
      <xdr:spPr bwMode="auto">
        <a:xfrm>
          <a:off x="100584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26" name="AutoShape 46">
          <a:extLst>
            <a:ext uri="{FF2B5EF4-FFF2-40B4-BE49-F238E27FC236}">
              <a16:creationId xmlns:a16="http://schemas.microsoft.com/office/drawing/2014/main" id="{09E89259-76F3-422B-93BE-A38185CEE115}"/>
            </a:ext>
          </a:extLst>
        </xdr:cNvPr>
        <xdr:cNvSpPr>
          <a:spLocks noChangeArrowheads="1"/>
        </xdr:cNvSpPr>
      </xdr:nvSpPr>
      <xdr:spPr bwMode="auto">
        <a:xfrm>
          <a:off x="109855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27" name="AutoShape 46">
          <a:extLst>
            <a:ext uri="{FF2B5EF4-FFF2-40B4-BE49-F238E27FC236}">
              <a16:creationId xmlns:a16="http://schemas.microsoft.com/office/drawing/2014/main" id="{E48516AF-7E9A-4358-BFEB-C16BD61E6F25}"/>
            </a:ext>
          </a:extLst>
        </xdr:cNvPr>
        <xdr:cNvSpPr>
          <a:spLocks noChangeArrowheads="1"/>
        </xdr:cNvSpPr>
      </xdr:nvSpPr>
      <xdr:spPr bwMode="auto">
        <a:xfrm>
          <a:off x="11912600" y="40563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28" name="AutoShape 46">
          <a:extLst>
            <a:ext uri="{FF2B5EF4-FFF2-40B4-BE49-F238E27FC236}">
              <a16:creationId xmlns:a16="http://schemas.microsoft.com/office/drawing/2014/main" id="{A3235999-7E2E-4976-82F1-E38D01155B9E}"/>
            </a:ext>
          </a:extLst>
        </xdr:cNvPr>
        <xdr:cNvSpPr>
          <a:spLocks noChangeArrowheads="1"/>
        </xdr:cNvSpPr>
      </xdr:nvSpPr>
      <xdr:spPr bwMode="auto">
        <a:xfrm>
          <a:off x="1289685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29" name="AutoShape 46">
          <a:extLst>
            <a:ext uri="{FF2B5EF4-FFF2-40B4-BE49-F238E27FC236}">
              <a16:creationId xmlns:a16="http://schemas.microsoft.com/office/drawing/2014/main" id="{BB54E401-E117-429B-9E4E-BC8BB1472345}"/>
            </a:ext>
          </a:extLst>
        </xdr:cNvPr>
        <xdr:cNvSpPr>
          <a:spLocks noChangeArrowheads="1"/>
        </xdr:cNvSpPr>
      </xdr:nvSpPr>
      <xdr:spPr bwMode="auto">
        <a:xfrm>
          <a:off x="82042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30" name="AutoShape 46">
          <a:extLst>
            <a:ext uri="{FF2B5EF4-FFF2-40B4-BE49-F238E27FC236}">
              <a16:creationId xmlns:a16="http://schemas.microsoft.com/office/drawing/2014/main" id="{319E7BD2-4A3B-4D1A-8D07-57EA8BFA11E1}"/>
            </a:ext>
          </a:extLst>
        </xdr:cNvPr>
        <xdr:cNvSpPr>
          <a:spLocks noChangeArrowheads="1"/>
        </xdr:cNvSpPr>
      </xdr:nvSpPr>
      <xdr:spPr bwMode="auto">
        <a:xfrm>
          <a:off x="91313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31" name="AutoShape 46">
          <a:extLst>
            <a:ext uri="{FF2B5EF4-FFF2-40B4-BE49-F238E27FC236}">
              <a16:creationId xmlns:a16="http://schemas.microsoft.com/office/drawing/2014/main" id="{D0311D46-EC7D-43A6-99F7-623C943D50DE}"/>
            </a:ext>
          </a:extLst>
        </xdr:cNvPr>
        <xdr:cNvSpPr>
          <a:spLocks noChangeArrowheads="1"/>
        </xdr:cNvSpPr>
      </xdr:nvSpPr>
      <xdr:spPr bwMode="auto">
        <a:xfrm>
          <a:off x="100584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32" name="AutoShape 46">
          <a:extLst>
            <a:ext uri="{FF2B5EF4-FFF2-40B4-BE49-F238E27FC236}">
              <a16:creationId xmlns:a16="http://schemas.microsoft.com/office/drawing/2014/main" id="{BE00D328-6C31-49E3-BD59-98E3EA735CEC}"/>
            </a:ext>
          </a:extLst>
        </xdr:cNvPr>
        <xdr:cNvSpPr>
          <a:spLocks noChangeArrowheads="1"/>
        </xdr:cNvSpPr>
      </xdr:nvSpPr>
      <xdr:spPr bwMode="auto">
        <a:xfrm>
          <a:off x="109855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33" name="AutoShape 46">
          <a:extLst>
            <a:ext uri="{FF2B5EF4-FFF2-40B4-BE49-F238E27FC236}">
              <a16:creationId xmlns:a16="http://schemas.microsoft.com/office/drawing/2014/main" id="{0E9C8D83-8F8E-49B9-83E8-8349FBD7388A}"/>
            </a:ext>
          </a:extLst>
        </xdr:cNvPr>
        <xdr:cNvSpPr>
          <a:spLocks noChangeArrowheads="1"/>
        </xdr:cNvSpPr>
      </xdr:nvSpPr>
      <xdr:spPr bwMode="auto">
        <a:xfrm>
          <a:off x="11912600" y="40563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34" name="AutoShape 46">
          <a:extLst>
            <a:ext uri="{FF2B5EF4-FFF2-40B4-BE49-F238E27FC236}">
              <a16:creationId xmlns:a16="http://schemas.microsoft.com/office/drawing/2014/main" id="{12CF150D-8F52-489B-9E9E-4520A26E6D6C}"/>
            </a:ext>
          </a:extLst>
        </xdr:cNvPr>
        <xdr:cNvSpPr>
          <a:spLocks noChangeArrowheads="1"/>
        </xdr:cNvSpPr>
      </xdr:nvSpPr>
      <xdr:spPr bwMode="auto">
        <a:xfrm>
          <a:off x="1289685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164</xdr:row>
      <xdr:rowOff>57150</xdr:rowOff>
    </xdr:from>
    <xdr:to>
      <xdr:col>16</xdr:col>
      <xdr:colOff>0</xdr:colOff>
      <xdr:row>165</xdr:row>
      <xdr:rowOff>190500</xdr:rowOff>
    </xdr:to>
    <xdr:sp macro="" textlink="">
      <xdr:nvSpPr>
        <xdr:cNvPr id="535" name="AutoShape 46">
          <a:extLst>
            <a:ext uri="{FF2B5EF4-FFF2-40B4-BE49-F238E27FC236}">
              <a16:creationId xmlns:a16="http://schemas.microsoft.com/office/drawing/2014/main" id="{8379BA25-8B51-497D-9E7C-B59BC4AF8CE0}"/>
            </a:ext>
          </a:extLst>
        </xdr:cNvPr>
        <xdr:cNvSpPr>
          <a:spLocks noChangeArrowheads="1"/>
        </xdr:cNvSpPr>
      </xdr:nvSpPr>
      <xdr:spPr bwMode="auto">
        <a:xfrm>
          <a:off x="72771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36" name="AutoShape 46">
          <a:extLst>
            <a:ext uri="{FF2B5EF4-FFF2-40B4-BE49-F238E27FC236}">
              <a16:creationId xmlns:a16="http://schemas.microsoft.com/office/drawing/2014/main" id="{02DF796C-3AC1-4E28-9483-56621FBC38DA}"/>
            </a:ext>
          </a:extLst>
        </xdr:cNvPr>
        <xdr:cNvSpPr>
          <a:spLocks noChangeArrowheads="1"/>
        </xdr:cNvSpPr>
      </xdr:nvSpPr>
      <xdr:spPr bwMode="auto">
        <a:xfrm>
          <a:off x="82042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37" name="AutoShape 46">
          <a:extLst>
            <a:ext uri="{FF2B5EF4-FFF2-40B4-BE49-F238E27FC236}">
              <a16:creationId xmlns:a16="http://schemas.microsoft.com/office/drawing/2014/main" id="{70F53889-B33B-47AC-B8B1-63B45760164E}"/>
            </a:ext>
          </a:extLst>
        </xdr:cNvPr>
        <xdr:cNvSpPr>
          <a:spLocks noChangeArrowheads="1"/>
        </xdr:cNvSpPr>
      </xdr:nvSpPr>
      <xdr:spPr bwMode="auto">
        <a:xfrm>
          <a:off x="91313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38" name="AutoShape 46">
          <a:extLst>
            <a:ext uri="{FF2B5EF4-FFF2-40B4-BE49-F238E27FC236}">
              <a16:creationId xmlns:a16="http://schemas.microsoft.com/office/drawing/2014/main" id="{A9EF6800-68B3-4A87-83FF-9A83ADD5C841}"/>
            </a:ext>
          </a:extLst>
        </xdr:cNvPr>
        <xdr:cNvSpPr>
          <a:spLocks noChangeArrowheads="1"/>
        </xdr:cNvSpPr>
      </xdr:nvSpPr>
      <xdr:spPr bwMode="auto">
        <a:xfrm>
          <a:off x="100584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39" name="AutoShape 46">
          <a:extLst>
            <a:ext uri="{FF2B5EF4-FFF2-40B4-BE49-F238E27FC236}">
              <a16:creationId xmlns:a16="http://schemas.microsoft.com/office/drawing/2014/main" id="{231DEEC9-8F4E-46C8-831A-D5BB876BB311}"/>
            </a:ext>
          </a:extLst>
        </xdr:cNvPr>
        <xdr:cNvSpPr>
          <a:spLocks noChangeArrowheads="1"/>
        </xdr:cNvSpPr>
      </xdr:nvSpPr>
      <xdr:spPr bwMode="auto">
        <a:xfrm>
          <a:off x="109855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40" name="AutoShape 46">
          <a:extLst>
            <a:ext uri="{FF2B5EF4-FFF2-40B4-BE49-F238E27FC236}">
              <a16:creationId xmlns:a16="http://schemas.microsoft.com/office/drawing/2014/main" id="{5956B15E-4DE1-44A3-8999-375BE2DBBCA5}"/>
            </a:ext>
          </a:extLst>
        </xdr:cNvPr>
        <xdr:cNvSpPr>
          <a:spLocks noChangeArrowheads="1"/>
        </xdr:cNvSpPr>
      </xdr:nvSpPr>
      <xdr:spPr bwMode="auto">
        <a:xfrm>
          <a:off x="11912600" y="40563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41" name="AutoShape 46">
          <a:extLst>
            <a:ext uri="{FF2B5EF4-FFF2-40B4-BE49-F238E27FC236}">
              <a16:creationId xmlns:a16="http://schemas.microsoft.com/office/drawing/2014/main" id="{9C9473EC-AFC4-4E9F-A209-A44DE16AF3F0}"/>
            </a:ext>
          </a:extLst>
        </xdr:cNvPr>
        <xdr:cNvSpPr>
          <a:spLocks noChangeArrowheads="1"/>
        </xdr:cNvSpPr>
      </xdr:nvSpPr>
      <xdr:spPr bwMode="auto">
        <a:xfrm>
          <a:off x="1289685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172</xdr:row>
      <xdr:rowOff>57150</xdr:rowOff>
    </xdr:from>
    <xdr:to>
      <xdr:col>2</xdr:col>
      <xdr:colOff>0</xdr:colOff>
      <xdr:row>173</xdr:row>
      <xdr:rowOff>190500</xdr:rowOff>
    </xdr:to>
    <xdr:sp macro="" textlink="">
      <xdr:nvSpPr>
        <xdr:cNvPr id="542" name="AutoShape 46">
          <a:extLst>
            <a:ext uri="{FF2B5EF4-FFF2-40B4-BE49-F238E27FC236}">
              <a16:creationId xmlns:a16="http://schemas.microsoft.com/office/drawing/2014/main" id="{4785D30F-AB96-4B68-811B-F556F2AFFE40}"/>
            </a:ext>
          </a:extLst>
        </xdr:cNvPr>
        <xdr:cNvSpPr>
          <a:spLocks noChangeArrowheads="1"/>
        </xdr:cNvSpPr>
      </xdr:nvSpPr>
      <xdr:spPr bwMode="auto">
        <a:xfrm>
          <a:off x="6096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172</xdr:row>
      <xdr:rowOff>57150</xdr:rowOff>
    </xdr:from>
    <xdr:to>
      <xdr:col>4</xdr:col>
      <xdr:colOff>0</xdr:colOff>
      <xdr:row>173</xdr:row>
      <xdr:rowOff>190500</xdr:rowOff>
    </xdr:to>
    <xdr:sp macro="" textlink="">
      <xdr:nvSpPr>
        <xdr:cNvPr id="543" name="AutoShape 46">
          <a:extLst>
            <a:ext uri="{FF2B5EF4-FFF2-40B4-BE49-F238E27FC236}">
              <a16:creationId xmlns:a16="http://schemas.microsoft.com/office/drawing/2014/main" id="{036DA1A0-ECE1-40F3-A796-399ACF1CB9DE}"/>
            </a:ext>
          </a:extLst>
        </xdr:cNvPr>
        <xdr:cNvSpPr>
          <a:spLocks noChangeArrowheads="1"/>
        </xdr:cNvSpPr>
      </xdr:nvSpPr>
      <xdr:spPr bwMode="auto">
        <a:xfrm>
          <a:off x="1536700" y="42494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172</xdr:row>
      <xdr:rowOff>57150</xdr:rowOff>
    </xdr:from>
    <xdr:to>
      <xdr:col>6</xdr:col>
      <xdr:colOff>0</xdr:colOff>
      <xdr:row>173</xdr:row>
      <xdr:rowOff>190500</xdr:rowOff>
    </xdr:to>
    <xdr:sp macro="" textlink="">
      <xdr:nvSpPr>
        <xdr:cNvPr id="544" name="AutoShape 46">
          <a:extLst>
            <a:ext uri="{FF2B5EF4-FFF2-40B4-BE49-F238E27FC236}">
              <a16:creationId xmlns:a16="http://schemas.microsoft.com/office/drawing/2014/main" id="{3EBF18A1-E61E-4649-A177-8C8946865E7E}"/>
            </a:ext>
          </a:extLst>
        </xdr:cNvPr>
        <xdr:cNvSpPr>
          <a:spLocks noChangeArrowheads="1"/>
        </xdr:cNvSpPr>
      </xdr:nvSpPr>
      <xdr:spPr bwMode="auto">
        <a:xfrm>
          <a:off x="2520950" y="42494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172</xdr:row>
      <xdr:rowOff>57150</xdr:rowOff>
    </xdr:from>
    <xdr:to>
      <xdr:col>8</xdr:col>
      <xdr:colOff>0</xdr:colOff>
      <xdr:row>173</xdr:row>
      <xdr:rowOff>190500</xdr:rowOff>
    </xdr:to>
    <xdr:sp macro="" textlink="">
      <xdr:nvSpPr>
        <xdr:cNvPr id="545" name="AutoShape 46">
          <a:extLst>
            <a:ext uri="{FF2B5EF4-FFF2-40B4-BE49-F238E27FC236}">
              <a16:creationId xmlns:a16="http://schemas.microsoft.com/office/drawing/2014/main" id="{E93F7F3F-E2C7-4449-88B2-676858923E3E}"/>
            </a:ext>
          </a:extLst>
        </xdr:cNvPr>
        <xdr:cNvSpPr>
          <a:spLocks noChangeArrowheads="1"/>
        </xdr:cNvSpPr>
      </xdr:nvSpPr>
      <xdr:spPr bwMode="auto">
        <a:xfrm>
          <a:off x="3498850" y="424942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172</xdr:row>
      <xdr:rowOff>57150</xdr:rowOff>
    </xdr:from>
    <xdr:to>
      <xdr:col>10</xdr:col>
      <xdr:colOff>0</xdr:colOff>
      <xdr:row>173</xdr:row>
      <xdr:rowOff>190500</xdr:rowOff>
    </xdr:to>
    <xdr:sp macro="" textlink="">
      <xdr:nvSpPr>
        <xdr:cNvPr id="546" name="AutoShape 46">
          <a:extLst>
            <a:ext uri="{FF2B5EF4-FFF2-40B4-BE49-F238E27FC236}">
              <a16:creationId xmlns:a16="http://schemas.microsoft.com/office/drawing/2014/main" id="{F66E2F6C-85C1-4C03-8922-6D5813B1E983}"/>
            </a:ext>
          </a:extLst>
        </xdr:cNvPr>
        <xdr:cNvSpPr>
          <a:spLocks noChangeArrowheads="1"/>
        </xdr:cNvSpPr>
      </xdr:nvSpPr>
      <xdr:spPr bwMode="auto">
        <a:xfrm>
          <a:off x="44958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172</xdr:row>
      <xdr:rowOff>57150</xdr:rowOff>
    </xdr:from>
    <xdr:to>
      <xdr:col>12</xdr:col>
      <xdr:colOff>0</xdr:colOff>
      <xdr:row>173</xdr:row>
      <xdr:rowOff>190500</xdr:rowOff>
    </xdr:to>
    <xdr:sp macro="" textlink="">
      <xdr:nvSpPr>
        <xdr:cNvPr id="547" name="AutoShape 46">
          <a:extLst>
            <a:ext uri="{FF2B5EF4-FFF2-40B4-BE49-F238E27FC236}">
              <a16:creationId xmlns:a16="http://schemas.microsoft.com/office/drawing/2014/main" id="{545AE36F-CF40-44F6-9556-E41DA93D010B}"/>
            </a:ext>
          </a:extLst>
        </xdr:cNvPr>
        <xdr:cNvSpPr>
          <a:spLocks noChangeArrowheads="1"/>
        </xdr:cNvSpPr>
      </xdr:nvSpPr>
      <xdr:spPr bwMode="auto">
        <a:xfrm>
          <a:off x="54229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172</xdr:row>
      <xdr:rowOff>57150</xdr:rowOff>
    </xdr:from>
    <xdr:to>
      <xdr:col>14</xdr:col>
      <xdr:colOff>0</xdr:colOff>
      <xdr:row>173</xdr:row>
      <xdr:rowOff>190500</xdr:rowOff>
    </xdr:to>
    <xdr:sp macro="" textlink="">
      <xdr:nvSpPr>
        <xdr:cNvPr id="548" name="AutoShape 46">
          <a:extLst>
            <a:ext uri="{FF2B5EF4-FFF2-40B4-BE49-F238E27FC236}">
              <a16:creationId xmlns:a16="http://schemas.microsoft.com/office/drawing/2014/main" id="{C132F2FF-6DF4-46F3-A87F-FA285AC0138C}"/>
            </a:ext>
          </a:extLst>
        </xdr:cNvPr>
        <xdr:cNvSpPr>
          <a:spLocks noChangeArrowheads="1"/>
        </xdr:cNvSpPr>
      </xdr:nvSpPr>
      <xdr:spPr bwMode="auto">
        <a:xfrm>
          <a:off x="6350000" y="42494200"/>
          <a:ext cx="463550" cy="3302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15</xdr:col>
      <xdr:colOff>0</xdr:colOff>
      <xdr:row>172</xdr:row>
      <xdr:rowOff>57150</xdr:rowOff>
    </xdr:from>
    <xdr:to>
      <xdr:col>16</xdr:col>
      <xdr:colOff>0</xdr:colOff>
      <xdr:row>173</xdr:row>
      <xdr:rowOff>190500</xdr:rowOff>
    </xdr:to>
    <xdr:sp macro="" textlink="">
      <xdr:nvSpPr>
        <xdr:cNvPr id="549" name="AutoShape 46">
          <a:extLst>
            <a:ext uri="{FF2B5EF4-FFF2-40B4-BE49-F238E27FC236}">
              <a16:creationId xmlns:a16="http://schemas.microsoft.com/office/drawing/2014/main" id="{10A90A8C-F6C3-432B-BB55-B6DC35684AB7}"/>
            </a:ext>
          </a:extLst>
        </xdr:cNvPr>
        <xdr:cNvSpPr>
          <a:spLocks noChangeArrowheads="1"/>
        </xdr:cNvSpPr>
      </xdr:nvSpPr>
      <xdr:spPr bwMode="auto">
        <a:xfrm>
          <a:off x="72771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50" name="AutoShape 46">
          <a:extLst>
            <a:ext uri="{FF2B5EF4-FFF2-40B4-BE49-F238E27FC236}">
              <a16:creationId xmlns:a16="http://schemas.microsoft.com/office/drawing/2014/main" id="{1751BA01-5784-4130-85E1-B6BD3855C88B}"/>
            </a:ext>
          </a:extLst>
        </xdr:cNvPr>
        <xdr:cNvSpPr>
          <a:spLocks noChangeArrowheads="1"/>
        </xdr:cNvSpPr>
      </xdr:nvSpPr>
      <xdr:spPr bwMode="auto">
        <a:xfrm>
          <a:off x="82042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51" name="AutoShape 46">
          <a:extLst>
            <a:ext uri="{FF2B5EF4-FFF2-40B4-BE49-F238E27FC236}">
              <a16:creationId xmlns:a16="http://schemas.microsoft.com/office/drawing/2014/main" id="{9CAABFE4-0333-49AD-AE25-E97CBF968E48}"/>
            </a:ext>
          </a:extLst>
        </xdr:cNvPr>
        <xdr:cNvSpPr>
          <a:spLocks noChangeArrowheads="1"/>
        </xdr:cNvSpPr>
      </xdr:nvSpPr>
      <xdr:spPr bwMode="auto">
        <a:xfrm>
          <a:off x="91313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52" name="AutoShape 46">
          <a:extLst>
            <a:ext uri="{FF2B5EF4-FFF2-40B4-BE49-F238E27FC236}">
              <a16:creationId xmlns:a16="http://schemas.microsoft.com/office/drawing/2014/main" id="{A24ACF99-70A3-472B-B871-151F897BCC14}"/>
            </a:ext>
          </a:extLst>
        </xdr:cNvPr>
        <xdr:cNvSpPr>
          <a:spLocks noChangeArrowheads="1"/>
        </xdr:cNvSpPr>
      </xdr:nvSpPr>
      <xdr:spPr bwMode="auto">
        <a:xfrm>
          <a:off x="100584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53" name="AutoShape 46">
          <a:extLst>
            <a:ext uri="{FF2B5EF4-FFF2-40B4-BE49-F238E27FC236}">
              <a16:creationId xmlns:a16="http://schemas.microsoft.com/office/drawing/2014/main" id="{609C59AE-A611-4A66-963A-960F07163D04}"/>
            </a:ext>
          </a:extLst>
        </xdr:cNvPr>
        <xdr:cNvSpPr>
          <a:spLocks noChangeArrowheads="1"/>
        </xdr:cNvSpPr>
      </xdr:nvSpPr>
      <xdr:spPr bwMode="auto">
        <a:xfrm>
          <a:off x="109855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54" name="AutoShape 46">
          <a:extLst>
            <a:ext uri="{FF2B5EF4-FFF2-40B4-BE49-F238E27FC236}">
              <a16:creationId xmlns:a16="http://schemas.microsoft.com/office/drawing/2014/main" id="{8EDDCD87-7FC4-48BE-B039-D3A1FDC8FBEE}"/>
            </a:ext>
          </a:extLst>
        </xdr:cNvPr>
        <xdr:cNvSpPr>
          <a:spLocks noChangeArrowheads="1"/>
        </xdr:cNvSpPr>
      </xdr:nvSpPr>
      <xdr:spPr bwMode="auto">
        <a:xfrm>
          <a:off x="11912600" y="42494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55" name="AutoShape 46">
          <a:extLst>
            <a:ext uri="{FF2B5EF4-FFF2-40B4-BE49-F238E27FC236}">
              <a16:creationId xmlns:a16="http://schemas.microsoft.com/office/drawing/2014/main" id="{F70AA915-B4C8-4612-A219-D96DA806AAAA}"/>
            </a:ext>
          </a:extLst>
        </xdr:cNvPr>
        <xdr:cNvSpPr>
          <a:spLocks noChangeArrowheads="1"/>
        </xdr:cNvSpPr>
      </xdr:nvSpPr>
      <xdr:spPr bwMode="auto">
        <a:xfrm>
          <a:off x="1289685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56" name="AutoShape 46">
          <a:extLst>
            <a:ext uri="{FF2B5EF4-FFF2-40B4-BE49-F238E27FC236}">
              <a16:creationId xmlns:a16="http://schemas.microsoft.com/office/drawing/2014/main" id="{2B5ACBAA-4E7B-4B3E-99E3-3A6C70F789F7}"/>
            </a:ext>
          </a:extLst>
        </xdr:cNvPr>
        <xdr:cNvSpPr>
          <a:spLocks noChangeArrowheads="1"/>
        </xdr:cNvSpPr>
      </xdr:nvSpPr>
      <xdr:spPr bwMode="auto">
        <a:xfrm>
          <a:off x="82042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57" name="AutoShape 46">
          <a:extLst>
            <a:ext uri="{FF2B5EF4-FFF2-40B4-BE49-F238E27FC236}">
              <a16:creationId xmlns:a16="http://schemas.microsoft.com/office/drawing/2014/main" id="{5D43AABB-59D4-418A-BB06-0A11E9D4F374}"/>
            </a:ext>
          </a:extLst>
        </xdr:cNvPr>
        <xdr:cNvSpPr>
          <a:spLocks noChangeArrowheads="1"/>
        </xdr:cNvSpPr>
      </xdr:nvSpPr>
      <xdr:spPr bwMode="auto">
        <a:xfrm>
          <a:off x="91313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58" name="AutoShape 46">
          <a:extLst>
            <a:ext uri="{FF2B5EF4-FFF2-40B4-BE49-F238E27FC236}">
              <a16:creationId xmlns:a16="http://schemas.microsoft.com/office/drawing/2014/main" id="{06E9E059-3CB5-4CD1-919E-2AFDCF8645ED}"/>
            </a:ext>
          </a:extLst>
        </xdr:cNvPr>
        <xdr:cNvSpPr>
          <a:spLocks noChangeArrowheads="1"/>
        </xdr:cNvSpPr>
      </xdr:nvSpPr>
      <xdr:spPr bwMode="auto">
        <a:xfrm>
          <a:off x="100584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59" name="AutoShape 46">
          <a:extLst>
            <a:ext uri="{FF2B5EF4-FFF2-40B4-BE49-F238E27FC236}">
              <a16:creationId xmlns:a16="http://schemas.microsoft.com/office/drawing/2014/main" id="{3864C90A-3DDE-47C4-81F7-2D4347E0B3CF}"/>
            </a:ext>
          </a:extLst>
        </xdr:cNvPr>
        <xdr:cNvSpPr>
          <a:spLocks noChangeArrowheads="1"/>
        </xdr:cNvSpPr>
      </xdr:nvSpPr>
      <xdr:spPr bwMode="auto">
        <a:xfrm>
          <a:off x="109855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60" name="AutoShape 46">
          <a:extLst>
            <a:ext uri="{FF2B5EF4-FFF2-40B4-BE49-F238E27FC236}">
              <a16:creationId xmlns:a16="http://schemas.microsoft.com/office/drawing/2014/main" id="{9B08B75D-04D0-4E8D-9547-48706554BA29}"/>
            </a:ext>
          </a:extLst>
        </xdr:cNvPr>
        <xdr:cNvSpPr>
          <a:spLocks noChangeArrowheads="1"/>
        </xdr:cNvSpPr>
      </xdr:nvSpPr>
      <xdr:spPr bwMode="auto">
        <a:xfrm>
          <a:off x="11912600" y="42494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61" name="AutoShape 46">
          <a:extLst>
            <a:ext uri="{FF2B5EF4-FFF2-40B4-BE49-F238E27FC236}">
              <a16:creationId xmlns:a16="http://schemas.microsoft.com/office/drawing/2014/main" id="{84B995FA-C6AD-4035-A950-DC2A5E33818A}"/>
            </a:ext>
          </a:extLst>
        </xdr:cNvPr>
        <xdr:cNvSpPr>
          <a:spLocks noChangeArrowheads="1"/>
        </xdr:cNvSpPr>
      </xdr:nvSpPr>
      <xdr:spPr bwMode="auto">
        <a:xfrm>
          <a:off x="1289685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172</xdr:row>
      <xdr:rowOff>57150</xdr:rowOff>
    </xdr:from>
    <xdr:to>
      <xdr:col>16</xdr:col>
      <xdr:colOff>0</xdr:colOff>
      <xdr:row>173</xdr:row>
      <xdr:rowOff>190500</xdr:rowOff>
    </xdr:to>
    <xdr:sp macro="" textlink="">
      <xdr:nvSpPr>
        <xdr:cNvPr id="562" name="AutoShape 46">
          <a:extLst>
            <a:ext uri="{FF2B5EF4-FFF2-40B4-BE49-F238E27FC236}">
              <a16:creationId xmlns:a16="http://schemas.microsoft.com/office/drawing/2014/main" id="{5B8D040D-7117-44B0-A342-76261E45B669}"/>
            </a:ext>
          </a:extLst>
        </xdr:cNvPr>
        <xdr:cNvSpPr>
          <a:spLocks noChangeArrowheads="1"/>
        </xdr:cNvSpPr>
      </xdr:nvSpPr>
      <xdr:spPr bwMode="auto">
        <a:xfrm>
          <a:off x="72771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63" name="AutoShape 46">
          <a:extLst>
            <a:ext uri="{FF2B5EF4-FFF2-40B4-BE49-F238E27FC236}">
              <a16:creationId xmlns:a16="http://schemas.microsoft.com/office/drawing/2014/main" id="{97CB569B-7A0F-4BC2-A31A-D9B707A5CC7D}"/>
            </a:ext>
          </a:extLst>
        </xdr:cNvPr>
        <xdr:cNvSpPr>
          <a:spLocks noChangeArrowheads="1"/>
        </xdr:cNvSpPr>
      </xdr:nvSpPr>
      <xdr:spPr bwMode="auto">
        <a:xfrm>
          <a:off x="82042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64" name="AutoShape 46">
          <a:extLst>
            <a:ext uri="{FF2B5EF4-FFF2-40B4-BE49-F238E27FC236}">
              <a16:creationId xmlns:a16="http://schemas.microsoft.com/office/drawing/2014/main" id="{D8B72318-8234-47BE-AE65-C8AF3465A3BD}"/>
            </a:ext>
          </a:extLst>
        </xdr:cNvPr>
        <xdr:cNvSpPr>
          <a:spLocks noChangeArrowheads="1"/>
        </xdr:cNvSpPr>
      </xdr:nvSpPr>
      <xdr:spPr bwMode="auto">
        <a:xfrm>
          <a:off x="91313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65" name="AutoShape 46">
          <a:extLst>
            <a:ext uri="{FF2B5EF4-FFF2-40B4-BE49-F238E27FC236}">
              <a16:creationId xmlns:a16="http://schemas.microsoft.com/office/drawing/2014/main" id="{3EE81218-F0E1-4F3F-A7C7-F2EB3B655A73}"/>
            </a:ext>
          </a:extLst>
        </xdr:cNvPr>
        <xdr:cNvSpPr>
          <a:spLocks noChangeArrowheads="1"/>
        </xdr:cNvSpPr>
      </xdr:nvSpPr>
      <xdr:spPr bwMode="auto">
        <a:xfrm>
          <a:off x="100584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66" name="AutoShape 46">
          <a:extLst>
            <a:ext uri="{FF2B5EF4-FFF2-40B4-BE49-F238E27FC236}">
              <a16:creationId xmlns:a16="http://schemas.microsoft.com/office/drawing/2014/main" id="{66A6F96E-10A2-44C4-9531-8DFACE243B6E}"/>
            </a:ext>
          </a:extLst>
        </xdr:cNvPr>
        <xdr:cNvSpPr>
          <a:spLocks noChangeArrowheads="1"/>
        </xdr:cNvSpPr>
      </xdr:nvSpPr>
      <xdr:spPr bwMode="auto">
        <a:xfrm>
          <a:off x="109855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67" name="AutoShape 46">
          <a:extLst>
            <a:ext uri="{FF2B5EF4-FFF2-40B4-BE49-F238E27FC236}">
              <a16:creationId xmlns:a16="http://schemas.microsoft.com/office/drawing/2014/main" id="{558B7A98-939E-4B48-810E-6FC71772C77A}"/>
            </a:ext>
          </a:extLst>
        </xdr:cNvPr>
        <xdr:cNvSpPr>
          <a:spLocks noChangeArrowheads="1"/>
        </xdr:cNvSpPr>
      </xdr:nvSpPr>
      <xdr:spPr bwMode="auto">
        <a:xfrm>
          <a:off x="11912600" y="42494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68" name="AutoShape 46">
          <a:extLst>
            <a:ext uri="{FF2B5EF4-FFF2-40B4-BE49-F238E27FC236}">
              <a16:creationId xmlns:a16="http://schemas.microsoft.com/office/drawing/2014/main" id="{573D8514-1404-449B-9593-CA5A887B19DD}"/>
            </a:ext>
          </a:extLst>
        </xdr:cNvPr>
        <xdr:cNvSpPr>
          <a:spLocks noChangeArrowheads="1"/>
        </xdr:cNvSpPr>
      </xdr:nvSpPr>
      <xdr:spPr bwMode="auto">
        <a:xfrm>
          <a:off x="1289685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180</xdr:row>
      <xdr:rowOff>57150</xdr:rowOff>
    </xdr:from>
    <xdr:to>
      <xdr:col>2</xdr:col>
      <xdr:colOff>0</xdr:colOff>
      <xdr:row>181</xdr:row>
      <xdr:rowOff>190500</xdr:rowOff>
    </xdr:to>
    <xdr:sp macro="" textlink="">
      <xdr:nvSpPr>
        <xdr:cNvPr id="569" name="AutoShape 46">
          <a:extLst>
            <a:ext uri="{FF2B5EF4-FFF2-40B4-BE49-F238E27FC236}">
              <a16:creationId xmlns:a16="http://schemas.microsoft.com/office/drawing/2014/main" id="{81BB5DFD-C0CC-44C7-A5D8-51E29104CAEA}"/>
            </a:ext>
          </a:extLst>
        </xdr:cNvPr>
        <xdr:cNvSpPr>
          <a:spLocks noChangeArrowheads="1"/>
        </xdr:cNvSpPr>
      </xdr:nvSpPr>
      <xdr:spPr bwMode="auto">
        <a:xfrm>
          <a:off x="6096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180</xdr:row>
      <xdr:rowOff>57150</xdr:rowOff>
    </xdr:from>
    <xdr:to>
      <xdr:col>4</xdr:col>
      <xdr:colOff>0</xdr:colOff>
      <xdr:row>181</xdr:row>
      <xdr:rowOff>190500</xdr:rowOff>
    </xdr:to>
    <xdr:sp macro="" textlink="">
      <xdr:nvSpPr>
        <xdr:cNvPr id="570" name="AutoShape 46">
          <a:extLst>
            <a:ext uri="{FF2B5EF4-FFF2-40B4-BE49-F238E27FC236}">
              <a16:creationId xmlns:a16="http://schemas.microsoft.com/office/drawing/2014/main" id="{22B2A8BE-40F7-4C79-8525-BAB5A88DD6C9}"/>
            </a:ext>
          </a:extLst>
        </xdr:cNvPr>
        <xdr:cNvSpPr>
          <a:spLocks noChangeArrowheads="1"/>
        </xdr:cNvSpPr>
      </xdr:nvSpPr>
      <xdr:spPr bwMode="auto">
        <a:xfrm>
          <a:off x="15367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180</xdr:row>
      <xdr:rowOff>57150</xdr:rowOff>
    </xdr:from>
    <xdr:to>
      <xdr:col>6</xdr:col>
      <xdr:colOff>0</xdr:colOff>
      <xdr:row>181</xdr:row>
      <xdr:rowOff>190500</xdr:rowOff>
    </xdr:to>
    <xdr:sp macro="" textlink="">
      <xdr:nvSpPr>
        <xdr:cNvPr id="571" name="AutoShape 46">
          <a:extLst>
            <a:ext uri="{FF2B5EF4-FFF2-40B4-BE49-F238E27FC236}">
              <a16:creationId xmlns:a16="http://schemas.microsoft.com/office/drawing/2014/main" id="{2D0CDA79-2AE6-47B3-A0E6-6AFB872C54FC}"/>
            </a:ext>
          </a:extLst>
        </xdr:cNvPr>
        <xdr:cNvSpPr>
          <a:spLocks noChangeArrowheads="1"/>
        </xdr:cNvSpPr>
      </xdr:nvSpPr>
      <xdr:spPr bwMode="auto">
        <a:xfrm>
          <a:off x="2520950" y="4450080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180</xdr:row>
      <xdr:rowOff>57150</xdr:rowOff>
    </xdr:from>
    <xdr:to>
      <xdr:col>8</xdr:col>
      <xdr:colOff>0</xdr:colOff>
      <xdr:row>181</xdr:row>
      <xdr:rowOff>190500</xdr:rowOff>
    </xdr:to>
    <xdr:sp macro="" textlink="">
      <xdr:nvSpPr>
        <xdr:cNvPr id="572" name="AutoShape 46">
          <a:extLst>
            <a:ext uri="{FF2B5EF4-FFF2-40B4-BE49-F238E27FC236}">
              <a16:creationId xmlns:a16="http://schemas.microsoft.com/office/drawing/2014/main" id="{2E38AA0B-7CC4-4730-9BD3-7B6B81627C31}"/>
            </a:ext>
          </a:extLst>
        </xdr:cNvPr>
        <xdr:cNvSpPr>
          <a:spLocks noChangeArrowheads="1"/>
        </xdr:cNvSpPr>
      </xdr:nvSpPr>
      <xdr:spPr bwMode="auto">
        <a:xfrm>
          <a:off x="3498850" y="44500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180</xdr:row>
      <xdr:rowOff>57150</xdr:rowOff>
    </xdr:from>
    <xdr:to>
      <xdr:col>10</xdr:col>
      <xdr:colOff>0</xdr:colOff>
      <xdr:row>181</xdr:row>
      <xdr:rowOff>190500</xdr:rowOff>
    </xdr:to>
    <xdr:sp macro="" textlink="">
      <xdr:nvSpPr>
        <xdr:cNvPr id="573" name="AutoShape 46">
          <a:extLst>
            <a:ext uri="{FF2B5EF4-FFF2-40B4-BE49-F238E27FC236}">
              <a16:creationId xmlns:a16="http://schemas.microsoft.com/office/drawing/2014/main" id="{A8511635-A0DD-4D2C-A2A1-364D91DAF6FE}"/>
            </a:ext>
          </a:extLst>
        </xdr:cNvPr>
        <xdr:cNvSpPr>
          <a:spLocks noChangeArrowheads="1"/>
        </xdr:cNvSpPr>
      </xdr:nvSpPr>
      <xdr:spPr bwMode="auto">
        <a:xfrm>
          <a:off x="44958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180</xdr:row>
      <xdr:rowOff>57150</xdr:rowOff>
    </xdr:from>
    <xdr:to>
      <xdr:col>12</xdr:col>
      <xdr:colOff>0</xdr:colOff>
      <xdr:row>181</xdr:row>
      <xdr:rowOff>190500</xdr:rowOff>
    </xdr:to>
    <xdr:sp macro="" textlink="">
      <xdr:nvSpPr>
        <xdr:cNvPr id="574" name="AutoShape 46">
          <a:extLst>
            <a:ext uri="{FF2B5EF4-FFF2-40B4-BE49-F238E27FC236}">
              <a16:creationId xmlns:a16="http://schemas.microsoft.com/office/drawing/2014/main" id="{4C63EAAF-32F4-4CD5-9FB8-D5747427AC93}"/>
            </a:ext>
          </a:extLst>
        </xdr:cNvPr>
        <xdr:cNvSpPr>
          <a:spLocks noChangeArrowheads="1"/>
        </xdr:cNvSpPr>
      </xdr:nvSpPr>
      <xdr:spPr bwMode="auto">
        <a:xfrm>
          <a:off x="54229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180</xdr:row>
      <xdr:rowOff>57150</xdr:rowOff>
    </xdr:from>
    <xdr:to>
      <xdr:col>14</xdr:col>
      <xdr:colOff>0</xdr:colOff>
      <xdr:row>181</xdr:row>
      <xdr:rowOff>190500</xdr:rowOff>
    </xdr:to>
    <xdr:sp macro="" textlink="">
      <xdr:nvSpPr>
        <xdr:cNvPr id="575" name="AutoShape 46">
          <a:extLst>
            <a:ext uri="{FF2B5EF4-FFF2-40B4-BE49-F238E27FC236}">
              <a16:creationId xmlns:a16="http://schemas.microsoft.com/office/drawing/2014/main" id="{CBBA9497-C151-4B60-B06A-0888C784824C}"/>
            </a:ext>
          </a:extLst>
        </xdr:cNvPr>
        <xdr:cNvSpPr>
          <a:spLocks noChangeArrowheads="1"/>
        </xdr:cNvSpPr>
      </xdr:nvSpPr>
      <xdr:spPr bwMode="auto">
        <a:xfrm>
          <a:off x="63500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180</xdr:row>
      <xdr:rowOff>57150</xdr:rowOff>
    </xdr:from>
    <xdr:to>
      <xdr:col>16</xdr:col>
      <xdr:colOff>0</xdr:colOff>
      <xdr:row>181</xdr:row>
      <xdr:rowOff>190500</xdr:rowOff>
    </xdr:to>
    <xdr:sp macro="" textlink="">
      <xdr:nvSpPr>
        <xdr:cNvPr id="576" name="AutoShape 46">
          <a:extLst>
            <a:ext uri="{FF2B5EF4-FFF2-40B4-BE49-F238E27FC236}">
              <a16:creationId xmlns:a16="http://schemas.microsoft.com/office/drawing/2014/main" id="{19538B26-D404-484A-BACE-AB22EB91DC69}"/>
            </a:ext>
          </a:extLst>
        </xdr:cNvPr>
        <xdr:cNvSpPr>
          <a:spLocks noChangeArrowheads="1"/>
        </xdr:cNvSpPr>
      </xdr:nvSpPr>
      <xdr:spPr bwMode="auto">
        <a:xfrm>
          <a:off x="72771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77" name="AutoShape 46">
          <a:extLst>
            <a:ext uri="{FF2B5EF4-FFF2-40B4-BE49-F238E27FC236}">
              <a16:creationId xmlns:a16="http://schemas.microsoft.com/office/drawing/2014/main" id="{FCE54F84-D5B8-4E4C-BE07-59602DAC7867}"/>
            </a:ext>
          </a:extLst>
        </xdr:cNvPr>
        <xdr:cNvSpPr>
          <a:spLocks noChangeArrowheads="1"/>
        </xdr:cNvSpPr>
      </xdr:nvSpPr>
      <xdr:spPr bwMode="auto">
        <a:xfrm>
          <a:off x="82042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78" name="AutoShape 46">
          <a:extLst>
            <a:ext uri="{FF2B5EF4-FFF2-40B4-BE49-F238E27FC236}">
              <a16:creationId xmlns:a16="http://schemas.microsoft.com/office/drawing/2014/main" id="{524DECAD-48CE-47EB-88F4-B2FEB7EB6F1D}"/>
            </a:ext>
          </a:extLst>
        </xdr:cNvPr>
        <xdr:cNvSpPr>
          <a:spLocks noChangeArrowheads="1"/>
        </xdr:cNvSpPr>
      </xdr:nvSpPr>
      <xdr:spPr bwMode="auto">
        <a:xfrm>
          <a:off x="91313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79" name="AutoShape 46">
          <a:extLst>
            <a:ext uri="{FF2B5EF4-FFF2-40B4-BE49-F238E27FC236}">
              <a16:creationId xmlns:a16="http://schemas.microsoft.com/office/drawing/2014/main" id="{ED867325-8A6F-4194-B043-89F7CEBCA2EF}"/>
            </a:ext>
          </a:extLst>
        </xdr:cNvPr>
        <xdr:cNvSpPr>
          <a:spLocks noChangeArrowheads="1"/>
        </xdr:cNvSpPr>
      </xdr:nvSpPr>
      <xdr:spPr bwMode="auto">
        <a:xfrm>
          <a:off x="100584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80" name="AutoShape 46">
          <a:extLst>
            <a:ext uri="{FF2B5EF4-FFF2-40B4-BE49-F238E27FC236}">
              <a16:creationId xmlns:a16="http://schemas.microsoft.com/office/drawing/2014/main" id="{5C8D8B2D-200F-4A07-894C-66E9A77E525A}"/>
            </a:ext>
          </a:extLst>
        </xdr:cNvPr>
        <xdr:cNvSpPr>
          <a:spLocks noChangeArrowheads="1"/>
        </xdr:cNvSpPr>
      </xdr:nvSpPr>
      <xdr:spPr bwMode="auto">
        <a:xfrm>
          <a:off x="109855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81" name="AutoShape 46">
          <a:extLst>
            <a:ext uri="{FF2B5EF4-FFF2-40B4-BE49-F238E27FC236}">
              <a16:creationId xmlns:a16="http://schemas.microsoft.com/office/drawing/2014/main" id="{0B5CB16D-498C-49F8-820D-00ECB98BFE37}"/>
            </a:ext>
          </a:extLst>
        </xdr:cNvPr>
        <xdr:cNvSpPr>
          <a:spLocks noChangeArrowheads="1"/>
        </xdr:cNvSpPr>
      </xdr:nvSpPr>
      <xdr:spPr bwMode="auto">
        <a:xfrm>
          <a:off x="119126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82" name="AutoShape 46">
          <a:extLst>
            <a:ext uri="{FF2B5EF4-FFF2-40B4-BE49-F238E27FC236}">
              <a16:creationId xmlns:a16="http://schemas.microsoft.com/office/drawing/2014/main" id="{326E423B-183A-48A7-B940-F3AA32FD8951}"/>
            </a:ext>
          </a:extLst>
        </xdr:cNvPr>
        <xdr:cNvSpPr>
          <a:spLocks noChangeArrowheads="1"/>
        </xdr:cNvSpPr>
      </xdr:nvSpPr>
      <xdr:spPr bwMode="auto">
        <a:xfrm>
          <a:off x="1289685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83" name="AutoShape 46">
          <a:extLst>
            <a:ext uri="{FF2B5EF4-FFF2-40B4-BE49-F238E27FC236}">
              <a16:creationId xmlns:a16="http://schemas.microsoft.com/office/drawing/2014/main" id="{2A067F5C-697B-4DDD-8C40-A41CD452F4C0}"/>
            </a:ext>
          </a:extLst>
        </xdr:cNvPr>
        <xdr:cNvSpPr>
          <a:spLocks noChangeArrowheads="1"/>
        </xdr:cNvSpPr>
      </xdr:nvSpPr>
      <xdr:spPr bwMode="auto">
        <a:xfrm>
          <a:off x="82042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84" name="AutoShape 46">
          <a:extLst>
            <a:ext uri="{FF2B5EF4-FFF2-40B4-BE49-F238E27FC236}">
              <a16:creationId xmlns:a16="http://schemas.microsoft.com/office/drawing/2014/main" id="{C62285ED-CF69-4B63-ACB4-39800DF7D2C7}"/>
            </a:ext>
          </a:extLst>
        </xdr:cNvPr>
        <xdr:cNvSpPr>
          <a:spLocks noChangeArrowheads="1"/>
        </xdr:cNvSpPr>
      </xdr:nvSpPr>
      <xdr:spPr bwMode="auto">
        <a:xfrm>
          <a:off x="91313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85" name="AutoShape 46">
          <a:extLst>
            <a:ext uri="{FF2B5EF4-FFF2-40B4-BE49-F238E27FC236}">
              <a16:creationId xmlns:a16="http://schemas.microsoft.com/office/drawing/2014/main" id="{E69975DD-F25B-449D-99E5-93501EF5C923}"/>
            </a:ext>
          </a:extLst>
        </xdr:cNvPr>
        <xdr:cNvSpPr>
          <a:spLocks noChangeArrowheads="1"/>
        </xdr:cNvSpPr>
      </xdr:nvSpPr>
      <xdr:spPr bwMode="auto">
        <a:xfrm>
          <a:off x="100584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86" name="AutoShape 46">
          <a:extLst>
            <a:ext uri="{FF2B5EF4-FFF2-40B4-BE49-F238E27FC236}">
              <a16:creationId xmlns:a16="http://schemas.microsoft.com/office/drawing/2014/main" id="{856F07DB-9F56-48FB-B232-6D0E39B8309E}"/>
            </a:ext>
          </a:extLst>
        </xdr:cNvPr>
        <xdr:cNvSpPr>
          <a:spLocks noChangeArrowheads="1"/>
        </xdr:cNvSpPr>
      </xdr:nvSpPr>
      <xdr:spPr bwMode="auto">
        <a:xfrm>
          <a:off x="109855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87" name="AutoShape 46">
          <a:extLst>
            <a:ext uri="{FF2B5EF4-FFF2-40B4-BE49-F238E27FC236}">
              <a16:creationId xmlns:a16="http://schemas.microsoft.com/office/drawing/2014/main" id="{3CF6A0DC-B28C-4463-A409-879169755E1C}"/>
            </a:ext>
          </a:extLst>
        </xdr:cNvPr>
        <xdr:cNvSpPr>
          <a:spLocks noChangeArrowheads="1"/>
        </xdr:cNvSpPr>
      </xdr:nvSpPr>
      <xdr:spPr bwMode="auto">
        <a:xfrm>
          <a:off x="11912600" y="44500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88" name="AutoShape 46">
          <a:extLst>
            <a:ext uri="{FF2B5EF4-FFF2-40B4-BE49-F238E27FC236}">
              <a16:creationId xmlns:a16="http://schemas.microsoft.com/office/drawing/2014/main" id="{838FF729-2920-4C49-9E52-C9EB21B0E46B}"/>
            </a:ext>
          </a:extLst>
        </xdr:cNvPr>
        <xdr:cNvSpPr>
          <a:spLocks noChangeArrowheads="1"/>
        </xdr:cNvSpPr>
      </xdr:nvSpPr>
      <xdr:spPr bwMode="auto">
        <a:xfrm>
          <a:off x="1289685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180</xdr:row>
      <xdr:rowOff>57150</xdr:rowOff>
    </xdr:from>
    <xdr:to>
      <xdr:col>16</xdr:col>
      <xdr:colOff>0</xdr:colOff>
      <xdr:row>181</xdr:row>
      <xdr:rowOff>190500</xdr:rowOff>
    </xdr:to>
    <xdr:sp macro="" textlink="">
      <xdr:nvSpPr>
        <xdr:cNvPr id="589" name="AutoShape 46">
          <a:extLst>
            <a:ext uri="{FF2B5EF4-FFF2-40B4-BE49-F238E27FC236}">
              <a16:creationId xmlns:a16="http://schemas.microsoft.com/office/drawing/2014/main" id="{F52F035B-90E2-4533-842B-408888CC8FF4}"/>
            </a:ext>
          </a:extLst>
        </xdr:cNvPr>
        <xdr:cNvSpPr>
          <a:spLocks noChangeArrowheads="1"/>
        </xdr:cNvSpPr>
      </xdr:nvSpPr>
      <xdr:spPr bwMode="auto">
        <a:xfrm>
          <a:off x="72771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90" name="AutoShape 46">
          <a:extLst>
            <a:ext uri="{FF2B5EF4-FFF2-40B4-BE49-F238E27FC236}">
              <a16:creationId xmlns:a16="http://schemas.microsoft.com/office/drawing/2014/main" id="{91DB8988-8CCE-4A6E-8605-4C1A057BFD6D}"/>
            </a:ext>
          </a:extLst>
        </xdr:cNvPr>
        <xdr:cNvSpPr>
          <a:spLocks noChangeArrowheads="1"/>
        </xdr:cNvSpPr>
      </xdr:nvSpPr>
      <xdr:spPr bwMode="auto">
        <a:xfrm>
          <a:off x="82042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91" name="AutoShape 46">
          <a:extLst>
            <a:ext uri="{FF2B5EF4-FFF2-40B4-BE49-F238E27FC236}">
              <a16:creationId xmlns:a16="http://schemas.microsoft.com/office/drawing/2014/main" id="{5AB5F9CC-8E71-42E8-AE17-C621AB7E3B71}"/>
            </a:ext>
          </a:extLst>
        </xdr:cNvPr>
        <xdr:cNvSpPr>
          <a:spLocks noChangeArrowheads="1"/>
        </xdr:cNvSpPr>
      </xdr:nvSpPr>
      <xdr:spPr bwMode="auto">
        <a:xfrm>
          <a:off x="91313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92" name="AutoShape 46">
          <a:extLst>
            <a:ext uri="{FF2B5EF4-FFF2-40B4-BE49-F238E27FC236}">
              <a16:creationId xmlns:a16="http://schemas.microsoft.com/office/drawing/2014/main" id="{274D5499-9207-492B-8697-500A40D29C1A}"/>
            </a:ext>
          </a:extLst>
        </xdr:cNvPr>
        <xdr:cNvSpPr>
          <a:spLocks noChangeArrowheads="1"/>
        </xdr:cNvSpPr>
      </xdr:nvSpPr>
      <xdr:spPr bwMode="auto">
        <a:xfrm>
          <a:off x="100584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93" name="AutoShape 46">
          <a:extLst>
            <a:ext uri="{FF2B5EF4-FFF2-40B4-BE49-F238E27FC236}">
              <a16:creationId xmlns:a16="http://schemas.microsoft.com/office/drawing/2014/main" id="{0A2D72BD-D66D-47EF-9972-4F5B0ACAD3AA}"/>
            </a:ext>
          </a:extLst>
        </xdr:cNvPr>
        <xdr:cNvSpPr>
          <a:spLocks noChangeArrowheads="1"/>
        </xdr:cNvSpPr>
      </xdr:nvSpPr>
      <xdr:spPr bwMode="auto">
        <a:xfrm>
          <a:off x="109855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94" name="AutoShape 46">
          <a:extLst>
            <a:ext uri="{FF2B5EF4-FFF2-40B4-BE49-F238E27FC236}">
              <a16:creationId xmlns:a16="http://schemas.microsoft.com/office/drawing/2014/main" id="{AA19B8B2-F55B-4FAA-A6E2-B6C5CA6E52F5}"/>
            </a:ext>
          </a:extLst>
        </xdr:cNvPr>
        <xdr:cNvSpPr>
          <a:spLocks noChangeArrowheads="1"/>
        </xdr:cNvSpPr>
      </xdr:nvSpPr>
      <xdr:spPr bwMode="auto">
        <a:xfrm>
          <a:off x="119126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95" name="AutoShape 46">
          <a:extLst>
            <a:ext uri="{FF2B5EF4-FFF2-40B4-BE49-F238E27FC236}">
              <a16:creationId xmlns:a16="http://schemas.microsoft.com/office/drawing/2014/main" id="{4E37668D-2F5D-405A-A9A6-0577263498F5}"/>
            </a:ext>
          </a:extLst>
        </xdr:cNvPr>
        <xdr:cNvSpPr>
          <a:spLocks noChangeArrowheads="1"/>
        </xdr:cNvSpPr>
      </xdr:nvSpPr>
      <xdr:spPr bwMode="auto">
        <a:xfrm>
          <a:off x="1289685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188</xdr:row>
      <xdr:rowOff>57150</xdr:rowOff>
    </xdr:from>
    <xdr:to>
      <xdr:col>2</xdr:col>
      <xdr:colOff>0</xdr:colOff>
      <xdr:row>189</xdr:row>
      <xdr:rowOff>190500</xdr:rowOff>
    </xdr:to>
    <xdr:sp macro="" textlink="">
      <xdr:nvSpPr>
        <xdr:cNvPr id="596" name="AutoShape 46">
          <a:extLst>
            <a:ext uri="{FF2B5EF4-FFF2-40B4-BE49-F238E27FC236}">
              <a16:creationId xmlns:a16="http://schemas.microsoft.com/office/drawing/2014/main" id="{7BCDE39E-E100-404F-92AD-161299B42DAE}"/>
            </a:ext>
          </a:extLst>
        </xdr:cNvPr>
        <xdr:cNvSpPr>
          <a:spLocks noChangeArrowheads="1"/>
        </xdr:cNvSpPr>
      </xdr:nvSpPr>
      <xdr:spPr bwMode="auto">
        <a:xfrm>
          <a:off x="6096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188</xdr:row>
      <xdr:rowOff>57150</xdr:rowOff>
    </xdr:from>
    <xdr:to>
      <xdr:col>4</xdr:col>
      <xdr:colOff>0</xdr:colOff>
      <xdr:row>189</xdr:row>
      <xdr:rowOff>190500</xdr:rowOff>
    </xdr:to>
    <xdr:sp macro="" textlink="">
      <xdr:nvSpPr>
        <xdr:cNvPr id="597" name="AutoShape 46">
          <a:extLst>
            <a:ext uri="{FF2B5EF4-FFF2-40B4-BE49-F238E27FC236}">
              <a16:creationId xmlns:a16="http://schemas.microsoft.com/office/drawing/2014/main" id="{86DA9DAF-A950-4243-ABA5-CA172EF1D0AA}"/>
            </a:ext>
          </a:extLst>
        </xdr:cNvPr>
        <xdr:cNvSpPr>
          <a:spLocks noChangeArrowheads="1"/>
        </xdr:cNvSpPr>
      </xdr:nvSpPr>
      <xdr:spPr bwMode="auto">
        <a:xfrm>
          <a:off x="1536700" y="46431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188</xdr:row>
      <xdr:rowOff>57150</xdr:rowOff>
    </xdr:from>
    <xdr:to>
      <xdr:col>6</xdr:col>
      <xdr:colOff>0</xdr:colOff>
      <xdr:row>189</xdr:row>
      <xdr:rowOff>190500</xdr:rowOff>
    </xdr:to>
    <xdr:sp macro="" textlink="">
      <xdr:nvSpPr>
        <xdr:cNvPr id="598" name="AutoShape 46">
          <a:extLst>
            <a:ext uri="{FF2B5EF4-FFF2-40B4-BE49-F238E27FC236}">
              <a16:creationId xmlns:a16="http://schemas.microsoft.com/office/drawing/2014/main" id="{7CBAB892-BC54-46A9-8CA7-AA78FD26D941}"/>
            </a:ext>
          </a:extLst>
        </xdr:cNvPr>
        <xdr:cNvSpPr>
          <a:spLocks noChangeArrowheads="1"/>
        </xdr:cNvSpPr>
      </xdr:nvSpPr>
      <xdr:spPr bwMode="auto">
        <a:xfrm>
          <a:off x="2520950" y="46431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188</xdr:row>
      <xdr:rowOff>57150</xdr:rowOff>
    </xdr:from>
    <xdr:to>
      <xdr:col>8</xdr:col>
      <xdr:colOff>0</xdr:colOff>
      <xdr:row>189</xdr:row>
      <xdr:rowOff>190500</xdr:rowOff>
    </xdr:to>
    <xdr:sp macro="" textlink="">
      <xdr:nvSpPr>
        <xdr:cNvPr id="599" name="AutoShape 46">
          <a:extLst>
            <a:ext uri="{FF2B5EF4-FFF2-40B4-BE49-F238E27FC236}">
              <a16:creationId xmlns:a16="http://schemas.microsoft.com/office/drawing/2014/main" id="{904CC3AE-8F7B-4F0D-8FCB-C2C377A4330A}"/>
            </a:ext>
          </a:extLst>
        </xdr:cNvPr>
        <xdr:cNvSpPr>
          <a:spLocks noChangeArrowheads="1"/>
        </xdr:cNvSpPr>
      </xdr:nvSpPr>
      <xdr:spPr bwMode="auto">
        <a:xfrm>
          <a:off x="3498850" y="46431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188</xdr:row>
      <xdr:rowOff>57150</xdr:rowOff>
    </xdr:from>
    <xdr:to>
      <xdr:col>10</xdr:col>
      <xdr:colOff>0</xdr:colOff>
      <xdr:row>189</xdr:row>
      <xdr:rowOff>190500</xdr:rowOff>
    </xdr:to>
    <xdr:sp macro="" textlink="">
      <xdr:nvSpPr>
        <xdr:cNvPr id="600" name="AutoShape 46">
          <a:extLst>
            <a:ext uri="{FF2B5EF4-FFF2-40B4-BE49-F238E27FC236}">
              <a16:creationId xmlns:a16="http://schemas.microsoft.com/office/drawing/2014/main" id="{07036F92-AB7F-44EB-B4F4-056974FF0C7E}"/>
            </a:ext>
          </a:extLst>
        </xdr:cNvPr>
        <xdr:cNvSpPr>
          <a:spLocks noChangeArrowheads="1"/>
        </xdr:cNvSpPr>
      </xdr:nvSpPr>
      <xdr:spPr bwMode="auto">
        <a:xfrm>
          <a:off x="44958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188</xdr:row>
      <xdr:rowOff>57150</xdr:rowOff>
    </xdr:from>
    <xdr:to>
      <xdr:col>12</xdr:col>
      <xdr:colOff>0</xdr:colOff>
      <xdr:row>189</xdr:row>
      <xdr:rowOff>190500</xdr:rowOff>
    </xdr:to>
    <xdr:sp macro="" textlink="">
      <xdr:nvSpPr>
        <xdr:cNvPr id="601" name="AutoShape 46">
          <a:extLst>
            <a:ext uri="{FF2B5EF4-FFF2-40B4-BE49-F238E27FC236}">
              <a16:creationId xmlns:a16="http://schemas.microsoft.com/office/drawing/2014/main" id="{E829486E-5056-4814-9BF7-534EA62BF2A0}"/>
            </a:ext>
          </a:extLst>
        </xdr:cNvPr>
        <xdr:cNvSpPr>
          <a:spLocks noChangeArrowheads="1"/>
        </xdr:cNvSpPr>
      </xdr:nvSpPr>
      <xdr:spPr bwMode="auto">
        <a:xfrm>
          <a:off x="54229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188</xdr:row>
      <xdr:rowOff>57150</xdr:rowOff>
    </xdr:from>
    <xdr:to>
      <xdr:col>14</xdr:col>
      <xdr:colOff>0</xdr:colOff>
      <xdr:row>189</xdr:row>
      <xdr:rowOff>190500</xdr:rowOff>
    </xdr:to>
    <xdr:sp macro="" textlink="">
      <xdr:nvSpPr>
        <xdr:cNvPr id="602" name="AutoShape 46">
          <a:extLst>
            <a:ext uri="{FF2B5EF4-FFF2-40B4-BE49-F238E27FC236}">
              <a16:creationId xmlns:a16="http://schemas.microsoft.com/office/drawing/2014/main" id="{F37C654C-A7E6-4647-A0DE-35ECA48FFA5D}"/>
            </a:ext>
          </a:extLst>
        </xdr:cNvPr>
        <xdr:cNvSpPr>
          <a:spLocks noChangeArrowheads="1"/>
        </xdr:cNvSpPr>
      </xdr:nvSpPr>
      <xdr:spPr bwMode="auto">
        <a:xfrm>
          <a:off x="63500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188</xdr:row>
      <xdr:rowOff>57150</xdr:rowOff>
    </xdr:from>
    <xdr:to>
      <xdr:col>16</xdr:col>
      <xdr:colOff>0</xdr:colOff>
      <xdr:row>189</xdr:row>
      <xdr:rowOff>190500</xdr:rowOff>
    </xdr:to>
    <xdr:sp macro="" textlink="">
      <xdr:nvSpPr>
        <xdr:cNvPr id="603" name="AutoShape 46">
          <a:extLst>
            <a:ext uri="{FF2B5EF4-FFF2-40B4-BE49-F238E27FC236}">
              <a16:creationId xmlns:a16="http://schemas.microsoft.com/office/drawing/2014/main" id="{D2856F02-3DA7-43CD-A22D-711E3565AFDA}"/>
            </a:ext>
          </a:extLst>
        </xdr:cNvPr>
        <xdr:cNvSpPr>
          <a:spLocks noChangeArrowheads="1"/>
        </xdr:cNvSpPr>
      </xdr:nvSpPr>
      <xdr:spPr bwMode="auto">
        <a:xfrm>
          <a:off x="72771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04" name="AutoShape 46">
          <a:extLst>
            <a:ext uri="{FF2B5EF4-FFF2-40B4-BE49-F238E27FC236}">
              <a16:creationId xmlns:a16="http://schemas.microsoft.com/office/drawing/2014/main" id="{05E1426B-A65B-41FB-8A1B-46DBB52C9FB6}"/>
            </a:ext>
          </a:extLst>
        </xdr:cNvPr>
        <xdr:cNvSpPr>
          <a:spLocks noChangeArrowheads="1"/>
        </xdr:cNvSpPr>
      </xdr:nvSpPr>
      <xdr:spPr bwMode="auto">
        <a:xfrm>
          <a:off x="82042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05" name="AutoShape 46">
          <a:extLst>
            <a:ext uri="{FF2B5EF4-FFF2-40B4-BE49-F238E27FC236}">
              <a16:creationId xmlns:a16="http://schemas.microsoft.com/office/drawing/2014/main" id="{D4070947-A475-400C-B1BF-3BB3B8C34FC8}"/>
            </a:ext>
          </a:extLst>
        </xdr:cNvPr>
        <xdr:cNvSpPr>
          <a:spLocks noChangeArrowheads="1"/>
        </xdr:cNvSpPr>
      </xdr:nvSpPr>
      <xdr:spPr bwMode="auto">
        <a:xfrm>
          <a:off x="91313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06" name="AutoShape 46">
          <a:extLst>
            <a:ext uri="{FF2B5EF4-FFF2-40B4-BE49-F238E27FC236}">
              <a16:creationId xmlns:a16="http://schemas.microsoft.com/office/drawing/2014/main" id="{8028CFF3-B5FB-47C6-95E4-16684EA7EABF}"/>
            </a:ext>
          </a:extLst>
        </xdr:cNvPr>
        <xdr:cNvSpPr>
          <a:spLocks noChangeArrowheads="1"/>
        </xdr:cNvSpPr>
      </xdr:nvSpPr>
      <xdr:spPr bwMode="auto">
        <a:xfrm>
          <a:off x="100584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07" name="AutoShape 46">
          <a:extLst>
            <a:ext uri="{FF2B5EF4-FFF2-40B4-BE49-F238E27FC236}">
              <a16:creationId xmlns:a16="http://schemas.microsoft.com/office/drawing/2014/main" id="{DF571E58-3145-4E35-9187-3EDEC3E1A62B}"/>
            </a:ext>
          </a:extLst>
        </xdr:cNvPr>
        <xdr:cNvSpPr>
          <a:spLocks noChangeArrowheads="1"/>
        </xdr:cNvSpPr>
      </xdr:nvSpPr>
      <xdr:spPr bwMode="auto">
        <a:xfrm>
          <a:off x="109855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08" name="AutoShape 46">
          <a:extLst>
            <a:ext uri="{FF2B5EF4-FFF2-40B4-BE49-F238E27FC236}">
              <a16:creationId xmlns:a16="http://schemas.microsoft.com/office/drawing/2014/main" id="{4E7A147A-ACD0-44B4-83ED-B433FE0077DD}"/>
            </a:ext>
          </a:extLst>
        </xdr:cNvPr>
        <xdr:cNvSpPr>
          <a:spLocks noChangeArrowheads="1"/>
        </xdr:cNvSpPr>
      </xdr:nvSpPr>
      <xdr:spPr bwMode="auto">
        <a:xfrm>
          <a:off x="11912600" y="46431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09" name="AutoShape 46">
          <a:extLst>
            <a:ext uri="{FF2B5EF4-FFF2-40B4-BE49-F238E27FC236}">
              <a16:creationId xmlns:a16="http://schemas.microsoft.com/office/drawing/2014/main" id="{4F362375-6F20-49B6-9B88-7C123D5EBCF3}"/>
            </a:ext>
          </a:extLst>
        </xdr:cNvPr>
        <xdr:cNvSpPr>
          <a:spLocks noChangeArrowheads="1"/>
        </xdr:cNvSpPr>
      </xdr:nvSpPr>
      <xdr:spPr bwMode="auto">
        <a:xfrm>
          <a:off x="1289685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10" name="AutoShape 46">
          <a:extLst>
            <a:ext uri="{FF2B5EF4-FFF2-40B4-BE49-F238E27FC236}">
              <a16:creationId xmlns:a16="http://schemas.microsoft.com/office/drawing/2014/main" id="{EC71181C-B063-4ABA-8C13-BC9F38A8BB28}"/>
            </a:ext>
          </a:extLst>
        </xdr:cNvPr>
        <xdr:cNvSpPr>
          <a:spLocks noChangeArrowheads="1"/>
        </xdr:cNvSpPr>
      </xdr:nvSpPr>
      <xdr:spPr bwMode="auto">
        <a:xfrm>
          <a:off x="82042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11" name="AutoShape 46">
          <a:extLst>
            <a:ext uri="{FF2B5EF4-FFF2-40B4-BE49-F238E27FC236}">
              <a16:creationId xmlns:a16="http://schemas.microsoft.com/office/drawing/2014/main" id="{0CCACC3F-0354-4993-990E-3073F62A27D2}"/>
            </a:ext>
          </a:extLst>
        </xdr:cNvPr>
        <xdr:cNvSpPr>
          <a:spLocks noChangeArrowheads="1"/>
        </xdr:cNvSpPr>
      </xdr:nvSpPr>
      <xdr:spPr bwMode="auto">
        <a:xfrm>
          <a:off x="91313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12" name="AutoShape 46">
          <a:extLst>
            <a:ext uri="{FF2B5EF4-FFF2-40B4-BE49-F238E27FC236}">
              <a16:creationId xmlns:a16="http://schemas.microsoft.com/office/drawing/2014/main" id="{57F0840A-DA1E-495E-B535-D57BC424C462}"/>
            </a:ext>
          </a:extLst>
        </xdr:cNvPr>
        <xdr:cNvSpPr>
          <a:spLocks noChangeArrowheads="1"/>
        </xdr:cNvSpPr>
      </xdr:nvSpPr>
      <xdr:spPr bwMode="auto">
        <a:xfrm>
          <a:off x="100584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13" name="AutoShape 46">
          <a:extLst>
            <a:ext uri="{FF2B5EF4-FFF2-40B4-BE49-F238E27FC236}">
              <a16:creationId xmlns:a16="http://schemas.microsoft.com/office/drawing/2014/main" id="{62BBCB52-ACA8-42E0-BBB6-4C3289FC7E9D}"/>
            </a:ext>
          </a:extLst>
        </xdr:cNvPr>
        <xdr:cNvSpPr>
          <a:spLocks noChangeArrowheads="1"/>
        </xdr:cNvSpPr>
      </xdr:nvSpPr>
      <xdr:spPr bwMode="auto">
        <a:xfrm>
          <a:off x="109855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14" name="AutoShape 46">
          <a:extLst>
            <a:ext uri="{FF2B5EF4-FFF2-40B4-BE49-F238E27FC236}">
              <a16:creationId xmlns:a16="http://schemas.microsoft.com/office/drawing/2014/main" id="{620E1C62-76A3-4954-9F77-FC2F7B9D2DA4}"/>
            </a:ext>
          </a:extLst>
        </xdr:cNvPr>
        <xdr:cNvSpPr>
          <a:spLocks noChangeArrowheads="1"/>
        </xdr:cNvSpPr>
      </xdr:nvSpPr>
      <xdr:spPr bwMode="auto">
        <a:xfrm>
          <a:off x="11912600" y="46431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15" name="AutoShape 46">
          <a:extLst>
            <a:ext uri="{FF2B5EF4-FFF2-40B4-BE49-F238E27FC236}">
              <a16:creationId xmlns:a16="http://schemas.microsoft.com/office/drawing/2014/main" id="{5ED4F870-2059-46B4-BCC9-D5AF9DFDDC87}"/>
            </a:ext>
          </a:extLst>
        </xdr:cNvPr>
        <xdr:cNvSpPr>
          <a:spLocks noChangeArrowheads="1"/>
        </xdr:cNvSpPr>
      </xdr:nvSpPr>
      <xdr:spPr bwMode="auto">
        <a:xfrm>
          <a:off x="1289685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188</xdr:row>
      <xdr:rowOff>57150</xdr:rowOff>
    </xdr:from>
    <xdr:to>
      <xdr:col>16</xdr:col>
      <xdr:colOff>0</xdr:colOff>
      <xdr:row>189</xdr:row>
      <xdr:rowOff>190500</xdr:rowOff>
    </xdr:to>
    <xdr:sp macro="" textlink="">
      <xdr:nvSpPr>
        <xdr:cNvPr id="616" name="AutoShape 46">
          <a:extLst>
            <a:ext uri="{FF2B5EF4-FFF2-40B4-BE49-F238E27FC236}">
              <a16:creationId xmlns:a16="http://schemas.microsoft.com/office/drawing/2014/main" id="{6C82F26A-D689-4C6C-9DA2-FF2D95E19CBD}"/>
            </a:ext>
          </a:extLst>
        </xdr:cNvPr>
        <xdr:cNvSpPr>
          <a:spLocks noChangeArrowheads="1"/>
        </xdr:cNvSpPr>
      </xdr:nvSpPr>
      <xdr:spPr bwMode="auto">
        <a:xfrm>
          <a:off x="72771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17" name="AutoShape 46">
          <a:extLst>
            <a:ext uri="{FF2B5EF4-FFF2-40B4-BE49-F238E27FC236}">
              <a16:creationId xmlns:a16="http://schemas.microsoft.com/office/drawing/2014/main" id="{9F5FFB12-BA2D-41F5-A3E8-060099D9499A}"/>
            </a:ext>
          </a:extLst>
        </xdr:cNvPr>
        <xdr:cNvSpPr>
          <a:spLocks noChangeArrowheads="1"/>
        </xdr:cNvSpPr>
      </xdr:nvSpPr>
      <xdr:spPr bwMode="auto">
        <a:xfrm>
          <a:off x="82042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18" name="AutoShape 46">
          <a:extLst>
            <a:ext uri="{FF2B5EF4-FFF2-40B4-BE49-F238E27FC236}">
              <a16:creationId xmlns:a16="http://schemas.microsoft.com/office/drawing/2014/main" id="{C83CE607-1F22-481B-9265-EFC024770ED1}"/>
            </a:ext>
          </a:extLst>
        </xdr:cNvPr>
        <xdr:cNvSpPr>
          <a:spLocks noChangeArrowheads="1"/>
        </xdr:cNvSpPr>
      </xdr:nvSpPr>
      <xdr:spPr bwMode="auto">
        <a:xfrm>
          <a:off x="91313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19" name="AutoShape 46">
          <a:extLst>
            <a:ext uri="{FF2B5EF4-FFF2-40B4-BE49-F238E27FC236}">
              <a16:creationId xmlns:a16="http://schemas.microsoft.com/office/drawing/2014/main" id="{23DE2F81-BF88-4765-B24A-41BA1451EAF7}"/>
            </a:ext>
          </a:extLst>
        </xdr:cNvPr>
        <xdr:cNvSpPr>
          <a:spLocks noChangeArrowheads="1"/>
        </xdr:cNvSpPr>
      </xdr:nvSpPr>
      <xdr:spPr bwMode="auto">
        <a:xfrm>
          <a:off x="100584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20" name="AutoShape 46">
          <a:extLst>
            <a:ext uri="{FF2B5EF4-FFF2-40B4-BE49-F238E27FC236}">
              <a16:creationId xmlns:a16="http://schemas.microsoft.com/office/drawing/2014/main" id="{501915F9-23BA-4421-8CEC-0572CDF144A2}"/>
            </a:ext>
          </a:extLst>
        </xdr:cNvPr>
        <xdr:cNvSpPr>
          <a:spLocks noChangeArrowheads="1"/>
        </xdr:cNvSpPr>
      </xdr:nvSpPr>
      <xdr:spPr bwMode="auto">
        <a:xfrm>
          <a:off x="109855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21" name="AutoShape 46">
          <a:extLst>
            <a:ext uri="{FF2B5EF4-FFF2-40B4-BE49-F238E27FC236}">
              <a16:creationId xmlns:a16="http://schemas.microsoft.com/office/drawing/2014/main" id="{054F35F7-AB0C-4AD5-A30C-0C6639E3E514}"/>
            </a:ext>
          </a:extLst>
        </xdr:cNvPr>
        <xdr:cNvSpPr>
          <a:spLocks noChangeArrowheads="1"/>
        </xdr:cNvSpPr>
      </xdr:nvSpPr>
      <xdr:spPr bwMode="auto">
        <a:xfrm>
          <a:off x="11912600" y="46431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22" name="AutoShape 46">
          <a:extLst>
            <a:ext uri="{FF2B5EF4-FFF2-40B4-BE49-F238E27FC236}">
              <a16:creationId xmlns:a16="http://schemas.microsoft.com/office/drawing/2014/main" id="{CD025782-7418-4926-8350-38CCB1352BC3}"/>
            </a:ext>
          </a:extLst>
        </xdr:cNvPr>
        <xdr:cNvSpPr>
          <a:spLocks noChangeArrowheads="1"/>
        </xdr:cNvSpPr>
      </xdr:nvSpPr>
      <xdr:spPr bwMode="auto">
        <a:xfrm>
          <a:off x="1289685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196</xdr:row>
      <xdr:rowOff>57150</xdr:rowOff>
    </xdr:from>
    <xdr:to>
      <xdr:col>2</xdr:col>
      <xdr:colOff>0</xdr:colOff>
      <xdr:row>197</xdr:row>
      <xdr:rowOff>190500</xdr:rowOff>
    </xdr:to>
    <xdr:sp macro="" textlink="">
      <xdr:nvSpPr>
        <xdr:cNvPr id="623" name="AutoShape 46">
          <a:extLst>
            <a:ext uri="{FF2B5EF4-FFF2-40B4-BE49-F238E27FC236}">
              <a16:creationId xmlns:a16="http://schemas.microsoft.com/office/drawing/2014/main" id="{C435A8D9-4808-4DA8-8090-5FC6DFB2F5F9}"/>
            </a:ext>
          </a:extLst>
        </xdr:cNvPr>
        <xdr:cNvSpPr>
          <a:spLocks noChangeArrowheads="1"/>
        </xdr:cNvSpPr>
      </xdr:nvSpPr>
      <xdr:spPr bwMode="auto">
        <a:xfrm>
          <a:off x="6096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196</xdr:row>
      <xdr:rowOff>57150</xdr:rowOff>
    </xdr:from>
    <xdr:to>
      <xdr:col>4</xdr:col>
      <xdr:colOff>0</xdr:colOff>
      <xdr:row>197</xdr:row>
      <xdr:rowOff>190500</xdr:rowOff>
    </xdr:to>
    <xdr:sp macro="" textlink="">
      <xdr:nvSpPr>
        <xdr:cNvPr id="624" name="AutoShape 46">
          <a:extLst>
            <a:ext uri="{FF2B5EF4-FFF2-40B4-BE49-F238E27FC236}">
              <a16:creationId xmlns:a16="http://schemas.microsoft.com/office/drawing/2014/main" id="{9D1DA102-5102-4FDF-BBFA-3C1929E3BEB1}"/>
            </a:ext>
          </a:extLst>
        </xdr:cNvPr>
        <xdr:cNvSpPr>
          <a:spLocks noChangeArrowheads="1"/>
        </xdr:cNvSpPr>
      </xdr:nvSpPr>
      <xdr:spPr bwMode="auto">
        <a:xfrm>
          <a:off x="1536700" y="4848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196</xdr:row>
      <xdr:rowOff>57150</xdr:rowOff>
    </xdr:from>
    <xdr:to>
      <xdr:col>6</xdr:col>
      <xdr:colOff>0</xdr:colOff>
      <xdr:row>197</xdr:row>
      <xdr:rowOff>190500</xdr:rowOff>
    </xdr:to>
    <xdr:sp macro="" textlink="">
      <xdr:nvSpPr>
        <xdr:cNvPr id="625" name="AutoShape 46">
          <a:extLst>
            <a:ext uri="{FF2B5EF4-FFF2-40B4-BE49-F238E27FC236}">
              <a16:creationId xmlns:a16="http://schemas.microsoft.com/office/drawing/2014/main" id="{FF24936A-3494-4BAA-873E-BE4A6119F0A4}"/>
            </a:ext>
          </a:extLst>
        </xdr:cNvPr>
        <xdr:cNvSpPr>
          <a:spLocks noChangeArrowheads="1"/>
        </xdr:cNvSpPr>
      </xdr:nvSpPr>
      <xdr:spPr bwMode="auto">
        <a:xfrm>
          <a:off x="2520950" y="4848860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196</xdr:row>
      <xdr:rowOff>57150</xdr:rowOff>
    </xdr:from>
    <xdr:to>
      <xdr:col>8</xdr:col>
      <xdr:colOff>0</xdr:colOff>
      <xdr:row>197</xdr:row>
      <xdr:rowOff>190500</xdr:rowOff>
    </xdr:to>
    <xdr:sp macro="" textlink="">
      <xdr:nvSpPr>
        <xdr:cNvPr id="626" name="AutoShape 46">
          <a:extLst>
            <a:ext uri="{FF2B5EF4-FFF2-40B4-BE49-F238E27FC236}">
              <a16:creationId xmlns:a16="http://schemas.microsoft.com/office/drawing/2014/main" id="{64DD9EB8-D551-4673-860B-AE2AC074E9B4}"/>
            </a:ext>
          </a:extLst>
        </xdr:cNvPr>
        <xdr:cNvSpPr>
          <a:spLocks noChangeArrowheads="1"/>
        </xdr:cNvSpPr>
      </xdr:nvSpPr>
      <xdr:spPr bwMode="auto">
        <a:xfrm>
          <a:off x="3498850" y="484886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196</xdr:row>
      <xdr:rowOff>57150</xdr:rowOff>
    </xdr:from>
    <xdr:to>
      <xdr:col>10</xdr:col>
      <xdr:colOff>0</xdr:colOff>
      <xdr:row>197</xdr:row>
      <xdr:rowOff>190500</xdr:rowOff>
    </xdr:to>
    <xdr:sp macro="" textlink="">
      <xdr:nvSpPr>
        <xdr:cNvPr id="627" name="AutoShape 46">
          <a:extLst>
            <a:ext uri="{FF2B5EF4-FFF2-40B4-BE49-F238E27FC236}">
              <a16:creationId xmlns:a16="http://schemas.microsoft.com/office/drawing/2014/main" id="{2D16074A-0E44-4F91-A30F-52B83A6366A1}"/>
            </a:ext>
          </a:extLst>
        </xdr:cNvPr>
        <xdr:cNvSpPr>
          <a:spLocks noChangeArrowheads="1"/>
        </xdr:cNvSpPr>
      </xdr:nvSpPr>
      <xdr:spPr bwMode="auto">
        <a:xfrm>
          <a:off x="44958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196</xdr:row>
      <xdr:rowOff>57150</xdr:rowOff>
    </xdr:from>
    <xdr:to>
      <xdr:col>12</xdr:col>
      <xdr:colOff>0</xdr:colOff>
      <xdr:row>197</xdr:row>
      <xdr:rowOff>190500</xdr:rowOff>
    </xdr:to>
    <xdr:sp macro="" textlink="">
      <xdr:nvSpPr>
        <xdr:cNvPr id="628" name="AutoShape 46">
          <a:extLst>
            <a:ext uri="{FF2B5EF4-FFF2-40B4-BE49-F238E27FC236}">
              <a16:creationId xmlns:a16="http://schemas.microsoft.com/office/drawing/2014/main" id="{D049DEBA-3D2A-4625-B599-D57C402FED3A}"/>
            </a:ext>
          </a:extLst>
        </xdr:cNvPr>
        <xdr:cNvSpPr>
          <a:spLocks noChangeArrowheads="1"/>
        </xdr:cNvSpPr>
      </xdr:nvSpPr>
      <xdr:spPr bwMode="auto">
        <a:xfrm>
          <a:off x="54229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196</xdr:row>
      <xdr:rowOff>57150</xdr:rowOff>
    </xdr:from>
    <xdr:to>
      <xdr:col>14</xdr:col>
      <xdr:colOff>0</xdr:colOff>
      <xdr:row>197</xdr:row>
      <xdr:rowOff>190500</xdr:rowOff>
    </xdr:to>
    <xdr:sp macro="" textlink="">
      <xdr:nvSpPr>
        <xdr:cNvPr id="629" name="AutoShape 46">
          <a:extLst>
            <a:ext uri="{FF2B5EF4-FFF2-40B4-BE49-F238E27FC236}">
              <a16:creationId xmlns:a16="http://schemas.microsoft.com/office/drawing/2014/main" id="{2921D418-497C-4AB4-B165-8C4C2A604B7B}"/>
            </a:ext>
          </a:extLst>
        </xdr:cNvPr>
        <xdr:cNvSpPr>
          <a:spLocks noChangeArrowheads="1"/>
        </xdr:cNvSpPr>
      </xdr:nvSpPr>
      <xdr:spPr bwMode="auto">
        <a:xfrm>
          <a:off x="63500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196</xdr:row>
      <xdr:rowOff>57150</xdr:rowOff>
    </xdr:from>
    <xdr:to>
      <xdr:col>16</xdr:col>
      <xdr:colOff>0</xdr:colOff>
      <xdr:row>197</xdr:row>
      <xdr:rowOff>190500</xdr:rowOff>
    </xdr:to>
    <xdr:sp macro="" textlink="">
      <xdr:nvSpPr>
        <xdr:cNvPr id="630" name="AutoShape 46">
          <a:extLst>
            <a:ext uri="{FF2B5EF4-FFF2-40B4-BE49-F238E27FC236}">
              <a16:creationId xmlns:a16="http://schemas.microsoft.com/office/drawing/2014/main" id="{1C590CE6-AEB2-4711-82D0-14D593108AB2}"/>
            </a:ext>
          </a:extLst>
        </xdr:cNvPr>
        <xdr:cNvSpPr>
          <a:spLocks noChangeArrowheads="1"/>
        </xdr:cNvSpPr>
      </xdr:nvSpPr>
      <xdr:spPr bwMode="auto">
        <a:xfrm>
          <a:off x="72771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31" name="AutoShape 46">
          <a:extLst>
            <a:ext uri="{FF2B5EF4-FFF2-40B4-BE49-F238E27FC236}">
              <a16:creationId xmlns:a16="http://schemas.microsoft.com/office/drawing/2014/main" id="{73B64778-29C3-427A-A1BE-C8D2B65A9B68}"/>
            </a:ext>
          </a:extLst>
        </xdr:cNvPr>
        <xdr:cNvSpPr>
          <a:spLocks noChangeArrowheads="1"/>
        </xdr:cNvSpPr>
      </xdr:nvSpPr>
      <xdr:spPr bwMode="auto">
        <a:xfrm>
          <a:off x="82042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32" name="AutoShape 46">
          <a:extLst>
            <a:ext uri="{FF2B5EF4-FFF2-40B4-BE49-F238E27FC236}">
              <a16:creationId xmlns:a16="http://schemas.microsoft.com/office/drawing/2014/main" id="{FDFB2300-2D72-4E5F-AFBF-42076E190D93}"/>
            </a:ext>
          </a:extLst>
        </xdr:cNvPr>
        <xdr:cNvSpPr>
          <a:spLocks noChangeArrowheads="1"/>
        </xdr:cNvSpPr>
      </xdr:nvSpPr>
      <xdr:spPr bwMode="auto">
        <a:xfrm>
          <a:off x="91313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33" name="AutoShape 46">
          <a:extLst>
            <a:ext uri="{FF2B5EF4-FFF2-40B4-BE49-F238E27FC236}">
              <a16:creationId xmlns:a16="http://schemas.microsoft.com/office/drawing/2014/main" id="{70E7DEDB-71F9-4E4F-BBA2-3C803CD82977}"/>
            </a:ext>
          </a:extLst>
        </xdr:cNvPr>
        <xdr:cNvSpPr>
          <a:spLocks noChangeArrowheads="1"/>
        </xdr:cNvSpPr>
      </xdr:nvSpPr>
      <xdr:spPr bwMode="auto">
        <a:xfrm>
          <a:off x="100584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34" name="AutoShape 46">
          <a:extLst>
            <a:ext uri="{FF2B5EF4-FFF2-40B4-BE49-F238E27FC236}">
              <a16:creationId xmlns:a16="http://schemas.microsoft.com/office/drawing/2014/main" id="{3E11EB3E-62A9-420F-A7F7-4F821477729A}"/>
            </a:ext>
          </a:extLst>
        </xdr:cNvPr>
        <xdr:cNvSpPr>
          <a:spLocks noChangeArrowheads="1"/>
        </xdr:cNvSpPr>
      </xdr:nvSpPr>
      <xdr:spPr bwMode="auto">
        <a:xfrm>
          <a:off x="109855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35" name="AutoShape 46">
          <a:extLst>
            <a:ext uri="{FF2B5EF4-FFF2-40B4-BE49-F238E27FC236}">
              <a16:creationId xmlns:a16="http://schemas.microsoft.com/office/drawing/2014/main" id="{216E3A93-7776-4054-B0A0-95363AE757D1}"/>
            </a:ext>
          </a:extLst>
        </xdr:cNvPr>
        <xdr:cNvSpPr>
          <a:spLocks noChangeArrowheads="1"/>
        </xdr:cNvSpPr>
      </xdr:nvSpPr>
      <xdr:spPr bwMode="auto">
        <a:xfrm>
          <a:off x="11912600" y="4848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36" name="AutoShape 46">
          <a:extLst>
            <a:ext uri="{FF2B5EF4-FFF2-40B4-BE49-F238E27FC236}">
              <a16:creationId xmlns:a16="http://schemas.microsoft.com/office/drawing/2014/main" id="{05B26A52-FC07-429D-A850-FF95EBB74E80}"/>
            </a:ext>
          </a:extLst>
        </xdr:cNvPr>
        <xdr:cNvSpPr>
          <a:spLocks noChangeArrowheads="1"/>
        </xdr:cNvSpPr>
      </xdr:nvSpPr>
      <xdr:spPr bwMode="auto">
        <a:xfrm>
          <a:off x="1289685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37" name="AutoShape 46">
          <a:extLst>
            <a:ext uri="{FF2B5EF4-FFF2-40B4-BE49-F238E27FC236}">
              <a16:creationId xmlns:a16="http://schemas.microsoft.com/office/drawing/2014/main" id="{7BD222B6-0923-4246-B407-A07314770066}"/>
            </a:ext>
          </a:extLst>
        </xdr:cNvPr>
        <xdr:cNvSpPr>
          <a:spLocks noChangeArrowheads="1"/>
        </xdr:cNvSpPr>
      </xdr:nvSpPr>
      <xdr:spPr bwMode="auto">
        <a:xfrm>
          <a:off x="82042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38" name="AutoShape 46">
          <a:extLst>
            <a:ext uri="{FF2B5EF4-FFF2-40B4-BE49-F238E27FC236}">
              <a16:creationId xmlns:a16="http://schemas.microsoft.com/office/drawing/2014/main" id="{D83958D2-905E-4DEE-9250-EA1D2CA4F3E6}"/>
            </a:ext>
          </a:extLst>
        </xdr:cNvPr>
        <xdr:cNvSpPr>
          <a:spLocks noChangeArrowheads="1"/>
        </xdr:cNvSpPr>
      </xdr:nvSpPr>
      <xdr:spPr bwMode="auto">
        <a:xfrm>
          <a:off x="91313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39" name="AutoShape 46">
          <a:extLst>
            <a:ext uri="{FF2B5EF4-FFF2-40B4-BE49-F238E27FC236}">
              <a16:creationId xmlns:a16="http://schemas.microsoft.com/office/drawing/2014/main" id="{7577F5A3-603C-4234-96E5-817D3135EB03}"/>
            </a:ext>
          </a:extLst>
        </xdr:cNvPr>
        <xdr:cNvSpPr>
          <a:spLocks noChangeArrowheads="1"/>
        </xdr:cNvSpPr>
      </xdr:nvSpPr>
      <xdr:spPr bwMode="auto">
        <a:xfrm>
          <a:off x="100584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40" name="AutoShape 46">
          <a:extLst>
            <a:ext uri="{FF2B5EF4-FFF2-40B4-BE49-F238E27FC236}">
              <a16:creationId xmlns:a16="http://schemas.microsoft.com/office/drawing/2014/main" id="{4C4490D7-87CD-4A75-B885-81AEE42AC37E}"/>
            </a:ext>
          </a:extLst>
        </xdr:cNvPr>
        <xdr:cNvSpPr>
          <a:spLocks noChangeArrowheads="1"/>
        </xdr:cNvSpPr>
      </xdr:nvSpPr>
      <xdr:spPr bwMode="auto">
        <a:xfrm>
          <a:off x="109855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41" name="AutoShape 46">
          <a:extLst>
            <a:ext uri="{FF2B5EF4-FFF2-40B4-BE49-F238E27FC236}">
              <a16:creationId xmlns:a16="http://schemas.microsoft.com/office/drawing/2014/main" id="{DB8866F3-7970-4D51-B260-465FE86AFEFE}"/>
            </a:ext>
          </a:extLst>
        </xdr:cNvPr>
        <xdr:cNvSpPr>
          <a:spLocks noChangeArrowheads="1"/>
        </xdr:cNvSpPr>
      </xdr:nvSpPr>
      <xdr:spPr bwMode="auto">
        <a:xfrm>
          <a:off x="11912600" y="484886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42" name="AutoShape 46">
          <a:extLst>
            <a:ext uri="{FF2B5EF4-FFF2-40B4-BE49-F238E27FC236}">
              <a16:creationId xmlns:a16="http://schemas.microsoft.com/office/drawing/2014/main" id="{97BFB4A8-FF18-4B21-B5A5-F940CFB68F8F}"/>
            </a:ext>
          </a:extLst>
        </xdr:cNvPr>
        <xdr:cNvSpPr>
          <a:spLocks noChangeArrowheads="1"/>
        </xdr:cNvSpPr>
      </xdr:nvSpPr>
      <xdr:spPr bwMode="auto">
        <a:xfrm>
          <a:off x="1289685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196</xdr:row>
      <xdr:rowOff>57150</xdr:rowOff>
    </xdr:from>
    <xdr:to>
      <xdr:col>16</xdr:col>
      <xdr:colOff>0</xdr:colOff>
      <xdr:row>197</xdr:row>
      <xdr:rowOff>190500</xdr:rowOff>
    </xdr:to>
    <xdr:sp macro="" textlink="">
      <xdr:nvSpPr>
        <xdr:cNvPr id="643" name="AutoShape 46">
          <a:extLst>
            <a:ext uri="{FF2B5EF4-FFF2-40B4-BE49-F238E27FC236}">
              <a16:creationId xmlns:a16="http://schemas.microsoft.com/office/drawing/2014/main" id="{30E6F744-008F-4E98-A259-1D04DB191680}"/>
            </a:ext>
          </a:extLst>
        </xdr:cNvPr>
        <xdr:cNvSpPr>
          <a:spLocks noChangeArrowheads="1"/>
        </xdr:cNvSpPr>
      </xdr:nvSpPr>
      <xdr:spPr bwMode="auto">
        <a:xfrm>
          <a:off x="72771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44" name="AutoShape 46">
          <a:extLst>
            <a:ext uri="{FF2B5EF4-FFF2-40B4-BE49-F238E27FC236}">
              <a16:creationId xmlns:a16="http://schemas.microsoft.com/office/drawing/2014/main" id="{163A353F-2F33-46DE-B613-CDF5110A3609}"/>
            </a:ext>
          </a:extLst>
        </xdr:cNvPr>
        <xdr:cNvSpPr>
          <a:spLocks noChangeArrowheads="1"/>
        </xdr:cNvSpPr>
      </xdr:nvSpPr>
      <xdr:spPr bwMode="auto">
        <a:xfrm>
          <a:off x="82042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45" name="AutoShape 46">
          <a:extLst>
            <a:ext uri="{FF2B5EF4-FFF2-40B4-BE49-F238E27FC236}">
              <a16:creationId xmlns:a16="http://schemas.microsoft.com/office/drawing/2014/main" id="{E7AF9CD2-BB49-49A2-95A7-496DB4F12699}"/>
            </a:ext>
          </a:extLst>
        </xdr:cNvPr>
        <xdr:cNvSpPr>
          <a:spLocks noChangeArrowheads="1"/>
        </xdr:cNvSpPr>
      </xdr:nvSpPr>
      <xdr:spPr bwMode="auto">
        <a:xfrm>
          <a:off x="91313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46" name="AutoShape 46">
          <a:extLst>
            <a:ext uri="{FF2B5EF4-FFF2-40B4-BE49-F238E27FC236}">
              <a16:creationId xmlns:a16="http://schemas.microsoft.com/office/drawing/2014/main" id="{EA1484C3-8F2B-44C6-BF45-D571EAD58C41}"/>
            </a:ext>
          </a:extLst>
        </xdr:cNvPr>
        <xdr:cNvSpPr>
          <a:spLocks noChangeArrowheads="1"/>
        </xdr:cNvSpPr>
      </xdr:nvSpPr>
      <xdr:spPr bwMode="auto">
        <a:xfrm>
          <a:off x="100584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47" name="AutoShape 46">
          <a:extLst>
            <a:ext uri="{FF2B5EF4-FFF2-40B4-BE49-F238E27FC236}">
              <a16:creationId xmlns:a16="http://schemas.microsoft.com/office/drawing/2014/main" id="{C97BC901-BAE6-4431-9B5C-CD009D5F78E3}"/>
            </a:ext>
          </a:extLst>
        </xdr:cNvPr>
        <xdr:cNvSpPr>
          <a:spLocks noChangeArrowheads="1"/>
        </xdr:cNvSpPr>
      </xdr:nvSpPr>
      <xdr:spPr bwMode="auto">
        <a:xfrm>
          <a:off x="109855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48" name="AutoShape 46">
          <a:extLst>
            <a:ext uri="{FF2B5EF4-FFF2-40B4-BE49-F238E27FC236}">
              <a16:creationId xmlns:a16="http://schemas.microsoft.com/office/drawing/2014/main" id="{C7E4C20B-EE55-4D1F-94B6-32800031269A}"/>
            </a:ext>
          </a:extLst>
        </xdr:cNvPr>
        <xdr:cNvSpPr>
          <a:spLocks noChangeArrowheads="1"/>
        </xdr:cNvSpPr>
      </xdr:nvSpPr>
      <xdr:spPr bwMode="auto">
        <a:xfrm>
          <a:off x="11912600" y="484886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49" name="AutoShape 46">
          <a:extLst>
            <a:ext uri="{FF2B5EF4-FFF2-40B4-BE49-F238E27FC236}">
              <a16:creationId xmlns:a16="http://schemas.microsoft.com/office/drawing/2014/main" id="{9EAE6FCF-FC40-4C9C-A5BB-641218CFBB75}"/>
            </a:ext>
          </a:extLst>
        </xdr:cNvPr>
        <xdr:cNvSpPr>
          <a:spLocks noChangeArrowheads="1"/>
        </xdr:cNvSpPr>
      </xdr:nvSpPr>
      <xdr:spPr bwMode="auto">
        <a:xfrm>
          <a:off x="1289685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204</xdr:row>
      <xdr:rowOff>57150</xdr:rowOff>
    </xdr:from>
    <xdr:to>
      <xdr:col>2</xdr:col>
      <xdr:colOff>0</xdr:colOff>
      <xdr:row>205</xdr:row>
      <xdr:rowOff>190500</xdr:rowOff>
    </xdr:to>
    <xdr:sp macro="" textlink="">
      <xdr:nvSpPr>
        <xdr:cNvPr id="650" name="AutoShape 46">
          <a:extLst>
            <a:ext uri="{FF2B5EF4-FFF2-40B4-BE49-F238E27FC236}">
              <a16:creationId xmlns:a16="http://schemas.microsoft.com/office/drawing/2014/main" id="{F601115F-C4F0-48C1-B5C5-03297EE1D37D}"/>
            </a:ext>
          </a:extLst>
        </xdr:cNvPr>
        <xdr:cNvSpPr>
          <a:spLocks noChangeArrowheads="1"/>
        </xdr:cNvSpPr>
      </xdr:nvSpPr>
      <xdr:spPr bwMode="auto">
        <a:xfrm>
          <a:off x="6096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204</xdr:row>
      <xdr:rowOff>57150</xdr:rowOff>
    </xdr:from>
    <xdr:to>
      <xdr:col>4</xdr:col>
      <xdr:colOff>0</xdr:colOff>
      <xdr:row>205</xdr:row>
      <xdr:rowOff>190500</xdr:rowOff>
    </xdr:to>
    <xdr:sp macro="" textlink="">
      <xdr:nvSpPr>
        <xdr:cNvPr id="651" name="AutoShape 46">
          <a:extLst>
            <a:ext uri="{FF2B5EF4-FFF2-40B4-BE49-F238E27FC236}">
              <a16:creationId xmlns:a16="http://schemas.microsoft.com/office/drawing/2014/main" id="{8EDB2475-01D0-4213-9215-EDBD041E8814}"/>
            </a:ext>
          </a:extLst>
        </xdr:cNvPr>
        <xdr:cNvSpPr>
          <a:spLocks noChangeArrowheads="1"/>
        </xdr:cNvSpPr>
      </xdr:nvSpPr>
      <xdr:spPr bwMode="auto">
        <a:xfrm>
          <a:off x="1536700" y="504317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204</xdr:row>
      <xdr:rowOff>57150</xdr:rowOff>
    </xdr:from>
    <xdr:to>
      <xdr:col>6</xdr:col>
      <xdr:colOff>0</xdr:colOff>
      <xdr:row>205</xdr:row>
      <xdr:rowOff>190500</xdr:rowOff>
    </xdr:to>
    <xdr:sp macro="" textlink="">
      <xdr:nvSpPr>
        <xdr:cNvPr id="652" name="AutoShape 46">
          <a:extLst>
            <a:ext uri="{FF2B5EF4-FFF2-40B4-BE49-F238E27FC236}">
              <a16:creationId xmlns:a16="http://schemas.microsoft.com/office/drawing/2014/main" id="{EC22CC0B-2285-4DDC-901D-83130595656D}"/>
            </a:ext>
          </a:extLst>
        </xdr:cNvPr>
        <xdr:cNvSpPr>
          <a:spLocks noChangeArrowheads="1"/>
        </xdr:cNvSpPr>
      </xdr:nvSpPr>
      <xdr:spPr bwMode="auto">
        <a:xfrm>
          <a:off x="2520950" y="504317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204</xdr:row>
      <xdr:rowOff>57150</xdr:rowOff>
    </xdr:from>
    <xdr:to>
      <xdr:col>8</xdr:col>
      <xdr:colOff>0</xdr:colOff>
      <xdr:row>205</xdr:row>
      <xdr:rowOff>190500</xdr:rowOff>
    </xdr:to>
    <xdr:sp macro="" textlink="">
      <xdr:nvSpPr>
        <xdr:cNvPr id="653" name="AutoShape 46">
          <a:extLst>
            <a:ext uri="{FF2B5EF4-FFF2-40B4-BE49-F238E27FC236}">
              <a16:creationId xmlns:a16="http://schemas.microsoft.com/office/drawing/2014/main" id="{42203897-8987-443C-B868-995AC2AAD1BD}"/>
            </a:ext>
          </a:extLst>
        </xdr:cNvPr>
        <xdr:cNvSpPr>
          <a:spLocks noChangeArrowheads="1"/>
        </xdr:cNvSpPr>
      </xdr:nvSpPr>
      <xdr:spPr bwMode="auto">
        <a:xfrm>
          <a:off x="3498850" y="504317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204</xdr:row>
      <xdr:rowOff>57150</xdr:rowOff>
    </xdr:from>
    <xdr:to>
      <xdr:col>10</xdr:col>
      <xdr:colOff>0</xdr:colOff>
      <xdr:row>205</xdr:row>
      <xdr:rowOff>190500</xdr:rowOff>
    </xdr:to>
    <xdr:sp macro="" textlink="">
      <xdr:nvSpPr>
        <xdr:cNvPr id="654" name="AutoShape 46">
          <a:extLst>
            <a:ext uri="{FF2B5EF4-FFF2-40B4-BE49-F238E27FC236}">
              <a16:creationId xmlns:a16="http://schemas.microsoft.com/office/drawing/2014/main" id="{CF335A15-1074-40BC-B538-0CE8EAC1A303}"/>
            </a:ext>
          </a:extLst>
        </xdr:cNvPr>
        <xdr:cNvSpPr>
          <a:spLocks noChangeArrowheads="1"/>
        </xdr:cNvSpPr>
      </xdr:nvSpPr>
      <xdr:spPr bwMode="auto">
        <a:xfrm>
          <a:off x="44958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204</xdr:row>
      <xdr:rowOff>57150</xdr:rowOff>
    </xdr:from>
    <xdr:to>
      <xdr:col>12</xdr:col>
      <xdr:colOff>0</xdr:colOff>
      <xdr:row>205</xdr:row>
      <xdr:rowOff>190500</xdr:rowOff>
    </xdr:to>
    <xdr:sp macro="" textlink="">
      <xdr:nvSpPr>
        <xdr:cNvPr id="655" name="AutoShape 46">
          <a:extLst>
            <a:ext uri="{FF2B5EF4-FFF2-40B4-BE49-F238E27FC236}">
              <a16:creationId xmlns:a16="http://schemas.microsoft.com/office/drawing/2014/main" id="{0EFFA326-0116-4D69-A9D6-ACE7F9FF3CE8}"/>
            </a:ext>
          </a:extLst>
        </xdr:cNvPr>
        <xdr:cNvSpPr>
          <a:spLocks noChangeArrowheads="1"/>
        </xdr:cNvSpPr>
      </xdr:nvSpPr>
      <xdr:spPr bwMode="auto">
        <a:xfrm>
          <a:off x="54229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204</xdr:row>
      <xdr:rowOff>57150</xdr:rowOff>
    </xdr:from>
    <xdr:to>
      <xdr:col>14</xdr:col>
      <xdr:colOff>0</xdr:colOff>
      <xdr:row>205</xdr:row>
      <xdr:rowOff>190500</xdr:rowOff>
    </xdr:to>
    <xdr:sp macro="" textlink="">
      <xdr:nvSpPr>
        <xdr:cNvPr id="656" name="AutoShape 46">
          <a:extLst>
            <a:ext uri="{FF2B5EF4-FFF2-40B4-BE49-F238E27FC236}">
              <a16:creationId xmlns:a16="http://schemas.microsoft.com/office/drawing/2014/main" id="{2AE55BB2-050C-488E-A445-1AE1B375DA7A}"/>
            </a:ext>
          </a:extLst>
        </xdr:cNvPr>
        <xdr:cNvSpPr>
          <a:spLocks noChangeArrowheads="1"/>
        </xdr:cNvSpPr>
      </xdr:nvSpPr>
      <xdr:spPr bwMode="auto">
        <a:xfrm>
          <a:off x="63500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204</xdr:row>
      <xdr:rowOff>57150</xdr:rowOff>
    </xdr:from>
    <xdr:to>
      <xdr:col>16</xdr:col>
      <xdr:colOff>0</xdr:colOff>
      <xdr:row>205</xdr:row>
      <xdr:rowOff>190500</xdr:rowOff>
    </xdr:to>
    <xdr:sp macro="" textlink="">
      <xdr:nvSpPr>
        <xdr:cNvPr id="657" name="AutoShape 46">
          <a:extLst>
            <a:ext uri="{FF2B5EF4-FFF2-40B4-BE49-F238E27FC236}">
              <a16:creationId xmlns:a16="http://schemas.microsoft.com/office/drawing/2014/main" id="{14D32AFB-C951-4238-8305-519DF324D66F}"/>
            </a:ext>
          </a:extLst>
        </xdr:cNvPr>
        <xdr:cNvSpPr>
          <a:spLocks noChangeArrowheads="1"/>
        </xdr:cNvSpPr>
      </xdr:nvSpPr>
      <xdr:spPr bwMode="auto">
        <a:xfrm>
          <a:off x="72771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58" name="AutoShape 46">
          <a:extLst>
            <a:ext uri="{FF2B5EF4-FFF2-40B4-BE49-F238E27FC236}">
              <a16:creationId xmlns:a16="http://schemas.microsoft.com/office/drawing/2014/main" id="{CA783AC2-34A1-4EC8-B4B5-32E39414921C}"/>
            </a:ext>
          </a:extLst>
        </xdr:cNvPr>
        <xdr:cNvSpPr>
          <a:spLocks noChangeArrowheads="1"/>
        </xdr:cNvSpPr>
      </xdr:nvSpPr>
      <xdr:spPr bwMode="auto">
        <a:xfrm>
          <a:off x="82042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59" name="AutoShape 46">
          <a:extLst>
            <a:ext uri="{FF2B5EF4-FFF2-40B4-BE49-F238E27FC236}">
              <a16:creationId xmlns:a16="http://schemas.microsoft.com/office/drawing/2014/main" id="{9794FA57-D8C8-4A0E-ABC8-1E8826B55824}"/>
            </a:ext>
          </a:extLst>
        </xdr:cNvPr>
        <xdr:cNvSpPr>
          <a:spLocks noChangeArrowheads="1"/>
        </xdr:cNvSpPr>
      </xdr:nvSpPr>
      <xdr:spPr bwMode="auto">
        <a:xfrm>
          <a:off x="91313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60" name="AutoShape 46">
          <a:extLst>
            <a:ext uri="{FF2B5EF4-FFF2-40B4-BE49-F238E27FC236}">
              <a16:creationId xmlns:a16="http://schemas.microsoft.com/office/drawing/2014/main" id="{8F790BDA-8EC2-4C79-9AB5-9E55FC2A1A0F}"/>
            </a:ext>
          </a:extLst>
        </xdr:cNvPr>
        <xdr:cNvSpPr>
          <a:spLocks noChangeArrowheads="1"/>
        </xdr:cNvSpPr>
      </xdr:nvSpPr>
      <xdr:spPr bwMode="auto">
        <a:xfrm>
          <a:off x="100584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61" name="AutoShape 46">
          <a:extLst>
            <a:ext uri="{FF2B5EF4-FFF2-40B4-BE49-F238E27FC236}">
              <a16:creationId xmlns:a16="http://schemas.microsoft.com/office/drawing/2014/main" id="{E65BFCA9-8CAF-46B8-AE79-3460F91CD5CB}"/>
            </a:ext>
          </a:extLst>
        </xdr:cNvPr>
        <xdr:cNvSpPr>
          <a:spLocks noChangeArrowheads="1"/>
        </xdr:cNvSpPr>
      </xdr:nvSpPr>
      <xdr:spPr bwMode="auto">
        <a:xfrm>
          <a:off x="109855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62" name="AutoShape 46">
          <a:extLst>
            <a:ext uri="{FF2B5EF4-FFF2-40B4-BE49-F238E27FC236}">
              <a16:creationId xmlns:a16="http://schemas.microsoft.com/office/drawing/2014/main" id="{117F4006-7713-45F6-81FF-F743AA9695B3}"/>
            </a:ext>
          </a:extLst>
        </xdr:cNvPr>
        <xdr:cNvSpPr>
          <a:spLocks noChangeArrowheads="1"/>
        </xdr:cNvSpPr>
      </xdr:nvSpPr>
      <xdr:spPr bwMode="auto">
        <a:xfrm>
          <a:off x="11912600" y="50431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63" name="AutoShape 46">
          <a:extLst>
            <a:ext uri="{FF2B5EF4-FFF2-40B4-BE49-F238E27FC236}">
              <a16:creationId xmlns:a16="http://schemas.microsoft.com/office/drawing/2014/main" id="{0B0CF258-E444-4615-B872-CF7F41DFEAD5}"/>
            </a:ext>
          </a:extLst>
        </xdr:cNvPr>
        <xdr:cNvSpPr>
          <a:spLocks noChangeArrowheads="1"/>
        </xdr:cNvSpPr>
      </xdr:nvSpPr>
      <xdr:spPr bwMode="auto">
        <a:xfrm>
          <a:off x="1289685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64" name="AutoShape 46">
          <a:extLst>
            <a:ext uri="{FF2B5EF4-FFF2-40B4-BE49-F238E27FC236}">
              <a16:creationId xmlns:a16="http://schemas.microsoft.com/office/drawing/2014/main" id="{498EE865-1458-4A8F-86C3-E604E1A886A2}"/>
            </a:ext>
          </a:extLst>
        </xdr:cNvPr>
        <xdr:cNvSpPr>
          <a:spLocks noChangeArrowheads="1"/>
        </xdr:cNvSpPr>
      </xdr:nvSpPr>
      <xdr:spPr bwMode="auto">
        <a:xfrm>
          <a:off x="82042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65" name="AutoShape 46">
          <a:extLst>
            <a:ext uri="{FF2B5EF4-FFF2-40B4-BE49-F238E27FC236}">
              <a16:creationId xmlns:a16="http://schemas.microsoft.com/office/drawing/2014/main" id="{E0F62FE8-9234-4057-8681-90AB2AC068CF}"/>
            </a:ext>
          </a:extLst>
        </xdr:cNvPr>
        <xdr:cNvSpPr>
          <a:spLocks noChangeArrowheads="1"/>
        </xdr:cNvSpPr>
      </xdr:nvSpPr>
      <xdr:spPr bwMode="auto">
        <a:xfrm>
          <a:off x="91313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66" name="AutoShape 46">
          <a:extLst>
            <a:ext uri="{FF2B5EF4-FFF2-40B4-BE49-F238E27FC236}">
              <a16:creationId xmlns:a16="http://schemas.microsoft.com/office/drawing/2014/main" id="{BF77B76F-155F-408A-B8B1-161670661C80}"/>
            </a:ext>
          </a:extLst>
        </xdr:cNvPr>
        <xdr:cNvSpPr>
          <a:spLocks noChangeArrowheads="1"/>
        </xdr:cNvSpPr>
      </xdr:nvSpPr>
      <xdr:spPr bwMode="auto">
        <a:xfrm>
          <a:off x="100584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67" name="AutoShape 46">
          <a:extLst>
            <a:ext uri="{FF2B5EF4-FFF2-40B4-BE49-F238E27FC236}">
              <a16:creationId xmlns:a16="http://schemas.microsoft.com/office/drawing/2014/main" id="{B63B18BB-57B6-4AEB-B3E3-422999851B07}"/>
            </a:ext>
          </a:extLst>
        </xdr:cNvPr>
        <xdr:cNvSpPr>
          <a:spLocks noChangeArrowheads="1"/>
        </xdr:cNvSpPr>
      </xdr:nvSpPr>
      <xdr:spPr bwMode="auto">
        <a:xfrm>
          <a:off x="109855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68" name="AutoShape 46">
          <a:extLst>
            <a:ext uri="{FF2B5EF4-FFF2-40B4-BE49-F238E27FC236}">
              <a16:creationId xmlns:a16="http://schemas.microsoft.com/office/drawing/2014/main" id="{2DDCD315-FC54-4A77-BEBE-51BBE6943A99}"/>
            </a:ext>
          </a:extLst>
        </xdr:cNvPr>
        <xdr:cNvSpPr>
          <a:spLocks noChangeArrowheads="1"/>
        </xdr:cNvSpPr>
      </xdr:nvSpPr>
      <xdr:spPr bwMode="auto">
        <a:xfrm>
          <a:off x="11912600" y="504317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69" name="AutoShape 46">
          <a:extLst>
            <a:ext uri="{FF2B5EF4-FFF2-40B4-BE49-F238E27FC236}">
              <a16:creationId xmlns:a16="http://schemas.microsoft.com/office/drawing/2014/main" id="{AB2DD3CA-4773-4208-B92D-F8D8A8D4E17C}"/>
            </a:ext>
          </a:extLst>
        </xdr:cNvPr>
        <xdr:cNvSpPr>
          <a:spLocks noChangeArrowheads="1"/>
        </xdr:cNvSpPr>
      </xdr:nvSpPr>
      <xdr:spPr bwMode="auto">
        <a:xfrm>
          <a:off x="1289685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204</xdr:row>
      <xdr:rowOff>57150</xdr:rowOff>
    </xdr:from>
    <xdr:to>
      <xdr:col>16</xdr:col>
      <xdr:colOff>0</xdr:colOff>
      <xdr:row>205</xdr:row>
      <xdr:rowOff>190500</xdr:rowOff>
    </xdr:to>
    <xdr:sp macro="" textlink="">
      <xdr:nvSpPr>
        <xdr:cNvPr id="670" name="AutoShape 46">
          <a:extLst>
            <a:ext uri="{FF2B5EF4-FFF2-40B4-BE49-F238E27FC236}">
              <a16:creationId xmlns:a16="http://schemas.microsoft.com/office/drawing/2014/main" id="{B4F74D78-3BD7-4922-9913-110CCEBF96E7}"/>
            </a:ext>
          </a:extLst>
        </xdr:cNvPr>
        <xdr:cNvSpPr>
          <a:spLocks noChangeArrowheads="1"/>
        </xdr:cNvSpPr>
      </xdr:nvSpPr>
      <xdr:spPr bwMode="auto">
        <a:xfrm>
          <a:off x="72771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71" name="AutoShape 46">
          <a:extLst>
            <a:ext uri="{FF2B5EF4-FFF2-40B4-BE49-F238E27FC236}">
              <a16:creationId xmlns:a16="http://schemas.microsoft.com/office/drawing/2014/main" id="{D7D14C59-0785-45EC-8258-A47EA3F5022A}"/>
            </a:ext>
          </a:extLst>
        </xdr:cNvPr>
        <xdr:cNvSpPr>
          <a:spLocks noChangeArrowheads="1"/>
        </xdr:cNvSpPr>
      </xdr:nvSpPr>
      <xdr:spPr bwMode="auto">
        <a:xfrm>
          <a:off x="82042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72" name="AutoShape 46">
          <a:extLst>
            <a:ext uri="{FF2B5EF4-FFF2-40B4-BE49-F238E27FC236}">
              <a16:creationId xmlns:a16="http://schemas.microsoft.com/office/drawing/2014/main" id="{65C98350-8C76-4103-9111-2468E061872C}"/>
            </a:ext>
          </a:extLst>
        </xdr:cNvPr>
        <xdr:cNvSpPr>
          <a:spLocks noChangeArrowheads="1"/>
        </xdr:cNvSpPr>
      </xdr:nvSpPr>
      <xdr:spPr bwMode="auto">
        <a:xfrm>
          <a:off x="91313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73" name="AutoShape 46">
          <a:extLst>
            <a:ext uri="{FF2B5EF4-FFF2-40B4-BE49-F238E27FC236}">
              <a16:creationId xmlns:a16="http://schemas.microsoft.com/office/drawing/2014/main" id="{BCE6F7C6-E8FE-4A3E-8AC5-3415A2ED6C24}"/>
            </a:ext>
          </a:extLst>
        </xdr:cNvPr>
        <xdr:cNvSpPr>
          <a:spLocks noChangeArrowheads="1"/>
        </xdr:cNvSpPr>
      </xdr:nvSpPr>
      <xdr:spPr bwMode="auto">
        <a:xfrm>
          <a:off x="100584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74" name="AutoShape 46">
          <a:extLst>
            <a:ext uri="{FF2B5EF4-FFF2-40B4-BE49-F238E27FC236}">
              <a16:creationId xmlns:a16="http://schemas.microsoft.com/office/drawing/2014/main" id="{E7B6BFB6-9CFB-4F50-A339-1E764C159F2C}"/>
            </a:ext>
          </a:extLst>
        </xdr:cNvPr>
        <xdr:cNvSpPr>
          <a:spLocks noChangeArrowheads="1"/>
        </xdr:cNvSpPr>
      </xdr:nvSpPr>
      <xdr:spPr bwMode="auto">
        <a:xfrm>
          <a:off x="109855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75" name="AutoShape 46">
          <a:extLst>
            <a:ext uri="{FF2B5EF4-FFF2-40B4-BE49-F238E27FC236}">
              <a16:creationId xmlns:a16="http://schemas.microsoft.com/office/drawing/2014/main" id="{F714D61B-3D73-454B-9B44-8C727F95CE57}"/>
            </a:ext>
          </a:extLst>
        </xdr:cNvPr>
        <xdr:cNvSpPr>
          <a:spLocks noChangeArrowheads="1"/>
        </xdr:cNvSpPr>
      </xdr:nvSpPr>
      <xdr:spPr bwMode="auto">
        <a:xfrm>
          <a:off x="11912600" y="50431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76" name="AutoShape 46">
          <a:extLst>
            <a:ext uri="{FF2B5EF4-FFF2-40B4-BE49-F238E27FC236}">
              <a16:creationId xmlns:a16="http://schemas.microsoft.com/office/drawing/2014/main" id="{2962AA16-81B9-4D9A-A033-0397DB0817D2}"/>
            </a:ext>
          </a:extLst>
        </xdr:cNvPr>
        <xdr:cNvSpPr>
          <a:spLocks noChangeArrowheads="1"/>
        </xdr:cNvSpPr>
      </xdr:nvSpPr>
      <xdr:spPr bwMode="auto">
        <a:xfrm>
          <a:off x="1289685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212</xdr:row>
      <xdr:rowOff>63500</xdr:rowOff>
    </xdr:from>
    <xdr:to>
      <xdr:col>2</xdr:col>
      <xdr:colOff>0</xdr:colOff>
      <xdr:row>213</xdr:row>
      <xdr:rowOff>196850</xdr:rowOff>
    </xdr:to>
    <xdr:sp macro="" textlink="">
      <xdr:nvSpPr>
        <xdr:cNvPr id="677" name="AutoShape 46">
          <a:extLst>
            <a:ext uri="{FF2B5EF4-FFF2-40B4-BE49-F238E27FC236}">
              <a16:creationId xmlns:a16="http://schemas.microsoft.com/office/drawing/2014/main" id="{66485481-03D8-43CD-B014-97497BC88236}"/>
            </a:ext>
          </a:extLst>
        </xdr:cNvPr>
        <xdr:cNvSpPr>
          <a:spLocks noChangeArrowheads="1"/>
        </xdr:cNvSpPr>
      </xdr:nvSpPr>
      <xdr:spPr bwMode="auto">
        <a:xfrm>
          <a:off x="609600" y="43522900"/>
          <a:ext cx="463550" cy="2857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212</xdr:row>
      <xdr:rowOff>69850</xdr:rowOff>
    </xdr:from>
    <xdr:to>
      <xdr:col>4</xdr:col>
      <xdr:colOff>0</xdr:colOff>
      <xdr:row>213</xdr:row>
      <xdr:rowOff>203200</xdr:rowOff>
    </xdr:to>
    <xdr:sp macro="" textlink="">
      <xdr:nvSpPr>
        <xdr:cNvPr id="678" name="AutoShape 46">
          <a:extLst>
            <a:ext uri="{FF2B5EF4-FFF2-40B4-BE49-F238E27FC236}">
              <a16:creationId xmlns:a16="http://schemas.microsoft.com/office/drawing/2014/main" id="{9F6243E7-B324-41CE-9C02-6068AE5D4A8C}"/>
            </a:ext>
          </a:extLst>
        </xdr:cNvPr>
        <xdr:cNvSpPr>
          <a:spLocks noChangeArrowheads="1"/>
        </xdr:cNvSpPr>
      </xdr:nvSpPr>
      <xdr:spPr bwMode="auto">
        <a:xfrm>
          <a:off x="1536700" y="43529250"/>
          <a:ext cx="520700" cy="28575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212</xdr:row>
      <xdr:rowOff>57150</xdr:rowOff>
    </xdr:from>
    <xdr:to>
      <xdr:col>6</xdr:col>
      <xdr:colOff>0</xdr:colOff>
      <xdr:row>213</xdr:row>
      <xdr:rowOff>190500</xdr:rowOff>
    </xdr:to>
    <xdr:sp macro="" textlink="">
      <xdr:nvSpPr>
        <xdr:cNvPr id="679" name="AutoShape 46">
          <a:extLst>
            <a:ext uri="{FF2B5EF4-FFF2-40B4-BE49-F238E27FC236}">
              <a16:creationId xmlns:a16="http://schemas.microsoft.com/office/drawing/2014/main" id="{4A485651-FA79-4A28-A7CE-A536A70223D7}"/>
            </a:ext>
          </a:extLst>
        </xdr:cNvPr>
        <xdr:cNvSpPr>
          <a:spLocks noChangeArrowheads="1"/>
        </xdr:cNvSpPr>
      </xdr:nvSpPr>
      <xdr:spPr bwMode="auto">
        <a:xfrm>
          <a:off x="2520950" y="5268595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212</xdr:row>
      <xdr:rowOff>57150</xdr:rowOff>
    </xdr:from>
    <xdr:to>
      <xdr:col>8</xdr:col>
      <xdr:colOff>0</xdr:colOff>
      <xdr:row>213</xdr:row>
      <xdr:rowOff>190500</xdr:rowOff>
    </xdr:to>
    <xdr:sp macro="" textlink="">
      <xdr:nvSpPr>
        <xdr:cNvPr id="680" name="AutoShape 46">
          <a:extLst>
            <a:ext uri="{FF2B5EF4-FFF2-40B4-BE49-F238E27FC236}">
              <a16:creationId xmlns:a16="http://schemas.microsoft.com/office/drawing/2014/main" id="{AC6D2055-1E28-4453-89F8-9FFC96F3CB21}"/>
            </a:ext>
          </a:extLst>
        </xdr:cNvPr>
        <xdr:cNvSpPr>
          <a:spLocks noChangeArrowheads="1"/>
        </xdr:cNvSpPr>
      </xdr:nvSpPr>
      <xdr:spPr bwMode="auto">
        <a:xfrm>
          <a:off x="3498850" y="526859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212</xdr:row>
      <xdr:rowOff>57150</xdr:rowOff>
    </xdr:from>
    <xdr:to>
      <xdr:col>10</xdr:col>
      <xdr:colOff>0</xdr:colOff>
      <xdr:row>213</xdr:row>
      <xdr:rowOff>190500</xdr:rowOff>
    </xdr:to>
    <xdr:sp macro="" textlink="">
      <xdr:nvSpPr>
        <xdr:cNvPr id="681" name="AutoShape 46">
          <a:extLst>
            <a:ext uri="{FF2B5EF4-FFF2-40B4-BE49-F238E27FC236}">
              <a16:creationId xmlns:a16="http://schemas.microsoft.com/office/drawing/2014/main" id="{E7783412-AE8D-49D1-85E0-7A1A72BF1FCD}"/>
            </a:ext>
          </a:extLst>
        </xdr:cNvPr>
        <xdr:cNvSpPr>
          <a:spLocks noChangeArrowheads="1"/>
        </xdr:cNvSpPr>
      </xdr:nvSpPr>
      <xdr:spPr bwMode="auto">
        <a:xfrm>
          <a:off x="44958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212</xdr:row>
      <xdr:rowOff>57150</xdr:rowOff>
    </xdr:from>
    <xdr:to>
      <xdr:col>12</xdr:col>
      <xdr:colOff>0</xdr:colOff>
      <xdr:row>213</xdr:row>
      <xdr:rowOff>190500</xdr:rowOff>
    </xdr:to>
    <xdr:sp macro="" textlink="">
      <xdr:nvSpPr>
        <xdr:cNvPr id="682" name="AutoShape 46">
          <a:extLst>
            <a:ext uri="{FF2B5EF4-FFF2-40B4-BE49-F238E27FC236}">
              <a16:creationId xmlns:a16="http://schemas.microsoft.com/office/drawing/2014/main" id="{92936A54-C915-4B15-8801-5BA4FBB08D7F}"/>
            </a:ext>
          </a:extLst>
        </xdr:cNvPr>
        <xdr:cNvSpPr>
          <a:spLocks noChangeArrowheads="1"/>
        </xdr:cNvSpPr>
      </xdr:nvSpPr>
      <xdr:spPr bwMode="auto">
        <a:xfrm>
          <a:off x="54229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212</xdr:row>
      <xdr:rowOff>57150</xdr:rowOff>
    </xdr:from>
    <xdr:to>
      <xdr:col>14</xdr:col>
      <xdr:colOff>0</xdr:colOff>
      <xdr:row>213</xdr:row>
      <xdr:rowOff>190500</xdr:rowOff>
    </xdr:to>
    <xdr:sp macro="" textlink="">
      <xdr:nvSpPr>
        <xdr:cNvPr id="683" name="AutoShape 46">
          <a:extLst>
            <a:ext uri="{FF2B5EF4-FFF2-40B4-BE49-F238E27FC236}">
              <a16:creationId xmlns:a16="http://schemas.microsoft.com/office/drawing/2014/main" id="{56ED07CD-8802-4179-BC1C-34C0E4575E1E}"/>
            </a:ext>
          </a:extLst>
        </xdr:cNvPr>
        <xdr:cNvSpPr>
          <a:spLocks noChangeArrowheads="1"/>
        </xdr:cNvSpPr>
      </xdr:nvSpPr>
      <xdr:spPr bwMode="auto">
        <a:xfrm>
          <a:off x="63500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212</xdr:row>
      <xdr:rowOff>57150</xdr:rowOff>
    </xdr:from>
    <xdr:to>
      <xdr:col>16</xdr:col>
      <xdr:colOff>0</xdr:colOff>
      <xdr:row>213</xdr:row>
      <xdr:rowOff>190500</xdr:rowOff>
    </xdr:to>
    <xdr:sp macro="" textlink="">
      <xdr:nvSpPr>
        <xdr:cNvPr id="684" name="AutoShape 46">
          <a:extLst>
            <a:ext uri="{FF2B5EF4-FFF2-40B4-BE49-F238E27FC236}">
              <a16:creationId xmlns:a16="http://schemas.microsoft.com/office/drawing/2014/main" id="{E4B594A3-B187-4CE0-9760-72B99480BB12}"/>
            </a:ext>
          </a:extLst>
        </xdr:cNvPr>
        <xdr:cNvSpPr>
          <a:spLocks noChangeArrowheads="1"/>
        </xdr:cNvSpPr>
      </xdr:nvSpPr>
      <xdr:spPr bwMode="auto">
        <a:xfrm>
          <a:off x="72771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212</xdr:row>
      <xdr:rowOff>57150</xdr:rowOff>
    </xdr:from>
    <xdr:to>
      <xdr:col>16</xdr:col>
      <xdr:colOff>0</xdr:colOff>
      <xdr:row>213</xdr:row>
      <xdr:rowOff>190500</xdr:rowOff>
    </xdr:to>
    <xdr:sp macro="" textlink="">
      <xdr:nvSpPr>
        <xdr:cNvPr id="685" name="AutoShape 46">
          <a:extLst>
            <a:ext uri="{FF2B5EF4-FFF2-40B4-BE49-F238E27FC236}">
              <a16:creationId xmlns:a16="http://schemas.microsoft.com/office/drawing/2014/main" id="{55032D0C-422E-489D-AAC3-03F9F21FD675}"/>
            </a:ext>
          </a:extLst>
        </xdr:cNvPr>
        <xdr:cNvSpPr>
          <a:spLocks noChangeArrowheads="1"/>
        </xdr:cNvSpPr>
      </xdr:nvSpPr>
      <xdr:spPr bwMode="auto">
        <a:xfrm>
          <a:off x="72771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10</xdr:col>
      <xdr:colOff>0</xdr:colOff>
      <xdr:row>135</xdr:row>
      <xdr:rowOff>0</xdr:rowOff>
    </xdr:from>
    <xdr:to>
      <xdr:col>10</xdr:col>
      <xdr:colOff>228600</xdr:colOff>
      <xdr:row>136</xdr:row>
      <xdr:rowOff>0</xdr:rowOff>
    </xdr:to>
    <xdr:grpSp>
      <xdr:nvGrpSpPr>
        <xdr:cNvPr id="686" name="Group 1008">
          <a:extLst>
            <a:ext uri="{FF2B5EF4-FFF2-40B4-BE49-F238E27FC236}">
              <a16:creationId xmlns:a16="http://schemas.microsoft.com/office/drawing/2014/main" id="{7EDD09F6-C7F4-4B41-9BC9-D88A1242DF90}"/>
            </a:ext>
          </a:extLst>
        </xdr:cNvPr>
        <xdr:cNvGrpSpPr>
          <a:grpSpLocks/>
        </xdr:cNvGrpSpPr>
      </xdr:nvGrpSpPr>
      <xdr:grpSpPr bwMode="auto">
        <a:xfrm>
          <a:off x="5197929" y="27912786"/>
          <a:ext cx="228600" cy="163285"/>
          <a:chOff x="5475762" y="47760700"/>
          <a:chExt cx="314325" cy="230209"/>
        </a:xfrm>
      </xdr:grpSpPr>
      <xdr:cxnSp macro="">
        <xdr:nvCxnSpPr>
          <xdr:cNvPr id="687" name="Straight Connector 686">
            <a:extLst>
              <a:ext uri="{FF2B5EF4-FFF2-40B4-BE49-F238E27FC236}">
                <a16:creationId xmlns:a16="http://schemas.microsoft.com/office/drawing/2014/main" id="{90B6BDF3-8685-412B-B1D9-2FF810DC1C5C}"/>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688" name="Straight Connector 529">
            <a:extLst>
              <a:ext uri="{FF2B5EF4-FFF2-40B4-BE49-F238E27FC236}">
                <a16:creationId xmlns:a16="http://schemas.microsoft.com/office/drawing/2014/main" id="{41752142-CACB-91E4-96B7-863CBBD122F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689" name="Straight Connector 531">
            <a:extLst>
              <a:ext uri="{FF2B5EF4-FFF2-40B4-BE49-F238E27FC236}">
                <a16:creationId xmlns:a16="http://schemas.microsoft.com/office/drawing/2014/main" id="{71360BB5-0913-4B5C-13CB-7D18EABABDC9}"/>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690" name="Straight Connector 533">
            <a:extLst>
              <a:ext uri="{FF2B5EF4-FFF2-40B4-BE49-F238E27FC236}">
                <a16:creationId xmlns:a16="http://schemas.microsoft.com/office/drawing/2014/main" id="{A2223806-1D19-2641-535D-C503FE50476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691" name="Straight Connector 535">
            <a:extLst>
              <a:ext uri="{FF2B5EF4-FFF2-40B4-BE49-F238E27FC236}">
                <a16:creationId xmlns:a16="http://schemas.microsoft.com/office/drawing/2014/main" id="{DDF10706-DF1A-A6EE-7CFB-47F1247F9D2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692" name="Straight Connector 537">
            <a:extLst>
              <a:ext uri="{FF2B5EF4-FFF2-40B4-BE49-F238E27FC236}">
                <a16:creationId xmlns:a16="http://schemas.microsoft.com/office/drawing/2014/main" id="{7E48EA34-F29D-6121-5731-2FB146D804F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23</xdr:col>
      <xdr:colOff>515470</xdr:colOff>
      <xdr:row>53</xdr:row>
      <xdr:rowOff>56029</xdr:rowOff>
    </xdr:from>
    <xdr:to>
      <xdr:col>24</xdr:col>
      <xdr:colOff>3018</xdr:colOff>
      <xdr:row>55</xdr:row>
      <xdr:rowOff>81054</xdr:rowOff>
    </xdr:to>
    <xdr:pic>
      <xdr:nvPicPr>
        <xdr:cNvPr id="693" name="Picture 11597">
          <a:extLst>
            <a:ext uri="{FF2B5EF4-FFF2-40B4-BE49-F238E27FC236}">
              <a16:creationId xmlns:a16="http://schemas.microsoft.com/office/drawing/2014/main" id="{B099B152-1DA5-42AF-85B0-CB479D62624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450170" y="13759329"/>
          <a:ext cx="6350" cy="393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0</xdr:colOff>
      <xdr:row>132</xdr:row>
      <xdr:rowOff>57150</xdr:rowOff>
    </xdr:from>
    <xdr:to>
      <xdr:col>26</xdr:col>
      <xdr:colOff>0</xdr:colOff>
      <xdr:row>133</xdr:row>
      <xdr:rowOff>190500</xdr:rowOff>
    </xdr:to>
    <xdr:sp macro="" textlink="">
      <xdr:nvSpPr>
        <xdr:cNvPr id="694" name="AutoShape 46">
          <a:extLst>
            <a:ext uri="{FF2B5EF4-FFF2-40B4-BE49-F238E27FC236}">
              <a16:creationId xmlns:a16="http://schemas.microsoft.com/office/drawing/2014/main" id="{A6AEF2D3-4BC2-44B8-95DE-E52E24A90A8B}"/>
            </a:ext>
          </a:extLst>
        </xdr:cNvPr>
        <xdr:cNvSpPr>
          <a:spLocks noChangeArrowheads="1"/>
        </xdr:cNvSpPr>
      </xdr:nvSpPr>
      <xdr:spPr bwMode="auto">
        <a:xfrm>
          <a:off x="119126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132</xdr:row>
      <xdr:rowOff>57150</xdr:rowOff>
    </xdr:from>
    <xdr:to>
      <xdr:col>26</xdr:col>
      <xdr:colOff>0</xdr:colOff>
      <xdr:row>133</xdr:row>
      <xdr:rowOff>190500</xdr:rowOff>
    </xdr:to>
    <xdr:sp macro="" textlink="">
      <xdr:nvSpPr>
        <xdr:cNvPr id="695" name="AutoShape 46">
          <a:extLst>
            <a:ext uri="{FF2B5EF4-FFF2-40B4-BE49-F238E27FC236}">
              <a16:creationId xmlns:a16="http://schemas.microsoft.com/office/drawing/2014/main" id="{17428094-30FD-4B5E-8EFF-CDBD6C02F287}"/>
            </a:ext>
          </a:extLst>
        </xdr:cNvPr>
        <xdr:cNvSpPr>
          <a:spLocks noChangeArrowheads="1"/>
        </xdr:cNvSpPr>
      </xdr:nvSpPr>
      <xdr:spPr bwMode="auto">
        <a:xfrm>
          <a:off x="11912600" y="32873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132</xdr:row>
      <xdr:rowOff>57150</xdr:rowOff>
    </xdr:from>
    <xdr:to>
      <xdr:col>26</xdr:col>
      <xdr:colOff>0</xdr:colOff>
      <xdr:row>133</xdr:row>
      <xdr:rowOff>190500</xdr:rowOff>
    </xdr:to>
    <xdr:sp macro="" textlink="">
      <xdr:nvSpPr>
        <xdr:cNvPr id="696" name="AutoShape 46">
          <a:extLst>
            <a:ext uri="{FF2B5EF4-FFF2-40B4-BE49-F238E27FC236}">
              <a16:creationId xmlns:a16="http://schemas.microsoft.com/office/drawing/2014/main" id="{92005AB2-A6A4-4752-8620-D1267101EC0E}"/>
            </a:ext>
          </a:extLst>
        </xdr:cNvPr>
        <xdr:cNvSpPr>
          <a:spLocks noChangeArrowheads="1"/>
        </xdr:cNvSpPr>
      </xdr:nvSpPr>
      <xdr:spPr bwMode="auto">
        <a:xfrm>
          <a:off x="119126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140</xdr:row>
      <xdr:rowOff>57150</xdr:rowOff>
    </xdr:from>
    <xdr:to>
      <xdr:col>4</xdr:col>
      <xdr:colOff>0</xdr:colOff>
      <xdr:row>141</xdr:row>
      <xdr:rowOff>190500</xdr:rowOff>
    </xdr:to>
    <xdr:sp macro="" textlink="">
      <xdr:nvSpPr>
        <xdr:cNvPr id="697" name="AutoShape 46">
          <a:extLst>
            <a:ext uri="{FF2B5EF4-FFF2-40B4-BE49-F238E27FC236}">
              <a16:creationId xmlns:a16="http://schemas.microsoft.com/office/drawing/2014/main" id="{0B1A73F5-1ED7-43D1-8259-E055200C3B03}"/>
            </a:ext>
          </a:extLst>
        </xdr:cNvPr>
        <xdr:cNvSpPr>
          <a:spLocks noChangeArrowheads="1"/>
        </xdr:cNvSpPr>
      </xdr:nvSpPr>
      <xdr:spPr bwMode="auto">
        <a:xfrm>
          <a:off x="15367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220</xdr:row>
      <xdr:rowOff>57150</xdr:rowOff>
    </xdr:from>
    <xdr:to>
      <xdr:col>2</xdr:col>
      <xdr:colOff>0</xdr:colOff>
      <xdr:row>221</xdr:row>
      <xdr:rowOff>190500</xdr:rowOff>
    </xdr:to>
    <xdr:sp macro="" textlink="">
      <xdr:nvSpPr>
        <xdr:cNvPr id="698" name="AutoShape 46">
          <a:extLst>
            <a:ext uri="{FF2B5EF4-FFF2-40B4-BE49-F238E27FC236}">
              <a16:creationId xmlns:a16="http://schemas.microsoft.com/office/drawing/2014/main" id="{E2FB906D-3E44-4D97-BEDD-2878F8AAA9D8}"/>
            </a:ext>
          </a:extLst>
        </xdr:cNvPr>
        <xdr:cNvSpPr>
          <a:spLocks noChangeArrowheads="1"/>
        </xdr:cNvSpPr>
      </xdr:nvSpPr>
      <xdr:spPr bwMode="auto">
        <a:xfrm>
          <a:off x="6096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220</xdr:row>
      <xdr:rowOff>57150</xdr:rowOff>
    </xdr:from>
    <xdr:to>
      <xdr:col>4</xdr:col>
      <xdr:colOff>0</xdr:colOff>
      <xdr:row>221</xdr:row>
      <xdr:rowOff>190500</xdr:rowOff>
    </xdr:to>
    <xdr:sp macro="" textlink="">
      <xdr:nvSpPr>
        <xdr:cNvPr id="699" name="AutoShape 46">
          <a:extLst>
            <a:ext uri="{FF2B5EF4-FFF2-40B4-BE49-F238E27FC236}">
              <a16:creationId xmlns:a16="http://schemas.microsoft.com/office/drawing/2014/main" id="{415DACE9-0C35-4570-81B4-1CAF9C9A8678}"/>
            </a:ext>
          </a:extLst>
        </xdr:cNvPr>
        <xdr:cNvSpPr>
          <a:spLocks noChangeArrowheads="1"/>
        </xdr:cNvSpPr>
      </xdr:nvSpPr>
      <xdr:spPr bwMode="auto">
        <a:xfrm>
          <a:off x="1536700" y="54864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220</xdr:row>
      <xdr:rowOff>57150</xdr:rowOff>
    </xdr:from>
    <xdr:to>
      <xdr:col>6</xdr:col>
      <xdr:colOff>0</xdr:colOff>
      <xdr:row>221</xdr:row>
      <xdr:rowOff>190500</xdr:rowOff>
    </xdr:to>
    <xdr:sp macro="" textlink="">
      <xdr:nvSpPr>
        <xdr:cNvPr id="700" name="AutoShape 46">
          <a:extLst>
            <a:ext uri="{FF2B5EF4-FFF2-40B4-BE49-F238E27FC236}">
              <a16:creationId xmlns:a16="http://schemas.microsoft.com/office/drawing/2014/main" id="{AAFBA2F9-801B-453E-BA51-7EC3D5664DB8}"/>
            </a:ext>
          </a:extLst>
        </xdr:cNvPr>
        <xdr:cNvSpPr>
          <a:spLocks noChangeArrowheads="1"/>
        </xdr:cNvSpPr>
      </xdr:nvSpPr>
      <xdr:spPr bwMode="auto">
        <a:xfrm>
          <a:off x="2520950" y="54864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220</xdr:row>
      <xdr:rowOff>57150</xdr:rowOff>
    </xdr:from>
    <xdr:to>
      <xdr:col>8</xdr:col>
      <xdr:colOff>0</xdr:colOff>
      <xdr:row>221</xdr:row>
      <xdr:rowOff>190500</xdr:rowOff>
    </xdr:to>
    <xdr:sp macro="" textlink="">
      <xdr:nvSpPr>
        <xdr:cNvPr id="701" name="AutoShape 46">
          <a:extLst>
            <a:ext uri="{FF2B5EF4-FFF2-40B4-BE49-F238E27FC236}">
              <a16:creationId xmlns:a16="http://schemas.microsoft.com/office/drawing/2014/main" id="{65DB5B44-7A62-4A94-913D-B7130DA31567}"/>
            </a:ext>
          </a:extLst>
        </xdr:cNvPr>
        <xdr:cNvSpPr>
          <a:spLocks noChangeArrowheads="1"/>
        </xdr:cNvSpPr>
      </xdr:nvSpPr>
      <xdr:spPr bwMode="auto">
        <a:xfrm>
          <a:off x="3498850" y="54864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220</xdr:row>
      <xdr:rowOff>57150</xdr:rowOff>
    </xdr:from>
    <xdr:to>
      <xdr:col>10</xdr:col>
      <xdr:colOff>0</xdr:colOff>
      <xdr:row>221</xdr:row>
      <xdr:rowOff>190500</xdr:rowOff>
    </xdr:to>
    <xdr:sp macro="" textlink="">
      <xdr:nvSpPr>
        <xdr:cNvPr id="702" name="AutoShape 46">
          <a:extLst>
            <a:ext uri="{FF2B5EF4-FFF2-40B4-BE49-F238E27FC236}">
              <a16:creationId xmlns:a16="http://schemas.microsoft.com/office/drawing/2014/main" id="{83D13705-BDCA-40DA-BA7D-9D8E9492021B}"/>
            </a:ext>
          </a:extLst>
        </xdr:cNvPr>
        <xdr:cNvSpPr>
          <a:spLocks noChangeArrowheads="1"/>
        </xdr:cNvSpPr>
      </xdr:nvSpPr>
      <xdr:spPr bwMode="auto">
        <a:xfrm>
          <a:off x="44958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220</xdr:row>
      <xdr:rowOff>57150</xdr:rowOff>
    </xdr:from>
    <xdr:to>
      <xdr:col>12</xdr:col>
      <xdr:colOff>0</xdr:colOff>
      <xdr:row>221</xdr:row>
      <xdr:rowOff>190500</xdr:rowOff>
    </xdr:to>
    <xdr:sp macro="" textlink="">
      <xdr:nvSpPr>
        <xdr:cNvPr id="703" name="AutoShape 46">
          <a:extLst>
            <a:ext uri="{FF2B5EF4-FFF2-40B4-BE49-F238E27FC236}">
              <a16:creationId xmlns:a16="http://schemas.microsoft.com/office/drawing/2014/main" id="{4C68EB53-D29B-472F-8C20-F789D445C368}"/>
            </a:ext>
          </a:extLst>
        </xdr:cNvPr>
        <xdr:cNvSpPr>
          <a:spLocks noChangeArrowheads="1"/>
        </xdr:cNvSpPr>
      </xdr:nvSpPr>
      <xdr:spPr bwMode="auto">
        <a:xfrm>
          <a:off x="54229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220</xdr:row>
      <xdr:rowOff>57150</xdr:rowOff>
    </xdr:from>
    <xdr:to>
      <xdr:col>14</xdr:col>
      <xdr:colOff>0</xdr:colOff>
      <xdr:row>221</xdr:row>
      <xdr:rowOff>190500</xdr:rowOff>
    </xdr:to>
    <xdr:sp macro="" textlink="">
      <xdr:nvSpPr>
        <xdr:cNvPr id="704" name="AutoShape 46">
          <a:extLst>
            <a:ext uri="{FF2B5EF4-FFF2-40B4-BE49-F238E27FC236}">
              <a16:creationId xmlns:a16="http://schemas.microsoft.com/office/drawing/2014/main" id="{579A1A36-048B-4BDB-89FB-C5EC499D1DBF}"/>
            </a:ext>
          </a:extLst>
        </xdr:cNvPr>
        <xdr:cNvSpPr>
          <a:spLocks noChangeArrowheads="1"/>
        </xdr:cNvSpPr>
      </xdr:nvSpPr>
      <xdr:spPr bwMode="auto">
        <a:xfrm>
          <a:off x="63500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220</xdr:row>
      <xdr:rowOff>57150</xdr:rowOff>
    </xdr:from>
    <xdr:to>
      <xdr:col>16</xdr:col>
      <xdr:colOff>0</xdr:colOff>
      <xdr:row>221</xdr:row>
      <xdr:rowOff>190500</xdr:rowOff>
    </xdr:to>
    <xdr:sp macro="" textlink="">
      <xdr:nvSpPr>
        <xdr:cNvPr id="705" name="AutoShape 46">
          <a:extLst>
            <a:ext uri="{FF2B5EF4-FFF2-40B4-BE49-F238E27FC236}">
              <a16:creationId xmlns:a16="http://schemas.microsoft.com/office/drawing/2014/main" id="{504086DB-ABD3-45C9-812B-43C0C5773253}"/>
            </a:ext>
          </a:extLst>
        </xdr:cNvPr>
        <xdr:cNvSpPr>
          <a:spLocks noChangeArrowheads="1"/>
        </xdr:cNvSpPr>
      </xdr:nvSpPr>
      <xdr:spPr bwMode="auto">
        <a:xfrm>
          <a:off x="72771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220</xdr:row>
      <xdr:rowOff>57150</xdr:rowOff>
    </xdr:from>
    <xdr:to>
      <xdr:col>16</xdr:col>
      <xdr:colOff>0</xdr:colOff>
      <xdr:row>221</xdr:row>
      <xdr:rowOff>190500</xdr:rowOff>
    </xdr:to>
    <xdr:sp macro="" textlink="">
      <xdr:nvSpPr>
        <xdr:cNvPr id="706" name="AutoShape 46">
          <a:extLst>
            <a:ext uri="{FF2B5EF4-FFF2-40B4-BE49-F238E27FC236}">
              <a16:creationId xmlns:a16="http://schemas.microsoft.com/office/drawing/2014/main" id="{1AB3DBB9-0D02-442C-9FD1-4F74C9F533D8}"/>
            </a:ext>
          </a:extLst>
        </xdr:cNvPr>
        <xdr:cNvSpPr>
          <a:spLocks noChangeArrowheads="1"/>
        </xdr:cNvSpPr>
      </xdr:nvSpPr>
      <xdr:spPr bwMode="auto">
        <a:xfrm>
          <a:off x="72771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07" name="AutoShape 46">
          <a:extLst>
            <a:ext uri="{FF2B5EF4-FFF2-40B4-BE49-F238E27FC236}">
              <a16:creationId xmlns:a16="http://schemas.microsoft.com/office/drawing/2014/main" id="{4D7C3B19-5CBC-448F-824F-6419096AD6D5}"/>
            </a:ext>
          </a:extLst>
        </xdr:cNvPr>
        <xdr:cNvSpPr>
          <a:spLocks noChangeArrowheads="1"/>
        </xdr:cNvSpPr>
      </xdr:nvSpPr>
      <xdr:spPr bwMode="auto">
        <a:xfrm>
          <a:off x="82042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08" name="AutoShape 46">
          <a:extLst>
            <a:ext uri="{FF2B5EF4-FFF2-40B4-BE49-F238E27FC236}">
              <a16:creationId xmlns:a16="http://schemas.microsoft.com/office/drawing/2014/main" id="{93EA2386-D985-44FE-A186-67F22F273EE9}"/>
            </a:ext>
          </a:extLst>
        </xdr:cNvPr>
        <xdr:cNvSpPr>
          <a:spLocks noChangeArrowheads="1"/>
        </xdr:cNvSpPr>
      </xdr:nvSpPr>
      <xdr:spPr bwMode="auto">
        <a:xfrm>
          <a:off x="91313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09" name="AutoShape 46">
          <a:extLst>
            <a:ext uri="{FF2B5EF4-FFF2-40B4-BE49-F238E27FC236}">
              <a16:creationId xmlns:a16="http://schemas.microsoft.com/office/drawing/2014/main" id="{F521E1DF-1442-4943-8FA3-A185AC5EB46C}"/>
            </a:ext>
          </a:extLst>
        </xdr:cNvPr>
        <xdr:cNvSpPr>
          <a:spLocks noChangeArrowheads="1"/>
        </xdr:cNvSpPr>
      </xdr:nvSpPr>
      <xdr:spPr bwMode="auto">
        <a:xfrm>
          <a:off x="100584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10" name="AutoShape 46">
          <a:extLst>
            <a:ext uri="{FF2B5EF4-FFF2-40B4-BE49-F238E27FC236}">
              <a16:creationId xmlns:a16="http://schemas.microsoft.com/office/drawing/2014/main" id="{82FD3918-7B97-4900-8936-AE7AED4F3856}"/>
            </a:ext>
          </a:extLst>
        </xdr:cNvPr>
        <xdr:cNvSpPr>
          <a:spLocks noChangeArrowheads="1"/>
        </xdr:cNvSpPr>
      </xdr:nvSpPr>
      <xdr:spPr bwMode="auto">
        <a:xfrm>
          <a:off x="109855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11" name="AutoShape 46">
          <a:extLst>
            <a:ext uri="{FF2B5EF4-FFF2-40B4-BE49-F238E27FC236}">
              <a16:creationId xmlns:a16="http://schemas.microsoft.com/office/drawing/2014/main" id="{F67C7C3B-04DB-4317-9012-516A9979F5A6}"/>
            </a:ext>
          </a:extLst>
        </xdr:cNvPr>
        <xdr:cNvSpPr>
          <a:spLocks noChangeArrowheads="1"/>
        </xdr:cNvSpPr>
      </xdr:nvSpPr>
      <xdr:spPr bwMode="auto">
        <a:xfrm>
          <a:off x="11912600" y="52685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12" name="AutoShape 46">
          <a:extLst>
            <a:ext uri="{FF2B5EF4-FFF2-40B4-BE49-F238E27FC236}">
              <a16:creationId xmlns:a16="http://schemas.microsoft.com/office/drawing/2014/main" id="{D68F7F77-03B8-4569-A05E-F3796B671F22}"/>
            </a:ext>
          </a:extLst>
        </xdr:cNvPr>
        <xdr:cNvSpPr>
          <a:spLocks noChangeArrowheads="1"/>
        </xdr:cNvSpPr>
      </xdr:nvSpPr>
      <xdr:spPr bwMode="auto">
        <a:xfrm>
          <a:off x="1289685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13" name="AutoShape 46">
          <a:extLst>
            <a:ext uri="{FF2B5EF4-FFF2-40B4-BE49-F238E27FC236}">
              <a16:creationId xmlns:a16="http://schemas.microsoft.com/office/drawing/2014/main" id="{702BF3AB-01FC-4B96-91FF-B940C3BB72B1}"/>
            </a:ext>
          </a:extLst>
        </xdr:cNvPr>
        <xdr:cNvSpPr>
          <a:spLocks noChangeArrowheads="1"/>
        </xdr:cNvSpPr>
      </xdr:nvSpPr>
      <xdr:spPr bwMode="auto">
        <a:xfrm>
          <a:off x="82042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14" name="AutoShape 46">
          <a:extLst>
            <a:ext uri="{FF2B5EF4-FFF2-40B4-BE49-F238E27FC236}">
              <a16:creationId xmlns:a16="http://schemas.microsoft.com/office/drawing/2014/main" id="{CFD23CD4-B963-4152-AA93-CC424889886C}"/>
            </a:ext>
          </a:extLst>
        </xdr:cNvPr>
        <xdr:cNvSpPr>
          <a:spLocks noChangeArrowheads="1"/>
        </xdr:cNvSpPr>
      </xdr:nvSpPr>
      <xdr:spPr bwMode="auto">
        <a:xfrm>
          <a:off x="91313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15" name="AutoShape 46">
          <a:extLst>
            <a:ext uri="{FF2B5EF4-FFF2-40B4-BE49-F238E27FC236}">
              <a16:creationId xmlns:a16="http://schemas.microsoft.com/office/drawing/2014/main" id="{D34D173B-D5FE-44E3-81F2-92A8CBED0387}"/>
            </a:ext>
          </a:extLst>
        </xdr:cNvPr>
        <xdr:cNvSpPr>
          <a:spLocks noChangeArrowheads="1"/>
        </xdr:cNvSpPr>
      </xdr:nvSpPr>
      <xdr:spPr bwMode="auto">
        <a:xfrm>
          <a:off x="100584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16" name="AutoShape 46">
          <a:extLst>
            <a:ext uri="{FF2B5EF4-FFF2-40B4-BE49-F238E27FC236}">
              <a16:creationId xmlns:a16="http://schemas.microsoft.com/office/drawing/2014/main" id="{F72A1294-0EE3-49A4-8659-C83454624351}"/>
            </a:ext>
          </a:extLst>
        </xdr:cNvPr>
        <xdr:cNvSpPr>
          <a:spLocks noChangeArrowheads="1"/>
        </xdr:cNvSpPr>
      </xdr:nvSpPr>
      <xdr:spPr bwMode="auto">
        <a:xfrm>
          <a:off x="109855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17" name="AutoShape 46">
          <a:extLst>
            <a:ext uri="{FF2B5EF4-FFF2-40B4-BE49-F238E27FC236}">
              <a16:creationId xmlns:a16="http://schemas.microsoft.com/office/drawing/2014/main" id="{6B9F9630-F145-4C49-8918-EF76BA82B056}"/>
            </a:ext>
          </a:extLst>
        </xdr:cNvPr>
        <xdr:cNvSpPr>
          <a:spLocks noChangeArrowheads="1"/>
        </xdr:cNvSpPr>
      </xdr:nvSpPr>
      <xdr:spPr bwMode="auto">
        <a:xfrm>
          <a:off x="11912600" y="52685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18" name="AutoShape 46">
          <a:extLst>
            <a:ext uri="{FF2B5EF4-FFF2-40B4-BE49-F238E27FC236}">
              <a16:creationId xmlns:a16="http://schemas.microsoft.com/office/drawing/2014/main" id="{49BDC099-BE6D-4D74-81F8-BAF9F3797708}"/>
            </a:ext>
          </a:extLst>
        </xdr:cNvPr>
        <xdr:cNvSpPr>
          <a:spLocks noChangeArrowheads="1"/>
        </xdr:cNvSpPr>
      </xdr:nvSpPr>
      <xdr:spPr bwMode="auto">
        <a:xfrm>
          <a:off x="1289685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19" name="AutoShape 46">
          <a:extLst>
            <a:ext uri="{FF2B5EF4-FFF2-40B4-BE49-F238E27FC236}">
              <a16:creationId xmlns:a16="http://schemas.microsoft.com/office/drawing/2014/main" id="{EEA64A3A-B8DB-4ED4-BDEF-C5A61814CBD9}"/>
            </a:ext>
          </a:extLst>
        </xdr:cNvPr>
        <xdr:cNvSpPr>
          <a:spLocks noChangeArrowheads="1"/>
        </xdr:cNvSpPr>
      </xdr:nvSpPr>
      <xdr:spPr bwMode="auto">
        <a:xfrm>
          <a:off x="82042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20" name="AutoShape 46">
          <a:extLst>
            <a:ext uri="{FF2B5EF4-FFF2-40B4-BE49-F238E27FC236}">
              <a16:creationId xmlns:a16="http://schemas.microsoft.com/office/drawing/2014/main" id="{95BFF88E-B4D1-43BF-BAFB-38A21AA3F949}"/>
            </a:ext>
          </a:extLst>
        </xdr:cNvPr>
        <xdr:cNvSpPr>
          <a:spLocks noChangeArrowheads="1"/>
        </xdr:cNvSpPr>
      </xdr:nvSpPr>
      <xdr:spPr bwMode="auto">
        <a:xfrm>
          <a:off x="91313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21" name="AutoShape 46">
          <a:extLst>
            <a:ext uri="{FF2B5EF4-FFF2-40B4-BE49-F238E27FC236}">
              <a16:creationId xmlns:a16="http://schemas.microsoft.com/office/drawing/2014/main" id="{BC54194F-8B1D-4B5E-9F51-2DAAEE862767}"/>
            </a:ext>
          </a:extLst>
        </xdr:cNvPr>
        <xdr:cNvSpPr>
          <a:spLocks noChangeArrowheads="1"/>
        </xdr:cNvSpPr>
      </xdr:nvSpPr>
      <xdr:spPr bwMode="auto">
        <a:xfrm>
          <a:off x="100584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22" name="AutoShape 46">
          <a:extLst>
            <a:ext uri="{FF2B5EF4-FFF2-40B4-BE49-F238E27FC236}">
              <a16:creationId xmlns:a16="http://schemas.microsoft.com/office/drawing/2014/main" id="{D49AF049-FFB1-4762-B228-F069FC57C71F}"/>
            </a:ext>
          </a:extLst>
        </xdr:cNvPr>
        <xdr:cNvSpPr>
          <a:spLocks noChangeArrowheads="1"/>
        </xdr:cNvSpPr>
      </xdr:nvSpPr>
      <xdr:spPr bwMode="auto">
        <a:xfrm>
          <a:off x="109855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23" name="AutoShape 46">
          <a:extLst>
            <a:ext uri="{FF2B5EF4-FFF2-40B4-BE49-F238E27FC236}">
              <a16:creationId xmlns:a16="http://schemas.microsoft.com/office/drawing/2014/main" id="{A73FD35C-A6E2-4B8B-8A6D-3ADA1926C1E7}"/>
            </a:ext>
          </a:extLst>
        </xdr:cNvPr>
        <xdr:cNvSpPr>
          <a:spLocks noChangeArrowheads="1"/>
        </xdr:cNvSpPr>
      </xdr:nvSpPr>
      <xdr:spPr bwMode="auto">
        <a:xfrm>
          <a:off x="11912600" y="52685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24" name="AutoShape 46">
          <a:extLst>
            <a:ext uri="{FF2B5EF4-FFF2-40B4-BE49-F238E27FC236}">
              <a16:creationId xmlns:a16="http://schemas.microsoft.com/office/drawing/2014/main" id="{CCE5E158-BFC5-4BA6-BF0F-4912E1B7D3FE}"/>
            </a:ext>
          </a:extLst>
        </xdr:cNvPr>
        <xdr:cNvSpPr>
          <a:spLocks noChangeArrowheads="1"/>
        </xdr:cNvSpPr>
      </xdr:nvSpPr>
      <xdr:spPr bwMode="auto">
        <a:xfrm>
          <a:off x="1289685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25" name="AutoShape 46">
          <a:extLst>
            <a:ext uri="{FF2B5EF4-FFF2-40B4-BE49-F238E27FC236}">
              <a16:creationId xmlns:a16="http://schemas.microsoft.com/office/drawing/2014/main" id="{0F96DA0E-1D72-4F95-BADD-476E8CF2704E}"/>
            </a:ext>
          </a:extLst>
        </xdr:cNvPr>
        <xdr:cNvSpPr>
          <a:spLocks noChangeArrowheads="1"/>
        </xdr:cNvSpPr>
      </xdr:nvSpPr>
      <xdr:spPr bwMode="auto">
        <a:xfrm>
          <a:off x="82042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26" name="AutoShape 46">
          <a:extLst>
            <a:ext uri="{FF2B5EF4-FFF2-40B4-BE49-F238E27FC236}">
              <a16:creationId xmlns:a16="http://schemas.microsoft.com/office/drawing/2014/main" id="{DADD6630-A1A9-484B-AEDC-8D3D6769C12F}"/>
            </a:ext>
          </a:extLst>
        </xdr:cNvPr>
        <xdr:cNvSpPr>
          <a:spLocks noChangeArrowheads="1"/>
        </xdr:cNvSpPr>
      </xdr:nvSpPr>
      <xdr:spPr bwMode="auto">
        <a:xfrm>
          <a:off x="91313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27" name="AutoShape 46">
          <a:extLst>
            <a:ext uri="{FF2B5EF4-FFF2-40B4-BE49-F238E27FC236}">
              <a16:creationId xmlns:a16="http://schemas.microsoft.com/office/drawing/2014/main" id="{53C740E1-9AC2-4654-8B40-D04149E0D7A0}"/>
            </a:ext>
          </a:extLst>
        </xdr:cNvPr>
        <xdr:cNvSpPr>
          <a:spLocks noChangeArrowheads="1"/>
        </xdr:cNvSpPr>
      </xdr:nvSpPr>
      <xdr:spPr bwMode="auto">
        <a:xfrm>
          <a:off x="100584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28" name="AutoShape 46">
          <a:extLst>
            <a:ext uri="{FF2B5EF4-FFF2-40B4-BE49-F238E27FC236}">
              <a16:creationId xmlns:a16="http://schemas.microsoft.com/office/drawing/2014/main" id="{D06AD1E6-2DCA-4F68-BF97-9F59227C51A3}"/>
            </a:ext>
          </a:extLst>
        </xdr:cNvPr>
        <xdr:cNvSpPr>
          <a:spLocks noChangeArrowheads="1"/>
        </xdr:cNvSpPr>
      </xdr:nvSpPr>
      <xdr:spPr bwMode="auto">
        <a:xfrm>
          <a:off x="109855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29" name="AutoShape 46">
          <a:extLst>
            <a:ext uri="{FF2B5EF4-FFF2-40B4-BE49-F238E27FC236}">
              <a16:creationId xmlns:a16="http://schemas.microsoft.com/office/drawing/2014/main" id="{1D60B444-2417-41DC-B88D-A7E900D15EAC}"/>
            </a:ext>
          </a:extLst>
        </xdr:cNvPr>
        <xdr:cNvSpPr>
          <a:spLocks noChangeArrowheads="1"/>
        </xdr:cNvSpPr>
      </xdr:nvSpPr>
      <xdr:spPr bwMode="auto">
        <a:xfrm>
          <a:off x="11912600" y="54864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30" name="AutoShape 46">
          <a:extLst>
            <a:ext uri="{FF2B5EF4-FFF2-40B4-BE49-F238E27FC236}">
              <a16:creationId xmlns:a16="http://schemas.microsoft.com/office/drawing/2014/main" id="{BBC4AFCB-203F-42BD-8524-476A146D31D5}"/>
            </a:ext>
          </a:extLst>
        </xdr:cNvPr>
        <xdr:cNvSpPr>
          <a:spLocks noChangeArrowheads="1"/>
        </xdr:cNvSpPr>
      </xdr:nvSpPr>
      <xdr:spPr bwMode="auto">
        <a:xfrm>
          <a:off x="1289685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31" name="AutoShape 46">
          <a:extLst>
            <a:ext uri="{FF2B5EF4-FFF2-40B4-BE49-F238E27FC236}">
              <a16:creationId xmlns:a16="http://schemas.microsoft.com/office/drawing/2014/main" id="{736DF4A4-90C8-48E7-94DC-8A206D26103F}"/>
            </a:ext>
          </a:extLst>
        </xdr:cNvPr>
        <xdr:cNvSpPr>
          <a:spLocks noChangeArrowheads="1"/>
        </xdr:cNvSpPr>
      </xdr:nvSpPr>
      <xdr:spPr bwMode="auto">
        <a:xfrm>
          <a:off x="82042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32" name="AutoShape 46">
          <a:extLst>
            <a:ext uri="{FF2B5EF4-FFF2-40B4-BE49-F238E27FC236}">
              <a16:creationId xmlns:a16="http://schemas.microsoft.com/office/drawing/2014/main" id="{32AD8B81-2652-4545-AC5D-2163B5E4254E}"/>
            </a:ext>
          </a:extLst>
        </xdr:cNvPr>
        <xdr:cNvSpPr>
          <a:spLocks noChangeArrowheads="1"/>
        </xdr:cNvSpPr>
      </xdr:nvSpPr>
      <xdr:spPr bwMode="auto">
        <a:xfrm>
          <a:off x="91313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33" name="AutoShape 46">
          <a:extLst>
            <a:ext uri="{FF2B5EF4-FFF2-40B4-BE49-F238E27FC236}">
              <a16:creationId xmlns:a16="http://schemas.microsoft.com/office/drawing/2014/main" id="{FBD25AB5-67B4-4236-8006-F99CA0B4ADCB}"/>
            </a:ext>
          </a:extLst>
        </xdr:cNvPr>
        <xdr:cNvSpPr>
          <a:spLocks noChangeArrowheads="1"/>
        </xdr:cNvSpPr>
      </xdr:nvSpPr>
      <xdr:spPr bwMode="auto">
        <a:xfrm>
          <a:off x="100584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34" name="AutoShape 46">
          <a:extLst>
            <a:ext uri="{FF2B5EF4-FFF2-40B4-BE49-F238E27FC236}">
              <a16:creationId xmlns:a16="http://schemas.microsoft.com/office/drawing/2014/main" id="{EC9F91F0-4354-4F3F-969E-795E62395664}"/>
            </a:ext>
          </a:extLst>
        </xdr:cNvPr>
        <xdr:cNvSpPr>
          <a:spLocks noChangeArrowheads="1"/>
        </xdr:cNvSpPr>
      </xdr:nvSpPr>
      <xdr:spPr bwMode="auto">
        <a:xfrm>
          <a:off x="109855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35" name="AutoShape 46">
          <a:extLst>
            <a:ext uri="{FF2B5EF4-FFF2-40B4-BE49-F238E27FC236}">
              <a16:creationId xmlns:a16="http://schemas.microsoft.com/office/drawing/2014/main" id="{C88F0B55-0A09-443A-878C-C37FB54C5E06}"/>
            </a:ext>
          </a:extLst>
        </xdr:cNvPr>
        <xdr:cNvSpPr>
          <a:spLocks noChangeArrowheads="1"/>
        </xdr:cNvSpPr>
      </xdr:nvSpPr>
      <xdr:spPr bwMode="auto">
        <a:xfrm>
          <a:off x="11912600" y="548640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36" name="AutoShape 46">
          <a:extLst>
            <a:ext uri="{FF2B5EF4-FFF2-40B4-BE49-F238E27FC236}">
              <a16:creationId xmlns:a16="http://schemas.microsoft.com/office/drawing/2014/main" id="{CE46FCCF-56F3-4C05-9FE7-D2FD6C811E6C}"/>
            </a:ext>
          </a:extLst>
        </xdr:cNvPr>
        <xdr:cNvSpPr>
          <a:spLocks noChangeArrowheads="1"/>
        </xdr:cNvSpPr>
      </xdr:nvSpPr>
      <xdr:spPr bwMode="auto">
        <a:xfrm>
          <a:off x="1289685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37" name="AutoShape 46">
          <a:extLst>
            <a:ext uri="{FF2B5EF4-FFF2-40B4-BE49-F238E27FC236}">
              <a16:creationId xmlns:a16="http://schemas.microsoft.com/office/drawing/2014/main" id="{882AF0A3-D45F-429D-8FDD-551EC9271853}"/>
            </a:ext>
          </a:extLst>
        </xdr:cNvPr>
        <xdr:cNvSpPr>
          <a:spLocks noChangeArrowheads="1"/>
        </xdr:cNvSpPr>
      </xdr:nvSpPr>
      <xdr:spPr bwMode="auto">
        <a:xfrm>
          <a:off x="82042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38" name="AutoShape 46">
          <a:extLst>
            <a:ext uri="{FF2B5EF4-FFF2-40B4-BE49-F238E27FC236}">
              <a16:creationId xmlns:a16="http://schemas.microsoft.com/office/drawing/2014/main" id="{25801CC7-A319-4643-AD5C-0C0C7255BD16}"/>
            </a:ext>
          </a:extLst>
        </xdr:cNvPr>
        <xdr:cNvSpPr>
          <a:spLocks noChangeArrowheads="1"/>
        </xdr:cNvSpPr>
      </xdr:nvSpPr>
      <xdr:spPr bwMode="auto">
        <a:xfrm>
          <a:off x="91313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39" name="AutoShape 46">
          <a:extLst>
            <a:ext uri="{FF2B5EF4-FFF2-40B4-BE49-F238E27FC236}">
              <a16:creationId xmlns:a16="http://schemas.microsoft.com/office/drawing/2014/main" id="{0451822C-4474-41B3-9B77-120A1322A91A}"/>
            </a:ext>
          </a:extLst>
        </xdr:cNvPr>
        <xdr:cNvSpPr>
          <a:spLocks noChangeArrowheads="1"/>
        </xdr:cNvSpPr>
      </xdr:nvSpPr>
      <xdr:spPr bwMode="auto">
        <a:xfrm>
          <a:off x="100584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40" name="AutoShape 46">
          <a:extLst>
            <a:ext uri="{FF2B5EF4-FFF2-40B4-BE49-F238E27FC236}">
              <a16:creationId xmlns:a16="http://schemas.microsoft.com/office/drawing/2014/main" id="{6AB37780-DF16-4940-85B7-11154247715C}"/>
            </a:ext>
          </a:extLst>
        </xdr:cNvPr>
        <xdr:cNvSpPr>
          <a:spLocks noChangeArrowheads="1"/>
        </xdr:cNvSpPr>
      </xdr:nvSpPr>
      <xdr:spPr bwMode="auto">
        <a:xfrm>
          <a:off x="109855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41" name="AutoShape 46">
          <a:extLst>
            <a:ext uri="{FF2B5EF4-FFF2-40B4-BE49-F238E27FC236}">
              <a16:creationId xmlns:a16="http://schemas.microsoft.com/office/drawing/2014/main" id="{3679FB0E-A50F-4294-97F8-D03A82786EB2}"/>
            </a:ext>
          </a:extLst>
        </xdr:cNvPr>
        <xdr:cNvSpPr>
          <a:spLocks noChangeArrowheads="1"/>
        </xdr:cNvSpPr>
      </xdr:nvSpPr>
      <xdr:spPr bwMode="auto">
        <a:xfrm>
          <a:off x="11912600" y="54864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42" name="AutoShape 46">
          <a:extLst>
            <a:ext uri="{FF2B5EF4-FFF2-40B4-BE49-F238E27FC236}">
              <a16:creationId xmlns:a16="http://schemas.microsoft.com/office/drawing/2014/main" id="{C101617D-681A-4EE4-80A5-98582413EE40}"/>
            </a:ext>
          </a:extLst>
        </xdr:cNvPr>
        <xdr:cNvSpPr>
          <a:spLocks noChangeArrowheads="1"/>
        </xdr:cNvSpPr>
      </xdr:nvSpPr>
      <xdr:spPr bwMode="auto">
        <a:xfrm>
          <a:off x="1289685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228</xdr:row>
      <xdr:rowOff>57150</xdr:rowOff>
    </xdr:from>
    <xdr:to>
      <xdr:col>2</xdr:col>
      <xdr:colOff>0</xdr:colOff>
      <xdr:row>229</xdr:row>
      <xdr:rowOff>190500</xdr:rowOff>
    </xdr:to>
    <xdr:sp macro="" textlink="">
      <xdr:nvSpPr>
        <xdr:cNvPr id="743" name="AutoShape 46">
          <a:extLst>
            <a:ext uri="{FF2B5EF4-FFF2-40B4-BE49-F238E27FC236}">
              <a16:creationId xmlns:a16="http://schemas.microsoft.com/office/drawing/2014/main" id="{ABDE7DF9-1883-47A3-BDC3-E1774436906D}"/>
            </a:ext>
          </a:extLst>
        </xdr:cNvPr>
        <xdr:cNvSpPr>
          <a:spLocks noChangeArrowheads="1"/>
        </xdr:cNvSpPr>
      </xdr:nvSpPr>
      <xdr:spPr bwMode="auto">
        <a:xfrm>
          <a:off x="6096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228</xdr:row>
      <xdr:rowOff>57150</xdr:rowOff>
    </xdr:from>
    <xdr:to>
      <xdr:col>4</xdr:col>
      <xdr:colOff>0</xdr:colOff>
      <xdr:row>229</xdr:row>
      <xdr:rowOff>190500</xdr:rowOff>
    </xdr:to>
    <xdr:sp macro="" textlink="">
      <xdr:nvSpPr>
        <xdr:cNvPr id="744" name="AutoShape 46">
          <a:extLst>
            <a:ext uri="{FF2B5EF4-FFF2-40B4-BE49-F238E27FC236}">
              <a16:creationId xmlns:a16="http://schemas.microsoft.com/office/drawing/2014/main" id="{3F0A8FF9-0EA6-48B9-B1DD-D102FD0D3E8E}"/>
            </a:ext>
          </a:extLst>
        </xdr:cNvPr>
        <xdr:cNvSpPr>
          <a:spLocks noChangeArrowheads="1"/>
        </xdr:cNvSpPr>
      </xdr:nvSpPr>
      <xdr:spPr bwMode="auto">
        <a:xfrm>
          <a:off x="1536700" y="567563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228</xdr:row>
      <xdr:rowOff>57150</xdr:rowOff>
    </xdr:from>
    <xdr:to>
      <xdr:col>6</xdr:col>
      <xdr:colOff>0</xdr:colOff>
      <xdr:row>229</xdr:row>
      <xdr:rowOff>190500</xdr:rowOff>
    </xdr:to>
    <xdr:sp macro="" textlink="">
      <xdr:nvSpPr>
        <xdr:cNvPr id="745" name="AutoShape 46">
          <a:extLst>
            <a:ext uri="{FF2B5EF4-FFF2-40B4-BE49-F238E27FC236}">
              <a16:creationId xmlns:a16="http://schemas.microsoft.com/office/drawing/2014/main" id="{360B4257-C317-48EA-8D0D-F30C2D31BE66}"/>
            </a:ext>
          </a:extLst>
        </xdr:cNvPr>
        <xdr:cNvSpPr>
          <a:spLocks noChangeArrowheads="1"/>
        </xdr:cNvSpPr>
      </xdr:nvSpPr>
      <xdr:spPr bwMode="auto">
        <a:xfrm>
          <a:off x="2520950" y="567563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228</xdr:row>
      <xdr:rowOff>57150</xdr:rowOff>
    </xdr:from>
    <xdr:to>
      <xdr:col>8</xdr:col>
      <xdr:colOff>0</xdr:colOff>
      <xdr:row>229</xdr:row>
      <xdr:rowOff>190500</xdr:rowOff>
    </xdr:to>
    <xdr:sp macro="" textlink="">
      <xdr:nvSpPr>
        <xdr:cNvPr id="746" name="AutoShape 46">
          <a:extLst>
            <a:ext uri="{FF2B5EF4-FFF2-40B4-BE49-F238E27FC236}">
              <a16:creationId xmlns:a16="http://schemas.microsoft.com/office/drawing/2014/main" id="{4B91EA3A-63EB-49E4-8CDB-DC01BCE03052}"/>
            </a:ext>
          </a:extLst>
        </xdr:cNvPr>
        <xdr:cNvSpPr>
          <a:spLocks noChangeArrowheads="1"/>
        </xdr:cNvSpPr>
      </xdr:nvSpPr>
      <xdr:spPr bwMode="auto">
        <a:xfrm>
          <a:off x="3498850" y="567563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228</xdr:row>
      <xdr:rowOff>57150</xdr:rowOff>
    </xdr:from>
    <xdr:to>
      <xdr:col>10</xdr:col>
      <xdr:colOff>0</xdr:colOff>
      <xdr:row>229</xdr:row>
      <xdr:rowOff>190500</xdr:rowOff>
    </xdr:to>
    <xdr:sp macro="" textlink="">
      <xdr:nvSpPr>
        <xdr:cNvPr id="747" name="AutoShape 46">
          <a:extLst>
            <a:ext uri="{FF2B5EF4-FFF2-40B4-BE49-F238E27FC236}">
              <a16:creationId xmlns:a16="http://schemas.microsoft.com/office/drawing/2014/main" id="{B8BE5C69-CE51-4002-96F0-3D69AB5067F0}"/>
            </a:ext>
          </a:extLst>
        </xdr:cNvPr>
        <xdr:cNvSpPr>
          <a:spLocks noChangeArrowheads="1"/>
        </xdr:cNvSpPr>
      </xdr:nvSpPr>
      <xdr:spPr bwMode="auto">
        <a:xfrm>
          <a:off x="44958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228</xdr:row>
      <xdr:rowOff>57150</xdr:rowOff>
    </xdr:from>
    <xdr:to>
      <xdr:col>12</xdr:col>
      <xdr:colOff>0</xdr:colOff>
      <xdr:row>229</xdr:row>
      <xdr:rowOff>190500</xdr:rowOff>
    </xdr:to>
    <xdr:sp macro="" textlink="">
      <xdr:nvSpPr>
        <xdr:cNvPr id="748" name="AutoShape 46">
          <a:extLst>
            <a:ext uri="{FF2B5EF4-FFF2-40B4-BE49-F238E27FC236}">
              <a16:creationId xmlns:a16="http://schemas.microsoft.com/office/drawing/2014/main" id="{4D81DDE9-589C-47D9-A180-4031FC41921A}"/>
            </a:ext>
          </a:extLst>
        </xdr:cNvPr>
        <xdr:cNvSpPr>
          <a:spLocks noChangeArrowheads="1"/>
        </xdr:cNvSpPr>
      </xdr:nvSpPr>
      <xdr:spPr bwMode="auto">
        <a:xfrm>
          <a:off x="54229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228</xdr:row>
      <xdr:rowOff>57150</xdr:rowOff>
    </xdr:from>
    <xdr:to>
      <xdr:col>14</xdr:col>
      <xdr:colOff>0</xdr:colOff>
      <xdr:row>229</xdr:row>
      <xdr:rowOff>190500</xdr:rowOff>
    </xdr:to>
    <xdr:sp macro="" textlink="">
      <xdr:nvSpPr>
        <xdr:cNvPr id="749" name="AutoShape 46">
          <a:extLst>
            <a:ext uri="{FF2B5EF4-FFF2-40B4-BE49-F238E27FC236}">
              <a16:creationId xmlns:a16="http://schemas.microsoft.com/office/drawing/2014/main" id="{0E74ACE7-25F0-48C5-AE65-3E2864F2B30A}"/>
            </a:ext>
          </a:extLst>
        </xdr:cNvPr>
        <xdr:cNvSpPr>
          <a:spLocks noChangeArrowheads="1"/>
        </xdr:cNvSpPr>
      </xdr:nvSpPr>
      <xdr:spPr bwMode="auto">
        <a:xfrm>
          <a:off x="63500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228</xdr:row>
      <xdr:rowOff>57150</xdr:rowOff>
    </xdr:from>
    <xdr:to>
      <xdr:col>16</xdr:col>
      <xdr:colOff>0</xdr:colOff>
      <xdr:row>229</xdr:row>
      <xdr:rowOff>190500</xdr:rowOff>
    </xdr:to>
    <xdr:sp macro="" textlink="">
      <xdr:nvSpPr>
        <xdr:cNvPr id="750" name="AutoShape 46">
          <a:extLst>
            <a:ext uri="{FF2B5EF4-FFF2-40B4-BE49-F238E27FC236}">
              <a16:creationId xmlns:a16="http://schemas.microsoft.com/office/drawing/2014/main" id="{B77C8E42-798C-4D2F-9C38-AFE70AA0DFB2}"/>
            </a:ext>
          </a:extLst>
        </xdr:cNvPr>
        <xdr:cNvSpPr>
          <a:spLocks noChangeArrowheads="1"/>
        </xdr:cNvSpPr>
      </xdr:nvSpPr>
      <xdr:spPr bwMode="auto">
        <a:xfrm>
          <a:off x="72771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228</xdr:row>
      <xdr:rowOff>57150</xdr:rowOff>
    </xdr:from>
    <xdr:to>
      <xdr:col>16</xdr:col>
      <xdr:colOff>0</xdr:colOff>
      <xdr:row>229</xdr:row>
      <xdr:rowOff>190500</xdr:rowOff>
    </xdr:to>
    <xdr:sp macro="" textlink="">
      <xdr:nvSpPr>
        <xdr:cNvPr id="751" name="AutoShape 46">
          <a:extLst>
            <a:ext uri="{FF2B5EF4-FFF2-40B4-BE49-F238E27FC236}">
              <a16:creationId xmlns:a16="http://schemas.microsoft.com/office/drawing/2014/main" id="{315C3312-18E8-4924-9F17-38F43F4621B0}"/>
            </a:ext>
          </a:extLst>
        </xdr:cNvPr>
        <xdr:cNvSpPr>
          <a:spLocks noChangeArrowheads="1"/>
        </xdr:cNvSpPr>
      </xdr:nvSpPr>
      <xdr:spPr bwMode="auto">
        <a:xfrm>
          <a:off x="72771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52" name="AutoShape 46">
          <a:extLst>
            <a:ext uri="{FF2B5EF4-FFF2-40B4-BE49-F238E27FC236}">
              <a16:creationId xmlns:a16="http://schemas.microsoft.com/office/drawing/2014/main" id="{11310583-4590-48F8-92E7-5C29D57D4C47}"/>
            </a:ext>
          </a:extLst>
        </xdr:cNvPr>
        <xdr:cNvSpPr>
          <a:spLocks noChangeArrowheads="1"/>
        </xdr:cNvSpPr>
      </xdr:nvSpPr>
      <xdr:spPr bwMode="auto">
        <a:xfrm>
          <a:off x="82042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53" name="AutoShape 46">
          <a:extLst>
            <a:ext uri="{FF2B5EF4-FFF2-40B4-BE49-F238E27FC236}">
              <a16:creationId xmlns:a16="http://schemas.microsoft.com/office/drawing/2014/main" id="{AC63A529-81F6-4F31-83D8-68E04FF02AD4}"/>
            </a:ext>
          </a:extLst>
        </xdr:cNvPr>
        <xdr:cNvSpPr>
          <a:spLocks noChangeArrowheads="1"/>
        </xdr:cNvSpPr>
      </xdr:nvSpPr>
      <xdr:spPr bwMode="auto">
        <a:xfrm>
          <a:off x="91313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54" name="AutoShape 46">
          <a:extLst>
            <a:ext uri="{FF2B5EF4-FFF2-40B4-BE49-F238E27FC236}">
              <a16:creationId xmlns:a16="http://schemas.microsoft.com/office/drawing/2014/main" id="{716541E0-F8E2-42FD-95F5-AE962E3DCED0}"/>
            </a:ext>
          </a:extLst>
        </xdr:cNvPr>
        <xdr:cNvSpPr>
          <a:spLocks noChangeArrowheads="1"/>
        </xdr:cNvSpPr>
      </xdr:nvSpPr>
      <xdr:spPr bwMode="auto">
        <a:xfrm>
          <a:off x="100584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55" name="AutoShape 46">
          <a:extLst>
            <a:ext uri="{FF2B5EF4-FFF2-40B4-BE49-F238E27FC236}">
              <a16:creationId xmlns:a16="http://schemas.microsoft.com/office/drawing/2014/main" id="{9EBD2842-0E0F-4788-86B6-F5BBCCFE2535}"/>
            </a:ext>
          </a:extLst>
        </xdr:cNvPr>
        <xdr:cNvSpPr>
          <a:spLocks noChangeArrowheads="1"/>
        </xdr:cNvSpPr>
      </xdr:nvSpPr>
      <xdr:spPr bwMode="auto">
        <a:xfrm>
          <a:off x="109855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56" name="AutoShape 46">
          <a:extLst>
            <a:ext uri="{FF2B5EF4-FFF2-40B4-BE49-F238E27FC236}">
              <a16:creationId xmlns:a16="http://schemas.microsoft.com/office/drawing/2014/main" id="{FBABAE68-3305-40BD-B540-BDA5070DA733}"/>
            </a:ext>
          </a:extLst>
        </xdr:cNvPr>
        <xdr:cNvSpPr>
          <a:spLocks noChangeArrowheads="1"/>
        </xdr:cNvSpPr>
      </xdr:nvSpPr>
      <xdr:spPr bwMode="auto">
        <a:xfrm>
          <a:off x="11912600" y="567563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57" name="AutoShape 46">
          <a:extLst>
            <a:ext uri="{FF2B5EF4-FFF2-40B4-BE49-F238E27FC236}">
              <a16:creationId xmlns:a16="http://schemas.microsoft.com/office/drawing/2014/main" id="{A2F2C6E4-374A-42E8-832D-0478CB5083C2}"/>
            </a:ext>
          </a:extLst>
        </xdr:cNvPr>
        <xdr:cNvSpPr>
          <a:spLocks noChangeArrowheads="1"/>
        </xdr:cNvSpPr>
      </xdr:nvSpPr>
      <xdr:spPr bwMode="auto">
        <a:xfrm>
          <a:off x="1289685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58" name="AutoShape 46">
          <a:extLst>
            <a:ext uri="{FF2B5EF4-FFF2-40B4-BE49-F238E27FC236}">
              <a16:creationId xmlns:a16="http://schemas.microsoft.com/office/drawing/2014/main" id="{25F71BEF-8A99-4346-8C4B-D53A8B9C0677}"/>
            </a:ext>
          </a:extLst>
        </xdr:cNvPr>
        <xdr:cNvSpPr>
          <a:spLocks noChangeArrowheads="1"/>
        </xdr:cNvSpPr>
      </xdr:nvSpPr>
      <xdr:spPr bwMode="auto">
        <a:xfrm>
          <a:off x="82042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59" name="AutoShape 46">
          <a:extLst>
            <a:ext uri="{FF2B5EF4-FFF2-40B4-BE49-F238E27FC236}">
              <a16:creationId xmlns:a16="http://schemas.microsoft.com/office/drawing/2014/main" id="{A2E8917B-5763-4F80-83CE-80BA533B8E37}"/>
            </a:ext>
          </a:extLst>
        </xdr:cNvPr>
        <xdr:cNvSpPr>
          <a:spLocks noChangeArrowheads="1"/>
        </xdr:cNvSpPr>
      </xdr:nvSpPr>
      <xdr:spPr bwMode="auto">
        <a:xfrm>
          <a:off x="91313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60" name="AutoShape 46">
          <a:extLst>
            <a:ext uri="{FF2B5EF4-FFF2-40B4-BE49-F238E27FC236}">
              <a16:creationId xmlns:a16="http://schemas.microsoft.com/office/drawing/2014/main" id="{8A206EB1-6CEE-4431-9976-1116C1B694D9}"/>
            </a:ext>
          </a:extLst>
        </xdr:cNvPr>
        <xdr:cNvSpPr>
          <a:spLocks noChangeArrowheads="1"/>
        </xdr:cNvSpPr>
      </xdr:nvSpPr>
      <xdr:spPr bwMode="auto">
        <a:xfrm>
          <a:off x="100584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61" name="AutoShape 46">
          <a:extLst>
            <a:ext uri="{FF2B5EF4-FFF2-40B4-BE49-F238E27FC236}">
              <a16:creationId xmlns:a16="http://schemas.microsoft.com/office/drawing/2014/main" id="{AC85FA35-12D9-47F9-B62A-546854287F77}"/>
            </a:ext>
          </a:extLst>
        </xdr:cNvPr>
        <xdr:cNvSpPr>
          <a:spLocks noChangeArrowheads="1"/>
        </xdr:cNvSpPr>
      </xdr:nvSpPr>
      <xdr:spPr bwMode="auto">
        <a:xfrm>
          <a:off x="109855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62" name="AutoShape 46">
          <a:extLst>
            <a:ext uri="{FF2B5EF4-FFF2-40B4-BE49-F238E27FC236}">
              <a16:creationId xmlns:a16="http://schemas.microsoft.com/office/drawing/2014/main" id="{7580FAF5-4FE4-4F29-B865-EC6A52554135}"/>
            </a:ext>
          </a:extLst>
        </xdr:cNvPr>
        <xdr:cNvSpPr>
          <a:spLocks noChangeArrowheads="1"/>
        </xdr:cNvSpPr>
      </xdr:nvSpPr>
      <xdr:spPr bwMode="auto">
        <a:xfrm>
          <a:off x="11912600" y="567563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63" name="AutoShape 46">
          <a:extLst>
            <a:ext uri="{FF2B5EF4-FFF2-40B4-BE49-F238E27FC236}">
              <a16:creationId xmlns:a16="http://schemas.microsoft.com/office/drawing/2014/main" id="{9C59D025-B597-420D-8C09-44F5DA9D00D8}"/>
            </a:ext>
          </a:extLst>
        </xdr:cNvPr>
        <xdr:cNvSpPr>
          <a:spLocks noChangeArrowheads="1"/>
        </xdr:cNvSpPr>
      </xdr:nvSpPr>
      <xdr:spPr bwMode="auto">
        <a:xfrm>
          <a:off x="1289685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64" name="AutoShape 46">
          <a:extLst>
            <a:ext uri="{FF2B5EF4-FFF2-40B4-BE49-F238E27FC236}">
              <a16:creationId xmlns:a16="http://schemas.microsoft.com/office/drawing/2014/main" id="{4E89C473-FC69-4126-A2BD-B191520897BB}"/>
            </a:ext>
          </a:extLst>
        </xdr:cNvPr>
        <xdr:cNvSpPr>
          <a:spLocks noChangeArrowheads="1"/>
        </xdr:cNvSpPr>
      </xdr:nvSpPr>
      <xdr:spPr bwMode="auto">
        <a:xfrm>
          <a:off x="82042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65" name="AutoShape 46">
          <a:extLst>
            <a:ext uri="{FF2B5EF4-FFF2-40B4-BE49-F238E27FC236}">
              <a16:creationId xmlns:a16="http://schemas.microsoft.com/office/drawing/2014/main" id="{F8CDFAE9-0682-432E-BDD5-4805B09C9A53}"/>
            </a:ext>
          </a:extLst>
        </xdr:cNvPr>
        <xdr:cNvSpPr>
          <a:spLocks noChangeArrowheads="1"/>
        </xdr:cNvSpPr>
      </xdr:nvSpPr>
      <xdr:spPr bwMode="auto">
        <a:xfrm>
          <a:off x="91313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66" name="AutoShape 46">
          <a:extLst>
            <a:ext uri="{FF2B5EF4-FFF2-40B4-BE49-F238E27FC236}">
              <a16:creationId xmlns:a16="http://schemas.microsoft.com/office/drawing/2014/main" id="{208FDE30-9D8B-4EE2-881F-5FDE766810DC}"/>
            </a:ext>
          </a:extLst>
        </xdr:cNvPr>
        <xdr:cNvSpPr>
          <a:spLocks noChangeArrowheads="1"/>
        </xdr:cNvSpPr>
      </xdr:nvSpPr>
      <xdr:spPr bwMode="auto">
        <a:xfrm>
          <a:off x="100584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67" name="AutoShape 46">
          <a:extLst>
            <a:ext uri="{FF2B5EF4-FFF2-40B4-BE49-F238E27FC236}">
              <a16:creationId xmlns:a16="http://schemas.microsoft.com/office/drawing/2014/main" id="{AAA82241-1B67-4665-86DB-8387732BE516}"/>
            </a:ext>
          </a:extLst>
        </xdr:cNvPr>
        <xdr:cNvSpPr>
          <a:spLocks noChangeArrowheads="1"/>
        </xdr:cNvSpPr>
      </xdr:nvSpPr>
      <xdr:spPr bwMode="auto">
        <a:xfrm>
          <a:off x="109855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68" name="AutoShape 46">
          <a:extLst>
            <a:ext uri="{FF2B5EF4-FFF2-40B4-BE49-F238E27FC236}">
              <a16:creationId xmlns:a16="http://schemas.microsoft.com/office/drawing/2014/main" id="{C29B29CF-55B6-44FD-A91E-8B8ABA00D1BF}"/>
            </a:ext>
          </a:extLst>
        </xdr:cNvPr>
        <xdr:cNvSpPr>
          <a:spLocks noChangeArrowheads="1"/>
        </xdr:cNvSpPr>
      </xdr:nvSpPr>
      <xdr:spPr bwMode="auto">
        <a:xfrm>
          <a:off x="11912600" y="567563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69" name="AutoShape 46">
          <a:extLst>
            <a:ext uri="{FF2B5EF4-FFF2-40B4-BE49-F238E27FC236}">
              <a16:creationId xmlns:a16="http://schemas.microsoft.com/office/drawing/2014/main" id="{93BC3FE5-7C94-49DC-A62F-47F26C33F9AB}"/>
            </a:ext>
          </a:extLst>
        </xdr:cNvPr>
        <xdr:cNvSpPr>
          <a:spLocks noChangeArrowheads="1"/>
        </xdr:cNvSpPr>
      </xdr:nvSpPr>
      <xdr:spPr bwMode="auto">
        <a:xfrm>
          <a:off x="1289685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236</xdr:row>
      <xdr:rowOff>57150</xdr:rowOff>
    </xdr:from>
    <xdr:to>
      <xdr:col>2</xdr:col>
      <xdr:colOff>0</xdr:colOff>
      <xdr:row>237</xdr:row>
      <xdr:rowOff>190500</xdr:rowOff>
    </xdr:to>
    <xdr:sp macro="" textlink="">
      <xdr:nvSpPr>
        <xdr:cNvPr id="770" name="AutoShape 46">
          <a:extLst>
            <a:ext uri="{FF2B5EF4-FFF2-40B4-BE49-F238E27FC236}">
              <a16:creationId xmlns:a16="http://schemas.microsoft.com/office/drawing/2014/main" id="{F21FAC49-9948-4782-AE4E-7CF279EADD3B}"/>
            </a:ext>
          </a:extLst>
        </xdr:cNvPr>
        <xdr:cNvSpPr>
          <a:spLocks noChangeArrowheads="1"/>
        </xdr:cNvSpPr>
      </xdr:nvSpPr>
      <xdr:spPr bwMode="auto">
        <a:xfrm>
          <a:off x="6096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236</xdr:row>
      <xdr:rowOff>57150</xdr:rowOff>
    </xdr:from>
    <xdr:to>
      <xdr:col>4</xdr:col>
      <xdr:colOff>0</xdr:colOff>
      <xdr:row>237</xdr:row>
      <xdr:rowOff>190500</xdr:rowOff>
    </xdr:to>
    <xdr:sp macro="" textlink="">
      <xdr:nvSpPr>
        <xdr:cNvPr id="771" name="AutoShape 46">
          <a:extLst>
            <a:ext uri="{FF2B5EF4-FFF2-40B4-BE49-F238E27FC236}">
              <a16:creationId xmlns:a16="http://schemas.microsoft.com/office/drawing/2014/main" id="{26220210-B312-4D4D-8DD3-CC4FDB82974F}"/>
            </a:ext>
          </a:extLst>
        </xdr:cNvPr>
        <xdr:cNvSpPr>
          <a:spLocks noChangeArrowheads="1"/>
        </xdr:cNvSpPr>
      </xdr:nvSpPr>
      <xdr:spPr bwMode="auto">
        <a:xfrm>
          <a:off x="1536700" y="586486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236</xdr:row>
      <xdr:rowOff>57150</xdr:rowOff>
    </xdr:from>
    <xdr:to>
      <xdr:col>6</xdr:col>
      <xdr:colOff>0</xdr:colOff>
      <xdr:row>237</xdr:row>
      <xdr:rowOff>190500</xdr:rowOff>
    </xdr:to>
    <xdr:sp macro="" textlink="">
      <xdr:nvSpPr>
        <xdr:cNvPr id="772" name="AutoShape 46">
          <a:extLst>
            <a:ext uri="{FF2B5EF4-FFF2-40B4-BE49-F238E27FC236}">
              <a16:creationId xmlns:a16="http://schemas.microsoft.com/office/drawing/2014/main" id="{4473D6AC-8C2B-4A35-987F-8D1D86234422}"/>
            </a:ext>
          </a:extLst>
        </xdr:cNvPr>
        <xdr:cNvSpPr>
          <a:spLocks noChangeArrowheads="1"/>
        </xdr:cNvSpPr>
      </xdr:nvSpPr>
      <xdr:spPr bwMode="auto">
        <a:xfrm>
          <a:off x="2520950" y="586486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236</xdr:row>
      <xdr:rowOff>57150</xdr:rowOff>
    </xdr:from>
    <xdr:to>
      <xdr:col>8</xdr:col>
      <xdr:colOff>0</xdr:colOff>
      <xdr:row>237</xdr:row>
      <xdr:rowOff>190500</xdr:rowOff>
    </xdr:to>
    <xdr:sp macro="" textlink="">
      <xdr:nvSpPr>
        <xdr:cNvPr id="773" name="AutoShape 46">
          <a:extLst>
            <a:ext uri="{FF2B5EF4-FFF2-40B4-BE49-F238E27FC236}">
              <a16:creationId xmlns:a16="http://schemas.microsoft.com/office/drawing/2014/main" id="{572AAE48-0132-4F0A-837E-742A1692FFA9}"/>
            </a:ext>
          </a:extLst>
        </xdr:cNvPr>
        <xdr:cNvSpPr>
          <a:spLocks noChangeArrowheads="1"/>
        </xdr:cNvSpPr>
      </xdr:nvSpPr>
      <xdr:spPr bwMode="auto">
        <a:xfrm>
          <a:off x="3498850" y="586486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236</xdr:row>
      <xdr:rowOff>57150</xdr:rowOff>
    </xdr:from>
    <xdr:to>
      <xdr:col>10</xdr:col>
      <xdr:colOff>0</xdr:colOff>
      <xdr:row>237</xdr:row>
      <xdr:rowOff>190500</xdr:rowOff>
    </xdr:to>
    <xdr:sp macro="" textlink="">
      <xdr:nvSpPr>
        <xdr:cNvPr id="774" name="AutoShape 46">
          <a:extLst>
            <a:ext uri="{FF2B5EF4-FFF2-40B4-BE49-F238E27FC236}">
              <a16:creationId xmlns:a16="http://schemas.microsoft.com/office/drawing/2014/main" id="{577CF0F5-BA02-4ECD-A944-9D9F17B42EFB}"/>
            </a:ext>
          </a:extLst>
        </xdr:cNvPr>
        <xdr:cNvSpPr>
          <a:spLocks noChangeArrowheads="1"/>
        </xdr:cNvSpPr>
      </xdr:nvSpPr>
      <xdr:spPr bwMode="auto">
        <a:xfrm>
          <a:off x="44958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236</xdr:row>
      <xdr:rowOff>57150</xdr:rowOff>
    </xdr:from>
    <xdr:to>
      <xdr:col>12</xdr:col>
      <xdr:colOff>0</xdr:colOff>
      <xdr:row>237</xdr:row>
      <xdr:rowOff>190500</xdr:rowOff>
    </xdr:to>
    <xdr:sp macro="" textlink="">
      <xdr:nvSpPr>
        <xdr:cNvPr id="775" name="AutoShape 46">
          <a:extLst>
            <a:ext uri="{FF2B5EF4-FFF2-40B4-BE49-F238E27FC236}">
              <a16:creationId xmlns:a16="http://schemas.microsoft.com/office/drawing/2014/main" id="{550988F6-1C68-419D-9F7E-0D7925A95967}"/>
            </a:ext>
          </a:extLst>
        </xdr:cNvPr>
        <xdr:cNvSpPr>
          <a:spLocks noChangeArrowheads="1"/>
        </xdr:cNvSpPr>
      </xdr:nvSpPr>
      <xdr:spPr bwMode="auto">
        <a:xfrm>
          <a:off x="54229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236</xdr:row>
      <xdr:rowOff>57150</xdr:rowOff>
    </xdr:from>
    <xdr:to>
      <xdr:col>14</xdr:col>
      <xdr:colOff>0</xdr:colOff>
      <xdr:row>237</xdr:row>
      <xdr:rowOff>190500</xdr:rowOff>
    </xdr:to>
    <xdr:sp macro="" textlink="">
      <xdr:nvSpPr>
        <xdr:cNvPr id="776" name="AutoShape 46">
          <a:extLst>
            <a:ext uri="{FF2B5EF4-FFF2-40B4-BE49-F238E27FC236}">
              <a16:creationId xmlns:a16="http://schemas.microsoft.com/office/drawing/2014/main" id="{30D7CBD8-A25B-4429-884E-5620D7F430C7}"/>
            </a:ext>
          </a:extLst>
        </xdr:cNvPr>
        <xdr:cNvSpPr>
          <a:spLocks noChangeArrowheads="1"/>
        </xdr:cNvSpPr>
      </xdr:nvSpPr>
      <xdr:spPr bwMode="auto">
        <a:xfrm>
          <a:off x="63500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236</xdr:row>
      <xdr:rowOff>57150</xdr:rowOff>
    </xdr:from>
    <xdr:to>
      <xdr:col>16</xdr:col>
      <xdr:colOff>0</xdr:colOff>
      <xdr:row>237</xdr:row>
      <xdr:rowOff>190500</xdr:rowOff>
    </xdr:to>
    <xdr:sp macro="" textlink="">
      <xdr:nvSpPr>
        <xdr:cNvPr id="777" name="AutoShape 46">
          <a:extLst>
            <a:ext uri="{FF2B5EF4-FFF2-40B4-BE49-F238E27FC236}">
              <a16:creationId xmlns:a16="http://schemas.microsoft.com/office/drawing/2014/main" id="{C5F2DA7C-1C6D-49BE-891A-8B0321DBCCE7}"/>
            </a:ext>
          </a:extLst>
        </xdr:cNvPr>
        <xdr:cNvSpPr>
          <a:spLocks noChangeArrowheads="1"/>
        </xdr:cNvSpPr>
      </xdr:nvSpPr>
      <xdr:spPr bwMode="auto">
        <a:xfrm>
          <a:off x="72771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236</xdr:row>
      <xdr:rowOff>57150</xdr:rowOff>
    </xdr:from>
    <xdr:to>
      <xdr:col>16</xdr:col>
      <xdr:colOff>0</xdr:colOff>
      <xdr:row>237</xdr:row>
      <xdr:rowOff>190500</xdr:rowOff>
    </xdr:to>
    <xdr:sp macro="" textlink="">
      <xdr:nvSpPr>
        <xdr:cNvPr id="778" name="AutoShape 46">
          <a:extLst>
            <a:ext uri="{FF2B5EF4-FFF2-40B4-BE49-F238E27FC236}">
              <a16:creationId xmlns:a16="http://schemas.microsoft.com/office/drawing/2014/main" id="{8BAF1D83-BE36-477A-9851-AB4E22C1885D}"/>
            </a:ext>
          </a:extLst>
        </xdr:cNvPr>
        <xdr:cNvSpPr>
          <a:spLocks noChangeArrowheads="1"/>
        </xdr:cNvSpPr>
      </xdr:nvSpPr>
      <xdr:spPr bwMode="auto">
        <a:xfrm>
          <a:off x="72771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79" name="AutoShape 46">
          <a:extLst>
            <a:ext uri="{FF2B5EF4-FFF2-40B4-BE49-F238E27FC236}">
              <a16:creationId xmlns:a16="http://schemas.microsoft.com/office/drawing/2014/main" id="{A7550437-57AD-46C7-8F06-3B97630D8B99}"/>
            </a:ext>
          </a:extLst>
        </xdr:cNvPr>
        <xdr:cNvSpPr>
          <a:spLocks noChangeArrowheads="1"/>
        </xdr:cNvSpPr>
      </xdr:nvSpPr>
      <xdr:spPr bwMode="auto">
        <a:xfrm>
          <a:off x="82042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80" name="AutoShape 46">
          <a:extLst>
            <a:ext uri="{FF2B5EF4-FFF2-40B4-BE49-F238E27FC236}">
              <a16:creationId xmlns:a16="http://schemas.microsoft.com/office/drawing/2014/main" id="{F69FFBA7-CBB6-4C83-9F3C-755B1ABF4CD6}"/>
            </a:ext>
          </a:extLst>
        </xdr:cNvPr>
        <xdr:cNvSpPr>
          <a:spLocks noChangeArrowheads="1"/>
        </xdr:cNvSpPr>
      </xdr:nvSpPr>
      <xdr:spPr bwMode="auto">
        <a:xfrm>
          <a:off x="91313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81" name="AutoShape 46">
          <a:extLst>
            <a:ext uri="{FF2B5EF4-FFF2-40B4-BE49-F238E27FC236}">
              <a16:creationId xmlns:a16="http://schemas.microsoft.com/office/drawing/2014/main" id="{C74CA235-0732-49CC-BE81-06117423BDF3}"/>
            </a:ext>
          </a:extLst>
        </xdr:cNvPr>
        <xdr:cNvSpPr>
          <a:spLocks noChangeArrowheads="1"/>
        </xdr:cNvSpPr>
      </xdr:nvSpPr>
      <xdr:spPr bwMode="auto">
        <a:xfrm>
          <a:off x="100584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82" name="AutoShape 46">
          <a:extLst>
            <a:ext uri="{FF2B5EF4-FFF2-40B4-BE49-F238E27FC236}">
              <a16:creationId xmlns:a16="http://schemas.microsoft.com/office/drawing/2014/main" id="{0B29D722-2669-40EE-B7B5-E381FD066A65}"/>
            </a:ext>
          </a:extLst>
        </xdr:cNvPr>
        <xdr:cNvSpPr>
          <a:spLocks noChangeArrowheads="1"/>
        </xdr:cNvSpPr>
      </xdr:nvSpPr>
      <xdr:spPr bwMode="auto">
        <a:xfrm>
          <a:off x="109855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83" name="AutoShape 46">
          <a:extLst>
            <a:ext uri="{FF2B5EF4-FFF2-40B4-BE49-F238E27FC236}">
              <a16:creationId xmlns:a16="http://schemas.microsoft.com/office/drawing/2014/main" id="{9EBB8CD4-FBAB-4E78-B913-00E33A1706EE}"/>
            </a:ext>
          </a:extLst>
        </xdr:cNvPr>
        <xdr:cNvSpPr>
          <a:spLocks noChangeArrowheads="1"/>
        </xdr:cNvSpPr>
      </xdr:nvSpPr>
      <xdr:spPr bwMode="auto">
        <a:xfrm>
          <a:off x="11912600" y="5864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84" name="AutoShape 46">
          <a:extLst>
            <a:ext uri="{FF2B5EF4-FFF2-40B4-BE49-F238E27FC236}">
              <a16:creationId xmlns:a16="http://schemas.microsoft.com/office/drawing/2014/main" id="{096DCB6D-F5C2-4E92-A303-F3516D1B6E77}"/>
            </a:ext>
          </a:extLst>
        </xdr:cNvPr>
        <xdr:cNvSpPr>
          <a:spLocks noChangeArrowheads="1"/>
        </xdr:cNvSpPr>
      </xdr:nvSpPr>
      <xdr:spPr bwMode="auto">
        <a:xfrm>
          <a:off x="1289685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85" name="AutoShape 46">
          <a:extLst>
            <a:ext uri="{FF2B5EF4-FFF2-40B4-BE49-F238E27FC236}">
              <a16:creationId xmlns:a16="http://schemas.microsoft.com/office/drawing/2014/main" id="{9DCBFF0E-65AC-4BD7-902E-D34B926AE0C4}"/>
            </a:ext>
          </a:extLst>
        </xdr:cNvPr>
        <xdr:cNvSpPr>
          <a:spLocks noChangeArrowheads="1"/>
        </xdr:cNvSpPr>
      </xdr:nvSpPr>
      <xdr:spPr bwMode="auto">
        <a:xfrm>
          <a:off x="82042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86" name="AutoShape 46">
          <a:extLst>
            <a:ext uri="{FF2B5EF4-FFF2-40B4-BE49-F238E27FC236}">
              <a16:creationId xmlns:a16="http://schemas.microsoft.com/office/drawing/2014/main" id="{7EC7202D-3E67-4362-B885-1C922A5C8441}"/>
            </a:ext>
          </a:extLst>
        </xdr:cNvPr>
        <xdr:cNvSpPr>
          <a:spLocks noChangeArrowheads="1"/>
        </xdr:cNvSpPr>
      </xdr:nvSpPr>
      <xdr:spPr bwMode="auto">
        <a:xfrm>
          <a:off x="91313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87" name="AutoShape 46">
          <a:extLst>
            <a:ext uri="{FF2B5EF4-FFF2-40B4-BE49-F238E27FC236}">
              <a16:creationId xmlns:a16="http://schemas.microsoft.com/office/drawing/2014/main" id="{0AD383B1-9348-4B39-9AF9-70EBE5F385AF}"/>
            </a:ext>
          </a:extLst>
        </xdr:cNvPr>
        <xdr:cNvSpPr>
          <a:spLocks noChangeArrowheads="1"/>
        </xdr:cNvSpPr>
      </xdr:nvSpPr>
      <xdr:spPr bwMode="auto">
        <a:xfrm>
          <a:off x="100584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88" name="AutoShape 46">
          <a:extLst>
            <a:ext uri="{FF2B5EF4-FFF2-40B4-BE49-F238E27FC236}">
              <a16:creationId xmlns:a16="http://schemas.microsoft.com/office/drawing/2014/main" id="{820C592F-DE2B-4E70-AD35-9BB6E985EC8F}"/>
            </a:ext>
          </a:extLst>
        </xdr:cNvPr>
        <xdr:cNvSpPr>
          <a:spLocks noChangeArrowheads="1"/>
        </xdr:cNvSpPr>
      </xdr:nvSpPr>
      <xdr:spPr bwMode="auto">
        <a:xfrm>
          <a:off x="109855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89" name="AutoShape 46">
          <a:extLst>
            <a:ext uri="{FF2B5EF4-FFF2-40B4-BE49-F238E27FC236}">
              <a16:creationId xmlns:a16="http://schemas.microsoft.com/office/drawing/2014/main" id="{720944ED-3B83-437B-895D-79822579AD8D}"/>
            </a:ext>
          </a:extLst>
        </xdr:cNvPr>
        <xdr:cNvSpPr>
          <a:spLocks noChangeArrowheads="1"/>
        </xdr:cNvSpPr>
      </xdr:nvSpPr>
      <xdr:spPr bwMode="auto">
        <a:xfrm>
          <a:off x="11912600" y="586486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90" name="AutoShape 46">
          <a:extLst>
            <a:ext uri="{FF2B5EF4-FFF2-40B4-BE49-F238E27FC236}">
              <a16:creationId xmlns:a16="http://schemas.microsoft.com/office/drawing/2014/main" id="{4F3B90AD-C5E4-48E8-8D00-0B5E4EFD9CE8}"/>
            </a:ext>
          </a:extLst>
        </xdr:cNvPr>
        <xdr:cNvSpPr>
          <a:spLocks noChangeArrowheads="1"/>
        </xdr:cNvSpPr>
      </xdr:nvSpPr>
      <xdr:spPr bwMode="auto">
        <a:xfrm>
          <a:off x="1289685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91" name="AutoShape 46">
          <a:extLst>
            <a:ext uri="{FF2B5EF4-FFF2-40B4-BE49-F238E27FC236}">
              <a16:creationId xmlns:a16="http://schemas.microsoft.com/office/drawing/2014/main" id="{07BC93C1-4A28-4532-AA17-5F4B988DE814}"/>
            </a:ext>
          </a:extLst>
        </xdr:cNvPr>
        <xdr:cNvSpPr>
          <a:spLocks noChangeArrowheads="1"/>
        </xdr:cNvSpPr>
      </xdr:nvSpPr>
      <xdr:spPr bwMode="auto">
        <a:xfrm>
          <a:off x="82042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92" name="AutoShape 46">
          <a:extLst>
            <a:ext uri="{FF2B5EF4-FFF2-40B4-BE49-F238E27FC236}">
              <a16:creationId xmlns:a16="http://schemas.microsoft.com/office/drawing/2014/main" id="{BB74B56A-B392-4D6B-B048-EB04A32C29C1}"/>
            </a:ext>
          </a:extLst>
        </xdr:cNvPr>
        <xdr:cNvSpPr>
          <a:spLocks noChangeArrowheads="1"/>
        </xdr:cNvSpPr>
      </xdr:nvSpPr>
      <xdr:spPr bwMode="auto">
        <a:xfrm>
          <a:off x="91313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93" name="AutoShape 46">
          <a:extLst>
            <a:ext uri="{FF2B5EF4-FFF2-40B4-BE49-F238E27FC236}">
              <a16:creationId xmlns:a16="http://schemas.microsoft.com/office/drawing/2014/main" id="{D448BCE9-8320-4429-87EC-03C81108DB16}"/>
            </a:ext>
          </a:extLst>
        </xdr:cNvPr>
        <xdr:cNvSpPr>
          <a:spLocks noChangeArrowheads="1"/>
        </xdr:cNvSpPr>
      </xdr:nvSpPr>
      <xdr:spPr bwMode="auto">
        <a:xfrm>
          <a:off x="100584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94" name="AutoShape 46">
          <a:extLst>
            <a:ext uri="{FF2B5EF4-FFF2-40B4-BE49-F238E27FC236}">
              <a16:creationId xmlns:a16="http://schemas.microsoft.com/office/drawing/2014/main" id="{FC02CEAC-D4C2-4101-92CB-3120A4947CFD}"/>
            </a:ext>
          </a:extLst>
        </xdr:cNvPr>
        <xdr:cNvSpPr>
          <a:spLocks noChangeArrowheads="1"/>
        </xdr:cNvSpPr>
      </xdr:nvSpPr>
      <xdr:spPr bwMode="auto">
        <a:xfrm>
          <a:off x="109855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95" name="AutoShape 46">
          <a:extLst>
            <a:ext uri="{FF2B5EF4-FFF2-40B4-BE49-F238E27FC236}">
              <a16:creationId xmlns:a16="http://schemas.microsoft.com/office/drawing/2014/main" id="{F509F979-A238-4A2F-932F-4E1785F18702}"/>
            </a:ext>
          </a:extLst>
        </xdr:cNvPr>
        <xdr:cNvSpPr>
          <a:spLocks noChangeArrowheads="1"/>
        </xdr:cNvSpPr>
      </xdr:nvSpPr>
      <xdr:spPr bwMode="auto">
        <a:xfrm>
          <a:off x="11912600" y="5864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96" name="AutoShape 46">
          <a:extLst>
            <a:ext uri="{FF2B5EF4-FFF2-40B4-BE49-F238E27FC236}">
              <a16:creationId xmlns:a16="http://schemas.microsoft.com/office/drawing/2014/main" id="{5E932046-D8A0-43BD-A906-EF943310FF21}"/>
            </a:ext>
          </a:extLst>
        </xdr:cNvPr>
        <xdr:cNvSpPr>
          <a:spLocks noChangeArrowheads="1"/>
        </xdr:cNvSpPr>
      </xdr:nvSpPr>
      <xdr:spPr bwMode="auto">
        <a:xfrm>
          <a:off x="1289685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244</xdr:row>
      <xdr:rowOff>57150</xdr:rowOff>
    </xdr:from>
    <xdr:to>
      <xdr:col>2</xdr:col>
      <xdr:colOff>0</xdr:colOff>
      <xdr:row>245</xdr:row>
      <xdr:rowOff>190500</xdr:rowOff>
    </xdr:to>
    <xdr:sp macro="" textlink="">
      <xdr:nvSpPr>
        <xdr:cNvPr id="797" name="AutoShape 46">
          <a:extLst>
            <a:ext uri="{FF2B5EF4-FFF2-40B4-BE49-F238E27FC236}">
              <a16:creationId xmlns:a16="http://schemas.microsoft.com/office/drawing/2014/main" id="{9029680D-AD28-4FBD-97ED-AD171F23A0C4}"/>
            </a:ext>
          </a:extLst>
        </xdr:cNvPr>
        <xdr:cNvSpPr>
          <a:spLocks noChangeArrowheads="1"/>
        </xdr:cNvSpPr>
      </xdr:nvSpPr>
      <xdr:spPr bwMode="auto">
        <a:xfrm>
          <a:off x="6096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244</xdr:row>
      <xdr:rowOff>57150</xdr:rowOff>
    </xdr:from>
    <xdr:to>
      <xdr:col>4</xdr:col>
      <xdr:colOff>0</xdr:colOff>
      <xdr:row>245</xdr:row>
      <xdr:rowOff>190500</xdr:rowOff>
    </xdr:to>
    <xdr:sp macro="" textlink="">
      <xdr:nvSpPr>
        <xdr:cNvPr id="798" name="AutoShape 46">
          <a:extLst>
            <a:ext uri="{FF2B5EF4-FFF2-40B4-BE49-F238E27FC236}">
              <a16:creationId xmlns:a16="http://schemas.microsoft.com/office/drawing/2014/main" id="{E0034511-250E-4E11-A862-E2826681A572}"/>
            </a:ext>
          </a:extLst>
        </xdr:cNvPr>
        <xdr:cNvSpPr>
          <a:spLocks noChangeArrowheads="1"/>
        </xdr:cNvSpPr>
      </xdr:nvSpPr>
      <xdr:spPr bwMode="auto">
        <a:xfrm>
          <a:off x="1536700" y="60540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244</xdr:row>
      <xdr:rowOff>57150</xdr:rowOff>
    </xdr:from>
    <xdr:to>
      <xdr:col>6</xdr:col>
      <xdr:colOff>0</xdr:colOff>
      <xdr:row>245</xdr:row>
      <xdr:rowOff>190500</xdr:rowOff>
    </xdr:to>
    <xdr:sp macro="" textlink="">
      <xdr:nvSpPr>
        <xdr:cNvPr id="799" name="AutoShape 46">
          <a:extLst>
            <a:ext uri="{FF2B5EF4-FFF2-40B4-BE49-F238E27FC236}">
              <a16:creationId xmlns:a16="http://schemas.microsoft.com/office/drawing/2014/main" id="{1C7AB218-DDCB-4060-B497-C584985A15AF}"/>
            </a:ext>
          </a:extLst>
        </xdr:cNvPr>
        <xdr:cNvSpPr>
          <a:spLocks noChangeArrowheads="1"/>
        </xdr:cNvSpPr>
      </xdr:nvSpPr>
      <xdr:spPr bwMode="auto">
        <a:xfrm>
          <a:off x="2520950" y="605409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244</xdr:row>
      <xdr:rowOff>57150</xdr:rowOff>
    </xdr:from>
    <xdr:to>
      <xdr:col>8</xdr:col>
      <xdr:colOff>0</xdr:colOff>
      <xdr:row>245</xdr:row>
      <xdr:rowOff>190500</xdr:rowOff>
    </xdr:to>
    <xdr:sp macro="" textlink="">
      <xdr:nvSpPr>
        <xdr:cNvPr id="800" name="AutoShape 46">
          <a:extLst>
            <a:ext uri="{FF2B5EF4-FFF2-40B4-BE49-F238E27FC236}">
              <a16:creationId xmlns:a16="http://schemas.microsoft.com/office/drawing/2014/main" id="{2EE5EA7D-320B-49BE-AFC6-69C0D7A4CD33}"/>
            </a:ext>
          </a:extLst>
        </xdr:cNvPr>
        <xdr:cNvSpPr>
          <a:spLocks noChangeArrowheads="1"/>
        </xdr:cNvSpPr>
      </xdr:nvSpPr>
      <xdr:spPr bwMode="auto">
        <a:xfrm>
          <a:off x="3498850" y="605409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244</xdr:row>
      <xdr:rowOff>57150</xdr:rowOff>
    </xdr:from>
    <xdr:to>
      <xdr:col>10</xdr:col>
      <xdr:colOff>0</xdr:colOff>
      <xdr:row>245</xdr:row>
      <xdr:rowOff>190500</xdr:rowOff>
    </xdr:to>
    <xdr:sp macro="" textlink="">
      <xdr:nvSpPr>
        <xdr:cNvPr id="801" name="AutoShape 46">
          <a:extLst>
            <a:ext uri="{FF2B5EF4-FFF2-40B4-BE49-F238E27FC236}">
              <a16:creationId xmlns:a16="http://schemas.microsoft.com/office/drawing/2014/main" id="{BB280776-4C67-4DBF-81E2-1C89C07AD730}"/>
            </a:ext>
          </a:extLst>
        </xdr:cNvPr>
        <xdr:cNvSpPr>
          <a:spLocks noChangeArrowheads="1"/>
        </xdr:cNvSpPr>
      </xdr:nvSpPr>
      <xdr:spPr bwMode="auto">
        <a:xfrm>
          <a:off x="44958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244</xdr:row>
      <xdr:rowOff>57150</xdr:rowOff>
    </xdr:from>
    <xdr:to>
      <xdr:col>12</xdr:col>
      <xdr:colOff>0</xdr:colOff>
      <xdr:row>245</xdr:row>
      <xdr:rowOff>190500</xdr:rowOff>
    </xdr:to>
    <xdr:sp macro="" textlink="">
      <xdr:nvSpPr>
        <xdr:cNvPr id="802" name="AutoShape 46">
          <a:extLst>
            <a:ext uri="{FF2B5EF4-FFF2-40B4-BE49-F238E27FC236}">
              <a16:creationId xmlns:a16="http://schemas.microsoft.com/office/drawing/2014/main" id="{95A54ECF-0D6D-4488-A63B-EA0A68B2896D}"/>
            </a:ext>
          </a:extLst>
        </xdr:cNvPr>
        <xdr:cNvSpPr>
          <a:spLocks noChangeArrowheads="1"/>
        </xdr:cNvSpPr>
      </xdr:nvSpPr>
      <xdr:spPr bwMode="auto">
        <a:xfrm>
          <a:off x="54229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244</xdr:row>
      <xdr:rowOff>57150</xdr:rowOff>
    </xdr:from>
    <xdr:to>
      <xdr:col>14</xdr:col>
      <xdr:colOff>0</xdr:colOff>
      <xdr:row>245</xdr:row>
      <xdr:rowOff>190500</xdr:rowOff>
    </xdr:to>
    <xdr:sp macro="" textlink="">
      <xdr:nvSpPr>
        <xdr:cNvPr id="803" name="AutoShape 46">
          <a:extLst>
            <a:ext uri="{FF2B5EF4-FFF2-40B4-BE49-F238E27FC236}">
              <a16:creationId xmlns:a16="http://schemas.microsoft.com/office/drawing/2014/main" id="{26A5192D-E12A-4CFE-8746-3A82BA999635}"/>
            </a:ext>
          </a:extLst>
        </xdr:cNvPr>
        <xdr:cNvSpPr>
          <a:spLocks noChangeArrowheads="1"/>
        </xdr:cNvSpPr>
      </xdr:nvSpPr>
      <xdr:spPr bwMode="auto">
        <a:xfrm>
          <a:off x="63500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244</xdr:row>
      <xdr:rowOff>57150</xdr:rowOff>
    </xdr:from>
    <xdr:to>
      <xdr:col>16</xdr:col>
      <xdr:colOff>0</xdr:colOff>
      <xdr:row>245</xdr:row>
      <xdr:rowOff>190500</xdr:rowOff>
    </xdr:to>
    <xdr:sp macro="" textlink="">
      <xdr:nvSpPr>
        <xdr:cNvPr id="804" name="AutoShape 46">
          <a:extLst>
            <a:ext uri="{FF2B5EF4-FFF2-40B4-BE49-F238E27FC236}">
              <a16:creationId xmlns:a16="http://schemas.microsoft.com/office/drawing/2014/main" id="{FCB60B0C-ED23-49AB-8CFF-87D0F9C3EE12}"/>
            </a:ext>
          </a:extLst>
        </xdr:cNvPr>
        <xdr:cNvSpPr>
          <a:spLocks noChangeArrowheads="1"/>
        </xdr:cNvSpPr>
      </xdr:nvSpPr>
      <xdr:spPr bwMode="auto">
        <a:xfrm>
          <a:off x="72771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244</xdr:row>
      <xdr:rowOff>57150</xdr:rowOff>
    </xdr:from>
    <xdr:to>
      <xdr:col>16</xdr:col>
      <xdr:colOff>0</xdr:colOff>
      <xdr:row>245</xdr:row>
      <xdr:rowOff>190500</xdr:rowOff>
    </xdr:to>
    <xdr:sp macro="" textlink="">
      <xdr:nvSpPr>
        <xdr:cNvPr id="805" name="AutoShape 46">
          <a:extLst>
            <a:ext uri="{FF2B5EF4-FFF2-40B4-BE49-F238E27FC236}">
              <a16:creationId xmlns:a16="http://schemas.microsoft.com/office/drawing/2014/main" id="{2532F876-4FE8-48FB-81A2-0AED29A944D1}"/>
            </a:ext>
          </a:extLst>
        </xdr:cNvPr>
        <xdr:cNvSpPr>
          <a:spLocks noChangeArrowheads="1"/>
        </xdr:cNvSpPr>
      </xdr:nvSpPr>
      <xdr:spPr bwMode="auto">
        <a:xfrm>
          <a:off x="72771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06" name="AutoShape 46">
          <a:extLst>
            <a:ext uri="{FF2B5EF4-FFF2-40B4-BE49-F238E27FC236}">
              <a16:creationId xmlns:a16="http://schemas.microsoft.com/office/drawing/2014/main" id="{192F0509-FDAC-4806-80C1-FD6ED47778CE}"/>
            </a:ext>
          </a:extLst>
        </xdr:cNvPr>
        <xdr:cNvSpPr>
          <a:spLocks noChangeArrowheads="1"/>
        </xdr:cNvSpPr>
      </xdr:nvSpPr>
      <xdr:spPr bwMode="auto">
        <a:xfrm>
          <a:off x="82042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07" name="AutoShape 46">
          <a:extLst>
            <a:ext uri="{FF2B5EF4-FFF2-40B4-BE49-F238E27FC236}">
              <a16:creationId xmlns:a16="http://schemas.microsoft.com/office/drawing/2014/main" id="{7CC7E553-F6C4-4B3C-B80F-767AAB58648B}"/>
            </a:ext>
          </a:extLst>
        </xdr:cNvPr>
        <xdr:cNvSpPr>
          <a:spLocks noChangeArrowheads="1"/>
        </xdr:cNvSpPr>
      </xdr:nvSpPr>
      <xdr:spPr bwMode="auto">
        <a:xfrm>
          <a:off x="91313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08" name="AutoShape 46">
          <a:extLst>
            <a:ext uri="{FF2B5EF4-FFF2-40B4-BE49-F238E27FC236}">
              <a16:creationId xmlns:a16="http://schemas.microsoft.com/office/drawing/2014/main" id="{440C1B30-FD4D-48CC-AE46-71054269C271}"/>
            </a:ext>
          </a:extLst>
        </xdr:cNvPr>
        <xdr:cNvSpPr>
          <a:spLocks noChangeArrowheads="1"/>
        </xdr:cNvSpPr>
      </xdr:nvSpPr>
      <xdr:spPr bwMode="auto">
        <a:xfrm>
          <a:off x="100584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09" name="AutoShape 46">
          <a:extLst>
            <a:ext uri="{FF2B5EF4-FFF2-40B4-BE49-F238E27FC236}">
              <a16:creationId xmlns:a16="http://schemas.microsoft.com/office/drawing/2014/main" id="{68ACD010-7014-4A75-AA05-9CFE9D2F626D}"/>
            </a:ext>
          </a:extLst>
        </xdr:cNvPr>
        <xdr:cNvSpPr>
          <a:spLocks noChangeArrowheads="1"/>
        </xdr:cNvSpPr>
      </xdr:nvSpPr>
      <xdr:spPr bwMode="auto">
        <a:xfrm>
          <a:off x="109855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10" name="AutoShape 46">
          <a:extLst>
            <a:ext uri="{FF2B5EF4-FFF2-40B4-BE49-F238E27FC236}">
              <a16:creationId xmlns:a16="http://schemas.microsoft.com/office/drawing/2014/main" id="{43A9C9A1-14C5-437F-BA94-097AFAC8E555}"/>
            </a:ext>
          </a:extLst>
        </xdr:cNvPr>
        <xdr:cNvSpPr>
          <a:spLocks noChangeArrowheads="1"/>
        </xdr:cNvSpPr>
      </xdr:nvSpPr>
      <xdr:spPr bwMode="auto">
        <a:xfrm>
          <a:off x="11912600" y="60540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11" name="AutoShape 46">
          <a:extLst>
            <a:ext uri="{FF2B5EF4-FFF2-40B4-BE49-F238E27FC236}">
              <a16:creationId xmlns:a16="http://schemas.microsoft.com/office/drawing/2014/main" id="{B1504724-D41B-4945-9888-122F78778A98}"/>
            </a:ext>
          </a:extLst>
        </xdr:cNvPr>
        <xdr:cNvSpPr>
          <a:spLocks noChangeArrowheads="1"/>
        </xdr:cNvSpPr>
      </xdr:nvSpPr>
      <xdr:spPr bwMode="auto">
        <a:xfrm>
          <a:off x="1289685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12" name="AutoShape 46">
          <a:extLst>
            <a:ext uri="{FF2B5EF4-FFF2-40B4-BE49-F238E27FC236}">
              <a16:creationId xmlns:a16="http://schemas.microsoft.com/office/drawing/2014/main" id="{40F92202-2FC8-4D02-8F75-5991D20EF8D2}"/>
            </a:ext>
          </a:extLst>
        </xdr:cNvPr>
        <xdr:cNvSpPr>
          <a:spLocks noChangeArrowheads="1"/>
        </xdr:cNvSpPr>
      </xdr:nvSpPr>
      <xdr:spPr bwMode="auto">
        <a:xfrm>
          <a:off x="82042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13" name="AutoShape 46">
          <a:extLst>
            <a:ext uri="{FF2B5EF4-FFF2-40B4-BE49-F238E27FC236}">
              <a16:creationId xmlns:a16="http://schemas.microsoft.com/office/drawing/2014/main" id="{265F3EC8-16A1-460A-86F0-EC8A94866BE0}"/>
            </a:ext>
          </a:extLst>
        </xdr:cNvPr>
        <xdr:cNvSpPr>
          <a:spLocks noChangeArrowheads="1"/>
        </xdr:cNvSpPr>
      </xdr:nvSpPr>
      <xdr:spPr bwMode="auto">
        <a:xfrm>
          <a:off x="91313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14" name="AutoShape 46">
          <a:extLst>
            <a:ext uri="{FF2B5EF4-FFF2-40B4-BE49-F238E27FC236}">
              <a16:creationId xmlns:a16="http://schemas.microsoft.com/office/drawing/2014/main" id="{CF3B3866-EF30-4488-B510-02C68E200794}"/>
            </a:ext>
          </a:extLst>
        </xdr:cNvPr>
        <xdr:cNvSpPr>
          <a:spLocks noChangeArrowheads="1"/>
        </xdr:cNvSpPr>
      </xdr:nvSpPr>
      <xdr:spPr bwMode="auto">
        <a:xfrm>
          <a:off x="100584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15" name="AutoShape 46">
          <a:extLst>
            <a:ext uri="{FF2B5EF4-FFF2-40B4-BE49-F238E27FC236}">
              <a16:creationId xmlns:a16="http://schemas.microsoft.com/office/drawing/2014/main" id="{2967C253-B70B-44C3-950F-E245D8A19472}"/>
            </a:ext>
          </a:extLst>
        </xdr:cNvPr>
        <xdr:cNvSpPr>
          <a:spLocks noChangeArrowheads="1"/>
        </xdr:cNvSpPr>
      </xdr:nvSpPr>
      <xdr:spPr bwMode="auto">
        <a:xfrm>
          <a:off x="109855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16" name="AutoShape 46">
          <a:extLst>
            <a:ext uri="{FF2B5EF4-FFF2-40B4-BE49-F238E27FC236}">
              <a16:creationId xmlns:a16="http://schemas.microsoft.com/office/drawing/2014/main" id="{20ABFA61-BC6C-4F65-A11B-1F36F74270A6}"/>
            </a:ext>
          </a:extLst>
        </xdr:cNvPr>
        <xdr:cNvSpPr>
          <a:spLocks noChangeArrowheads="1"/>
        </xdr:cNvSpPr>
      </xdr:nvSpPr>
      <xdr:spPr bwMode="auto">
        <a:xfrm>
          <a:off x="11912600" y="605409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17" name="AutoShape 46">
          <a:extLst>
            <a:ext uri="{FF2B5EF4-FFF2-40B4-BE49-F238E27FC236}">
              <a16:creationId xmlns:a16="http://schemas.microsoft.com/office/drawing/2014/main" id="{8358B395-F39F-466E-BE51-73FE012FC5D6}"/>
            </a:ext>
          </a:extLst>
        </xdr:cNvPr>
        <xdr:cNvSpPr>
          <a:spLocks noChangeArrowheads="1"/>
        </xdr:cNvSpPr>
      </xdr:nvSpPr>
      <xdr:spPr bwMode="auto">
        <a:xfrm>
          <a:off x="1289685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18" name="AutoShape 46">
          <a:extLst>
            <a:ext uri="{FF2B5EF4-FFF2-40B4-BE49-F238E27FC236}">
              <a16:creationId xmlns:a16="http://schemas.microsoft.com/office/drawing/2014/main" id="{7FF20339-0A3D-4403-8BA8-DC40A7826583}"/>
            </a:ext>
          </a:extLst>
        </xdr:cNvPr>
        <xdr:cNvSpPr>
          <a:spLocks noChangeArrowheads="1"/>
        </xdr:cNvSpPr>
      </xdr:nvSpPr>
      <xdr:spPr bwMode="auto">
        <a:xfrm>
          <a:off x="82042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19" name="AutoShape 46">
          <a:extLst>
            <a:ext uri="{FF2B5EF4-FFF2-40B4-BE49-F238E27FC236}">
              <a16:creationId xmlns:a16="http://schemas.microsoft.com/office/drawing/2014/main" id="{41660B36-AED1-4BE8-871A-68F5E90718B9}"/>
            </a:ext>
          </a:extLst>
        </xdr:cNvPr>
        <xdr:cNvSpPr>
          <a:spLocks noChangeArrowheads="1"/>
        </xdr:cNvSpPr>
      </xdr:nvSpPr>
      <xdr:spPr bwMode="auto">
        <a:xfrm>
          <a:off x="91313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20" name="AutoShape 46">
          <a:extLst>
            <a:ext uri="{FF2B5EF4-FFF2-40B4-BE49-F238E27FC236}">
              <a16:creationId xmlns:a16="http://schemas.microsoft.com/office/drawing/2014/main" id="{EFFA1609-BA94-4CD5-B6A2-7BBA6DEAC80C}"/>
            </a:ext>
          </a:extLst>
        </xdr:cNvPr>
        <xdr:cNvSpPr>
          <a:spLocks noChangeArrowheads="1"/>
        </xdr:cNvSpPr>
      </xdr:nvSpPr>
      <xdr:spPr bwMode="auto">
        <a:xfrm>
          <a:off x="100584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21" name="AutoShape 46">
          <a:extLst>
            <a:ext uri="{FF2B5EF4-FFF2-40B4-BE49-F238E27FC236}">
              <a16:creationId xmlns:a16="http://schemas.microsoft.com/office/drawing/2014/main" id="{03D9C7C3-CDCA-411F-9779-A961CEB2F76C}"/>
            </a:ext>
          </a:extLst>
        </xdr:cNvPr>
        <xdr:cNvSpPr>
          <a:spLocks noChangeArrowheads="1"/>
        </xdr:cNvSpPr>
      </xdr:nvSpPr>
      <xdr:spPr bwMode="auto">
        <a:xfrm>
          <a:off x="109855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22" name="AutoShape 46">
          <a:extLst>
            <a:ext uri="{FF2B5EF4-FFF2-40B4-BE49-F238E27FC236}">
              <a16:creationId xmlns:a16="http://schemas.microsoft.com/office/drawing/2014/main" id="{1D40474A-D739-4972-B1AB-55033D8AC848}"/>
            </a:ext>
          </a:extLst>
        </xdr:cNvPr>
        <xdr:cNvSpPr>
          <a:spLocks noChangeArrowheads="1"/>
        </xdr:cNvSpPr>
      </xdr:nvSpPr>
      <xdr:spPr bwMode="auto">
        <a:xfrm>
          <a:off x="11912600" y="60540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23" name="AutoShape 46">
          <a:extLst>
            <a:ext uri="{FF2B5EF4-FFF2-40B4-BE49-F238E27FC236}">
              <a16:creationId xmlns:a16="http://schemas.microsoft.com/office/drawing/2014/main" id="{744409F1-3F11-4996-95F8-FFB58AC5BC76}"/>
            </a:ext>
          </a:extLst>
        </xdr:cNvPr>
        <xdr:cNvSpPr>
          <a:spLocks noChangeArrowheads="1"/>
        </xdr:cNvSpPr>
      </xdr:nvSpPr>
      <xdr:spPr bwMode="auto">
        <a:xfrm>
          <a:off x="1289685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252</xdr:row>
      <xdr:rowOff>57150</xdr:rowOff>
    </xdr:from>
    <xdr:to>
      <xdr:col>2</xdr:col>
      <xdr:colOff>0</xdr:colOff>
      <xdr:row>253</xdr:row>
      <xdr:rowOff>190500</xdr:rowOff>
    </xdr:to>
    <xdr:sp macro="" textlink="">
      <xdr:nvSpPr>
        <xdr:cNvPr id="824" name="AutoShape 46">
          <a:extLst>
            <a:ext uri="{FF2B5EF4-FFF2-40B4-BE49-F238E27FC236}">
              <a16:creationId xmlns:a16="http://schemas.microsoft.com/office/drawing/2014/main" id="{D124DB57-8E35-4292-8D9C-8CEF971D4A84}"/>
            </a:ext>
          </a:extLst>
        </xdr:cNvPr>
        <xdr:cNvSpPr>
          <a:spLocks noChangeArrowheads="1"/>
        </xdr:cNvSpPr>
      </xdr:nvSpPr>
      <xdr:spPr bwMode="auto">
        <a:xfrm>
          <a:off x="6096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252</xdr:row>
      <xdr:rowOff>57150</xdr:rowOff>
    </xdr:from>
    <xdr:to>
      <xdr:col>4</xdr:col>
      <xdr:colOff>0</xdr:colOff>
      <xdr:row>253</xdr:row>
      <xdr:rowOff>190500</xdr:rowOff>
    </xdr:to>
    <xdr:sp macro="" textlink="">
      <xdr:nvSpPr>
        <xdr:cNvPr id="825" name="AutoShape 46">
          <a:extLst>
            <a:ext uri="{FF2B5EF4-FFF2-40B4-BE49-F238E27FC236}">
              <a16:creationId xmlns:a16="http://schemas.microsoft.com/office/drawing/2014/main" id="{A86CE826-E89C-4576-8FD0-C07E43A14E40}"/>
            </a:ext>
          </a:extLst>
        </xdr:cNvPr>
        <xdr:cNvSpPr>
          <a:spLocks noChangeArrowheads="1"/>
        </xdr:cNvSpPr>
      </xdr:nvSpPr>
      <xdr:spPr bwMode="auto">
        <a:xfrm>
          <a:off x="1536700" y="62433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252</xdr:row>
      <xdr:rowOff>57150</xdr:rowOff>
    </xdr:from>
    <xdr:to>
      <xdr:col>6</xdr:col>
      <xdr:colOff>0</xdr:colOff>
      <xdr:row>253</xdr:row>
      <xdr:rowOff>190500</xdr:rowOff>
    </xdr:to>
    <xdr:sp macro="" textlink="">
      <xdr:nvSpPr>
        <xdr:cNvPr id="826" name="AutoShape 46">
          <a:extLst>
            <a:ext uri="{FF2B5EF4-FFF2-40B4-BE49-F238E27FC236}">
              <a16:creationId xmlns:a16="http://schemas.microsoft.com/office/drawing/2014/main" id="{E9F32F8F-685E-4576-B50E-A02F6EABF4BF}"/>
            </a:ext>
          </a:extLst>
        </xdr:cNvPr>
        <xdr:cNvSpPr>
          <a:spLocks noChangeArrowheads="1"/>
        </xdr:cNvSpPr>
      </xdr:nvSpPr>
      <xdr:spPr bwMode="auto">
        <a:xfrm>
          <a:off x="2520950" y="62433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252</xdr:row>
      <xdr:rowOff>57150</xdr:rowOff>
    </xdr:from>
    <xdr:to>
      <xdr:col>8</xdr:col>
      <xdr:colOff>0</xdr:colOff>
      <xdr:row>253</xdr:row>
      <xdr:rowOff>190500</xdr:rowOff>
    </xdr:to>
    <xdr:sp macro="" textlink="">
      <xdr:nvSpPr>
        <xdr:cNvPr id="827" name="AutoShape 46">
          <a:extLst>
            <a:ext uri="{FF2B5EF4-FFF2-40B4-BE49-F238E27FC236}">
              <a16:creationId xmlns:a16="http://schemas.microsoft.com/office/drawing/2014/main" id="{B726448A-FB4D-4D07-BC8D-433013630EBE}"/>
            </a:ext>
          </a:extLst>
        </xdr:cNvPr>
        <xdr:cNvSpPr>
          <a:spLocks noChangeArrowheads="1"/>
        </xdr:cNvSpPr>
      </xdr:nvSpPr>
      <xdr:spPr bwMode="auto">
        <a:xfrm>
          <a:off x="3498850" y="62433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252</xdr:row>
      <xdr:rowOff>57150</xdr:rowOff>
    </xdr:from>
    <xdr:to>
      <xdr:col>10</xdr:col>
      <xdr:colOff>0</xdr:colOff>
      <xdr:row>253</xdr:row>
      <xdr:rowOff>190500</xdr:rowOff>
    </xdr:to>
    <xdr:sp macro="" textlink="">
      <xdr:nvSpPr>
        <xdr:cNvPr id="828" name="AutoShape 46">
          <a:extLst>
            <a:ext uri="{FF2B5EF4-FFF2-40B4-BE49-F238E27FC236}">
              <a16:creationId xmlns:a16="http://schemas.microsoft.com/office/drawing/2014/main" id="{2591EA27-2293-4AFC-A913-CF87D0C80021}"/>
            </a:ext>
          </a:extLst>
        </xdr:cNvPr>
        <xdr:cNvSpPr>
          <a:spLocks noChangeArrowheads="1"/>
        </xdr:cNvSpPr>
      </xdr:nvSpPr>
      <xdr:spPr bwMode="auto">
        <a:xfrm>
          <a:off x="44958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252</xdr:row>
      <xdr:rowOff>57150</xdr:rowOff>
    </xdr:from>
    <xdr:to>
      <xdr:col>12</xdr:col>
      <xdr:colOff>0</xdr:colOff>
      <xdr:row>253</xdr:row>
      <xdr:rowOff>190500</xdr:rowOff>
    </xdr:to>
    <xdr:sp macro="" textlink="">
      <xdr:nvSpPr>
        <xdr:cNvPr id="829" name="AutoShape 46">
          <a:extLst>
            <a:ext uri="{FF2B5EF4-FFF2-40B4-BE49-F238E27FC236}">
              <a16:creationId xmlns:a16="http://schemas.microsoft.com/office/drawing/2014/main" id="{8374BB88-FF4A-4DCC-B411-F9126E9BB78A}"/>
            </a:ext>
          </a:extLst>
        </xdr:cNvPr>
        <xdr:cNvSpPr>
          <a:spLocks noChangeArrowheads="1"/>
        </xdr:cNvSpPr>
      </xdr:nvSpPr>
      <xdr:spPr bwMode="auto">
        <a:xfrm>
          <a:off x="54229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252</xdr:row>
      <xdr:rowOff>57150</xdr:rowOff>
    </xdr:from>
    <xdr:to>
      <xdr:col>14</xdr:col>
      <xdr:colOff>0</xdr:colOff>
      <xdr:row>253</xdr:row>
      <xdr:rowOff>190500</xdr:rowOff>
    </xdr:to>
    <xdr:sp macro="" textlink="">
      <xdr:nvSpPr>
        <xdr:cNvPr id="830" name="AutoShape 46">
          <a:extLst>
            <a:ext uri="{FF2B5EF4-FFF2-40B4-BE49-F238E27FC236}">
              <a16:creationId xmlns:a16="http://schemas.microsoft.com/office/drawing/2014/main" id="{FC2EB317-97ED-4055-940E-D9FAADE2B936}"/>
            </a:ext>
          </a:extLst>
        </xdr:cNvPr>
        <xdr:cNvSpPr>
          <a:spLocks noChangeArrowheads="1"/>
        </xdr:cNvSpPr>
      </xdr:nvSpPr>
      <xdr:spPr bwMode="auto">
        <a:xfrm>
          <a:off x="63500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252</xdr:row>
      <xdr:rowOff>57150</xdr:rowOff>
    </xdr:from>
    <xdr:to>
      <xdr:col>16</xdr:col>
      <xdr:colOff>0</xdr:colOff>
      <xdr:row>253</xdr:row>
      <xdr:rowOff>190500</xdr:rowOff>
    </xdr:to>
    <xdr:sp macro="" textlink="">
      <xdr:nvSpPr>
        <xdr:cNvPr id="831" name="AutoShape 46">
          <a:extLst>
            <a:ext uri="{FF2B5EF4-FFF2-40B4-BE49-F238E27FC236}">
              <a16:creationId xmlns:a16="http://schemas.microsoft.com/office/drawing/2014/main" id="{3C10DBE7-90B0-404E-A767-E02EC84E314A}"/>
            </a:ext>
          </a:extLst>
        </xdr:cNvPr>
        <xdr:cNvSpPr>
          <a:spLocks noChangeArrowheads="1"/>
        </xdr:cNvSpPr>
      </xdr:nvSpPr>
      <xdr:spPr bwMode="auto">
        <a:xfrm>
          <a:off x="72771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252</xdr:row>
      <xdr:rowOff>57150</xdr:rowOff>
    </xdr:from>
    <xdr:to>
      <xdr:col>16</xdr:col>
      <xdr:colOff>0</xdr:colOff>
      <xdr:row>253</xdr:row>
      <xdr:rowOff>190500</xdr:rowOff>
    </xdr:to>
    <xdr:sp macro="" textlink="">
      <xdr:nvSpPr>
        <xdr:cNvPr id="832" name="AutoShape 46">
          <a:extLst>
            <a:ext uri="{FF2B5EF4-FFF2-40B4-BE49-F238E27FC236}">
              <a16:creationId xmlns:a16="http://schemas.microsoft.com/office/drawing/2014/main" id="{A149D5AE-D389-443B-B4A7-BE7D043D8C08}"/>
            </a:ext>
          </a:extLst>
        </xdr:cNvPr>
        <xdr:cNvSpPr>
          <a:spLocks noChangeArrowheads="1"/>
        </xdr:cNvSpPr>
      </xdr:nvSpPr>
      <xdr:spPr bwMode="auto">
        <a:xfrm>
          <a:off x="72771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33" name="AutoShape 46">
          <a:extLst>
            <a:ext uri="{FF2B5EF4-FFF2-40B4-BE49-F238E27FC236}">
              <a16:creationId xmlns:a16="http://schemas.microsoft.com/office/drawing/2014/main" id="{E2C10D26-462A-40DF-A8C0-A64DBFB75AAD}"/>
            </a:ext>
          </a:extLst>
        </xdr:cNvPr>
        <xdr:cNvSpPr>
          <a:spLocks noChangeArrowheads="1"/>
        </xdr:cNvSpPr>
      </xdr:nvSpPr>
      <xdr:spPr bwMode="auto">
        <a:xfrm>
          <a:off x="82042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34" name="AutoShape 46">
          <a:extLst>
            <a:ext uri="{FF2B5EF4-FFF2-40B4-BE49-F238E27FC236}">
              <a16:creationId xmlns:a16="http://schemas.microsoft.com/office/drawing/2014/main" id="{578274E2-F361-4F6D-83FC-9CE2BB223036}"/>
            </a:ext>
          </a:extLst>
        </xdr:cNvPr>
        <xdr:cNvSpPr>
          <a:spLocks noChangeArrowheads="1"/>
        </xdr:cNvSpPr>
      </xdr:nvSpPr>
      <xdr:spPr bwMode="auto">
        <a:xfrm>
          <a:off x="91313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35" name="AutoShape 46">
          <a:extLst>
            <a:ext uri="{FF2B5EF4-FFF2-40B4-BE49-F238E27FC236}">
              <a16:creationId xmlns:a16="http://schemas.microsoft.com/office/drawing/2014/main" id="{1CF6482E-41AF-47C4-9A54-8AEC8E391B03}"/>
            </a:ext>
          </a:extLst>
        </xdr:cNvPr>
        <xdr:cNvSpPr>
          <a:spLocks noChangeArrowheads="1"/>
        </xdr:cNvSpPr>
      </xdr:nvSpPr>
      <xdr:spPr bwMode="auto">
        <a:xfrm>
          <a:off x="100584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36" name="AutoShape 46">
          <a:extLst>
            <a:ext uri="{FF2B5EF4-FFF2-40B4-BE49-F238E27FC236}">
              <a16:creationId xmlns:a16="http://schemas.microsoft.com/office/drawing/2014/main" id="{0514E740-2E45-4BCA-9DAB-BA1B515E8768}"/>
            </a:ext>
          </a:extLst>
        </xdr:cNvPr>
        <xdr:cNvSpPr>
          <a:spLocks noChangeArrowheads="1"/>
        </xdr:cNvSpPr>
      </xdr:nvSpPr>
      <xdr:spPr bwMode="auto">
        <a:xfrm>
          <a:off x="109855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37" name="AutoShape 46">
          <a:extLst>
            <a:ext uri="{FF2B5EF4-FFF2-40B4-BE49-F238E27FC236}">
              <a16:creationId xmlns:a16="http://schemas.microsoft.com/office/drawing/2014/main" id="{EB1BFC96-6F03-4B1C-A8EA-4B9D35CFB10D}"/>
            </a:ext>
          </a:extLst>
        </xdr:cNvPr>
        <xdr:cNvSpPr>
          <a:spLocks noChangeArrowheads="1"/>
        </xdr:cNvSpPr>
      </xdr:nvSpPr>
      <xdr:spPr bwMode="auto">
        <a:xfrm>
          <a:off x="11912600" y="62433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38" name="AutoShape 46">
          <a:extLst>
            <a:ext uri="{FF2B5EF4-FFF2-40B4-BE49-F238E27FC236}">
              <a16:creationId xmlns:a16="http://schemas.microsoft.com/office/drawing/2014/main" id="{211C4DCF-301C-4226-BCA1-666F1A444B52}"/>
            </a:ext>
          </a:extLst>
        </xdr:cNvPr>
        <xdr:cNvSpPr>
          <a:spLocks noChangeArrowheads="1"/>
        </xdr:cNvSpPr>
      </xdr:nvSpPr>
      <xdr:spPr bwMode="auto">
        <a:xfrm>
          <a:off x="1289685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39" name="AutoShape 46">
          <a:extLst>
            <a:ext uri="{FF2B5EF4-FFF2-40B4-BE49-F238E27FC236}">
              <a16:creationId xmlns:a16="http://schemas.microsoft.com/office/drawing/2014/main" id="{32EFF383-CD99-44A6-9925-0D54C4B926A2}"/>
            </a:ext>
          </a:extLst>
        </xdr:cNvPr>
        <xdr:cNvSpPr>
          <a:spLocks noChangeArrowheads="1"/>
        </xdr:cNvSpPr>
      </xdr:nvSpPr>
      <xdr:spPr bwMode="auto">
        <a:xfrm>
          <a:off x="82042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40" name="AutoShape 46">
          <a:extLst>
            <a:ext uri="{FF2B5EF4-FFF2-40B4-BE49-F238E27FC236}">
              <a16:creationId xmlns:a16="http://schemas.microsoft.com/office/drawing/2014/main" id="{C9A26B1B-2A9B-49B5-963E-ADF8A2930B53}"/>
            </a:ext>
          </a:extLst>
        </xdr:cNvPr>
        <xdr:cNvSpPr>
          <a:spLocks noChangeArrowheads="1"/>
        </xdr:cNvSpPr>
      </xdr:nvSpPr>
      <xdr:spPr bwMode="auto">
        <a:xfrm>
          <a:off x="91313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41" name="AutoShape 46">
          <a:extLst>
            <a:ext uri="{FF2B5EF4-FFF2-40B4-BE49-F238E27FC236}">
              <a16:creationId xmlns:a16="http://schemas.microsoft.com/office/drawing/2014/main" id="{32BF7EC0-9F68-4D31-A1B3-BA1209623742}"/>
            </a:ext>
          </a:extLst>
        </xdr:cNvPr>
        <xdr:cNvSpPr>
          <a:spLocks noChangeArrowheads="1"/>
        </xdr:cNvSpPr>
      </xdr:nvSpPr>
      <xdr:spPr bwMode="auto">
        <a:xfrm>
          <a:off x="100584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42" name="AutoShape 46">
          <a:extLst>
            <a:ext uri="{FF2B5EF4-FFF2-40B4-BE49-F238E27FC236}">
              <a16:creationId xmlns:a16="http://schemas.microsoft.com/office/drawing/2014/main" id="{54A4E62D-053A-4DCE-AAF5-2D3722847863}"/>
            </a:ext>
          </a:extLst>
        </xdr:cNvPr>
        <xdr:cNvSpPr>
          <a:spLocks noChangeArrowheads="1"/>
        </xdr:cNvSpPr>
      </xdr:nvSpPr>
      <xdr:spPr bwMode="auto">
        <a:xfrm>
          <a:off x="109855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43" name="AutoShape 46">
          <a:extLst>
            <a:ext uri="{FF2B5EF4-FFF2-40B4-BE49-F238E27FC236}">
              <a16:creationId xmlns:a16="http://schemas.microsoft.com/office/drawing/2014/main" id="{1101E31F-4F42-4295-AEDD-37D853D5E33F}"/>
            </a:ext>
          </a:extLst>
        </xdr:cNvPr>
        <xdr:cNvSpPr>
          <a:spLocks noChangeArrowheads="1"/>
        </xdr:cNvSpPr>
      </xdr:nvSpPr>
      <xdr:spPr bwMode="auto">
        <a:xfrm>
          <a:off x="11912600" y="62433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44" name="AutoShape 46">
          <a:extLst>
            <a:ext uri="{FF2B5EF4-FFF2-40B4-BE49-F238E27FC236}">
              <a16:creationId xmlns:a16="http://schemas.microsoft.com/office/drawing/2014/main" id="{EA403F75-3A97-4987-A7BE-63028DC2F8DB}"/>
            </a:ext>
          </a:extLst>
        </xdr:cNvPr>
        <xdr:cNvSpPr>
          <a:spLocks noChangeArrowheads="1"/>
        </xdr:cNvSpPr>
      </xdr:nvSpPr>
      <xdr:spPr bwMode="auto">
        <a:xfrm>
          <a:off x="1289685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45" name="AutoShape 46">
          <a:extLst>
            <a:ext uri="{FF2B5EF4-FFF2-40B4-BE49-F238E27FC236}">
              <a16:creationId xmlns:a16="http://schemas.microsoft.com/office/drawing/2014/main" id="{16D80797-EEC2-47A2-8B38-4B8A0C902B2F}"/>
            </a:ext>
          </a:extLst>
        </xdr:cNvPr>
        <xdr:cNvSpPr>
          <a:spLocks noChangeArrowheads="1"/>
        </xdr:cNvSpPr>
      </xdr:nvSpPr>
      <xdr:spPr bwMode="auto">
        <a:xfrm>
          <a:off x="82042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46" name="AutoShape 46">
          <a:extLst>
            <a:ext uri="{FF2B5EF4-FFF2-40B4-BE49-F238E27FC236}">
              <a16:creationId xmlns:a16="http://schemas.microsoft.com/office/drawing/2014/main" id="{BCAEC088-8799-47F8-8089-5CF07E4FE758}"/>
            </a:ext>
          </a:extLst>
        </xdr:cNvPr>
        <xdr:cNvSpPr>
          <a:spLocks noChangeArrowheads="1"/>
        </xdr:cNvSpPr>
      </xdr:nvSpPr>
      <xdr:spPr bwMode="auto">
        <a:xfrm>
          <a:off x="91313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47" name="AutoShape 46">
          <a:extLst>
            <a:ext uri="{FF2B5EF4-FFF2-40B4-BE49-F238E27FC236}">
              <a16:creationId xmlns:a16="http://schemas.microsoft.com/office/drawing/2014/main" id="{46244E80-42D9-4E78-A22B-112389941EAD}"/>
            </a:ext>
          </a:extLst>
        </xdr:cNvPr>
        <xdr:cNvSpPr>
          <a:spLocks noChangeArrowheads="1"/>
        </xdr:cNvSpPr>
      </xdr:nvSpPr>
      <xdr:spPr bwMode="auto">
        <a:xfrm>
          <a:off x="100584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48" name="AutoShape 46">
          <a:extLst>
            <a:ext uri="{FF2B5EF4-FFF2-40B4-BE49-F238E27FC236}">
              <a16:creationId xmlns:a16="http://schemas.microsoft.com/office/drawing/2014/main" id="{422FC309-C849-49F2-A51F-E38C168B3ADF}"/>
            </a:ext>
          </a:extLst>
        </xdr:cNvPr>
        <xdr:cNvSpPr>
          <a:spLocks noChangeArrowheads="1"/>
        </xdr:cNvSpPr>
      </xdr:nvSpPr>
      <xdr:spPr bwMode="auto">
        <a:xfrm>
          <a:off x="109855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49" name="AutoShape 46">
          <a:extLst>
            <a:ext uri="{FF2B5EF4-FFF2-40B4-BE49-F238E27FC236}">
              <a16:creationId xmlns:a16="http://schemas.microsoft.com/office/drawing/2014/main" id="{B1DD3FE4-BA7F-4083-8B85-2066F362E737}"/>
            </a:ext>
          </a:extLst>
        </xdr:cNvPr>
        <xdr:cNvSpPr>
          <a:spLocks noChangeArrowheads="1"/>
        </xdr:cNvSpPr>
      </xdr:nvSpPr>
      <xdr:spPr bwMode="auto">
        <a:xfrm>
          <a:off x="11912600" y="62433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50" name="AutoShape 46">
          <a:extLst>
            <a:ext uri="{FF2B5EF4-FFF2-40B4-BE49-F238E27FC236}">
              <a16:creationId xmlns:a16="http://schemas.microsoft.com/office/drawing/2014/main" id="{A3C3EC27-3118-4433-8A71-A4873B012248}"/>
            </a:ext>
          </a:extLst>
        </xdr:cNvPr>
        <xdr:cNvSpPr>
          <a:spLocks noChangeArrowheads="1"/>
        </xdr:cNvSpPr>
      </xdr:nvSpPr>
      <xdr:spPr bwMode="auto">
        <a:xfrm>
          <a:off x="1289685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260</xdr:row>
      <xdr:rowOff>57150</xdr:rowOff>
    </xdr:from>
    <xdr:to>
      <xdr:col>2</xdr:col>
      <xdr:colOff>0</xdr:colOff>
      <xdr:row>261</xdr:row>
      <xdr:rowOff>190500</xdr:rowOff>
    </xdr:to>
    <xdr:sp macro="" textlink="">
      <xdr:nvSpPr>
        <xdr:cNvPr id="851" name="AutoShape 46">
          <a:extLst>
            <a:ext uri="{FF2B5EF4-FFF2-40B4-BE49-F238E27FC236}">
              <a16:creationId xmlns:a16="http://schemas.microsoft.com/office/drawing/2014/main" id="{4CF8BF7D-05DC-4179-ABDE-0E4D2CB3DB2E}"/>
            </a:ext>
          </a:extLst>
        </xdr:cNvPr>
        <xdr:cNvSpPr>
          <a:spLocks noChangeArrowheads="1"/>
        </xdr:cNvSpPr>
      </xdr:nvSpPr>
      <xdr:spPr bwMode="auto">
        <a:xfrm>
          <a:off x="6096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260</xdr:row>
      <xdr:rowOff>57150</xdr:rowOff>
    </xdr:from>
    <xdr:to>
      <xdr:col>4</xdr:col>
      <xdr:colOff>0</xdr:colOff>
      <xdr:row>261</xdr:row>
      <xdr:rowOff>190500</xdr:rowOff>
    </xdr:to>
    <xdr:sp macro="" textlink="">
      <xdr:nvSpPr>
        <xdr:cNvPr id="852" name="AutoShape 46">
          <a:extLst>
            <a:ext uri="{FF2B5EF4-FFF2-40B4-BE49-F238E27FC236}">
              <a16:creationId xmlns:a16="http://schemas.microsoft.com/office/drawing/2014/main" id="{5C2C97E9-E393-441D-93EE-B8FE7C973D7A}"/>
            </a:ext>
          </a:extLst>
        </xdr:cNvPr>
        <xdr:cNvSpPr>
          <a:spLocks noChangeArrowheads="1"/>
        </xdr:cNvSpPr>
      </xdr:nvSpPr>
      <xdr:spPr bwMode="auto">
        <a:xfrm>
          <a:off x="1536700" y="64325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260</xdr:row>
      <xdr:rowOff>57150</xdr:rowOff>
    </xdr:from>
    <xdr:to>
      <xdr:col>6</xdr:col>
      <xdr:colOff>0</xdr:colOff>
      <xdr:row>261</xdr:row>
      <xdr:rowOff>190500</xdr:rowOff>
    </xdr:to>
    <xdr:sp macro="" textlink="">
      <xdr:nvSpPr>
        <xdr:cNvPr id="853" name="AutoShape 46">
          <a:extLst>
            <a:ext uri="{FF2B5EF4-FFF2-40B4-BE49-F238E27FC236}">
              <a16:creationId xmlns:a16="http://schemas.microsoft.com/office/drawing/2014/main" id="{73DAB60D-BD14-4BC8-960F-4C3589CEC471}"/>
            </a:ext>
          </a:extLst>
        </xdr:cNvPr>
        <xdr:cNvSpPr>
          <a:spLocks noChangeArrowheads="1"/>
        </xdr:cNvSpPr>
      </xdr:nvSpPr>
      <xdr:spPr bwMode="auto">
        <a:xfrm>
          <a:off x="2520950" y="643255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260</xdr:row>
      <xdr:rowOff>57150</xdr:rowOff>
    </xdr:from>
    <xdr:to>
      <xdr:col>8</xdr:col>
      <xdr:colOff>0</xdr:colOff>
      <xdr:row>261</xdr:row>
      <xdr:rowOff>190500</xdr:rowOff>
    </xdr:to>
    <xdr:sp macro="" textlink="">
      <xdr:nvSpPr>
        <xdr:cNvPr id="854" name="AutoShape 46">
          <a:extLst>
            <a:ext uri="{FF2B5EF4-FFF2-40B4-BE49-F238E27FC236}">
              <a16:creationId xmlns:a16="http://schemas.microsoft.com/office/drawing/2014/main" id="{90DC1959-C67A-47DC-99AD-848D8C27160B}"/>
            </a:ext>
          </a:extLst>
        </xdr:cNvPr>
        <xdr:cNvSpPr>
          <a:spLocks noChangeArrowheads="1"/>
        </xdr:cNvSpPr>
      </xdr:nvSpPr>
      <xdr:spPr bwMode="auto">
        <a:xfrm>
          <a:off x="3498850" y="643255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260</xdr:row>
      <xdr:rowOff>57150</xdr:rowOff>
    </xdr:from>
    <xdr:to>
      <xdr:col>10</xdr:col>
      <xdr:colOff>0</xdr:colOff>
      <xdr:row>261</xdr:row>
      <xdr:rowOff>190500</xdr:rowOff>
    </xdr:to>
    <xdr:sp macro="" textlink="">
      <xdr:nvSpPr>
        <xdr:cNvPr id="855" name="AutoShape 46">
          <a:extLst>
            <a:ext uri="{FF2B5EF4-FFF2-40B4-BE49-F238E27FC236}">
              <a16:creationId xmlns:a16="http://schemas.microsoft.com/office/drawing/2014/main" id="{F87FC774-E5C7-4154-BCB6-65B1F7C7BB1E}"/>
            </a:ext>
          </a:extLst>
        </xdr:cNvPr>
        <xdr:cNvSpPr>
          <a:spLocks noChangeArrowheads="1"/>
        </xdr:cNvSpPr>
      </xdr:nvSpPr>
      <xdr:spPr bwMode="auto">
        <a:xfrm>
          <a:off x="44958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260</xdr:row>
      <xdr:rowOff>57150</xdr:rowOff>
    </xdr:from>
    <xdr:to>
      <xdr:col>12</xdr:col>
      <xdr:colOff>0</xdr:colOff>
      <xdr:row>261</xdr:row>
      <xdr:rowOff>190500</xdr:rowOff>
    </xdr:to>
    <xdr:sp macro="" textlink="">
      <xdr:nvSpPr>
        <xdr:cNvPr id="856" name="AutoShape 46">
          <a:extLst>
            <a:ext uri="{FF2B5EF4-FFF2-40B4-BE49-F238E27FC236}">
              <a16:creationId xmlns:a16="http://schemas.microsoft.com/office/drawing/2014/main" id="{E2B179BF-0F8C-4A7D-92E6-4ED391754131}"/>
            </a:ext>
          </a:extLst>
        </xdr:cNvPr>
        <xdr:cNvSpPr>
          <a:spLocks noChangeArrowheads="1"/>
        </xdr:cNvSpPr>
      </xdr:nvSpPr>
      <xdr:spPr bwMode="auto">
        <a:xfrm>
          <a:off x="54229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260</xdr:row>
      <xdr:rowOff>57150</xdr:rowOff>
    </xdr:from>
    <xdr:to>
      <xdr:col>14</xdr:col>
      <xdr:colOff>0</xdr:colOff>
      <xdr:row>261</xdr:row>
      <xdr:rowOff>190500</xdr:rowOff>
    </xdr:to>
    <xdr:sp macro="" textlink="">
      <xdr:nvSpPr>
        <xdr:cNvPr id="857" name="AutoShape 46">
          <a:extLst>
            <a:ext uri="{FF2B5EF4-FFF2-40B4-BE49-F238E27FC236}">
              <a16:creationId xmlns:a16="http://schemas.microsoft.com/office/drawing/2014/main" id="{689371C7-D52A-41BD-9351-CF06F6FA2963}"/>
            </a:ext>
          </a:extLst>
        </xdr:cNvPr>
        <xdr:cNvSpPr>
          <a:spLocks noChangeArrowheads="1"/>
        </xdr:cNvSpPr>
      </xdr:nvSpPr>
      <xdr:spPr bwMode="auto">
        <a:xfrm>
          <a:off x="63500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260</xdr:row>
      <xdr:rowOff>57150</xdr:rowOff>
    </xdr:from>
    <xdr:to>
      <xdr:col>16</xdr:col>
      <xdr:colOff>0</xdr:colOff>
      <xdr:row>261</xdr:row>
      <xdr:rowOff>190500</xdr:rowOff>
    </xdr:to>
    <xdr:sp macro="" textlink="">
      <xdr:nvSpPr>
        <xdr:cNvPr id="858" name="AutoShape 46">
          <a:extLst>
            <a:ext uri="{FF2B5EF4-FFF2-40B4-BE49-F238E27FC236}">
              <a16:creationId xmlns:a16="http://schemas.microsoft.com/office/drawing/2014/main" id="{DC740F1D-AE2F-4079-BA51-A072FB72A3EE}"/>
            </a:ext>
          </a:extLst>
        </xdr:cNvPr>
        <xdr:cNvSpPr>
          <a:spLocks noChangeArrowheads="1"/>
        </xdr:cNvSpPr>
      </xdr:nvSpPr>
      <xdr:spPr bwMode="auto">
        <a:xfrm>
          <a:off x="72771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260</xdr:row>
      <xdr:rowOff>57150</xdr:rowOff>
    </xdr:from>
    <xdr:to>
      <xdr:col>16</xdr:col>
      <xdr:colOff>0</xdr:colOff>
      <xdr:row>261</xdr:row>
      <xdr:rowOff>190500</xdr:rowOff>
    </xdr:to>
    <xdr:sp macro="" textlink="">
      <xdr:nvSpPr>
        <xdr:cNvPr id="859" name="AutoShape 46">
          <a:extLst>
            <a:ext uri="{FF2B5EF4-FFF2-40B4-BE49-F238E27FC236}">
              <a16:creationId xmlns:a16="http://schemas.microsoft.com/office/drawing/2014/main" id="{8D2A9321-0DA6-4220-B425-9F84FBCAA58C}"/>
            </a:ext>
          </a:extLst>
        </xdr:cNvPr>
        <xdr:cNvSpPr>
          <a:spLocks noChangeArrowheads="1"/>
        </xdr:cNvSpPr>
      </xdr:nvSpPr>
      <xdr:spPr bwMode="auto">
        <a:xfrm>
          <a:off x="72771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60" name="AutoShape 46">
          <a:extLst>
            <a:ext uri="{FF2B5EF4-FFF2-40B4-BE49-F238E27FC236}">
              <a16:creationId xmlns:a16="http://schemas.microsoft.com/office/drawing/2014/main" id="{57368C1C-B6E4-4B3B-B468-D04B619B4D49}"/>
            </a:ext>
          </a:extLst>
        </xdr:cNvPr>
        <xdr:cNvSpPr>
          <a:spLocks noChangeArrowheads="1"/>
        </xdr:cNvSpPr>
      </xdr:nvSpPr>
      <xdr:spPr bwMode="auto">
        <a:xfrm>
          <a:off x="82042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61" name="AutoShape 46">
          <a:extLst>
            <a:ext uri="{FF2B5EF4-FFF2-40B4-BE49-F238E27FC236}">
              <a16:creationId xmlns:a16="http://schemas.microsoft.com/office/drawing/2014/main" id="{73FF8485-4EF0-4ADE-97F1-F09D10535E05}"/>
            </a:ext>
          </a:extLst>
        </xdr:cNvPr>
        <xdr:cNvSpPr>
          <a:spLocks noChangeArrowheads="1"/>
        </xdr:cNvSpPr>
      </xdr:nvSpPr>
      <xdr:spPr bwMode="auto">
        <a:xfrm>
          <a:off x="91313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62" name="AutoShape 46">
          <a:extLst>
            <a:ext uri="{FF2B5EF4-FFF2-40B4-BE49-F238E27FC236}">
              <a16:creationId xmlns:a16="http://schemas.microsoft.com/office/drawing/2014/main" id="{73569D8F-BDF3-4A73-9D66-F9DD4F2523AE}"/>
            </a:ext>
          </a:extLst>
        </xdr:cNvPr>
        <xdr:cNvSpPr>
          <a:spLocks noChangeArrowheads="1"/>
        </xdr:cNvSpPr>
      </xdr:nvSpPr>
      <xdr:spPr bwMode="auto">
        <a:xfrm>
          <a:off x="100584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63" name="AutoShape 46">
          <a:extLst>
            <a:ext uri="{FF2B5EF4-FFF2-40B4-BE49-F238E27FC236}">
              <a16:creationId xmlns:a16="http://schemas.microsoft.com/office/drawing/2014/main" id="{D8D67312-4C5F-4DC1-A2CC-B8CC90CF6044}"/>
            </a:ext>
          </a:extLst>
        </xdr:cNvPr>
        <xdr:cNvSpPr>
          <a:spLocks noChangeArrowheads="1"/>
        </xdr:cNvSpPr>
      </xdr:nvSpPr>
      <xdr:spPr bwMode="auto">
        <a:xfrm>
          <a:off x="109855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64" name="AutoShape 46">
          <a:extLst>
            <a:ext uri="{FF2B5EF4-FFF2-40B4-BE49-F238E27FC236}">
              <a16:creationId xmlns:a16="http://schemas.microsoft.com/office/drawing/2014/main" id="{E4EA1FCA-0AFB-4B02-93C7-DD152CB46B35}"/>
            </a:ext>
          </a:extLst>
        </xdr:cNvPr>
        <xdr:cNvSpPr>
          <a:spLocks noChangeArrowheads="1"/>
        </xdr:cNvSpPr>
      </xdr:nvSpPr>
      <xdr:spPr bwMode="auto">
        <a:xfrm>
          <a:off x="11912600" y="64325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65" name="AutoShape 46">
          <a:extLst>
            <a:ext uri="{FF2B5EF4-FFF2-40B4-BE49-F238E27FC236}">
              <a16:creationId xmlns:a16="http://schemas.microsoft.com/office/drawing/2014/main" id="{3984491C-127B-4102-8603-DDD255937FAC}"/>
            </a:ext>
          </a:extLst>
        </xdr:cNvPr>
        <xdr:cNvSpPr>
          <a:spLocks noChangeArrowheads="1"/>
        </xdr:cNvSpPr>
      </xdr:nvSpPr>
      <xdr:spPr bwMode="auto">
        <a:xfrm>
          <a:off x="1289685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66" name="AutoShape 46">
          <a:extLst>
            <a:ext uri="{FF2B5EF4-FFF2-40B4-BE49-F238E27FC236}">
              <a16:creationId xmlns:a16="http://schemas.microsoft.com/office/drawing/2014/main" id="{7DE28E30-A64C-4D04-9D6D-53FF3F678177}"/>
            </a:ext>
          </a:extLst>
        </xdr:cNvPr>
        <xdr:cNvSpPr>
          <a:spLocks noChangeArrowheads="1"/>
        </xdr:cNvSpPr>
      </xdr:nvSpPr>
      <xdr:spPr bwMode="auto">
        <a:xfrm>
          <a:off x="82042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67" name="AutoShape 46">
          <a:extLst>
            <a:ext uri="{FF2B5EF4-FFF2-40B4-BE49-F238E27FC236}">
              <a16:creationId xmlns:a16="http://schemas.microsoft.com/office/drawing/2014/main" id="{890DB6B9-CA57-44F9-A54D-218D7B3D2831}"/>
            </a:ext>
          </a:extLst>
        </xdr:cNvPr>
        <xdr:cNvSpPr>
          <a:spLocks noChangeArrowheads="1"/>
        </xdr:cNvSpPr>
      </xdr:nvSpPr>
      <xdr:spPr bwMode="auto">
        <a:xfrm>
          <a:off x="91313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68" name="AutoShape 46">
          <a:extLst>
            <a:ext uri="{FF2B5EF4-FFF2-40B4-BE49-F238E27FC236}">
              <a16:creationId xmlns:a16="http://schemas.microsoft.com/office/drawing/2014/main" id="{2269DA8D-F3EE-4E3E-9E68-8E4CC8B12265}"/>
            </a:ext>
          </a:extLst>
        </xdr:cNvPr>
        <xdr:cNvSpPr>
          <a:spLocks noChangeArrowheads="1"/>
        </xdr:cNvSpPr>
      </xdr:nvSpPr>
      <xdr:spPr bwMode="auto">
        <a:xfrm>
          <a:off x="100584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69" name="AutoShape 46">
          <a:extLst>
            <a:ext uri="{FF2B5EF4-FFF2-40B4-BE49-F238E27FC236}">
              <a16:creationId xmlns:a16="http://schemas.microsoft.com/office/drawing/2014/main" id="{88920C37-EE21-44D1-A1EA-5C8BBE9B4764}"/>
            </a:ext>
          </a:extLst>
        </xdr:cNvPr>
        <xdr:cNvSpPr>
          <a:spLocks noChangeArrowheads="1"/>
        </xdr:cNvSpPr>
      </xdr:nvSpPr>
      <xdr:spPr bwMode="auto">
        <a:xfrm>
          <a:off x="109855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70" name="AutoShape 46">
          <a:extLst>
            <a:ext uri="{FF2B5EF4-FFF2-40B4-BE49-F238E27FC236}">
              <a16:creationId xmlns:a16="http://schemas.microsoft.com/office/drawing/2014/main" id="{99D61C8D-40F0-4EE6-B173-DB9C526C3603}"/>
            </a:ext>
          </a:extLst>
        </xdr:cNvPr>
        <xdr:cNvSpPr>
          <a:spLocks noChangeArrowheads="1"/>
        </xdr:cNvSpPr>
      </xdr:nvSpPr>
      <xdr:spPr bwMode="auto">
        <a:xfrm>
          <a:off x="11912600" y="643255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71" name="AutoShape 46">
          <a:extLst>
            <a:ext uri="{FF2B5EF4-FFF2-40B4-BE49-F238E27FC236}">
              <a16:creationId xmlns:a16="http://schemas.microsoft.com/office/drawing/2014/main" id="{CF736E9E-DBC0-4C17-AFC7-2AA255395DCE}"/>
            </a:ext>
          </a:extLst>
        </xdr:cNvPr>
        <xdr:cNvSpPr>
          <a:spLocks noChangeArrowheads="1"/>
        </xdr:cNvSpPr>
      </xdr:nvSpPr>
      <xdr:spPr bwMode="auto">
        <a:xfrm>
          <a:off x="1289685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72" name="AutoShape 46">
          <a:extLst>
            <a:ext uri="{FF2B5EF4-FFF2-40B4-BE49-F238E27FC236}">
              <a16:creationId xmlns:a16="http://schemas.microsoft.com/office/drawing/2014/main" id="{87B94814-EA67-45D4-88B7-373353F87517}"/>
            </a:ext>
          </a:extLst>
        </xdr:cNvPr>
        <xdr:cNvSpPr>
          <a:spLocks noChangeArrowheads="1"/>
        </xdr:cNvSpPr>
      </xdr:nvSpPr>
      <xdr:spPr bwMode="auto">
        <a:xfrm>
          <a:off x="82042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73" name="AutoShape 46">
          <a:extLst>
            <a:ext uri="{FF2B5EF4-FFF2-40B4-BE49-F238E27FC236}">
              <a16:creationId xmlns:a16="http://schemas.microsoft.com/office/drawing/2014/main" id="{2D7A34FC-0D8A-4C18-B182-11FECB7E53E5}"/>
            </a:ext>
          </a:extLst>
        </xdr:cNvPr>
        <xdr:cNvSpPr>
          <a:spLocks noChangeArrowheads="1"/>
        </xdr:cNvSpPr>
      </xdr:nvSpPr>
      <xdr:spPr bwMode="auto">
        <a:xfrm>
          <a:off x="91313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74" name="AutoShape 46">
          <a:extLst>
            <a:ext uri="{FF2B5EF4-FFF2-40B4-BE49-F238E27FC236}">
              <a16:creationId xmlns:a16="http://schemas.microsoft.com/office/drawing/2014/main" id="{149A7DA7-99DE-4928-A940-554A745C30B8}"/>
            </a:ext>
          </a:extLst>
        </xdr:cNvPr>
        <xdr:cNvSpPr>
          <a:spLocks noChangeArrowheads="1"/>
        </xdr:cNvSpPr>
      </xdr:nvSpPr>
      <xdr:spPr bwMode="auto">
        <a:xfrm>
          <a:off x="100584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75" name="AutoShape 46">
          <a:extLst>
            <a:ext uri="{FF2B5EF4-FFF2-40B4-BE49-F238E27FC236}">
              <a16:creationId xmlns:a16="http://schemas.microsoft.com/office/drawing/2014/main" id="{BDB0CCAE-B1FB-464D-A3DA-A5C827DE1D2A}"/>
            </a:ext>
          </a:extLst>
        </xdr:cNvPr>
        <xdr:cNvSpPr>
          <a:spLocks noChangeArrowheads="1"/>
        </xdr:cNvSpPr>
      </xdr:nvSpPr>
      <xdr:spPr bwMode="auto">
        <a:xfrm>
          <a:off x="109855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76" name="AutoShape 46">
          <a:extLst>
            <a:ext uri="{FF2B5EF4-FFF2-40B4-BE49-F238E27FC236}">
              <a16:creationId xmlns:a16="http://schemas.microsoft.com/office/drawing/2014/main" id="{BCEDFACD-DC32-4069-896B-61F697DA761B}"/>
            </a:ext>
          </a:extLst>
        </xdr:cNvPr>
        <xdr:cNvSpPr>
          <a:spLocks noChangeArrowheads="1"/>
        </xdr:cNvSpPr>
      </xdr:nvSpPr>
      <xdr:spPr bwMode="auto">
        <a:xfrm>
          <a:off x="11912600" y="64325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77" name="AutoShape 46">
          <a:extLst>
            <a:ext uri="{FF2B5EF4-FFF2-40B4-BE49-F238E27FC236}">
              <a16:creationId xmlns:a16="http://schemas.microsoft.com/office/drawing/2014/main" id="{525CEAAC-FBE0-4371-A093-B5FF8007949A}"/>
            </a:ext>
          </a:extLst>
        </xdr:cNvPr>
        <xdr:cNvSpPr>
          <a:spLocks noChangeArrowheads="1"/>
        </xdr:cNvSpPr>
      </xdr:nvSpPr>
      <xdr:spPr bwMode="auto">
        <a:xfrm>
          <a:off x="1289685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268</xdr:row>
      <xdr:rowOff>57150</xdr:rowOff>
    </xdr:from>
    <xdr:to>
      <xdr:col>2</xdr:col>
      <xdr:colOff>0</xdr:colOff>
      <xdr:row>269</xdr:row>
      <xdr:rowOff>190500</xdr:rowOff>
    </xdr:to>
    <xdr:sp macro="" textlink="">
      <xdr:nvSpPr>
        <xdr:cNvPr id="878" name="AutoShape 46">
          <a:extLst>
            <a:ext uri="{FF2B5EF4-FFF2-40B4-BE49-F238E27FC236}">
              <a16:creationId xmlns:a16="http://schemas.microsoft.com/office/drawing/2014/main" id="{438DED7C-D153-44A8-80D3-E56F1180ABF1}"/>
            </a:ext>
          </a:extLst>
        </xdr:cNvPr>
        <xdr:cNvSpPr>
          <a:spLocks noChangeArrowheads="1"/>
        </xdr:cNvSpPr>
      </xdr:nvSpPr>
      <xdr:spPr bwMode="auto">
        <a:xfrm>
          <a:off x="6096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268</xdr:row>
      <xdr:rowOff>57150</xdr:rowOff>
    </xdr:from>
    <xdr:to>
      <xdr:col>4</xdr:col>
      <xdr:colOff>0</xdr:colOff>
      <xdr:row>269</xdr:row>
      <xdr:rowOff>190500</xdr:rowOff>
    </xdr:to>
    <xdr:sp macro="" textlink="">
      <xdr:nvSpPr>
        <xdr:cNvPr id="879" name="AutoShape 46">
          <a:extLst>
            <a:ext uri="{FF2B5EF4-FFF2-40B4-BE49-F238E27FC236}">
              <a16:creationId xmlns:a16="http://schemas.microsoft.com/office/drawing/2014/main" id="{08CA60A2-FBB0-4B60-BFF9-3C02A50C30DB}"/>
            </a:ext>
          </a:extLst>
        </xdr:cNvPr>
        <xdr:cNvSpPr>
          <a:spLocks noChangeArrowheads="1"/>
        </xdr:cNvSpPr>
      </xdr:nvSpPr>
      <xdr:spPr bwMode="auto">
        <a:xfrm>
          <a:off x="1536700" y="66217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268</xdr:row>
      <xdr:rowOff>57150</xdr:rowOff>
    </xdr:from>
    <xdr:to>
      <xdr:col>6</xdr:col>
      <xdr:colOff>0</xdr:colOff>
      <xdr:row>269</xdr:row>
      <xdr:rowOff>190500</xdr:rowOff>
    </xdr:to>
    <xdr:sp macro="" textlink="">
      <xdr:nvSpPr>
        <xdr:cNvPr id="880" name="AutoShape 46">
          <a:extLst>
            <a:ext uri="{FF2B5EF4-FFF2-40B4-BE49-F238E27FC236}">
              <a16:creationId xmlns:a16="http://schemas.microsoft.com/office/drawing/2014/main" id="{57B677D4-9CF2-4C13-87AA-471FD9C11016}"/>
            </a:ext>
          </a:extLst>
        </xdr:cNvPr>
        <xdr:cNvSpPr>
          <a:spLocks noChangeArrowheads="1"/>
        </xdr:cNvSpPr>
      </xdr:nvSpPr>
      <xdr:spPr bwMode="auto">
        <a:xfrm>
          <a:off x="2520950" y="66217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268</xdr:row>
      <xdr:rowOff>57150</xdr:rowOff>
    </xdr:from>
    <xdr:to>
      <xdr:col>8</xdr:col>
      <xdr:colOff>0</xdr:colOff>
      <xdr:row>269</xdr:row>
      <xdr:rowOff>190500</xdr:rowOff>
    </xdr:to>
    <xdr:sp macro="" textlink="">
      <xdr:nvSpPr>
        <xdr:cNvPr id="881" name="AutoShape 46">
          <a:extLst>
            <a:ext uri="{FF2B5EF4-FFF2-40B4-BE49-F238E27FC236}">
              <a16:creationId xmlns:a16="http://schemas.microsoft.com/office/drawing/2014/main" id="{C8C2B658-78ED-4846-A96F-D3F412140931}"/>
            </a:ext>
          </a:extLst>
        </xdr:cNvPr>
        <xdr:cNvSpPr>
          <a:spLocks noChangeArrowheads="1"/>
        </xdr:cNvSpPr>
      </xdr:nvSpPr>
      <xdr:spPr bwMode="auto">
        <a:xfrm>
          <a:off x="3498850" y="66217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268</xdr:row>
      <xdr:rowOff>57150</xdr:rowOff>
    </xdr:from>
    <xdr:to>
      <xdr:col>10</xdr:col>
      <xdr:colOff>0</xdr:colOff>
      <xdr:row>269</xdr:row>
      <xdr:rowOff>190500</xdr:rowOff>
    </xdr:to>
    <xdr:sp macro="" textlink="">
      <xdr:nvSpPr>
        <xdr:cNvPr id="882" name="AutoShape 46">
          <a:extLst>
            <a:ext uri="{FF2B5EF4-FFF2-40B4-BE49-F238E27FC236}">
              <a16:creationId xmlns:a16="http://schemas.microsoft.com/office/drawing/2014/main" id="{5596DE19-E95A-4384-ADF3-3E696F4A73FB}"/>
            </a:ext>
          </a:extLst>
        </xdr:cNvPr>
        <xdr:cNvSpPr>
          <a:spLocks noChangeArrowheads="1"/>
        </xdr:cNvSpPr>
      </xdr:nvSpPr>
      <xdr:spPr bwMode="auto">
        <a:xfrm>
          <a:off x="44958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268</xdr:row>
      <xdr:rowOff>57150</xdr:rowOff>
    </xdr:from>
    <xdr:to>
      <xdr:col>12</xdr:col>
      <xdr:colOff>0</xdr:colOff>
      <xdr:row>269</xdr:row>
      <xdr:rowOff>190500</xdr:rowOff>
    </xdr:to>
    <xdr:sp macro="" textlink="">
      <xdr:nvSpPr>
        <xdr:cNvPr id="883" name="AutoShape 46">
          <a:extLst>
            <a:ext uri="{FF2B5EF4-FFF2-40B4-BE49-F238E27FC236}">
              <a16:creationId xmlns:a16="http://schemas.microsoft.com/office/drawing/2014/main" id="{CCE9A656-CFEB-4D4E-9EE3-7D790FF9ED9D}"/>
            </a:ext>
          </a:extLst>
        </xdr:cNvPr>
        <xdr:cNvSpPr>
          <a:spLocks noChangeArrowheads="1"/>
        </xdr:cNvSpPr>
      </xdr:nvSpPr>
      <xdr:spPr bwMode="auto">
        <a:xfrm>
          <a:off x="54229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268</xdr:row>
      <xdr:rowOff>57150</xdr:rowOff>
    </xdr:from>
    <xdr:to>
      <xdr:col>14</xdr:col>
      <xdr:colOff>0</xdr:colOff>
      <xdr:row>269</xdr:row>
      <xdr:rowOff>190500</xdr:rowOff>
    </xdr:to>
    <xdr:sp macro="" textlink="">
      <xdr:nvSpPr>
        <xdr:cNvPr id="884" name="AutoShape 46">
          <a:extLst>
            <a:ext uri="{FF2B5EF4-FFF2-40B4-BE49-F238E27FC236}">
              <a16:creationId xmlns:a16="http://schemas.microsoft.com/office/drawing/2014/main" id="{7E47ABBC-1C79-495A-908B-24C2003E7DA5}"/>
            </a:ext>
          </a:extLst>
        </xdr:cNvPr>
        <xdr:cNvSpPr>
          <a:spLocks noChangeArrowheads="1"/>
        </xdr:cNvSpPr>
      </xdr:nvSpPr>
      <xdr:spPr bwMode="auto">
        <a:xfrm>
          <a:off x="63500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268</xdr:row>
      <xdr:rowOff>57150</xdr:rowOff>
    </xdr:from>
    <xdr:to>
      <xdr:col>16</xdr:col>
      <xdr:colOff>0</xdr:colOff>
      <xdr:row>269</xdr:row>
      <xdr:rowOff>190500</xdr:rowOff>
    </xdr:to>
    <xdr:sp macro="" textlink="">
      <xdr:nvSpPr>
        <xdr:cNvPr id="885" name="AutoShape 46">
          <a:extLst>
            <a:ext uri="{FF2B5EF4-FFF2-40B4-BE49-F238E27FC236}">
              <a16:creationId xmlns:a16="http://schemas.microsoft.com/office/drawing/2014/main" id="{902ADF6E-44CE-4214-9FB3-83F0A0A02198}"/>
            </a:ext>
          </a:extLst>
        </xdr:cNvPr>
        <xdr:cNvSpPr>
          <a:spLocks noChangeArrowheads="1"/>
        </xdr:cNvSpPr>
      </xdr:nvSpPr>
      <xdr:spPr bwMode="auto">
        <a:xfrm>
          <a:off x="72771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268</xdr:row>
      <xdr:rowOff>57150</xdr:rowOff>
    </xdr:from>
    <xdr:to>
      <xdr:col>16</xdr:col>
      <xdr:colOff>0</xdr:colOff>
      <xdr:row>269</xdr:row>
      <xdr:rowOff>190500</xdr:rowOff>
    </xdr:to>
    <xdr:sp macro="" textlink="">
      <xdr:nvSpPr>
        <xdr:cNvPr id="886" name="AutoShape 46">
          <a:extLst>
            <a:ext uri="{FF2B5EF4-FFF2-40B4-BE49-F238E27FC236}">
              <a16:creationId xmlns:a16="http://schemas.microsoft.com/office/drawing/2014/main" id="{4DC2D660-B4E0-4061-B640-89CC3441C6E5}"/>
            </a:ext>
          </a:extLst>
        </xdr:cNvPr>
        <xdr:cNvSpPr>
          <a:spLocks noChangeArrowheads="1"/>
        </xdr:cNvSpPr>
      </xdr:nvSpPr>
      <xdr:spPr bwMode="auto">
        <a:xfrm>
          <a:off x="72771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271</xdr:row>
      <xdr:rowOff>0</xdr:rowOff>
    </xdr:from>
    <xdr:to>
      <xdr:col>14</xdr:col>
      <xdr:colOff>228600</xdr:colOff>
      <xdr:row>272</xdr:row>
      <xdr:rowOff>0</xdr:rowOff>
    </xdr:to>
    <xdr:grpSp>
      <xdr:nvGrpSpPr>
        <xdr:cNvPr id="887" name="Group 1008">
          <a:extLst>
            <a:ext uri="{FF2B5EF4-FFF2-40B4-BE49-F238E27FC236}">
              <a16:creationId xmlns:a16="http://schemas.microsoft.com/office/drawing/2014/main" id="{A4C9B202-BE2D-495E-B97E-AC8FDD33224A}"/>
            </a:ext>
          </a:extLst>
        </xdr:cNvPr>
        <xdr:cNvGrpSpPr>
          <a:grpSpLocks/>
        </xdr:cNvGrpSpPr>
      </xdr:nvGrpSpPr>
      <xdr:grpSpPr bwMode="auto">
        <a:xfrm>
          <a:off x="7130143" y="56932286"/>
          <a:ext cx="228600" cy="208643"/>
          <a:chOff x="5475762" y="47760700"/>
          <a:chExt cx="314325" cy="230209"/>
        </a:xfrm>
      </xdr:grpSpPr>
      <xdr:cxnSp macro="">
        <xdr:nvCxnSpPr>
          <xdr:cNvPr id="888" name="Straight Connector 887">
            <a:extLst>
              <a:ext uri="{FF2B5EF4-FFF2-40B4-BE49-F238E27FC236}">
                <a16:creationId xmlns:a16="http://schemas.microsoft.com/office/drawing/2014/main" id="{E372442B-3071-3C49-F848-F281B63FC34E}"/>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89" name="Straight Connector 529">
            <a:extLst>
              <a:ext uri="{FF2B5EF4-FFF2-40B4-BE49-F238E27FC236}">
                <a16:creationId xmlns:a16="http://schemas.microsoft.com/office/drawing/2014/main" id="{7BEF936F-3B6D-FCEF-7571-035937AE581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0" name="Straight Connector 531">
            <a:extLst>
              <a:ext uri="{FF2B5EF4-FFF2-40B4-BE49-F238E27FC236}">
                <a16:creationId xmlns:a16="http://schemas.microsoft.com/office/drawing/2014/main" id="{F9EDFA63-5F30-903F-989A-FEB68214C7AB}"/>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1" name="Straight Connector 533">
            <a:extLst>
              <a:ext uri="{FF2B5EF4-FFF2-40B4-BE49-F238E27FC236}">
                <a16:creationId xmlns:a16="http://schemas.microsoft.com/office/drawing/2014/main" id="{CF5BCD3C-DD50-93A7-2AF3-F8D62E3AD37E}"/>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2" name="Straight Connector 535">
            <a:extLst>
              <a:ext uri="{FF2B5EF4-FFF2-40B4-BE49-F238E27FC236}">
                <a16:creationId xmlns:a16="http://schemas.microsoft.com/office/drawing/2014/main" id="{667066FD-5384-46FA-7046-5972C456893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3" name="Straight Connector 537">
            <a:extLst>
              <a:ext uri="{FF2B5EF4-FFF2-40B4-BE49-F238E27FC236}">
                <a16:creationId xmlns:a16="http://schemas.microsoft.com/office/drawing/2014/main" id="{5D1A50B7-02E7-59CA-99BA-94E4FE8BA0C6}"/>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12</xdr:col>
      <xdr:colOff>0</xdr:colOff>
      <xdr:row>271</xdr:row>
      <xdr:rowOff>0</xdr:rowOff>
    </xdr:from>
    <xdr:to>
      <xdr:col>12</xdr:col>
      <xdr:colOff>228600</xdr:colOff>
      <xdr:row>272</xdr:row>
      <xdr:rowOff>0</xdr:rowOff>
    </xdr:to>
    <xdr:grpSp>
      <xdr:nvGrpSpPr>
        <xdr:cNvPr id="894" name="Group 1008">
          <a:extLst>
            <a:ext uri="{FF2B5EF4-FFF2-40B4-BE49-F238E27FC236}">
              <a16:creationId xmlns:a16="http://schemas.microsoft.com/office/drawing/2014/main" id="{106D2061-F8BD-46A5-B85A-C2AE848C2C27}"/>
            </a:ext>
          </a:extLst>
        </xdr:cNvPr>
        <xdr:cNvGrpSpPr>
          <a:grpSpLocks/>
        </xdr:cNvGrpSpPr>
      </xdr:nvGrpSpPr>
      <xdr:grpSpPr bwMode="auto">
        <a:xfrm>
          <a:off x="6123214" y="56932286"/>
          <a:ext cx="228600" cy="208643"/>
          <a:chOff x="5475762" y="47760700"/>
          <a:chExt cx="314325" cy="230209"/>
        </a:xfrm>
      </xdr:grpSpPr>
      <xdr:cxnSp macro="">
        <xdr:nvCxnSpPr>
          <xdr:cNvPr id="895" name="Straight Connector 894">
            <a:extLst>
              <a:ext uri="{FF2B5EF4-FFF2-40B4-BE49-F238E27FC236}">
                <a16:creationId xmlns:a16="http://schemas.microsoft.com/office/drawing/2014/main" id="{75F3D521-764A-69CA-5CD9-C75DDB1DEF25}"/>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96" name="Straight Connector 529">
            <a:extLst>
              <a:ext uri="{FF2B5EF4-FFF2-40B4-BE49-F238E27FC236}">
                <a16:creationId xmlns:a16="http://schemas.microsoft.com/office/drawing/2014/main" id="{457E3D90-F55D-4FC6-CF4F-321FAACC2DC6}"/>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7" name="Straight Connector 531">
            <a:extLst>
              <a:ext uri="{FF2B5EF4-FFF2-40B4-BE49-F238E27FC236}">
                <a16:creationId xmlns:a16="http://schemas.microsoft.com/office/drawing/2014/main" id="{6DDCDB4B-3E81-335A-F4D7-98807AA76351}"/>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8" name="Straight Connector 533">
            <a:extLst>
              <a:ext uri="{FF2B5EF4-FFF2-40B4-BE49-F238E27FC236}">
                <a16:creationId xmlns:a16="http://schemas.microsoft.com/office/drawing/2014/main" id="{57469CA5-B24A-9EB1-8CAC-799E23F37585}"/>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9" name="Straight Connector 535">
            <a:extLst>
              <a:ext uri="{FF2B5EF4-FFF2-40B4-BE49-F238E27FC236}">
                <a16:creationId xmlns:a16="http://schemas.microsoft.com/office/drawing/2014/main" id="{7D31BBB4-F35F-A3CB-D051-A4B6D9D886E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0" name="Straight Connector 537">
            <a:extLst>
              <a:ext uri="{FF2B5EF4-FFF2-40B4-BE49-F238E27FC236}">
                <a16:creationId xmlns:a16="http://schemas.microsoft.com/office/drawing/2014/main" id="{99A05BAC-02B7-2018-9170-DD983C65CA9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8</xdr:col>
      <xdr:colOff>0</xdr:colOff>
      <xdr:row>271</xdr:row>
      <xdr:rowOff>0</xdr:rowOff>
    </xdr:from>
    <xdr:to>
      <xdr:col>8</xdr:col>
      <xdr:colOff>228600</xdr:colOff>
      <xdr:row>272</xdr:row>
      <xdr:rowOff>0</xdr:rowOff>
    </xdr:to>
    <xdr:grpSp>
      <xdr:nvGrpSpPr>
        <xdr:cNvPr id="901" name="Group 1008">
          <a:extLst>
            <a:ext uri="{FF2B5EF4-FFF2-40B4-BE49-F238E27FC236}">
              <a16:creationId xmlns:a16="http://schemas.microsoft.com/office/drawing/2014/main" id="{4E726FBB-2A8A-4B6C-80F5-E201F426245F}"/>
            </a:ext>
          </a:extLst>
        </xdr:cNvPr>
        <xdr:cNvGrpSpPr>
          <a:grpSpLocks/>
        </xdr:cNvGrpSpPr>
      </xdr:nvGrpSpPr>
      <xdr:grpSpPr bwMode="auto">
        <a:xfrm>
          <a:off x="4272643" y="56932286"/>
          <a:ext cx="228600" cy="208643"/>
          <a:chOff x="5475762" y="47760700"/>
          <a:chExt cx="314325" cy="230209"/>
        </a:xfrm>
      </xdr:grpSpPr>
      <xdr:cxnSp macro="">
        <xdr:nvCxnSpPr>
          <xdr:cNvPr id="902" name="Straight Connector 901">
            <a:extLst>
              <a:ext uri="{FF2B5EF4-FFF2-40B4-BE49-F238E27FC236}">
                <a16:creationId xmlns:a16="http://schemas.microsoft.com/office/drawing/2014/main" id="{C14EC089-B0DE-CF06-8225-166F0445DFB5}"/>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3" name="Straight Connector 529">
            <a:extLst>
              <a:ext uri="{FF2B5EF4-FFF2-40B4-BE49-F238E27FC236}">
                <a16:creationId xmlns:a16="http://schemas.microsoft.com/office/drawing/2014/main" id="{DC839A0C-478F-B4C2-BF40-D0A9298AE4CE}"/>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4" name="Straight Connector 531">
            <a:extLst>
              <a:ext uri="{FF2B5EF4-FFF2-40B4-BE49-F238E27FC236}">
                <a16:creationId xmlns:a16="http://schemas.microsoft.com/office/drawing/2014/main" id="{46A1A0E4-A3FE-9D81-1E17-ACA102D0C09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5" name="Straight Connector 533">
            <a:extLst>
              <a:ext uri="{FF2B5EF4-FFF2-40B4-BE49-F238E27FC236}">
                <a16:creationId xmlns:a16="http://schemas.microsoft.com/office/drawing/2014/main" id="{8226AE1C-9AFC-9D14-79D6-B379FD208DB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06" name="Straight Connector 535">
            <a:extLst>
              <a:ext uri="{FF2B5EF4-FFF2-40B4-BE49-F238E27FC236}">
                <a16:creationId xmlns:a16="http://schemas.microsoft.com/office/drawing/2014/main" id="{2242EF8A-E5FD-1355-077D-C3042771C21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7" name="Straight Connector 537">
            <a:extLst>
              <a:ext uri="{FF2B5EF4-FFF2-40B4-BE49-F238E27FC236}">
                <a16:creationId xmlns:a16="http://schemas.microsoft.com/office/drawing/2014/main" id="{DDFB15BB-8353-D862-CB44-0AA57CEB5D7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6</xdr:col>
      <xdr:colOff>0</xdr:colOff>
      <xdr:row>271</xdr:row>
      <xdr:rowOff>0</xdr:rowOff>
    </xdr:from>
    <xdr:to>
      <xdr:col>6</xdr:col>
      <xdr:colOff>228600</xdr:colOff>
      <xdr:row>272</xdr:row>
      <xdr:rowOff>0</xdr:rowOff>
    </xdr:to>
    <xdr:grpSp>
      <xdr:nvGrpSpPr>
        <xdr:cNvPr id="908" name="Group 1008">
          <a:extLst>
            <a:ext uri="{FF2B5EF4-FFF2-40B4-BE49-F238E27FC236}">
              <a16:creationId xmlns:a16="http://schemas.microsoft.com/office/drawing/2014/main" id="{70E850D2-EDC8-4AEC-A6E4-61B99F16C737}"/>
            </a:ext>
          </a:extLst>
        </xdr:cNvPr>
        <xdr:cNvGrpSpPr>
          <a:grpSpLocks/>
        </xdr:cNvGrpSpPr>
      </xdr:nvGrpSpPr>
      <xdr:grpSpPr bwMode="auto">
        <a:xfrm>
          <a:off x="3274786" y="56932286"/>
          <a:ext cx="228600" cy="208643"/>
          <a:chOff x="5475762" y="47760700"/>
          <a:chExt cx="314325" cy="230209"/>
        </a:xfrm>
      </xdr:grpSpPr>
      <xdr:cxnSp macro="">
        <xdr:nvCxnSpPr>
          <xdr:cNvPr id="909" name="Straight Connector 908">
            <a:extLst>
              <a:ext uri="{FF2B5EF4-FFF2-40B4-BE49-F238E27FC236}">
                <a16:creationId xmlns:a16="http://schemas.microsoft.com/office/drawing/2014/main" id="{1EF32D79-C881-9891-8B41-1C00464A73B3}"/>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10" name="Straight Connector 529">
            <a:extLst>
              <a:ext uri="{FF2B5EF4-FFF2-40B4-BE49-F238E27FC236}">
                <a16:creationId xmlns:a16="http://schemas.microsoft.com/office/drawing/2014/main" id="{9FCE5E52-0201-0B9A-3210-64F8D2D38A11}"/>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11" name="Straight Connector 531">
            <a:extLst>
              <a:ext uri="{FF2B5EF4-FFF2-40B4-BE49-F238E27FC236}">
                <a16:creationId xmlns:a16="http://schemas.microsoft.com/office/drawing/2014/main" id="{F17EF053-0872-9C48-FD1A-5664D05C012C}"/>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12" name="Straight Connector 533">
            <a:extLst>
              <a:ext uri="{FF2B5EF4-FFF2-40B4-BE49-F238E27FC236}">
                <a16:creationId xmlns:a16="http://schemas.microsoft.com/office/drawing/2014/main" id="{886DAE27-5CB2-F7F5-F6FE-72BC698EE7C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13" name="Straight Connector 535">
            <a:extLst>
              <a:ext uri="{FF2B5EF4-FFF2-40B4-BE49-F238E27FC236}">
                <a16:creationId xmlns:a16="http://schemas.microsoft.com/office/drawing/2014/main" id="{CFD41114-DB83-DFC9-5492-62A2ED9B6EB0}"/>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14" name="Straight Connector 537">
            <a:extLst>
              <a:ext uri="{FF2B5EF4-FFF2-40B4-BE49-F238E27FC236}">
                <a16:creationId xmlns:a16="http://schemas.microsoft.com/office/drawing/2014/main" id="{1199586D-4D76-2376-4C8E-B9E9B1FBB092}"/>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4</xdr:col>
      <xdr:colOff>0</xdr:colOff>
      <xdr:row>271</xdr:row>
      <xdr:rowOff>0</xdr:rowOff>
    </xdr:from>
    <xdr:to>
      <xdr:col>4</xdr:col>
      <xdr:colOff>228600</xdr:colOff>
      <xdr:row>272</xdr:row>
      <xdr:rowOff>0</xdr:rowOff>
    </xdr:to>
    <xdr:grpSp>
      <xdr:nvGrpSpPr>
        <xdr:cNvPr id="915" name="Group 1008">
          <a:extLst>
            <a:ext uri="{FF2B5EF4-FFF2-40B4-BE49-F238E27FC236}">
              <a16:creationId xmlns:a16="http://schemas.microsoft.com/office/drawing/2014/main" id="{5A4DB324-305D-4A42-9F95-BC9328916D93}"/>
            </a:ext>
          </a:extLst>
        </xdr:cNvPr>
        <xdr:cNvGrpSpPr>
          <a:grpSpLocks/>
        </xdr:cNvGrpSpPr>
      </xdr:nvGrpSpPr>
      <xdr:grpSpPr bwMode="auto">
        <a:xfrm>
          <a:off x="2295071" y="56932286"/>
          <a:ext cx="228600" cy="208643"/>
          <a:chOff x="5475762" y="47760700"/>
          <a:chExt cx="314325" cy="230209"/>
        </a:xfrm>
      </xdr:grpSpPr>
      <xdr:cxnSp macro="">
        <xdr:nvCxnSpPr>
          <xdr:cNvPr id="916" name="Straight Connector 915">
            <a:extLst>
              <a:ext uri="{FF2B5EF4-FFF2-40B4-BE49-F238E27FC236}">
                <a16:creationId xmlns:a16="http://schemas.microsoft.com/office/drawing/2014/main" id="{DBAEDD44-7E06-FC75-007F-817FFBFAC04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17" name="Straight Connector 529">
            <a:extLst>
              <a:ext uri="{FF2B5EF4-FFF2-40B4-BE49-F238E27FC236}">
                <a16:creationId xmlns:a16="http://schemas.microsoft.com/office/drawing/2014/main" id="{A379DA8B-CA12-A364-EED6-10FBFC6B839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18" name="Straight Connector 531">
            <a:extLst>
              <a:ext uri="{FF2B5EF4-FFF2-40B4-BE49-F238E27FC236}">
                <a16:creationId xmlns:a16="http://schemas.microsoft.com/office/drawing/2014/main" id="{C069A084-5E36-8E08-0835-504B5A16247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19" name="Straight Connector 533">
            <a:extLst>
              <a:ext uri="{FF2B5EF4-FFF2-40B4-BE49-F238E27FC236}">
                <a16:creationId xmlns:a16="http://schemas.microsoft.com/office/drawing/2014/main" id="{6A9B2953-6EC6-615C-51FE-B5C2B22AD70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0" name="Straight Connector 535">
            <a:extLst>
              <a:ext uri="{FF2B5EF4-FFF2-40B4-BE49-F238E27FC236}">
                <a16:creationId xmlns:a16="http://schemas.microsoft.com/office/drawing/2014/main" id="{398B123F-CE42-9B24-9065-FFCA34DD71D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21" name="Straight Connector 537">
            <a:extLst>
              <a:ext uri="{FF2B5EF4-FFF2-40B4-BE49-F238E27FC236}">
                <a16:creationId xmlns:a16="http://schemas.microsoft.com/office/drawing/2014/main" id="{8B044CA3-DAE8-802A-4482-434BFDA007A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0</xdr:colOff>
      <xdr:row>271</xdr:row>
      <xdr:rowOff>0</xdr:rowOff>
    </xdr:from>
    <xdr:to>
      <xdr:col>16</xdr:col>
      <xdr:colOff>228600</xdr:colOff>
      <xdr:row>272</xdr:row>
      <xdr:rowOff>0</xdr:rowOff>
    </xdr:to>
    <xdr:grpSp>
      <xdr:nvGrpSpPr>
        <xdr:cNvPr id="922" name="Group 1008">
          <a:extLst>
            <a:ext uri="{FF2B5EF4-FFF2-40B4-BE49-F238E27FC236}">
              <a16:creationId xmlns:a16="http://schemas.microsoft.com/office/drawing/2014/main" id="{CAF0E47C-01D2-47BF-A0E2-AC82FD2AA516}"/>
            </a:ext>
          </a:extLst>
        </xdr:cNvPr>
        <xdr:cNvGrpSpPr>
          <a:grpSpLocks/>
        </xdr:cNvGrpSpPr>
      </xdr:nvGrpSpPr>
      <xdr:grpSpPr bwMode="auto">
        <a:xfrm>
          <a:off x="8055429" y="56932286"/>
          <a:ext cx="228600" cy="208643"/>
          <a:chOff x="5475762" y="47760700"/>
          <a:chExt cx="314325" cy="230209"/>
        </a:xfrm>
      </xdr:grpSpPr>
      <xdr:cxnSp macro="">
        <xdr:nvCxnSpPr>
          <xdr:cNvPr id="923" name="Straight Connector 922">
            <a:extLst>
              <a:ext uri="{FF2B5EF4-FFF2-40B4-BE49-F238E27FC236}">
                <a16:creationId xmlns:a16="http://schemas.microsoft.com/office/drawing/2014/main" id="{92288A3A-209F-FA73-DD12-EA7C53513221}"/>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24" name="Straight Connector 529">
            <a:extLst>
              <a:ext uri="{FF2B5EF4-FFF2-40B4-BE49-F238E27FC236}">
                <a16:creationId xmlns:a16="http://schemas.microsoft.com/office/drawing/2014/main" id="{B3F67A78-24EA-675F-3ECC-39E19FF35DD7}"/>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25" name="Straight Connector 531">
            <a:extLst>
              <a:ext uri="{FF2B5EF4-FFF2-40B4-BE49-F238E27FC236}">
                <a16:creationId xmlns:a16="http://schemas.microsoft.com/office/drawing/2014/main" id="{66FB7AD3-1AB6-7E1D-6E16-77A9F6C02762}"/>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26" name="Straight Connector 533">
            <a:extLst>
              <a:ext uri="{FF2B5EF4-FFF2-40B4-BE49-F238E27FC236}">
                <a16:creationId xmlns:a16="http://schemas.microsoft.com/office/drawing/2014/main" id="{4014EF1D-CF67-B051-59B8-1EB86407E2DB}"/>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7" name="Straight Connector 535">
            <a:extLst>
              <a:ext uri="{FF2B5EF4-FFF2-40B4-BE49-F238E27FC236}">
                <a16:creationId xmlns:a16="http://schemas.microsoft.com/office/drawing/2014/main" id="{CB641B5E-EB79-1464-7CAA-1DCF71D96D0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28" name="Straight Connector 537">
            <a:extLst>
              <a:ext uri="{FF2B5EF4-FFF2-40B4-BE49-F238E27FC236}">
                <a16:creationId xmlns:a16="http://schemas.microsoft.com/office/drawing/2014/main" id="{6160A6F1-A6AB-68F5-205E-C3BAC0E81E08}"/>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10</xdr:col>
      <xdr:colOff>0</xdr:colOff>
      <xdr:row>271</xdr:row>
      <xdr:rowOff>0</xdr:rowOff>
    </xdr:from>
    <xdr:to>
      <xdr:col>10</xdr:col>
      <xdr:colOff>228600</xdr:colOff>
      <xdr:row>272</xdr:row>
      <xdr:rowOff>0</xdr:rowOff>
    </xdr:to>
    <xdr:grpSp>
      <xdr:nvGrpSpPr>
        <xdr:cNvPr id="929" name="Group 1008">
          <a:extLst>
            <a:ext uri="{FF2B5EF4-FFF2-40B4-BE49-F238E27FC236}">
              <a16:creationId xmlns:a16="http://schemas.microsoft.com/office/drawing/2014/main" id="{C4635485-7A10-4974-89CA-D335E705F4D3}"/>
            </a:ext>
          </a:extLst>
        </xdr:cNvPr>
        <xdr:cNvGrpSpPr>
          <a:grpSpLocks/>
        </xdr:cNvGrpSpPr>
      </xdr:nvGrpSpPr>
      <xdr:grpSpPr bwMode="auto">
        <a:xfrm>
          <a:off x="5197929" y="56932286"/>
          <a:ext cx="228600" cy="208643"/>
          <a:chOff x="5475762" y="47760700"/>
          <a:chExt cx="314325" cy="230209"/>
        </a:xfrm>
      </xdr:grpSpPr>
      <xdr:cxnSp macro="">
        <xdr:nvCxnSpPr>
          <xdr:cNvPr id="930" name="Straight Connector 929">
            <a:extLst>
              <a:ext uri="{FF2B5EF4-FFF2-40B4-BE49-F238E27FC236}">
                <a16:creationId xmlns:a16="http://schemas.microsoft.com/office/drawing/2014/main" id="{B89DA8DF-A7D5-5A21-7A1E-CA5F3C28852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31" name="Straight Connector 529">
            <a:extLst>
              <a:ext uri="{FF2B5EF4-FFF2-40B4-BE49-F238E27FC236}">
                <a16:creationId xmlns:a16="http://schemas.microsoft.com/office/drawing/2014/main" id="{FEAC2ACF-3050-256C-BD72-8303CC19710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32" name="Straight Connector 531">
            <a:extLst>
              <a:ext uri="{FF2B5EF4-FFF2-40B4-BE49-F238E27FC236}">
                <a16:creationId xmlns:a16="http://schemas.microsoft.com/office/drawing/2014/main" id="{06F1374E-111D-CF41-1D7C-B0F7E92152C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33" name="Straight Connector 533">
            <a:extLst>
              <a:ext uri="{FF2B5EF4-FFF2-40B4-BE49-F238E27FC236}">
                <a16:creationId xmlns:a16="http://schemas.microsoft.com/office/drawing/2014/main" id="{BB969656-166A-E7C6-C75B-1F948E25992A}"/>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34" name="Straight Connector 535">
            <a:extLst>
              <a:ext uri="{FF2B5EF4-FFF2-40B4-BE49-F238E27FC236}">
                <a16:creationId xmlns:a16="http://schemas.microsoft.com/office/drawing/2014/main" id="{E4953173-F66A-4FC5-E43D-0222AB30DE2D}"/>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5" name="Straight Connector 537">
            <a:extLst>
              <a:ext uri="{FF2B5EF4-FFF2-40B4-BE49-F238E27FC236}">
                <a16:creationId xmlns:a16="http://schemas.microsoft.com/office/drawing/2014/main" id="{5410E2B0-303A-9EC7-940E-93AF227039D5}"/>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268</xdr:row>
      <xdr:rowOff>57150</xdr:rowOff>
    </xdr:from>
    <xdr:to>
      <xdr:col>18</xdr:col>
      <xdr:colOff>0</xdr:colOff>
      <xdr:row>269</xdr:row>
      <xdr:rowOff>190500</xdr:rowOff>
    </xdr:to>
    <xdr:sp macro="" textlink="">
      <xdr:nvSpPr>
        <xdr:cNvPr id="936" name="AutoShape 46">
          <a:extLst>
            <a:ext uri="{FF2B5EF4-FFF2-40B4-BE49-F238E27FC236}">
              <a16:creationId xmlns:a16="http://schemas.microsoft.com/office/drawing/2014/main" id="{05F0F2AB-CAAC-4FC0-8EC0-527429F018B1}"/>
            </a:ext>
          </a:extLst>
        </xdr:cNvPr>
        <xdr:cNvSpPr>
          <a:spLocks noChangeArrowheads="1"/>
        </xdr:cNvSpPr>
      </xdr:nvSpPr>
      <xdr:spPr bwMode="auto">
        <a:xfrm>
          <a:off x="82042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37" name="AutoShape 46">
          <a:extLst>
            <a:ext uri="{FF2B5EF4-FFF2-40B4-BE49-F238E27FC236}">
              <a16:creationId xmlns:a16="http://schemas.microsoft.com/office/drawing/2014/main" id="{3D8066C5-B6B5-4F08-97E0-8D9591DF6ED3}"/>
            </a:ext>
          </a:extLst>
        </xdr:cNvPr>
        <xdr:cNvSpPr>
          <a:spLocks noChangeArrowheads="1"/>
        </xdr:cNvSpPr>
      </xdr:nvSpPr>
      <xdr:spPr bwMode="auto">
        <a:xfrm>
          <a:off x="91313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38" name="AutoShape 46">
          <a:extLst>
            <a:ext uri="{FF2B5EF4-FFF2-40B4-BE49-F238E27FC236}">
              <a16:creationId xmlns:a16="http://schemas.microsoft.com/office/drawing/2014/main" id="{6BA33E57-92B1-4559-AC42-A3F2D533FFD4}"/>
            </a:ext>
          </a:extLst>
        </xdr:cNvPr>
        <xdr:cNvSpPr>
          <a:spLocks noChangeArrowheads="1"/>
        </xdr:cNvSpPr>
      </xdr:nvSpPr>
      <xdr:spPr bwMode="auto">
        <a:xfrm>
          <a:off x="100584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39" name="AutoShape 46">
          <a:extLst>
            <a:ext uri="{FF2B5EF4-FFF2-40B4-BE49-F238E27FC236}">
              <a16:creationId xmlns:a16="http://schemas.microsoft.com/office/drawing/2014/main" id="{DF70D4C1-A90D-48A8-A411-A343804A1C79}"/>
            </a:ext>
          </a:extLst>
        </xdr:cNvPr>
        <xdr:cNvSpPr>
          <a:spLocks noChangeArrowheads="1"/>
        </xdr:cNvSpPr>
      </xdr:nvSpPr>
      <xdr:spPr bwMode="auto">
        <a:xfrm>
          <a:off x="109855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40" name="AutoShape 46">
          <a:extLst>
            <a:ext uri="{FF2B5EF4-FFF2-40B4-BE49-F238E27FC236}">
              <a16:creationId xmlns:a16="http://schemas.microsoft.com/office/drawing/2014/main" id="{2A28AD0B-D1F8-4895-B5B4-8871FA5766D1}"/>
            </a:ext>
          </a:extLst>
        </xdr:cNvPr>
        <xdr:cNvSpPr>
          <a:spLocks noChangeArrowheads="1"/>
        </xdr:cNvSpPr>
      </xdr:nvSpPr>
      <xdr:spPr bwMode="auto">
        <a:xfrm>
          <a:off x="11912600" y="66217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41" name="AutoShape 46">
          <a:extLst>
            <a:ext uri="{FF2B5EF4-FFF2-40B4-BE49-F238E27FC236}">
              <a16:creationId xmlns:a16="http://schemas.microsoft.com/office/drawing/2014/main" id="{7EA492B7-46FC-46B6-AF8C-B228CB0C01EF}"/>
            </a:ext>
          </a:extLst>
        </xdr:cNvPr>
        <xdr:cNvSpPr>
          <a:spLocks noChangeArrowheads="1"/>
        </xdr:cNvSpPr>
      </xdr:nvSpPr>
      <xdr:spPr bwMode="auto">
        <a:xfrm>
          <a:off x="1289685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268</xdr:row>
      <xdr:rowOff>57150</xdr:rowOff>
    </xdr:from>
    <xdr:to>
      <xdr:col>18</xdr:col>
      <xdr:colOff>0</xdr:colOff>
      <xdr:row>269</xdr:row>
      <xdr:rowOff>190500</xdr:rowOff>
    </xdr:to>
    <xdr:sp macro="" textlink="">
      <xdr:nvSpPr>
        <xdr:cNvPr id="942" name="AutoShape 46">
          <a:extLst>
            <a:ext uri="{FF2B5EF4-FFF2-40B4-BE49-F238E27FC236}">
              <a16:creationId xmlns:a16="http://schemas.microsoft.com/office/drawing/2014/main" id="{C27AD6C9-C48F-4CD0-B835-1E9DADFDCBAA}"/>
            </a:ext>
          </a:extLst>
        </xdr:cNvPr>
        <xdr:cNvSpPr>
          <a:spLocks noChangeArrowheads="1"/>
        </xdr:cNvSpPr>
      </xdr:nvSpPr>
      <xdr:spPr bwMode="auto">
        <a:xfrm>
          <a:off x="82042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43" name="AutoShape 46">
          <a:extLst>
            <a:ext uri="{FF2B5EF4-FFF2-40B4-BE49-F238E27FC236}">
              <a16:creationId xmlns:a16="http://schemas.microsoft.com/office/drawing/2014/main" id="{4F68436B-97FE-4F46-ABA4-360F61B66710}"/>
            </a:ext>
          </a:extLst>
        </xdr:cNvPr>
        <xdr:cNvSpPr>
          <a:spLocks noChangeArrowheads="1"/>
        </xdr:cNvSpPr>
      </xdr:nvSpPr>
      <xdr:spPr bwMode="auto">
        <a:xfrm>
          <a:off x="91313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44" name="AutoShape 46">
          <a:extLst>
            <a:ext uri="{FF2B5EF4-FFF2-40B4-BE49-F238E27FC236}">
              <a16:creationId xmlns:a16="http://schemas.microsoft.com/office/drawing/2014/main" id="{12FF2A84-D85A-4706-ABC3-D7106B42DC13}"/>
            </a:ext>
          </a:extLst>
        </xdr:cNvPr>
        <xdr:cNvSpPr>
          <a:spLocks noChangeArrowheads="1"/>
        </xdr:cNvSpPr>
      </xdr:nvSpPr>
      <xdr:spPr bwMode="auto">
        <a:xfrm>
          <a:off x="100584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45" name="AutoShape 46">
          <a:extLst>
            <a:ext uri="{FF2B5EF4-FFF2-40B4-BE49-F238E27FC236}">
              <a16:creationId xmlns:a16="http://schemas.microsoft.com/office/drawing/2014/main" id="{3D3CA51B-37A2-4549-B7F5-64ADAF895E59}"/>
            </a:ext>
          </a:extLst>
        </xdr:cNvPr>
        <xdr:cNvSpPr>
          <a:spLocks noChangeArrowheads="1"/>
        </xdr:cNvSpPr>
      </xdr:nvSpPr>
      <xdr:spPr bwMode="auto">
        <a:xfrm>
          <a:off x="109855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46" name="AutoShape 46">
          <a:extLst>
            <a:ext uri="{FF2B5EF4-FFF2-40B4-BE49-F238E27FC236}">
              <a16:creationId xmlns:a16="http://schemas.microsoft.com/office/drawing/2014/main" id="{34B94BFF-9484-4761-9106-37B9975A158B}"/>
            </a:ext>
          </a:extLst>
        </xdr:cNvPr>
        <xdr:cNvSpPr>
          <a:spLocks noChangeArrowheads="1"/>
        </xdr:cNvSpPr>
      </xdr:nvSpPr>
      <xdr:spPr bwMode="auto">
        <a:xfrm>
          <a:off x="11912600" y="66217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47" name="AutoShape 46">
          <a:extLst>
            <a:ext uri="{FF2B5EF4-FFF2-40B4-BE49-F238E27FC236}">
              <a16:creationId xmlns:a16="http://schemas.microsoft.com/office/drawing/2014/main" id="{39846C5D-7702-4C91-BE1F-F533B1810BFF}"/>
            </a:ext>
          </a:extLst>
        </xdr:cNvPr>
        <xdr:cNvSpPr>
          <a:spLocks noChangeArrowheads="1"/>
        </xdr:cNvSpPr>
      </xdr:nvSpPr>
      <xdr:spPr bwMode="auto">
        <a:xfrm>
          <a:off x="1289685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271</xdr:row>
      <xdr:rowOff>15875</xdr:rowOff>
    </xdr:from>
    <xdr:to>
      <xdr:col>18</xdr:col>
      <xdr:colOff>228600</xdr:colOff>
      <xdr:row>272</xdr:row>
      <xdr:rowOff>0</xdr:rowOff>
    </xdr:to>
    <xdr:grpSp>
      <xdr:nvGrpSpPr>
        <xdr:cNvPr id="948" name="Group 1008">
          <a:extLst>
            <a:ext uri="{FF2B5EF4-FFF2-40B4-BE49-F238E27FC236}">
              <a16:creationId xmlns:a16="http://schemas.microsoft.com/office/drawing/2014/main" id="{F6275031-E710-4459-9F27-C38968424121}"/>
            </a:ext>
          </a:extLst>
        </xdr:cNvPr>
        <xdr:cNvGrpSpPr>
          <a:grpSpLocks/>
        </xdr:cNvGrpSpPr>
      </xdr:nvGrpSpPr>
      <xdr:grpSpPr bwMode="auto">
        <a:xfrm>
          <a:off x="9062357" y="56948161"/>
          <a:ext cx="228600" cy="192768"/>
          <a:chOff x="5475762" y="47760700"/>
          <a:chExt cx="314325" cy="230209"/>
        </a:xfrm>
      </xdr:grpSpPr>
      <xdr:cxnSp macro="">
        <xdr:nvCxnSpPr>
          <xdr:cNvPr id="949" name="Straight Connector 948">
            <a:extLst>
              <a:ext uri="{FF2B5EF4-FFF2-40B4-BE49-F238E27FC236}">
                <a16:creationId xmlns:a16="http://schemas.microsoft.com/office/drawing/2014/main" id="{605B1698-5D92-DBF7-E32D-5AD75A4AB17A}"/>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50" name="Straight Connector 529">
            <a:extLst>
              <a:ext uri="{FF2B5EF4-FFF2-40B4-BE49-F238E27FC236}">
                <a16:creationId xmlns:a16="http://schemas.microsoft.com/office/drawing/2014/main" id="{903DE93E-02C3-0695-0756-F9E2376A4DF8}"/>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51" name="Straight Connector 531">
            <a:extLst>
              <a:ext uri="{FF2B5EF4-FFF2-40B4-BE49-F238E27FC236}">
                <a16:creationId xmlns:a16="http://schemas.microsoft.com/office/drawing/2014/main" id="{AA5018A3-AB2E-0031-FFBE-C6F2EDD0BB8E}"/>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52" name="Straight Connector 533">
            <a:extLst>
              <a:ext uri="{FF2B5EF4-FFF2-40B4-BE49-F238E27FC236}">
                <a16:creationId xmlns:a16="http://schemas.microsoft.com/office/drawing/2014/main" id="{75E189EF-8B82-1D6A-6AD8-3BDFAAB269B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53" name="Straight Connector 535">
            <a:extLst>
              <a:ext uri="{FF2B5EF4-FFF2-40B4-BE49-F238E27FC236}">
                <a16:creationId xmlns:a16="http://schemas.microsoft.com/office/drawing/2014/main" id="{99FAFA03-A206-93BB-E8A1-552D5CDA0FC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54" name="Straight Connector 537">
            <a:extLst>
              <a:ext uri="{FF2B5EF4-FFF2-40B4-BE49-F238E27FC236}">
                <a16:creationId xmlns:a16="http://schemas.microsoft.com/office/drawing/2014/main" id="{45661E02-50AB-785D-D2AF-AC64E249637E}"/>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20</xdr:col>
      <xdr:colOff>0</xdr:colOff>
      <xdr:row>271</xdr:row>
      <xdr:rowOff>0</xdr:rowOff>
    </xdr:from>
    <xdr:to>
      <xdr:col>20</xdr:col>
      <xdr:colOff>228600</xdr:colOff>
      <xdr:row>272</xdr:row>
      <xdr:rowOff>0</xdr:rowOff>
    </xdr:to>
    <xdr:grpSp>
      <xdr:nvGrpSpPr>
        <xdr:cNvPr id="955" name="Group 1008">
          <a:extLst>
            <a:ext uri="{FF2B5EF4-FFF2-40B4-BE49-F238E27FC236}">
              <a16:creationId xmlns:a16="http://schemas.microsoft.com/office/drawing/2014/main" id="{2FCC8A58-C615-4B8E-9DE8-548D9EA7FBFB}"/>
            </a:ext>
          </a:extLst>
        </xdr:cNvPr>
        <xdr:cNvGrpSpPr>
          <a:grpSpLocks/>
        </xdr:cNvGrpSpPr>
      </xdr:nvGrpSpPr>
      <xdr:grpSpPr bwMode="auto">
        <a:xfrm>
          <a:off x="9987643" y="56932286"/>
          <a:ext cx="228600" cy="208643"/>
          <a:chOff x="5475762" y="47760700"/>
          <a:chExt cx="314325" cy="230209"/>
        </a:xfrm>
      </xdr:grpSpPr>
      <xdr:cxnSp macro="">
        <xdr:nvCxnSpPr>
          <xdr:cNvPr id="956" name="Straight Connector 955">
            <a:extLst>
              <a:ext uri="{FF2B5EF4-FFF2-40B4-BE49-F238E27FC236}">
                <a16:creationId xmlns:a16="http://schemas.microsoft.com/office/drawing/2014/main" id="{1ACAEE45-C31F-2AAF-FB72-66DC93350316}"/>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57" name="Straight Connector 529">
            <a:extLst>
              <a:ext uri="{FF2B5EF4-FFF2-40B4-BE49-F238E27FC236}">
                <a16:creationId xmlns:a16="http://schemas.microsoft.com/office/drawing/2014/main" id="{7E5DF91E-0122-F7CC-A631-CF9FCF3417C7}"/>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58" name="Straight Connector 531">
            <a:extLst>
              <a:ext uri="{FF2B5EF4-FFF2-40B4-BE49-F238E27FC236}">
                <a16:creationId xmlns:a16="http://schemas.microsoft.com/office/drawing/2014/main" id="{45F2B24D-D494-C255-6422-F419ED73C3AF}"/>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59" name="Straight Connector 533">
            <a:extLst>
              <a:ext uri="{FF2B5EF4-FFF2-40B4-BE49-F238E27FC236}">
                <a16:creationId xmlns:a16="http://schemas.microsoft.com/office/drawing/2014/main" id="{C706A56B-2EF1-5215-8CE6-24F6E4465AE8}"/>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60" name="Straight Connector 535">
            <a:extLst>
              <a:ext uri="{FF2B5EF4-FFF2-40B4-BE49-F238E27FC236}">
                <a16:creationId xmlns:a16="http://schemas.microsoft.com/office/drawing/2014/main" id="{2ADB35DC-9210-97C8-5BA2-CD117306054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61" name="Straight Connector 537">
            <a:extLst>
              <a:ext uri="{FF2B5EF4-FFF2-40B4-BE49-F238E27FC236}">
                <a16:creationId xmlns:a16="http://schemas.microsoft.com/office/drawing/2014/main" id="{1CD53C54-98D0-C8B1-9574-DE399E8C461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22</xdr:col>
      <xdr:colOff>0</xdr:colOff>
      <xdr:row>271</xdr:row>
      <xdr:rowOff>0</xdr:rowOff>
    </xdr:from>
    <xdr:to>
      <xdr:col>22</xdr:col>
      <xdr:colOff>228600</xdr:colOff>
      <xdr:row>272</xdr:row>
      <xdr:rowOff>0</xdr:rowOff>
    </xdr:to>
    <xdr:grpSp>
      <xdr:nvGrpSpPr>
        <xdr:cNvPr id="962" name="Group 1008">
          <a:extLst>
            <a:ext uri="{FF2B5EF4-FFF2-40B4-BE49-F238E27FC236}">
              <a16:creationId xmlns:a16="http://schemas.microsoft.com/office/drawing/2014/main" id="{D0BB54BD-08F4-4E31-8DA9-16610FEB751A}"/>
            </a:ext>
          </a:extLst>
        </xdr:cNvPr>
        <xdr:cNvGrpSpPr>
          <a:grpSpLocks/>
        </xdr:cNvGrpSpPr>
      </xdr:nvGrpSpPr>
      <xdr:grpSpPr bwMode="auto">
        <a:xfrm>
          <a:off x="10967357" y="56932286"/>
          <a:ext cx="228600" cy="208643"/>
          <a:chOff x="5475762" y="47760700"/>
          <a:chExt cx="314325" cy="230209"/>
        </a:xfrm>
      </xdr:grpSpPr>
      <xdr:cxnSp macro="">
        <xdr:nvCxnSpPr>
          <xdr:cNvPr id="963" name="Straight Connector 962">
            <a:extLst>
              <a:ext uri="{FF2B5EF4-FFF2-40B4-BE49-F238E27FC236}">
                <a16:creationId xmlns:a16="http://schemas.microsoft.com/office/drawing/2014/main" id="{1FB8426E-0EF5-1800-3B4A-55D59DEAC6C9}"/>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64" name="Straight Connector 529">
            <a:extLst>
              <a:ext uri="{FF2B5EF4-FFF2-40B4-BE49-F238E27FC236}">
                <a16:creationId xmlns:a16="http://schemas.microsoft.com/office/drawing/2014/main" id="{85F5C66F-F3CB-A059-7210-8065F297AC4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65" name="Straight Connector 531">
            <a:extLst>
              <a:ext uri="{FF2B5EF4-FFF2-40B4-BE49-F238E27FC236}">
                <a16:creationId xmlns:a16="http://schemas.microsoft.com/office/drawing/2014/main" id="{C7C892FC-CF18-7BDC-2E0C-B21E7F0BC5C7}"/>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66" name="Straight Connector 533">
            <a:extLst>
              <a:ext uri="{FF2B5EF4-FFF2-40B4-BE49-F238E27FC236}">
                <a16:creationId xmlns:a16="http://schemas.microsoft.com/office/drawing/2014/main" id="{8ACEAE1F-2831-750A-8CEB-EF9815119C0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67" name="Straight Connector 535">
            <a:extLst>
              <a:ext uri="{FF2B5EF4-FFF2-40B4-BE49-F238E27FC236}">
                <a16:creationId xmlns:a16="http://schemas.microsoft.com/office/drawing/2014/main" id="{F346A1B7-6DB9-C947-3F82-CF711B0813C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68" name="Straight Connector 537">
            <a:extLst>
              <a:ext uri="{FF2B5EF4-FFF2-40B4-BE49-F238E27FC236}">
                <a16:creationId xmlns:a16="http://schemas.microsoft.com/office/drawing/2014/main" id="{F6C88C3A-4727-1F31-8FD5-A278865339D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268</xdr:row>
      <xdr:rowOff>57150</xdr:rowOff>
    </xdr:from>
    <xdr:to>
      <xdr:col>18</xdr:col>
      <xdr:colOff>0</xdr:colOff>
      <xdr:row>269</xdr:row>
      <xdr:rowOff>190500</xdr:rowOff>
    </xdr:to>
    <xdr:sp macro="" textlink="">
      <xdr:nvSpPr>
        <xdr:cNvPr id="969" name="AutoShape 46">
          <a:extLst>
            <a:ext uri="{FF2B5EF4-FFF2-40B4-BE49-F238E27FC236}">
              <a16:creationId xmlns:a16="http://schemas.microsoft.com/office/drawing/2014/main" id="{099F62DF-5252-411C-BA4A-4C94C1F2CCD7}"/>
            </a:ext>
          </a:extLst>
        </xdr:cNvPr>
        <xdr:cNvSpPr>
          <a:spLocks noChangeArrowheads="1"/>
        </xdr:cNvSpPr>
      </xdr:nvSpPr>
      <xdr:spPr bwMode="auto">
        <a:xfrm>
          <a:off x="82042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70" name="AutoShape 46">
          <a:extLst>
            <a:ext uri="{FF2B5EF4-FFF2-40B4-BE49-F238E27FC236}">
              <a16:creationId xmlns:a16="http://schemas.microsoft.com/office/drawing/2014/main" id="{E42D37FD-A1C1-4A52-ABAC-38E3B909612A}"/>
            </a:ext>
          </a:extLst>
        </xdr:cNvPr>
        <xdr:cNvSpPr>
          <a:spLocks noChangeArrowheads="1"/>
        </xdr:cNvSpPr>
      </xdr:nvSpPr>
      <xdr:spPr bwMode="auto">
        <a:xfrm>
          <a:off x="91313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71" name="AutoShape 46">
          <a:extLst>
            <a:ext uri="{FF2B5EF4-FFF2-40B4-BE49-F238E27FC236}">
              <a16:creationId xmlns:a16="http://schemas.microsoft.com/office/drawing/2014/main" id="{59F20B15-1F7B-47D5-82A2-A402635767E4}"/>
            </a:ext>
          </a:extLst>
        </xdr:cNvPr>
        <xdr:cNvSpPr>
          <a:spLocks noChangeArrowheads="1"/>
        </xdr:cNvSpPr>
      </xdr:nvSpPr>
      <xdr:spPr bwMode="auto">
        <a:xfrm>
          <a:off x="100584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72" name="AutoShape 46">
          <a:extLst>
            <a:ext uri="{FF2B5EF4-FFF2-40B4-BE49-F238E27FC236}">
              <a16:creationId xmlns:a16="http://schemas.microsoft.com/office/drawing/2014/main" id="{BA7E2761-5854-48B1-ADFC-7C3D1D43EB02}"/>
            </a:ext>
          </a:extLst>
        </xdr:cNvPr>
        <xdr:cNvSpPr>
          <a:spLocks noChangeArrowheads="1"/>
        </xdr:cNvSpPr>
      </xdr:nvSpPr>
      <xdr:spPr bwMode="auto">
        <a:xfrm>
          <a:off x="109855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73" name="AutoShape 46">
          <a:extLst>
            <a:ext uri="{FF2B5EF4-FFF2-40B4-BE49-F238E27FC236}">
              <a16:creationId xmlns:a16="http://schemas.microsoft.com/office/drawing/2014/main" id="{81510F3B-238B-4593-825B-25B3AD71FB37}"/>
            </a:ext>
          </a:extLst>
        </xdr:cNvPr>
        <xdr:cNvSpPr>
          <a:spLocks noChangeArrowheads="1"/>
        </xdr:cNvSpPr>
      </xdr:nvSpPr>
      <xdr:spPr bwMode="auto">
        <a:xfrm>
          <a:off x="11912600" y="66217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74" name="AutoShape 46">
          <a:extLst>
            <a:ext uri="{FF2B5EF4-FFF2-40B4-BE49-F238E27FC236}">
              <a16:creationId xmlns:a16="http://schemas.microsoft.com/office/drawing/2014/main" id="{D30CBE17-6D69-455C-A708-8743349D9F2C}"/>
            </a:ext>
          </a:extLst>
        </xdr:cNvPr>
        <xdr:cNvSpPr>
          <a:spLocks noChangeArrowheads="1"/>
        </xdr:cNvSpPr>
      </xdr:nvSpPr>
      <xdr:spPr bwMode="auto">
        <a:xfrm>
          <a:off x="1289685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276</xdr:row>
      <xdr:rowOff>57150</xdr:rowOff>
    </xdr:from>
    <xdr:to>
      <xdr:col>2</xdr:col>
      <xdr:colOff>0</xdr:colOff>
      <xdr:row>277</xdr:row>
      <xdr:rowOff>190500</xdr:rowOff>
    </xdr:to>
    <xdr:sp macro="" textlink="">
      <xdr:nvSpPr>
        <xdr:cNvPr id="975" name="AutoShape 46">
          <a:extLst>
            <a:ext uri="{FF2B5EF4-FFF2-40B4-BE49-F238E27FC236}">
              <a16:creationId xmlns:a16="http://schemas.microsoft.com/office/drawing/2014/main" id="{CC108D6A-09CF-46D8-A9F6-0A012E5885CD}"/>
            </a:ext>
          </a:extLst>
        </xdr:cNvPr>
        <xdr:cNvSpPr>
          <a:spLocks noChangeArrowheads="1"/>
        </xdr:cNvSpPr>
      </xdr:nvSpPr>
      <xdr:spPr bwMode="auto">
        <a:xfrm>
          <a:off x="6096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276</xdr:row>
      <xdr:rowOff>57150</xdr:rowOff>
    </xdr:from>
    <xdr:to>
      <xdr:col>4</xdr:col>
      <xdr:colOff>0</xdr:colOff>
      <xdr:row>277</xdr:row>
      <xdr:rowOff>190500</xdr:rowOff>
    </xdr:to>
    <xdr:sp macro="" textlink="">
      <xdr:nvSpPr>
        <xdr:cNvPr id="976" name="AutoShape 46">
          <a:extLst>
            <a:ext uri="{FF2B5EF4-FFF2-40B4-BE49-F238E27FC236}">
              <a16:creationId xmlns:a16="http://schemas.microsoft.com/office/drawing/2014/main" id="{4DEDE72E-86C5-4BFB-B1A8-6252A90A498A}"/>
            </a:ext>
          </a:extLst>
        </xdr:cNvPr>
        <xdr:cNvSpPr>
          <a:spLocks noChangeArrowheads="1"/>
        </xdr:cNvSpPr>
      </xdr:nvSpPr>
      <xdr:spPr bwMode="auto">
        <a:xfrm>
          <a:off x="1536700" y="681101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276</xdr:row>
      <xdr:rowOff>57150</xdr:rowOff>
    </xdr:from>
    <xdr:to>
      <xdr:col>6</xdr:col>
      <xdr:colOff>0</xdr:colOff>
      <xdr:row>277</xdr:row>
      <xdr:rowOff>190500</xdr:rowOff>
    </xdr:to>
    <xdr:sp macro="" textlink="">
      <xdr:nvSpPr>
        <xdr:cNvPr id="977" name="AutoShape 46">
          <a:extLst>
            <a:ext uri="{FF2B5EF4-FFF2-40B4-BE49-F238E27FC236}">
              <a16:creationId xmlns:a16="http://schemas.microsoft.com/office/drawing/2014/main" id="{89066819-8A8A-44D7-B1CD-DF26E4FF399E}"/>
            </a:ext>
          </a:extLst>
        </xdr:cNvPr>
        <xdr:cNvSpPr>
          <a:spLocks noChangeArrowheads="1"/>
        </xdr:cNvSpPr>
      </xdr:nvSpPr>
      <xdr:spPr bwMode="auto">
        <a:xfrm>
          <a:off x="2520950" y="681101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276</xdr:row>
      <xdr:rowOff>57150</xdr:rowOff>
    </xdr:from>
    <xdr:to>
      <xdr:col>8</xdr:col>
      <xdr:colOff>0</xdr:colOff>
      <xdr:row>277</xdr:row>
      <xdr:rowOff>190500</xdr:rowOff>
    </xdr:to>
    <xdr:sp macro="" textlink="">
      <xdr:nvSpPr>
        <xdr:cNvPr id="978" name="AutoShape 46">
          <a:extLst>
            <a:ext uri="{FF2B5EF4-FFF2-40B4-BE49-F238E27FC236}">
              <a16:creationId xmlns:a16="http://schemas.microsoft.com/office/drawing/2014/main" id="{08046CA9-A6A5-4472-AAA5-2D6748DB7A6B}"/>
            </a:ext>
          </a:extLst>
        </xdr:cNvPr>
        <xdr:cNvSpPr>
          <a:spLocks noChangeArrowheads="1"/>
        </xdr:cNvSpPr>
      </xdr:nvSpPr>
      <xdr:spPr bwMode="auto">
        <a:xfrm>
          <a:off x="3498850" y="681101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276</xdr:row>
      <xdr:rowOff>57150</xdr:rowOff>
    </xdr:from>
    <xdr:to>
      <xdr:col>10</xdr:col>
      <xdr:colOff>0</xdr:colOff>
      <xdr:row>277</xdr:row>
      <xdr:rowOff>190500</xdr:rowOff>
    </xdr:to>
    <xdr:sp macro="" textlink="">
      <xdr:nvSpPr>
        <xdr:cNvPr id="979" name="AutoShape 46">
          <a:extLst>
            <a:ext uri="{FF2B5EF4-FFF2-40B4-BE49-F238E27FC236}">
              <a16:creationId xmlns:a16="http://schemas.microsoft.com/office/drawing/2014/main" id="{7D2F4E0F-7F56-4EAF-AB39-E6EFCF40804B}"/>
            </a:ext>
          </a:extLst>
        </xdr:cNvPr>
        <xdr:cNvSpPr>
          <a:spLocks noChangeArrowheads="1"/>
        </xdr:cNvSpPr>
      </xdr:nvSpPr>
      <xdr:spPr bwMode="auto">
        <a:xfrm>
          <a:off x="44958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276</xdr:row>
      <xdr:rowOff>57150</xdr:rowOff>
    </xdr:from>
    <xdr:to>
      <xdr:col>12</xdr:col>
      <xdr:colOff>0</xdr:colOff>
      <xdr:row>277</xdr:row>
      <xdr:rowOff>190500</xdr:rowOff>
    </xdr:to>
    <xdr:sp macro="" textlink="">
      <xdr:nvSpPr>
        <xdr:cNvPr id="980" name="AutoShape 46">
          <a:extLst>
            <a:ext uri="{FF2B5EF4-FFF2-40B4-BE49-F238E27FC236}">
              <a16:creationId xmlns:a16="http://schemas.microsoft.com/office/drawing/2014/main" id="{658C62E7-EE38-4AFF-B1D1-90DCB9F9BB16}"/>
            </a:ext>
          </a:extLst>
        </xdr:cNvPr>
        <xdr:cNvSpPr>
          <a:spLocks noChangeArrowheads="1"/>
        </xdr:cNvSpPr>
      </xdr:nvSpPr>
      <xdr:spPr bwMode="auto">
        <a:xfrm>
          <a:off x="54229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276</xdr:row>
      <xdr:rowOff>57150</xdr:rowOff>
    </xdr:from>
    <xdr:to>
      <xdr:col>14</xdr:col>
      <xdr:colOff>0</xdr:colOff>
      <xdr:row>277</xdr:row>
      <xdr:rowOff>190500</xdr:rowOff>
    </xdr:to>
    <xdr:sp macro="" textlink="">
      <xdr:nvSpPr>
        <xdr:cNvPr id="981" name="AutoShape 46">
          <a:extLst>
            <a:ext uri="{FF2B5EF4-FFF2-40B4-BE49-F238E27FC236}">
              <a16:creationId xmlns:a16="http://schemas.microsoft.com/office/drawing/2014/main" id="{12D64589-2385-4212-B85E-11AEE0A3DD29}"/>
            </a:ext>
          </a:extLst>
        </xdr:cNvPr>
        <xdr:cNvSpPr>
          <a:spLocks noChangeArrowheads="1"/>
        </xdr:cNvSpPr>
      </xdr:nvSpPr>
      <xdr:spPr bwMode="auto">
        <a:xfrm>
          <a:off x="63500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276</xdr:row>
      <xdr:rowOff>57150</xdr:rowOff>
    </xdr:from>
    <xdr:to>
      <xdr:col>16</xdr:col>
      <xdr:colOff>0</xdr:colOff>
      <xdr:row>277</xdr:row>
      <xdr:rowOff>190500</xdr:rowOff>
    </xdr:to>
    <xdr:sp macro="" textlink="">
      <xdr:nvSpPr>
        <xdr:cNvPr id="982" name="AutoShape 46">
          <a:extLst>
            <a:ext uri="{FF2B5EF4-FFF2-40B4-BE49-F238E27FC236}">
              <a16:creationId xmlns:a16="http://schemas.microsoft.com/office/drawing/2014/main" id="{22068769-837B-43D5-82BA-41ACC20EB17C}"/>
            </a:ext>
          </a:extLst>
        </xdr:cNvPr>
        <xdr:cNvSpPr>
          <a:spLocks noChangeArrowheads="1"/>
        </xdr:cNvSpPr>
      </xdr:nvSpPr>
      <xdr:spPr bwMode="auto">
        <a:xfrm>
          <a:off x="72771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276</xdr:row>
      <xdr:rowOff>57150</xdr:rowOff>
    </xdr:from>
    <xdr:to>
      <xdr:col>16</xdr:col>
      <xdr:colOff>0</xdr:colOff>
      <xdr:row>277</xdr:row>
      <xdr:rowOff>190500</xdr:rowOff>
    </xdr:to>
    <xdr:sp macro="" textlink="">
      <xdr:nvSpPr>
        <xdr:cNvPr id="983" name="AutoShape 46">
          <a:extLst>
            <a:ext uri="{FF2B5EF4-FFF2-40B4-BE49-F238E27FC236}">
              <a16:creationId xmlns:a16="http://schemas.microsoft.com/office/drawing/2014/main" id="{79FCA512-F51F-4D82-ACDF-AFC778EFCEBA}"/>
            </a:ext>
          </a:extLst>
        </xdr:cNvPr>
        <xdr:cNvSpPr>
          <a:spLocks noChangeArrowheads="1"/>
        </xdr:cNvSpPr>
      </xdr:nvSpPr>
      <xdr:spPr bwMode="auto">
        <a:xfrm>
          <a:off x="72771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84" name="AutoShape 46">
          <a:extLst>
            <a:ext uri="{FF2B5EF4-FFF2-40B4-BE49-F238E27FC236}">
              <a16:creationId xmlns:a16="http://schemas.microsoft.com/office/drawing/2014/main" id="{9405DE38-4524-4D51-90D7-3EB031F63007}"/>
            </a:ext>
          </a:extLst>
        </xdr:cNvPr>
        <xdr:cNvSpPr>
          <a:spLocks noChangeArrowheads="1"/>
        </xdr:cNvSpPr>
      </xdr:nvSpPr>
      <xdr:spPr bwMode="auto">
        <a:xfrm>
          <a:off x="82042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85" name="AutoShape 46">
          <a:extLst>
            <a:ext uri="{FF2B5EF4-FFF2-40B4-BE49-F238E27FC236}">
              <a16:creationId xmlns:a16="http://schemas.microsoft.com/office/drawing/2014/main" id="{9B4C2755-BA54-4169-8BCD-CAA90D750B77}"/>
            </a:ext>
          </a:extLst>
        </xdr:cNvPr>
        <xdr:cNvSpPr>
          <a:spLocks noChangeArrowheads="1"/>
        </xdr:cNvSpPr>
      </xdr:nvSpPr>
      <xdr:spPr bwMode="auto">
        <a:xfrm>
          <a:off x="91313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86" name="AutoShape 46">
          <a:extLst>
            <a:ext uri="{FF2B5EF4-FFF2-40B4-BE49-F238E27FC236}">
              <a16:creationId xmlns:a16="http://schemas.microsoft.com/office/drawing/2014/main" id="{B279D11E-B0B9-4B1C-B91C-407F9DA09E3B}"/>
            </a:ext>
          </a:extLst>
        </xdr:cNvPr>
        <xdr:cNvSpPr>
          <a:spLocks noChangeArrowheads="1"/>
        </xdr:cNvSpPr>
      </xdr:nvSpPr>
      <xdr:spPr bwMode="auto">
        <a:xfrm>
          <a:off x="100584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87" name="AutoShape 46">
          <a:extLst>
            <a:ext uri="{FF2B5EF4-FFF2-40B4-BE49-F238E27FC236}">
              <a16:creationId xmlns:a16="http://schemas.microsoft.com/office/drawing/2014/main" id="{C7FDF00B-6B17-4B3D-BB32-16AA63F5D860}"/>
            </a:ext>
          </a:extLst>
        </xdr:cNvPr>
        <xdr:cNvSpPr>
          <a:spLocks noChangeArrowheads="1"/>
        </xdr:cNvSpPr>
      </xdr:nvSpPr>
      <xdr:spPr bwMode="auto">
        <a:xfrm>
          <a:off x="109855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988" name="AutoShape 46">
          <a:extLst>
            <a:ext uri="{FF2B5EF4-FFF2-40B4-BE49-F238E27FC236}">
              <a16:creationId xmlns:a16="http://schemas.microsoft.com/office/drawing/2014/main" id="{2D26B276-41E6-461F-A4B0-59122997C423}"/>
            </a:ext>
          </a:extLst>
        </xdr:cNvPr>
        <xdr:cNvSpPr>
          <a:spLocks noChangeArrowheads="1"/>
        </xdr:cNvSpPr>
      </xdr:nvSpPr>
      <xdr:spPr bwMode="auto">
        <a:xfrm>
          <a:off x="11912600" y="681101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989" name="AutoShape 46">
          <a:extLst>
            <a:ext uri="{FF2B5EF4-FFF2-40B4-BE49-F238E27FC236}">
              <a16:creationId xmlns:a16="http://schemas.microsoft.com/office/drawing/2014/main" id="{AD306E50-4317-4B53-90A1-4C2F3F2F8720}"/>
            </a:ext>
          </a:extLst>
        </xdr:cNvPr>
        <xdr:cNvSpPr>
          <a:spLocks noChangeArrowheads="1"/>
        </xdr:cNvSpPr>
      </xdr:nvSpPr>
      <xdr:spPr bwMode="auto">
        <a:xfrm>
          <a:off x="1289685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90" name="AutoShape 46">
          <a:extLst>
            <a:ext uri="{FF2B5EF4-FFF2-40B4-BE49-F238E27FC236}">
              <a16:creationId xmlns:a16="http://schemas.microsoft.com/office/drawing/2014/main" id="{F191CE83-1474-4140-99C9-02F77CA81F56}"/>
            </a:ext>
          </a:extLst>
        </xdr:cNvPr>
        <xdr:cNvSpPr>
          <a:spLocks noChangeArrowheads="1"/>
        </xdr:cNvSpPr>
      </xdr:nvSpPr>
      <xdr:spPr bwMode="auto">
        <a:xfrm>
          <a:off x="82042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91" name="AutoShape 46">
          <a:extLst>
            <a:ext uri="{FF2B5EF4-FFF2-40B4-BE49-F238E27FC236}">
              <a16:creationId xmlns:a16="http://schemas.microsoft.com/office/drawing/2014/main" id="{8535F416-4CAF-4D1C-8DC3-E58875C75147}"/>
            </a:ext>
          </a:extLst>
        </xdr:cNvPr>
        <xdr:cNvSpPr>
          <a:spLocks noChangeArrowheads="1"/>
        </xdr:cNvSpPr>
      </xdr:nvSpPr>
      <xdr:spPr bwMode="auto">
        <a:xfrm>
          <a:off x="91313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92" name="AutoShape 46">
          <a:extLst>
            <a:ext uri="{FF2B5EF4-FFF2-40B4-BE49-F238E27FC236}">
              <a16:creationId xmlns:a16="http://schemas.microsoft.com/office/drawing/2014/main" id="{58651C80-C398-4DF7-8F1D-21B0A777354F}"/>
            </a:ext>
          </a:extLst>
        </xdr:cNvPr>
        <xdr:cNvSpPr>
          <a:spLocks noChangeArrowheads="1"/>
        </xdr:cNvSpPr>
      </xdr:nvSpPr>
      <xdr:spPr bwMode="auto">
        <a:xfrm>
          <a:off x="100584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93" name="AutoShape 46">
          <a:extLst>
            <a:ext uri="{FF2B5EF4-FFF2-40B4-BE49-F238E27FC236}">
              <a16:creationId xmlns:a16="http://schemas.microsoft.com/office/drawing/2014/main" id="{5A8AA465-3D4F-4CAF-BB35-09E51117EE4E}"/>
            </a:ext>
          </a:extLst>
        </xdr:cNvPr>
        <xdr:cNvSpPr>
          <a:spLocks noChangeArrowheads="1"/>
        </xdr:cNvSpPr>
      </xdr:nvSpPr>
      <xdr:spPr bwMode="auto">
        <a:xfrm>
          <a:off x="109855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994" name="AutoShape 46">
          <a:extLst>
            <a:ext uri="{FF2B5EF4-FFF2-40B4-BE49-F238E27FC236}">
              <a16:creationId xmlns:a16="http://schemas.microsoft.com/office/drawing/2014/main" id="{49CE5BCF-B327-45F0-BBC1-2672067671B7}"/>
            </a:ext>
          </a:extLst>
        </xdr:cNvPr>
        <xdr:cNvSpPr>
          <a:spLocks noChangeArrowheads="1"/>
        </xdr:cNvSpPr>
      </xdr:nvSpPr>
      <xdr:spPr bwMode="auto">
        <a:xfrm>
          <a:off x="11912600" y="681101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995" name="AutoShape 46">
          <a:extLst>
            <a:ext uri="{FF2B5EF4-FFF2-40B4-BE49-F238E27FC236}">
              <a16:creationId xmlns:a16="http://schemas.microsoft.com/office/drawing/2014/main" id="{C217AC63-6864-441F-924E-F80D5ECCAC63}"/>
            </a:ext>
          </a:extLst>
        </xdr:cNvPr>
        <xdr:cNvSpPr>
          <a:spLocks noChangeArrowheads="1"/>
        </xdr:cNvSpPr>
      </xdr:nvSpPr>
      <xdr:spPr bwMode="auto">
        <a:xfrm>
          <a:off x="1289685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96" name="AutoShape 46">
          <a:extLst>
            <a:ext uri="{FF2B5EF4-FFF2-40B4-BE49-F238E27FC236}">
              <a16:creationId xmlns:a16="http://schemas.microsoft.com/office/drawing/2014/main" id="{66FB1F99-71F5-4DD9-B971-A369E9DA1F58}"/>
            </a:ext>
          </a:extLst>
        </xdr:cNvPr>
        <xdr:cNvSpPr>
          <a:spLocks noChangeArrowheads="1"/>
        </xdr:cNvSpPr>
      </xdr:nvSpPr>
      <xdr:spPr bwMode="auto">
        <a:xfrm>
          <a:off x="82042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97" name="AutoShape 46">
          <a:extLst>
            <a:ext uri="{FF2B5EF4-FFF2-40B4-BE49-F238E27FC236}">
              <a16:creationId xmlns:a16="http://schemas.microsoft.com/office/drawing/2014/main" id="{4F7A80ED-09AA-44AF-BD46-0FA147A7CE48}"/>
            </a:ext>
          </a:extLst>
        </xdr:cNvPr>
        <xdr:cNvSpPr>
          <a:spLocks noChangeArrowheads="1"/>
        </xdr:cNvSpPr>
      </xdr:nvSpPr>
      <xdr:spPr bwMode="auto">
        <a:xfrm>
          <a:off x="91313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98" name="AutoShape 46">
          <a:extLst>
            <a:ext uri="{FF2B5EF4-FFF2-40B4-BE49-F238E27FC236}">
              <a16:creationId xmlns:a16="http://schemas.microsoft.com/office/drawing/2014/main" id="{15B7FB36-203C-40F9-A137-E2137481CF62}"/>
            </a:ext>
          </a:extLst>
        </xdr:cNvPr>
        <xdr:cNvSpPr>
          <a:spLocks noChangeArrowheads="1"/>
        </xdr:cNvSpPr>
      </xdr:nvSpPr>
      <xdr:spPr bwMode="auto">
        <a:xfrm>
          <a:off x="100584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99" name="AutoShape 46">
          <a:extLst>
            <a:ext uri="{FF2B5EF4-FFF2-40B4-BE49-F238E27FC236}">
              <a16:creationId xmlns:a16="http://schemas.microsoft.com/office/drawing/2014/main" id="{E25B816E-77AE-4E18-9312-5CF03E9893B1}"/>
            </a:ext>
          </a:extLst>
        </xdr:cNvPr>
        <xdr:cNvSpPr>
          <a:spLocks noChangeArrowheads="1"/>
        </xdr:cNvSpPr>
      </xdr:nvSpPr>
      <xdr:spPr bwMode="auto">
        <a:xfrm>
          <a:off x="109855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1000" name="AutoShape 46">
          <a:extLst>
            <a:ext uri="{FF2B5EF4-FFF2-40B4-BE49-F238E27FC236}">
              <a16:creationId xmlns:a16="http://schemas.microsoft.com/office/drawing/2014/main" id="{61CE687D-2517-471E-8754-767C0FBED12D}"/>
            </a:ext>
          </a:extLst>
        </xdr:cNvPr>
        <xdr:cNvSpPr>
          <a:spLocks noChangeArrowheads="1"/>
        </xdr:cNvSpPr>
      </xdr:nvSpPr>
      <xdr:spPr bwMode="auto">
        <a:xfrm>
          <a:off x="11912600" y="681101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1001" name="AutoShape 46">
          <a:extLst>
            <a:ext uri="{FF2B5EF4-FFF2-40B4-BE49-F238E27FC236}">
              <a16:creationId xmlns:a16="http://schemas.microsoft.com/office/drawing/2014/main" id="{78B17E38-3320-462F-99F8-A0EE912222B0}"/>
            </a:ext>
          </a:extLst>
        </xdr:cNvPr>
        <xdr:cNvSpPr>
          <a:spLocks noChangeArrowheads="1"/>
        </xdr:cNvSpPr>
      </xdr:nvSpPr>
      <xdr:spPr bwMode="auto">
        <a:xfrm>
          <a:off x="1289685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284</xdr:row>
      <xdr:rowOff>57150</xdr:rowOff>
    </xdr:from>
    <xdr:to>
      <xdr:col>2</xdr:col>
      <xdr:colOff>0</xdr:colOff>
      <xdr:row>285</xdr:row>
      <xdr:rowOff>190500</xdr:rowOff>
    </xdr:to>
    <xdr:sp macro="" textlink="">
      <xdr:nvSpPr>
        <xdr:cNvPr id="1002" name="AutoShape 46">
          <a:extLst>
            <a:ext uri="{FF2B5EF4-FFF2-40B4-BE49-F238E27FC236}">
              <a16:creationId xmlns:a16="http://schemas.microsoft.com/office/drawing/2014/main" id="{19AA1FE9-8934-4662-91EC-D3ABD6B2C0AD}"/>
            </a:ext>
          </a:extLst>
        </xdr:cNvPr>
        <xdr:cNvSpPr>
          <a:spLocks noChangeArrowheads="1"/>
        </xdr:cNvSpPr>
      </xdr:nvSpPr>
      <xdr:spPr bwMode="auto">
        <a:xfrm>
          <a:off x="6096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284</xdr:row>
      <xdr:rowOff>57150</xdr:rowOff>
    </xdr:from>
    <xdr:to>
      <xdr:col>4</xdr:col>
      <xdr:colOff>0</xdr:colOff>
      <xdr:row>285</xdr:row>
      <xdr:rowOff>190500</xdr:rowOff>
    </xdr:to>
    <xdr:sp macro="" textlink="">
      <xdr:nvSpPr>
        <xdr:cNvPr id="1003" name="AutoShape 46">
          <a:extLst>
            <a:ext uri="{FF2B5EF4-FFF2-40B4-BE49-F238E27FC236}">
              <a16:creationId xmlns:a16="http://schemas.microsoft.com/office/drawing/2014/main" id="{4C768D14-B330-4E1E-BD8A-D63062AD784F}"/>
            </a:ext>
          </a:extLst>
        </xdr:cNvPr>
        <xdr:cNvSpPr>
          <a:spLocks noChangeArrowheads="1"/>
        </xdr:cNvSpPr>
      </xdr:nvSpPr>
      <xdr:spPr bwMode="auto">
        <a:xfrm>
          <a:off x="1536700" y="70002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284</xdr:row>
      <xdr:rowOff>57150</xdr:rowOff>
    </xdr:from>
    <xdr:to>
      <xdr:col>6</xdr:col>
      <xdr:colOff>0</xdr:colOff>
      <xdr:row>285</xdr:row>
      <xdr:rowOff>190500</xdr:rowOff>
    </xdr:to>
    <xdr:sp macro="" textlink="">
      <xdr:nvSpPr>
        <xdr:cNvPr id="1004" name="AutoShape 46">
          <a:extLst>
            <a:ext uri="{FF2B5EF4-FFF2-40B4-BE49-F238E27FC236}">
              <a16:creationId xmlns:a16="http://schemas.microsoft.com/office/drawing/2014/main" id="{73B76E27-65A7-4865-A36B-C9E02E8C4E18}"/>
            </a:ext>
          </a:extLst>
        </xdr:cNvPr>
        <xdr:cNvSpPr>
          <a:spLocks noChangeArrowheads="1"/>
        </xdr:cNvSpPr>
      </xdr:nvSpPr>
      <xdr:spPr bwMode="auto">
        <a:xfrm>
          <a:off x="2520950" y="70002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284</xdr:row>
      <xdr:rowOff>57150</xdr:rowOff>
    </xdr:from>
    <xdr:to>
      <xdr:col>8</xdr:col>
      <xdr:colOff>0</xdr:colOff>
      <xdr:row>285</xdr:row>
      <xdr:rowOff>190500</xdr:rowOff>
    </xdr:to>
    <xdr:sp macro="" textlink="">
      <xdr:nvSpPr>
        <xdr:cNvPr id="1005" name="AutoShape 46">
          <a:extLst>
            <a:ext uri="{FF2B5EF4-FFF2-40B4-BE49-F238E27FC236}">
              <a16:creationId xmlns:a16="http://schemas.microsoft.com/office/drawing/2014/main" id="{CE91E9A5-557B-4178-803B-C9AB76109E86}"/>
            </a:ext>
          </a:extLst>
        </xdr:cNvPr>
        <xdr:cNvSpPr>
          <a:spLocks noChangeArrowheads="1"/>
        </xdr:cNvSpPr>
      </xdr:nvSpPr>
      <xdr:spPr bwMode="auto">
        <a:xfrm>
          <a:off x="3498850" y="70002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284</xdr:row>
      <xdr:rowOff>57150</xdr:rowOff>
    </xdr:from>
    <xdr:to>
      <xdr:col>10</xdr:col>
      <xdr:colOff>0</xdr:colOff>
      <xdr:row>285</xdr:row>
      <xdr:rowOff>190500</xdr:rowOff>
    </xdr:to>
    <xdr:sp macro="" textlink="">
      <xdr:nvSpPr>
        <xdr:cNvPr id="1006" name="AutoShape 46">
          <a:extLst>
            <a:ext uri="{FF2B5EF4-FFF2-40B4-BE49-F238E27FC236}">
              <a16:creationId xmlns:a16="http://schemas.microsoft.com/office/drawing/2014/main" id="{02333D2D-CEE5-41AC-82BC-9B49B41CA3D9}"/>
            </a:ext>
          </a:extLst>
        </xdr:cNvPr>
        <xdr:cNvSpPr>
          <a:spLocks noChangeArrowheads="1"/>
        </xdr:cNvSpPr>
      </xdr:nvSpPr>
      <xdr:spPr bwMode="auto">
        <a:xfrm>
          <a:off x="44958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284</xdr:row>
      <xdr:rowOff>57150</xdr:rowOff>
    </xdr:from>
    <xdr:to>
      <xdr:col>12</xdr:col>
      <xdr:colOff>0</xdr:colOff>
      <xdr:row>285</xdr:row>
      <xdr:rowOff>190500</xdr:rowOff>
    </xdr:to>
    <xdr:sp macro="" textlink="">
      <xdr:nvSpPr>
        <xdr:cNvPr id="1007" name="AutoShape 46">
          <a:extLst>
            <a:ext uri="{FF2B5EF4-FFF2-40B4-BE49-F238E27FC236}">
              <a16:creationId xmlns:a16="http://schemas.microsoft.com/office/drawing/2014/main" id="{287FE6C8-ABCD-4ACF-AE6F-3D91A6EC43C7}"/>
            </a:ext>
          </a:extLst>
        </xdr:cNvPr>
        <xdr:cNvSpPr>
          <a:spLocks noChangeArrowheads="1"/>
        </xdr:cNvSpPr>
      </xdr:nvSpPr>
      <xdr:spPr bwMode="auto">
        <a:xfrm>
          <a:off x="54229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284</xdr:row>
      <xdr:rowOff>57150</xdr:rowOff>
    </xdr:from>
    <xdr:to>
      <xdr:col>14</xdr:col>
      <xdr:colOff>0</xdr:colOff>
      <xdr:row>285</xdr:row>
      <xdr:rowOff>190500</xdr:rowOff>
    </xdr:to>
    <xdr:sp macro="" textlink="">
      <xdr:nvSpPr>
        <xdr:cNvPr id="1008" name="AutoShape 46">
          <a:extLst>
            <a:ext uri="{FF2B5EF4-FFF2-40B4-BE49-F238E27FC236}">
              <a16:creationId xmlns:a16="http://schemas.microsoft.com/office/drawing/2014/main" id="{201D3994-F6D8-4478-8334-E1B14DC16F1C}"/>
            </a:ext>
          </a:extLst>
        </xdr:cNvPr>
        <xdr:cNvSpPr>
          <a:spLocks noChangeArrowheads="1"/>
        </xdr:cNvSpPr>
      </xdr:nvSpPr>
      <xdr:spPr bwMode="auto">
        <a:xfrm>
          <a:off x="63500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284</xdr:row>
      <xdr:rowOff>57150</xdr:rowOff>
    </xdr:from>
    <xdr:to>
      <xdr:col>16</xdr:col>
      <xdr:colOff>0</xdr:colOff>
      <xdr:row>285</xdr:row>
      <xdr:rowOff>190500</xdr:rowOff>
    </xdr:to>
    <xdr:sp macro="" textlink="">
      <xdr:nvSpPr>
        <xdr:cNvPr id="1009" name="AutoShape 46">
          <a:extLst>
            <a:ext uri="{FF2B5EF4-FFF2-40B4-BE49-F238E27FC236}">
              <a16:creationId xmlns:a16="http://schemas.microsoft.com/office/drawing/2014/main" id="{87A99758-F7F3-4C64-829B-F17A29264C6F}"/>
            </a:ext>
          </a:extLst>
        </xdr:cNvPr>
        <xdr:cNvSpPr>
          <a:spLocks noChangeArrowheads="1"/>
        </xdr:cNvSpPr>
      </xdr:nvSpPr>
      <xdr:spPr bwMode="auto">
        <a:xfrm>
          <a:off x="72771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284</xdr:row>
      <xdr:rowOff>57150</xdr:rowOff>
    </xdr:from>
    <xdr:to>
      <xdr:col>16</xdr:col>
      <xdr:colOff>0</xdr:colOff>
      <xdr:row>285</xdr:row>
      <xdr:rowOff>190500</xdr:rowOff>
    </xdr:to>
    <xdr:sp macro="" textlink="">
      <xdr:nvSpPr>
        <xdr:cNvPr id="1010" name="AutoShape 46">
          <a:extLst>
            <a:ext uri="{FF2B5EF4-FFF2-40B4-BE49-F238E27FC236}">
              <a16:creationId xmlns:a16="http://schemas.microsoft.com/office/drawing/2014/main" id="{1B15C0FC-FD37-48C3-87F3-ADF222F81975}"/>
            </a:ext>
          </a:extLst>
        </xdr:cNvPr>
        <xdr:cNvSpPr>
          <a:spLocks noChangeArrowheads="1"/>
        </xdr:cNvSpPr>
      </xdr:nvSpPr>
      <xdr:spPr bwMode="auto">
        <a:xfrm>
          <a:off x="72771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11" name="AutoShape 46">
          <a:extLst>
            <a:ext uri="{FF2B5EF4-FFF2-40B4-BE49-F238E27FC236}">
              <a16:creationId xmlns:a16="http://schemas.microsoft.com/office/drawing/2014/main" id="{0878E881-060B-4759-BBFE-58957818CB23}"/>
            </a:ext>
          </a:extLst>
        </xdr:cNvPr>
        <xdr:cNvSpPr>
          <a:spLocks noChangeArrowheads="1"/>
        </xdr:cNvSpPr>
      </xdr:nvSpPr>
      <xdr:spPr bwMode="auto">
        <a:xfrm>
          <a:off x="82042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12" name="AutoShape 46">
          <a:extLst>
            <a:ext uri="{FF2B5EF4-FFF2-40B4-BE49-F238E27FC236}">
              <a16:creationId xmlns:a16="http://schemas.microsoft.com/office/drawing/2014/main" id="{1B5FB1D2-A804-4CF4-8C15-4C72840B8438}"/>
            </a:ext>
          </a:extLst>
        </xdr:cNvPr>
        <xdr:cNvSpPr>
          <a:spLocks noChangeArrowheads="1"/>
        </xdr:cNvSpPr>
      </xdr:nvSpPr>
      <xdr:spPr bwMode="auto">
        <a:xfrm>
          <a:off x="91313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13" name="AutoShape 46">
          <a:extLst>
            <a:ext uri="{FF2B5EF4-FFF2-40B4-BE49-F238E27FC236}">
              <a16:creationId xmlns:a16="http://schemas.microsoft.com/office/drawing/2014/main" id="{EE2A55D5-0496-4F6F-8874-3B9A74875800}"/>
            </a:ext>
          </a:extLst>
        </xdr:cNvPr>
        <xdr:cNvSpPr>
          <a:spLocks noChangeArrowheads="1"/>
        </xdr:cNvSpPr>
      </xdr:nvSpPr>
      <xdr:spPr bwMode="auto">
        <a:xfrm>
          <a:off x="100584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14" name="AutoShape 46">
          <a:extLst>
            <a:ext uri="{FF2B5EF4-FFF2-40B4-BE49-F238E27FC236}">
              <a16:creationId xmlns:a16="http://schemas.microsoft.com/office/drawing/2014/main" id="{0579DECE-558A-434B-A636-54558F55039B}"/>
            </a:ext>
          </a:extLst>
        </xdr:cNvPr>
        <xdr:cNvSpPr>
          <a:spLocks noChangeArrowheads="1"/>
        </xdr:cNvSpPr>
      </xdr:nvSpPr>
      <xdr:spPr bwMode="auto">
        <a:xfrm>
          <a:off x="109855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15" name="AutoShape 46">
          <a:extLst>
            <a:ext uri="{FF2B5EF4-FFF2-40B4-BE49-F238E27FC236}">
              <a16:creationId xmlns:a16="http://schemas.microsoft.com/office/drawing/2014/main" id="{E95289B3-580E-472B-994C-80E19E584A87}"/>
            </a:ext>
          </a:extLst>
        </xdr:cNvPr>
        <xdr:cNvSpPr>
          <a:spLocks noChangeArrowheads="1"/>
        </xdr:cNvSpPr>
      </xdr:nvSpPr>
      <xdr:spPr bwMode="auto">
        <a:xfrm>
          <a:off x="11912600" y="70002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16" name="AutoShape 46">
          <a:extLst>
            <a:ext uri="{FF2B5EF4-FFF2-40B4-BE49-F238E27FC236}">
              <a16:creationId xmlns:a16="http://schemas.microsoft.com/office/drawing/2014/main" id="{AE454535-01EF-496F-8527-1E960D1C476A}"/>
            </a:ext>
          </a:extLst>
        </xdr:cNvPr>
        <xdr:cNvSpPr>
          <a:spLocks noChangeArrowheads="1"/>
        </xdr:cNvSpPr>
      </xdr:nvSpPr>
      <xdr:spPr bwMode="auto">
        <a:xfrm>
          <a:off x="1289685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17" name="AutoShape 46">
          <a:extLst>
            <a:ext uri="{FF2B5EF4-FFF2-40B4-BE49-F238E27FC236}">
              <a16:creationId xmlns:a16="http://schemas.microsoft.com/office/drawing/2014/main" id="{EEB7BCE9-305D-4210-BF6F-9694277BEC2F}"/>
            </a:ext>
          </a:extLst>
        </xdr:cNvPr>
        <xdr:cNvSpPr>
          <a:spLocks noChangeArrowheads="1"/>
        </xdr:cNvSpPr>
      </xdr:nvSpPr>
      <xdr:spPr bwMode="auto">
        <a:xfrm>
          <a:off x="82042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18" name="AutoShape 46">
          <a:extLst>
            <a:ext uri="{FF2B5EF4-FFF2-40B4-BE49-F238E27FC236}">
              <a16:creationId xmlns:a16="http://schemas.microsoft.com/office/drawing/2014/main" id="{CCF917EE-D382-4305-95AA-39C9C6C51802}"/>
            </a:ext>
          </a:extLst>
        </xdr:cNvPr>
        <xdr:cNvSpPr>
          <a:spLocks noChangeArrowheads="1"/>
        </xdr:cNvSpPr>
      </xdr:nvSpPr>
      <xdr:spPr bwMode="auto">
        <a:xfrm>
          <a:off x="91313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19" name="AutoShape 46">
          <a:extLst>
            <a:ext uri="{FF2B5EF4-FFF2-40B4-BE49-F238E27FC236}">
              <a16:creationId xmlns:a16="http://schemas.microsoft.com/office/drawing/2014/main" id="{E7CFE1C8-7EDD-4BDA-9B97-D504EBE2E1F1}"/>
            </a:ext>
          </a:extLst>
        </xdr:cNvPr>
        <xdr:cNvSpPr>
          <a:spLocks noChangeArrowheads="1"/>
        </xdr:cNvSpPr>
      </xdr:nvSpPr>
      <xdr:spPr bwMode="auto">
        <a:xfrm>
          <a:off x="100584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20" name="AutoShape 46">
          <a:extLst>
            <a:ext uri="{FF2B5EF4-FFF2-40B4-BE49-F238E27FC236}">
              <a16:creationId xmlns:a16="http://schemas.microsoft.com/office/drawing/2014/main" id="{9EF929DF-6886-42CF-BA05-5EA350C854EA}"/>
            </a:ext>
          </a:extLst>
        </xdr:cNvPr>
        <xdr:cNvSpPr>
          <a:spLocks noChangeArrowheads="1"/>
        </xdr:cNvSpPr>
      </xdr:nvSpPr>
      <xdr:spPr bwMode="auto">
        <a:xfrm>
          <a:off x="109855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21" name="AutoShape 46">
          <a:extLst>
            <a:ext uri="{FF2B5EF4-FFF2-40B4-BE49-F238E27FC236}">
              <a16:creationId xmlns:a16="http://schemas.microsoft.com/office/drawing/2014/main" id="{7990FE98-AA93-45E1-B13B-CDDE92ECA964}"/>
            </a:ext>
          </a:extLst>
        </xdr:cNvPr>
        <xdr:cNvSpPr>
          <a:spLocks noChangeArrowheads="1"/>
        </xdr:cNvSpPr>
      </xdr:nvSpPr>
      <xdr:spPr bwMode="auto">
        <a:xfrm>
          <a:off x="11912600" y="70002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22" name="AutoShape 46">
          <a:extLst>
            <a:ext uri="{FF2B5EF4-FFF2-40B4-BE49-F238E27FC236}">
              <a16:creationId xmlns:a16="http://schemas.microsoft.com/office/drawing/2014/main" id="{B52AB169-DD97-4CE1-A870-7E710C1C1B42}"/>
            </a:ext>
          </a:extLst>
        </xdr:cNvPr>
        <xdr:cNvSpPr>
          <a:spLocks noChangeArrowheads="1"/>
        </xdr:cNvSpPr>
      </xdr:nvSpPr>
      <xdr:spPr bwMode="auto">
        <a:xfrm>
          <a:off x="1289685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23" name="AutoShape 46">
          <a:extLst>
            <a:ext uri="{FF2B5EF4-FFF2-40B4-BE49-F238E27FC236}">
              <a16:creationId xmlns:a16="http://schemas.microsoft.com/office/drawing/2014/main" id="{1A0B7C20-2276-417E-BC88-ACFA29EB3C4F}"/>
            </a:ext>
          </a:extLst>
        </xdr:cNvPr>
        <xdr:cNvSpPr>
          <a:spLocks noChangeArrowheads="1"/>
        </xdr:cNvSpPr>
      </xdr:nvSpPr>
      <xdr:spPr bwMode="auto">
        <a:xfrm>
          <a:off x="82042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24" name="AutoShape 46">
          <a:extLst>
            <a:ext uri="{FF2B5EF4-FFF2-40B4-BE49-F238E27FC236}">
              <a16:creationId xmlns:a16="http://schemas.microsoft.com/office/drawing/2014/main" id="{AD3AE361-669D-4D67-BF35-A3B1812A143F}"/>
            </a:ext>
          </a:extLst>
        </xdr:cNvPr>
        <xdr:cNvSpPr>
          <a:spLocks noChangeArrowheads="1"/>
        </xdr:cNvSpPr>
      </xdr:nvSpPr>
      <xdr:spPr bwMode="auto">
        <a:xfrm>
          <a:off x="91313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25" name="AutoShape 46">
          <a:extLst>
            <a:ext uri="{FF2B5EF4-FFF2-40B4-BE49-F238E27FC236}">
              <a16:creationId xmlns:a16="http://schemas.microsoft.com/office/drawing/2014/main" id="{33F2E9C5-6EE3-4881-A1C6-3D90D81CC7BC}"/>
            </a:ext>
          </a:extLst>
        </xdr:cNvPr>
        <xdr:cNvSpPr>
          <a:spLocks noChangeArrowheads="1"/>
        </xdr:cNvSpPr>
      </xdr:nvSpPr>
      <xdr:spPr bwMode="auto">
        <a:xfrm>
          <a:off x="100584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26" name="AutoShape 46">
          <a:extLst>
            <a:ext uri="{FF2B5EF4-FFF2-40B4-BE49-F238E27FC236}">
              <a16:creationId xmlns:a16="http://schemas.microsoft.com/office/drawing/2014/main" id="{C38D4F83-30D4-4A9B-8E42-5318D09BD479}"/>
            </a:ext>
          </a:extLst>
        </xdr:cNvPr>
        <xdr:cNvSpPr>
          <a:spLocks noChangeArrowheads="1"/>
        </xdr:cNvSpPr>
      </xdr:nvSpPr>
      <xdr:spPr bwMode="auto">
        <a:xfrm>
          <a:off x="109855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27" name="AutoShape 46">
          <a:extLst>
            <a:ext uri="{FF2B5EF4-FFF2-40B4-BE49-F238E27FC236}">
              <a16:creationId xmlns:a16="http://schemas.microsoft.com/office/drawing/2014/main" id="{CF15A6D4-B188-4D39-880F-BA1E2DF6194C}"/>
            </a:ext>
          </a:extLst>
        </xdr:cNvPr>
        <xdr:cNvSpPr>
          <a:spLocks noChangeArrowheads="1"/>
        </xdr:cNvSpPr>
      </xdr:nvSpPr>
      <xdr:spPr bwMode="auto">
        <a:xfrm>
          <a:off x="11912600" y="70002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28" name="AutoShape 46">
          <a:extLst>
            <a:ext uri="{FF2B5EF4-FFF2-40B4-BE49-F238E27FC236}">
              <a16:creationId xmlns:a16="http://schemas.microsoft.com/office/drawing/2014/main" id="{65DF5E6A-5B95-404A-AA83-05EFD6D8D2E8}"/>
            </a:ext>
          </a:extLst>
        </xdr:cNvPr>
        <xdr:cNvSpPr>
          <a:spLocks noChangeArrowheads="1"/>
        </xdr:cNvSpPr>
      </xdr:nvSpPr>
      <xdr:spPr bwMode="auto">
        <a:xfrm>
          <a:off x="1289685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292</xdr:row>
      <xdr:rowOff>57150</xdr:rowOff>
    </xdr:from>
    <xdr:to>
      <xdr:col>2</xdr:col>
      <xdr:colOff>0</xdr:colOff>
      <xdr:row>293</xdr:row>
      <xdr:rowOff>190500</xdr:rowOff>
    </xdr:to>
    <xdr:sp macro="" textlink="">
      <xdr:nvSpPr>
        <xdr:cNvPr id="1029" name="AutoShape 46">
          <a:extLst>
            <a:ext uri="{FF2B5EF4-FFF2-40B4-BE49-F238E27FC236}">
              <a16:creationId xmlns:a16="http://schemas.microsoft.com/office/drawing/2014/main" id="{93716120-0235-4275-9568-CA4D275F9A1D}"/>
            </a:ext>
          </a:extLst>
        </xdr:cNvPr>
        <xdr:cNvSpPr>
          <a:spLocks noChangeArrowheads="1"/>
        </xdr:cNvSpPr>
      </xdr:nvSpPr>
      <xdr:spPr bwMode="auto">
        <a:xfrm>
          <a:off x="6096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292</xdr:row>
      <xdr:rowOff>57150</xdr:rowOff>
    </xdr:from>
    <xdr:to>
      <xdr:col>4</xdr:col>
      <xdr:colOff>0</xdr:colOff>
      <xdr:row>293</xdr:row>
      <xdr:rowOff>190500</xdr:rowOff>
    </xdr:to>
    <xdr:sp macro="" textlink="">
      <xdr:nvSpPr>
        <xdr:cNvPr id="1030" name="AutoShape 46">
          <a:extLst>
            <a:ext uri="{FF2B5EF4-FFF2-40B4-BE49-F238E27FC236}">
              <a16:creationId xmlns:a16="http://schemas.microsoft.com/office/drawing/2014/main" id="{F091A172-86C8-4F16-A8BE-934DC5B5002E}"/>
            </a:ext>
          </a:extLst>
        </xdr:cNvPr>
        <xdr:cNvSpPr>
          <a:spLocks noChangeArrowheads="1"/>
        </xdr:cNvSpPr>
      </xdr:nvSpPr>
      <xdr:spPr bwMode="auto">
        <a:xfrm>
          <a:off x="1536700" y="718947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292</xdr:row>
      <xdr:rowOff>57150</xdr:rowOff>
    </xdr:from>
    <xdr:to>
      <xdr:col>6</xdr:col>
      <xdr:colOff>0</xdr:colOff>
      <xdr:row>293</xdr:row>
      <xdr:rowOff>190500</xdr:rowOff>
    </xdr:to>
    <xdr:sp macro="" textlink="">
      <xdr:nvSpPr>
        <xdr:cNvPr id="1031" name="AutoShape 46">
          <a:extLst>
            <a:ext uri="{FF2B5EF4-FFF2-40B4-BE49-F238E27FC236}">
              <a16:creationId xmlns:a16="http://schemas.microsoft.com/office/drawing/2014/main" id="{8F219C1C-17C7-4FB2-9A15-17B58863B898}"/>
            </a:ext>
          </a:extLst>
        </xdr:cNvPr>
        <xdr:cNvSpPr>
          <a:spLocks noChangeArrowheads="1"/>
        </xdr:cNvSpPr>
      </xdr:nvSpPr>
      <xdr:spPr bwMode="auto">
        <a:xfrm>
          <a:off x="2520950" y="718947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292</xdr:row>
      <xdr:rowOff>57150</xdr:rowOff>
    </xdr:from>
    <xdr:to>
      <xdr:col>8</xdr:col>
      <xdr:colOff>0</xdr:colOff>
      <xdr:row>293</xdr:row>
      <xdr:rowOff>190500</xdr:rowOff>
    </xdr:to>
    <xdr:sp macro="" textlink="">
      <xdr:nvSpPr>
        <xdr:cNvPr id="1032" name="AutoShape 46">
          <a:extLst>
            <a:ext uri="{FF2B5EF4-FFF2-40B4-BE49-F238E27FC236}">
              <a16:creationId xmlns:a16="http://schemas.microsoft.com/office/drawing/2014/main" id="{A9A6F8CB-B1EF-4B47-9F98-8924F8214BF5}"/>
            </a:ext>
          </a:extLst>
        </xdr:cNvPr>
        <xdr:cNvSpPr>
          <a:spLocks noChangeArrowheads="1"/>
        </xdr:cNvSpPr>
      </xdr:nvSpPr>
      <xdr:spPr bwMode="auto">
        <a:xfrm>
          <a:off x="3498850" y="718947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292</xdr:row>
      <xdr:rowOff>57150</xdr:rowOff>
    </xdr:from>
    <xdr:to>
      <xdr:col>10</xdr:col>
      <xdr:colOff>0</xdr:colOff>
      <xdr:row>293</xdr:row>
      <xdr:rowOff>190500</xdr:rowOff>
    </xdr:to>
    <xdr:sp macro="" textlink="">
      <xdr:nvSpPr>
        <xdr:cNvPr id="1033" name="AutoShape 46">
          <a:extLst>
            <a:ext uri="{FF2B5EF4-FFF2-40B4-BE49-F238E27FC236}">
              <a16:creationId xmlns:a16="http://schemas.microsoft.com/office/drawing/2014/main" id="{08679665-3F03-4652-B4D7-8DC09FBB2E8B}"/>
            </a:ext>
          </a:extLst>
        </xdr:cNvPr>
        <xdr:cNvSpPr>
          <a:spLocks noChangeArrowheads="1"/>
        </xdr:cNvSpPr>
      </xdr:nvSpPr>
      <xdr:spPr bwMode="auto">
        <a:xfrm>
          <a:off x="44958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292</xdr:row>
      <xdr:rowOff>57150</xdr:rowOff>
    </xdr:from>
    <xdr:to>
      <xdr:col>12</xdr:col>
      <xdr:colOff>0</xdr:colOff>
      <xdr:row>293</xdr:row>
      <xdr:rowOff>190500</xdr:rowOff>
    </xdr:to>
    <xdr:sp macro="" textlink="">
      <xdr:nvSpPr>
        <xdr:cNvPr id="1034" name="AutoShape 46">
          <a:extLst>
            <a:ext uri="{FF2B5EF4-FFF2-40B4-BE49-F238E27FC236}">
              <a16:creationId xmlns:a16="http://schemas.microsoft.com/office/drawing/2014/main" id="{D75B8EB0-9920-432A-9EFA-DEBC9A0E13E2}"/>
            </a:ext>
          </a:extLst>
        </xdr:cNvPr>
        <xdr:cNvSpPr>
          <a:spLocks noChangeArrowheads="1"/>
        </xdr:cNvSpPr>
      </xdr:nvSpPr>
      <xdr:spPr bwMode="auto">
        <a:xfrm>
          <a:off x="54229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292</xdr:row>
      <xdr:rowOff>57150</xdr:rowOff>
    </xdr:from>
    <xdr:to>
      <xdr:col>14</xdr:col>
      <xdr:colOff>0</xdr:colOff>
      <xdr:row>293</xdr:row>
      <xdr:rowOff>190500</xdr:rowOff>
    </xdr:to>
    <xdr:sp macro="" textlink="">
      <xdr:nvSpPr>
        <xdr:cNvPr id="1035" name="AutoShape 46">
          <a:extLst>
            <a:ext uri="{FF2B5EF4-FFF2-40B4-BE49-F238E27FC236}">
              <a16:creationId xmlns:a16="http://schemas.microsoft.com/office/drawing/2014/main" id="{41B83605-56D8-4AE0-ABB0-612A77032B2F}"/>
            </a:ext>
          </a:extLst>
        </xdr:cNvPr>
        <xdr:cNvSpPr>
          <a:spLocks noChangeArrowheads="1"/>
        </xdr:cNvSpPr>
      </xdr:nvSpPr>
      <xdr:spPr bwMode="auto">
        <a:xfrm>
          <a:off x="63500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292</xdr:row>
      <xdr:rowOff>57150</xdr:rowOff>
    </xdr:from>
    <xdr:to>
      <xdr:col>16</xdr:col>
      <xdr:colOff>0</xdr:colOff>
      <xdr:row>293</xdr:row>
      <xdr:rowOff>190500</xdr:rowOff>
    </xdr:to>
    <xdr:sp macro="" textlink="">
      <xdr:nvSpPr>
        <xdr:cNvPr id="1036" name="AutoShape 46">
          <a:extLst>
            <a:ext uri="{FF2B5EF4-FFF2-40B4-BE49-F238E27FC236}">
              <a16:creationId xmlns:a16="http://schemas.microsoft.com/office/drawing/2014/main" id="{C0105D04-6979-4E7C-9045-DA0337B187AA}"/>
            </a:ext>
          </a:extLst>
        </xdr:cNvPr>
        <xdr:cNvSpPr>
          <a:spLocks noChangeArrowheads="1"/>
        </xdr:cNvSpPr>
      </xdr:nvSpPr>
      <xdr:spPr bwMode="auto">
        <a:xfrm>
          <a:off x="72771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292</xdr:row>
      <xdr:rowOff>57150</xdr:rowOff>
    </xdr:from>
    <xdr:to>
      <xdr:col>16</xdr:col>
      <xdr:colOff>0</xdr:colOff>
      <xdr:row>293</xdr:row>
      <xdr:rowOff>190500</xdr:rowOff>
    </xdr:to>
    <xdr:sp macro="" textlink="">
      <xdr:nvSpPr>
        <xdr:cNvPr id="1037" name="AutoShape 46">
          <a:extLst>
            <a:ext uri="{FF2B5EF4-FFF2-40B4-BE49-F238E27FC236}">
              <a16:creationId xmlns:a16="http://schemas.microsoft.com/office/drawing/2014/main" id="{1660DE65-E05D-47BD-9F20-9B943D602ED3}"/>
            </a:ext>
          </a:extLst>
        </xdr:cNvPr>
        <xdr:cNvSpPr>
          <a:spLocks noChangeArrowheads="1"/>
        </xdr:cNvSpPr>
      </xdr:nvSpPr>
      <xdr:spPr bwMode="auto">
        <a:xfrm>
          <a:off x="72771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38" name="AutoShape 46">
          <a:extLst>
            <a:ext uri="{FF2B5EF4-FFF2-40B4-BE49-F238E27FC236}">
              <a16:creationId xmlns:a16="http://schemas.microsoft.com/office/drawing/2014/main" id="{4DC47454-AE5C-46B2-A287-54DADF0EFBDD}"/>
            </a:ext>
          </a:extLst>
        </xdr:cNvPr>
        <xdr:cNvSpPr>
          <a:spLocks noChangeArrowheads="1"/>
        </xdr:cNvSpPr>
      </xdr:nvSpPr>
      <xdr:spPr bwMode="auto">
        <a:xfrm>
          <a:off x="82042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39" name="AutoShape 46">
          <a:extLst>
            <a:ext uri="{FF2B5EF4-FFF2-40B4-BE49-F238E27FC236}">
              <a16:creationId xmlns:a16="http://schemas.microsoft.com/office/drawing/2014/main" id="{BAC5482A-9C6B-409F-9E70-EC3BF90A00C6}"/>
            </a:ext>
          </a:extLst>
        </xdr:cNvPr>
        <xdr:cNvSpPr>
          <a:spLocks noChangeArrowheads="1"/>
        </xdr:cNvSpPr>
      </xdr:nvSpPr>
      <xdr:spPr bwMode="auto">
        <a:xfrm>
          <a:off x="91313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40" name="AutoShape 46">
          <a:extLst>
            <a:ext uri="{FF2B5EF4-FFF2-40B4-BE49-F238E27FC236}">
              <a16:creationId xmlns:a16="http://schemas.microsoft.com/office/drawing/2014/main" id="{D4273918-E4D8-4483-B934-2CCD855827DE}"/>
            </a:ext>
          </a:extLst>
        </xdr:cNvPr>
        <xdr:cNvSpPr>
          <a:spLocks noChangeArrowheads="1"/>
        </xdr:cNvSpPr>
      </xdr:nvSpPr>
      <xdr:spPr bwMode="auto">
        <a:xfrm>
          <a:off x="100584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41" name="AutoShape 46">
          <a:extLst>
            <a:ext uri="{FF2B5EF4-FFF2-40B4-BE49-F238E27FC236}">
              <a16:creationId xmlns:a16="http://schemas.microsoft.com/office/drawing/2014/main" id="{3FC877DF-8D79-4107-AC34-94C913E8C761}"/>
            </a:ext>
          </a:extLst>
        </xdr:cNvPr>
        <xdr:cNvSpPr>
          <a:spLocks noChangeArrowheads="1"/>
        </xdr:cNvSpPr>
      </xdr:nvSpPr>
      <xdr:spPr bwMode="auto">
        <a:xfrm>
          <a:off x="109855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42" name="AutoShape 46">
          <a:extLst>
            <a:ext uri="{FF2B5EF4-FFF2-40B4-BE49-F238E27FC236}">
              <a16:creationId xmlns:a16="http://schemas.microsoft.com/office/drawing/2014/main" id="{C2D1306C-71CA-4481-9A32-936D4DE0913B}"/>
            </a:ext>
          </a:extLst>
        </xdr:cNvPr>
        <xdr:cNvSpPr>
          <a:spLocks noChangeArrowheads="1"/>
        </xdr:cNvSpPr>
      </xdr:nvSpPr>
      <xdr:spPr bwMode="auto">
        <a:xfrm>
          <a:off x="11912600" y="71894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43" name="AutoShape 46">
          <a:extLst>
            <a:ext uri="{FF2B5EF4-FFF2-40B4-BE49-F238E27FC236}">
              <a16:creationId xmlns:a16="http://schemas.microsoft.com/office/drawing/2014/main" id="{604A1CA7-E222-4EAF-A920-413EC7C82C5E}"/>
            </a:ext>
          </a:extLst>
        </xdr:cNvPr>
        <xdr:cNvSpPr>
          <a:spLocks noChangeArrowheads="1"/>
        </xdr:cNvSpPr>
      </xdr:nvSpPr>
      <xdr:spPr bwMode="auto">
        <a:xfrm>
          <a:off x="1289685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44" name="AutoShape 46">
          <a:extLst>
            <a:ext uri="{FF2B5EF4-FFF2-40B4-BE49-F238E27FC236}">
              <a16:creationId xmlns:a16="http://schemas.microsoft.com/office/drawing/2014/main" id="{C8A9C13B-6748-4198-BE53-9108770E233E}"/>
            </a:ext>
          </a:extLst>
        </xdr:cNvPr>
        <xdr:cNvSpPr>
          <a:spLocks noChangeArrowheads="1"/>
        </xdr:cNvSpPr>
      </xdr:nvSpPr>
      <xdr:spPr bwMode="auto">
        <a:xfrm>
          <a:off x="82042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45" name="AutoShape 46">
          <a:extLst>
            <a:ext uri="{FF2B5EF4-FFF2-40B4-BE49-F238E27FC236}">
              <a16:creationId xmlns:a16="http://schemas.microsoft.com/office/drawing/2014/main" id="{6D7D2CD8-D8DD-4587-A101-37DD4D4E4318}"/>
            </a:ext>
          </a:extLst>
        </xdr:cNvPr>
        <xdr:cNvSpPr>
          <a:spLocks noChangeArrowheads="1"/>
        </xdr:cNvSpPr>
      </xdr:nvSpPr>
      <xdr:spPr bwMode="auto">
        <a:xfrm>
          <a:off x="91313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46" name="AutoShape 46">
          <a:extLst>
            <a:ext uri="{FF2B5EF4-FFF2-40B4-BE49-F238E27FC236}">
              <a16:creationId xmlns:a16="http://schemas.microsoft.com/office/drawing/2014/main" id="{745CD0B6-4638-4846-8371-7C681ADF7D6C}"/>
            </a:ext>
          </a:extLst>
        </xdr:cNvPr>
        <xdr:cNvSpPr>
          <a:spLocks noChangeArrowheads="1"/>
        </xdr:cNvSpPr>
      </xdr:nvSpPr>
      <xdr:spPr bwMode="auto">
        <a:xfrm>
          <a:off x="100584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47" name="AutoShape 46">
          <a:extLst>
            <a:ext uri="{FF2B5EF4-FFF2-40B4-BE49-F238E27FC236}">
              <a16:creationId xmlns:a16="http://schemas.microsoft.com/office/drawing/2014/main" id="{AFDA529D-2946-4952-B552-4FC1BA704756}"/>
            </a:ext>
          </a:extLst>
        </xdr:cNvPr>
        <xdr:cNvSpPr>
          <a:spLocks noChangeArrowheads="1"/>
        </xdr:cNvSpPr>
      </xdr:nvSpPr>
      <xdr:spPr bwMode="auto">
        <a:xfrm>
          <a:off x="109855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48" name="AutoShape 46">
          <a:extLst>
            <a:ext uri="{FF2B5EF4-FFF2-40B4-BE49-F238E27FC236}">
              <a16:creationId xmlns:a16="http://schemas.microsoft.com/office/drawing/2014/main" id="{A0574D41-7CEF-4FD0-A29A-150586C4BE38}"/>
            </a:ext>
          </a:extLst>
        </xdr:cNvPr>
        <xdr:cNvSpPr>
          <a:spLocks noChangeArrowheads="1"/>
        </xdr:cNvSpPr>
      </xdr:nvSpPr>
      <xdr:spPr bwMode="auto">
        <a:xfrm>
          <a:off x="11912600" y="718947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49" name="AutoShape 46">
          <a:extLst>
            <a:ext uri="{FF2B5EF4-FFF2-40B4-BE49-F238E27FC236}">
              <a16:creationId xmlns:a16="http://schemas.microsoft.com/office/drawing/2014/main" id="{7CD1E58A-1F2E-49F7-8A3A-F4107B04E0C4}"/>
            </a:ext>
          </a:extLst>
        </xdr:cNvPr>
        <xdr:cNvSpPr>
          <a:spLocks noChangeArrowheads="1"/>
        </xdr:cNvSpPr>
      </xdr:nvSpPr>
      <xdr:spPr bwMode="auto">
        <a:xfrm>
          <a:off x="1289685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50" name="AutoShape 46">
          <a:extLst>
            <a:ext uri="{FF2B5EF4-FFF2-40B4-BE49-F238E27FC236}">
              <a16:creationId xmlns:a16="http://schemas.microsoft.com/office/drawing/2014/main" id="{A3BD042F-0317-438A-A4F5-A0583FA918D6}"/>
            </a:ext>
          </a:extLst>
        </xdr:cNvPr>
        <xdr:cNvSpPr>
          <a:spLocks noChangeArrowheads="1"/>
        </xdr:cNvSpPr>
      </xdr:nvSpPr>
      <xdr:spPr bwMode="auto">
        <a:xfrm>
          <a:off x="82042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51" name="AutoShape 46">
          <a:extLst>
            <a:ext uri="{FF2B5EF4-FFF2-40B4-BE49-F238E27FC236}">
              <a16:creationId xmlns:a16="http://schemas.microsoft.com/office/drawing/2014/main" id="{81855211-F9B1-4FB0-B389-5AB6D7F6F93C}"/>
            </a:ext>
          </a:extLst>
        </xdr:cNvPr>
        <xdr:cNvSpPr>
          <a:spLocks noChangeArrowheads="1"/>
        </xdr:cNvSpPr>
      </xdr:nvSpPr>
      <xdr:spPr bwMode="auto">
        <a:xfrm>
          <a:off x="91313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52" name="AutoShape 46">
          <a:extLst>
            <a:ext uri="{FF2B5EF4-FFF2-40B4-BE49-F238E27FC236}">
              <a16:creationId xmlns:a16="http://schemas.microsoft.com/office/drawing/2014/main" id="{06C707FD-3B94-4F5A-91FC-E3A3FDB0AED9}"/>
            </a:ext>
          </a:extLst>
        </xdr:cNvPr>
        <xdr:cNvSpPr>
          <a:spLocks noChangeArrowheads="1"/>
        </xdr:cNvSpPr>
      </xdr:nvSpPr>
      <xdr:spPr bwMode="auto">
        <a:xfrm>
          <a:off x="100584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53" name="AutoShape 46">
          <a:extLst>
            <a:ext uri="{FF2B5EF4-FFF2-40B4-BE49-F238E27FC236}">
              <a16:creationId xmlns:a16="http://schemas.microsoft.com/office/drawing/2014/main" id="{F094A0F8-8BB3-4A59-B36E-520E2944BC54}"/>
            </a:ext>
          </a:extLst>
        </xdr:cNvPr>
        <xdr:cNvSpPr>
          <a:spLocks noChangeArrowheads="1"/>
        </xdr:cNvSpPr>
      </xdr:nvSpPr>
      <xdr:spPr bwMode="auto">
        <a:xfrm>
          <a:off x="109855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54" name="AutoShape 46">
          <a:extLst>
            <a:ext uri="{FF2B5EF4-FFF2-40B4-BE49-F238E27FC236}">
              <a16:creationId xmlns:a16="http://schemas.microsoft.com/office/drawing/2014/main" id="{068A55DB-AE1F-4E7F-AA29-5E361EEE7A73}"/>
            </a:ext>
          </a:extLst>
        </xdr:cNvPr>
        <xdr:cNvSpPr>
          <a:spLocks noChangeArrowheads="1"/>
        </xdr:cNvSpPr>
      </xdr:nvSpPr>
      <xdr:spPr bwMode="auto">
        <a:xfrm>
          <a:off x="11912600" y="71894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55" name="AutoShape 46">
          <a:extLst>
            <a:ext uri="{FF2B5EF4-FFF2-40B4-BE49-F238E27FC236}">
              <a16:creationId xmlns:a16="http://schemas.microsoft.com/office/drawing/2014/main" id="{60D50667-A55B-451E-A7B9-812CA0C536A2}"/>
            </a:ext>
          </a:extLst>
        </xdr:cNvPr>
        <xdr:cNvSpPr>
          <a:spLocks noChangeArrowheads="1"/>
        </xdr:cNvSpPr>
      </xdr:nvSpPr>
      <xdr:spPr bwMode="auto">
        <a:xfrm>
          <a:off x="1289685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300</xdr:row>
      <xdr:rowOff>57150</xdr:rowOff>
    </xdr:from>
    <xdr:to>
      <xdr:col>2</xdr:col>
      <xdr:colOff>0</xdr:colOff>
      <xdr:row>301</xdr:row>
      <xdr:rowOff>190500</xdr:rowOff>
    </xdr:to>
    <xdr:sp macro="" textlink="">
      <xdr:nvSpPr>
        <xdr:cNvPr id="1056" name="AutoShape 46">
          <a:extLst>
            <a:ext uri="{FF2B5EF4-FFF2-40B4-BE49-F238E27FC236}">
              <a16:creationId xmlns:a16="http://schemas.microsoft.com/office/drawing/2014/main" id="{B46D7B84-11BF-46CC-9D91-324788BCEB25}"/>
            </a:ext>
          </a:extLst>
        </xdr:cNvPr>
        <xdr:cNvSpPr>
          <a:spLocks noChangeArrowheads="1"/>
        </xdr:cNvSpPr>
      </xdr:nvSpPr>
      <xdr:spPr bwMode="auto">
        <a:xfrm>
          <a:off x="6096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300</xdr:row>
      <xdr:rowOff>57150</xdr:rowOff>
    </xdr:from>
    <xdr:to>
      <xdr:col>4</xdr:col>
      <xdr:colOff>0</xdr:colOff>
      <xdr:row>301</xdr:row>
      <xdr:rowOff>190500</xdr:rowOff>
    </xdr:to>
    <xdr:sp macro="" textlink="">
      <xdr:nvSpPr>
        <xdr:cNvPr id="1057" name="AutoShape 46">
          <a:extLst>
            <a:ext uri="{FF2B5EF4-FFF2-40B4-BE49-F238E27FC236}">
              <a16:creationId xmlns:a16="http://schemas.microsoft.com/office/drawing/2014/main" id="{3AAD3CD0-C4DC-4842-87AC-D9FD657C3584}"/>
            </a:ext>
          </a:extLst>
        </xdr:cNvPr>
        <xdr:cNvSpPr>
          <a:spLocks noChangeArrowheads="1"/>
        </xdr:cNvSpPr>
      </xdr:nvSpPr>
      <xdr:spPr bwMode="auto">
        <a:xfrm>
          <a:off x="1536700" y="73787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300</xdr:row>
      <xdr:rowOff>57150</xdr:rowOff>
    </xdr:from>
    <xdr:to>
      <xdr:col>6</xdr:col>
      <xdr:colOff>0</xdr:colOff>
      <xdr:row>301</xdr:row>
      <xdr:rowOff>190500</xdr:rowOff>
    </xdr:to>
    <xdr:sp macro="" textlink="">
      <xdr:nvSpPr>
        <xdr:cNvPr id="1058" name="AutoShape 46">
          <a:extLst>
            <a:ext uri="{FF2B5EF4-FFF2-40B4-BE49-F238E27FC236}">
              <a16:creationId xmlns:a16="http://schemas.microsoft.com/office/drawing/2014/main" id="{4EC63639-1689-4F13-99A0-445826CE0D19}"/>
            </a:ext>
          </a:extLst>
        </xdr:cNvPr>
        <xdr:cNvSpPr>
          <a:spLocks noChangeArrowheads="1"/>
        </xdr:cNvSpPr>
      </xdr:nvSpPr>
      <xdr:spPr bwMode="auto">
        <a:xfrm>
          <a:off x="2520950" y="73787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300</xdr:row>
      <xdr:rowOff>57150</xdr:rowOff>
    </xdr:from>
    <xdr:to>
      <xdr:col>8</xdr:col>
      <xdr:colOff>0</xdr:colOff>
      <xdr:row>301</xdr:row>
      <xdr:rowOff>190500</xdr:rowOff>
    </xdr:to>
    <xdr:sp macro="" textlink="">
      <xdr:nvSpPr>
        <xdr:cNvPr id="1059" name="AutoShape 46">
          <a:extLst>
            <a:ext uri="{FF2B5EF4-FFF2-40B4-BE49-F238E27FC236}">
              <a16:creationId xmlns:a16="http://schemas.microsoft.com/office/drawing/2014/main" id="{86140FA7-AD67-4946-8D41-C2DA64FAA3A4}"/>
            </a:ext>
          </a:extLst>
        </xdr:cNvPr>
        <xdr:cNvSpPr>
          <a:spLocks noChangeArrowheads="1"/>
        </xdr:cNvSpPr>
      </xdr:nvSpPr>
      <xdr:spPr bwMode="auto">
        <a:xfrm>
          <a:off x="3498850" y="73787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300</xdr:row>
      <xdr:rowOff>57150</xdr:rowOff>
    </xdr:from>
    <xdr:to>
      <xdr:col>10</xdr:col>
      <xdr:colOff>0</xdr:colOff>
      <xdr:row>301</xdr:row>
      <xdr:rowOff>190500</xdr:rowOff>
    </xdr:to>
    <xdr:sp macro="" textlink="">
      <xdr:nvSpPr>
        <xdr:cNvPr id="1060" name="AutoShape 46">
          <a:extLst>
            <a:ext uri="{FF2B5EF4-FFF2-40B4-BE49-F238E27FC236}">
              <a16:creationId xmlns:a16="http://schemas.microsoft.com/office/drawing/2014/main" id="{71EDCE05-2390-40DA-A68F-0397B19DFE6B}"/>
            </a:ext>
          </a:extLst>
        </xdr:cNvPr>
        <xdr:cNvSpPr>
          <a:spLocks noChangeArrowheads="1"/>
        </xdr:cNvSpPr>
      </xdr:nvSpPr>
      <xdr:spPr bwMode="auto">
        <a:xfrm>
          <a:off x="44958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300</xdr:row>
      <xdr:rowOff>57150</xdr:rowOff>
    </xdr:from>
    <xdr:to>
      <xdr:col>12</xdr:col>
      <xdr:colOff>0</xdr:colOff>
      <xdr:row>301</xdr:row>
      <xdr:rowOff>190500</xdr:rowOff>
    </xdr:to>
    <xdr:sp macro="" textlink="">
      <xdr:nvSpPr>
        <xdr:cNvPr id="1061" name="AutoShape 46">
          <a:extLst>
            <a:ext uri="{FF2B5EF4-FFF2-40B4-BE49-F238E27FC236}">
              <a16:creationId xmlns:a16="http://schemas.microsoft.com/office/drawing/2014/main" id="{14B4A83A-916E-4BAB-B0BD-B42F9F516009}"/>
            </a:ext>
          </a:extLst>
        </xdr:cNvPr>
        <xdr:cNvSpPr>
          <a:spLocks noChangeArrowheads="1"/>
        </xdr:cNvSpPr>
      </xdr:nvSpPr>
      <xdr:spPr bwMode="auto">
        <a:xfrm>
          <a:off x="5422900" y="73787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300</xdr:row>
      <xdr:rowOff>57150</xdr:rowOff>
    </xdr:from>
    <xdr:to>
      <xdr:col>14</xdr:col>
      <xdr:colOff>0</xdr:colOff>
      <xdr:row>301</xdr:row>
      <xdr:rowOff>190500</xdr:rowOff>
    </xdr:to>
    <xdr:sp macro="" textlink="">
      <xdr:nvSpPr>
        <xdr:cNvPr id="1062" name="AutoShape 46">
          <a:extLst>
            <a:ext uri="{FF2B5EF4-FFF2-40B4-BE49-F238E27FC236}">
              <a16:creationId xmlns:a16="http://schemas.microsoft.com/office/drawing/2014/main" id="{AB385BDB-8329-4DB9-887C-F0517EF98735}"/>
            </a:ext>
          </a:extLst>
        </xdr:cNvPr>
        <xdr:cNvSpPr>
          <a:spLocks noChangeArrowheads="1"/>
        </xdr:cNvSpPr>
      </xdr:nvSpPr>
      <xdr:spPr bwMode="auto">
        <a:xfrm>
          <a:off x="63500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232833</xdr:colOff>
      <xdr:row>7</xdr:row>
      <xdr:rowOff>169332</xdr:rowOff>
    </xdr:from>
    <xdr:to>
      <xdr:col>20</xdr:col>
      <xdr:colOff>412749</xdr:colOff>
      <xdr:row>8</xdr:row>
      <xdr:rowOff>95249</xdr:rowOff>
    </xdr:to>
    <xdr:sp macro="" textlink="">
      <xdr:nvSpPr>
        <xdr:cNvPr id="1063" name="Oval 1062">
          <a:extLst>
            <a:ext uri="{FF2B5EF4-FFF2-40B4-BE49-F238E27FC236}">
              <a16:creationId xmlns:a16="http://schemas.microsoft.com/office/drawing/2014/main" id="{8078DD66-90CD-4784-BEF8-C75D3FF675B9}"/>
            </a:ext>
          </a:extLst>
        </xdr:cNvPr>
        <xdr:cNvSpPr/>
      </xdr:nvSpPr>
      <xdr:spPr>
        <a:xfrm>
          <a:off x="9827683" y="2391832"/>
          <a:ext cx="179916" cy="179917"/>
        </a:xfrm>
        <a:prstGeom prst="ellips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318558</xdr:colOff>
      <xdr:row>4</xdr:row>
      <xdr:rowOff>136677</xdr:rowOff>
    </xdr:from>
    <xdr:to>
      <xdr:col>26</xdr:col>
      <xdr:colOff>99619</xdr:colOff>
      <xdr:row>14</xdr:row>
      <xdr:rowOff>83760</xdr:rowOff>
    </xdr:to>
    <xdr:grpSp>
      <xdr:nvGrpSpPr>
        <xdr:cNvPr id="1064" name="Group 1063">
          <a:extLst>
            <a:ext uri="{FF2B5EF4-FFF2-40B4-BE49-F238E27FC236}">
              <a16:creationId xmlns:a16="http://schemas.microsoft.com/office/drawing/2014/main" id="{E4056618-C7D1-4871-B162-36684639C2E6}"/>
            </a:ext>
          </a:extLst>
        </xdr:cNvPr>
        <xdr:cNvGrpSpPr/>
      </xdr:nvGrpSpPr>
      <xdr:grpSpPr>
        <a:xfrm>
          <a:off x="9380915" y="1071034"/>
          <a:ext cx="3645490" cy="2478012"/>
          <a:chOff x="10153650" y="1536195"/>
          <a:chExt cx="2552700" cy="2203955"/>
        </a:xfrm>
      </xdr:grpSpPr>
      <xdr:sp macro="" textlink="">
        <xdr:nvSpPr>
          <xdr:cNvPr id="1065" name="Rectangle 10693">
            <a:extLst>
              <a:ext uri="{FF2B5EF4-FFF2-40B4-BE49-F238E27FC236}">
                <a16:creationId xmlns:a16="http://schemas.microsoft.com/office/drawing/2014/main" id="{BFA57613-1D51-046B-53FD-1EFF4B221EDE}"/>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1066" name="Rectangle 10709">
            <a:extLst>
              <a:ext uri="{FF2B5EF4-FFF2-40B4-BE49-F238E27FC236}">
                <a16:creationId xmlns:a16="http://schemas.microsoft.com/office/drawing/2014/main" id="{39040EB7-3CBD-6765-AB0A-F10354AF12EF}"/>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1067" name="Group 1066">
            <a:extLst>
              <a:ext uri="{FF2B5EF4-FFF2-40B4-BE49-F238E27FC236}">
                <a16:creationId xmlns:a16="http://schemas.microsoft.com/office/drawing/2014/main" id="{4BEA3B8E-15FB-4310-ED20-2B02A8485603}"/>
              </a:ext>
            </a:extLst>
          </xdr:cNvPr>
          <xdr:cNvGrpSpPr/>
        </xdr:nvGrpSpPr>
        <xdr:grpSpPr>
          <a:xfrm>
            <a:off x="10153650" y="1536195"/>
            <a:ext cx="2552700" cy="2203955"/>
            <a:chOff x="10153650" y="1536195"/>
            <a:chExt cx="2552700" cy="2203955"/>
          </a:xfrm>
        </xdr:grpSpPr>
        <xdr:sp macro="" textlink="">
          <xdr:nvSpPr>
            <xdr:cNvPr id="1068" name="Rectangle 10690">
              <a:extLst>
                <a:ext uri="{FF2B5EF4-FFF2-40B4-BE49-F238E27FC236}">
                  <a16:creationId xmlns:a16="http://schemas.microsoft.com/office/drawing/2014/main" id="{DF7F86C1-2EA5-8C7F-F348-0804E0516A23}"/>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1069" name="AutoShape 10694">
              <a:extLst>
                <a:ext uri="{FF2B5EF4-FFF2-40B4-BE49-F238E27FC236}">
                  <a16:creationId xmlns:a16="http://schemas.microsoft.com/office/drawing/2014/main" id="{E433AC8C-7E1D-96F8-7F0C-77DF7043F3A6}"/>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70" name="Freeform 10695">
              <a:extLst>
                <a:ext uri="{FF2B5EF4-FFF2-40B4-BE49-F238E27FC236}">
                  <a16:creationId xmlns:a16="http://schemas.microsoft.com/office/drawing/2014/main" id="{E995B617-F5B0-0F0E-6ADE-C20EBF7DB469}"/>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071" name="Rectangle 10696">
              <a:extLst>
                <a:ext uri="{FF2B5EF4-FFF2-40B4-BE49-F238E27FC236}">
                  <a16:creationId xmlns:a16="http://schemas.microsoft.com/office/drawing/2014/main" id="{99B86B72-B5BE-6584-91B1-C96443790CCE}"/>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072" name="AutoShape 10700">
              <a:extLst>
                <a:ext uri="{FF2B5EF4-FFF2-40B4-BE49-F238E27FC236}">
                  <a16:creationId xmlns:a16="http://schemas.microsoft.com/office/drawing/2014/main" id="{792D2911-A65A-EEE7-54D2-9A660E38086F}"/>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073" name="Freeform 10706">
              <a:extLst>
                <a:ext uri="{FF2B5EF4-FFF2-40B4-BE49-F238E27FC236}">
                  <a16:creationId xmlns:a16="http://schemas.microsoft.com/office/drawing/2014/main" id="{CD2ADA00-C5F5-2B94-F4EC-2B5AA3D301DF}"/>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74" name="Freeform 10707">
              <a:extLst>
                <a:ext uri="{FF2B5EF4-FFF2-40B4-BE49-F238E27FC236}">
                  <a16:creationId xmlns:a16="http://schemas.microsoft.com/office/drawing/2014/main" id="{9FE79CDC-CE69-1086-96EF-B3812B8970AC}"/>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75" name="Line 10711">
              <a:extLst>
                <a:ext uri="{FF2B5EF4-FFF2-40B4-BE49-F238E27FC236}">
                  <a16:creationId xmlns:a16="http://schemas.microsoft.com/office/drawing/2014/main" id="{9005AA68-D5FD-826D-1AE1-32ADCEC4BE38}"/>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076" name="Line 10719">
              <a:extLst>
                <a:ext uri="{FF2B5EF4-FFF2-40B4-BE49-F238E27FC236}">
                  <a16:creationId xmlns:a16="http://schemas.microsoft.com/office/drawing/2014/main" id="{FF4A7D15-ED6B-D9BB-438F-5F1B16DF1561}"/>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077" name="Line 10711">
              <a:extLst>
                <a:ext uri="{FF2B5EF4-FFF2-40B4-BE49-F238E27FC236}">
                  <a16:creationId xmlns:a16="http://schemas.microsoft.com/office/drawing/2014/main" id="{81C774F7-0448-CD09-E2A5-BFB077EDCEB0}"/>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078" name="Group 1008">
              <a:extLst>
                <a:ext uri="{FF2B5EF4-FFF2-40B4-BE49-F238E27FC236}">
                  <a16:creationId xmlns:a16="http://schemas.microsoft.com/office/drawing/2014/main" id="{59C11CF8-17D8-5A59-76FB-EFC50F633331}"/>
                </a:ext>
              </a:extLst>
            </xdr:cNvPr>
            <xdr:cNvGrpSpPr>
              <a:grpSpLocks/>
            </xdr:cNvGrpSpPr>
          </xdr:nvGrpSpPr>
          <xdr:grpSpPr bwMode="auto">
            <a:xfrm>
              <a:off x="12030075" y="3435569"/>
              <a:ext cx="228600" cy="126570"/>
              <a:chOff x="5475762" y="47903507"/>
              <a:chExt cx="314325" cy="87402"/>
            </a:xfrm>
          </xdr:grpSpPr>
          <xdr:cxnSp macro="">
            <xdr:nvCxnSpPr>
              <xdr:cNvPr id="1081" name="Straight Connector 531">
                <a:extLst>
                  <a:ext uri="{FF2B5EF4-FFF2-40B4-BE49-F238E27FC236}">
                    <a16:creationId xmlns:a16="http://schemas.microsoft.com/office/drawing/2014/main" id="{EF828E80-F88F-B62C-FB6E-01CA2FAD0C6E}"/>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082" name="Straight Connector 533">
                <a:extLst>
                  <a:ext uri="{FF2B5EF4-FFF2-40B4-BE49-F238E27FC236}">
                    <a16:creationId xmlns:a16="http://schemas.microsoft.com/office/drawing/2014/main" id="{5FEF8B11-2901-C71A-B95A-CD6EB715495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083" name="Straight Connector 535">
                <a:extLst>
                  <a:ext uri="{FF2B5EF4-FFF2-40B4-BE49-F238E27FC236}">
                    <a16:creationId xmlns:a16="http://schemas.microsoft.com/office/drawing/2014/main" id="{25472366-907A-3371-0083-8C8E35C4E44B}"/>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084" name="Straight Connector 537">
                <a:extLst>
                  <a:ext uri="{FF2B5EF4-FFF2-40B4-BE49-F238E27FC236}">
                    <a16:creationId xmlns:a16="http://schemas.microsoft.com/office/drawing/2014/main" id="{DC830C1E-CACE-1567-1FC0-A025E39CA9C9}"/>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079" name="Straight Arrow Connector 1078">
              <a:extLst>
                <a:ext uri="{FF2B5EF4-FFF2-40B4-BE49-F238E27FC236}">
                  <a16:creationId xmlns:a16="http://schemas.microsoft.com/office/drawing/2014/main" id="{DFE5A771-7E3A-E258-DB82-88600A3E6E82}"/>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080" name="Straight Arrow Connector 1079">
              <a:extLst>
                <a:ext uri="{FF2B5EF4-FFF2-40B4-BE49-F238E27FC236}">
                  <a16:creationId xmlns:a16="http://schemas.microsoft.com/office/drawing/2014/main" id="{F4593D31-8AB7-4BDB-40CA-B9E09B1D370D}"/>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14</xdr:col>
      <xdr:colOff>435430</xdr:colOff>
      <xdr:row>300</xdr:row>
      <xdr:rowOff>65315</xdr:rowOff>
    </xdr:from>
    <xdr:to>
      <xdr:col>16</xdr:col>
      <xdr:colOff>10886</xdr:colOff>
      <xdr:row>302</xdr:row>
      <xdr:rowOff>21772</xdr:rowOff>
    </xdr:to>
    <xdr:sp macro="" textlink="">
      <xdr:nvSpPr>
        <xdr:cNvPr id="1085" name="AutoShape 46">
          <a:extLst>
            <a:ext uri="{FF2B5EF4-FFF2-40B4-BE49-F238E27FC236}">
              <a16:creationId xmlns:a16="http://schemas.microsoft.com/office/drawing/2014/main" id="{986E2158-99EE-41E8-9DBD-2155F4B88951}"/>
            </a:ext>
          </a:extLst>
        </xdr:cNvPr>
        <xdr:cNvSpPr>
          <a:spLocks noChangeArrowheads="1"/>
        </xdr:cNvSpPr>
      </xdr:nvSpPr>
      <xdr:spPr bwMode="auto">
        <a:xfrm>
          <a:off x="7248980" y="73795165"/>
          <a:ext cx="502556" cy="362857"/>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130628</xdr:colOff>
      <xdr:row>17</xdr:row>
      <xdr:rowOff>87086</xdr:rowOff>
    </xdr:from>
    <xdr:to>
      <xdr:col>10</xdr:col>
      <xdr:colOff>292553</xdr:colOff>
      <xdr:row>21</xdr:row>
      <xdr:rowOff>143704</xdr:rowOff>
    </xdr:to>
    <xdr:pic>
      <xdr:nvPicPr>
        <xdr:cNvPr id="1086" name="Picture 7">
          <a:extLst>
            <a:ext uri="{FF2B5EF4-FFF2-40B4-BE49-F238E27FC236}">
              <a16:creationId xmlns:a16="http://schemas.microsoft.com/office/drawing/2014/main" id="{9999A24E-2156-4216-87AC-CBA96C3F0FE1}"/>
            </a:ext>
          </a:extLst>
        </xdr:cNvPr>
        <xdr:cNvPicPr>
          <a:picLocks noChangeAspect="1"/>
        </xdr:cNvPicPr>
      </xdr:nvPicPr>
      <xdr:blipFill>
        <a:blip xmlns:r="http://schemas.openxmlformats.org/officeDocument/2006/relationships" r:embed="rId1" cstate="print"/>
        <a:srcRect/>
        <a:stretch>
          <a:fillRect/>
        </a:stretch>
      </xdr:blipFill>
      <xdr:spPr bwMode="auto">
        <a:xfrm>
          <a:off x="5089978" y="5198836"/>
          <a:ext cx="161925" cy="805918"/>
        </a:xfrm>
        <a:prstGeom prst="rect">
          <a:avLst/>
        </a:prstGeom>
        <a:noFill/>
        <a:ln w="9525">
          <a:noFill/>
          <a:miter lim="800000"/>
          <a:headEnd/>
          <a:tailEnd/>
        </a:ln>
      </xdr:spPr>
    </xdr:pic>
    <xdr:clientData/>
  </xdr:twoCellAnchor>
  <xdr:twoCellAnchor>
    <xdr:from>
      <xdr:col>10</xdr:col>
      <xdr:colOff>141515</xdr:colOff>
      <xdr:row>25</xdr:row>
      <xdr:rowOff>185056</xdr:rowOff>
    </xdr:from>
    <xdr:to>
      <xdr:col>10</xdr:col>
      <xdr:colOff>303440</xdr:colOff>
      <xdr:row>30</xdr:row>
      <xdr:rowOff>2188</xdr:rowOff>
    </xdr:to>
    <xdr:pic>
      <xdr:nvPicPr>
        <xdr:cNvPr id="1087" name="Picture 7">
          <a:extLst>
            <a:ext uri="{FF2B5EF4-FFF2-40B4-BE49-F238E27FC236}">
              <a16:creationId xmlns:a16="http://schemas.microsoft.com/office/drawing/2014/main" id="{8CA49762-CE5D-4C15-BFD8-51823649A754}"/>
            </a:ext>
          </a:extLst>
        </xdr:cNvPr>
        <xdr:cNvPicPr>
          <a:picLocks noChangeAspect="1"/>
        </xdr:cNvPicPr>
      </xdr:nvPicPr>
      <xdr:blipFill>
        <a:blip xmlns:r="http://schemas.openxmlformats.org/officeDocument/2006/relationships" r:embed="rId1" cstate="print"/>
        <a:srcRect/>
        <a:stretch>
          <a:fillRect/>
        </a:stretch>
      </xdr:blipFill>
      <xdr:spPr bwMode="auto">
        <a:xfrm>
          <a:off x="5100865" y="7176406"/>
          <a:ext cx="161925" cy="807732"/>
        </a:xfrm>
        <a:prstGeom prst="rect">
          <a:avLst/>
        </a:prstGeom>
        <a:noFill/>
        <a:ln w="9525">
          <a:noFill/>
          <a:miter lim="800000"/>
          <a:headEnd/>
          <a:tailEnd/>
        </a:ln>
      </xdr:spPr>
    </xdr:pic>
    <xdr:clientData/>
  </xdr:twoCellAnchor>
  <xdr:twoCellAnchor>
    <xdr:from>
      <xdr:col>28</xdr:col>
      <xdr:colOff>119742</xdr:colOff>
      <xdr:row>74</xdr:row>
      <xdr:rowOff>0</xdr:rowOff>
    </xdr:from>
    <xdr:to>
      <xdr:col>28</xdr:col>
      <xdr:colOff>281667</xdr:colOff>
      <xdr:row>78</xdr:row>
      <xdr:rowOff>13075</xdr:rowOff>
    </xdr:to>
    <xdr:pic>
      <xdr:nvPicPr>
        <xdr:cNvPr id="1088" name="Picture 7">
          <a:extLst>
            <a:ext uri="{FF2B5EF4-FFF2-40B4-BE49-F238E27FC236}">
              <a16:creationId xmlns:a16="http://schemas.microsoft.com/office/drawing/2014/main" id="{7ADC99FB-CEA4-4E71-BE2B-8F06D3486E41}"/>
            </a:ext>
          </a:extLst>
        </xdr:cNvPr>
        <xdr:cNvPicPr>
          <a:picLocks noChangeAspect="1"/>
        </xdr:cNvPicPr>
      </xdr:nvPicPr>
      <xdr:blipFill>
        <a:blip xmlns:r="http://schemas.openxmlformats.org/officeDocument/2006/relationships" r:embed="rId1" cstate="print"/>
        <a:srcRect/>
        <a:stretch>
          <a:fillRect/>
        </a:stretch>
      </xdr:blipFill>
      <xdr:spPr bwMode="auto">
        <a:xfrm>
          <a:off x="13480142" y="18897600"/>
          <a:ext cx="161925" cy="806825"/>
        </a:xfrm>
        <a:prstGeom prst="rect">
          <a:avLst/>
        </a:prstGeom>
        <a:noFill/>
        <a:ln w="9525">
          <a:noFill/>
          <a:miter lim="800000"/>
          <a:headEnd/>
          <a:tailEnd/>
        </a:ln>
      </xdr:spPr>
    </xdr:pic>
    <xdr:clientData/>
  </xdr:twoCellAnchor>
  <xdr:twoCellAnchor>
    <xdr:from>
      <xdr:col>26</xdr:col>
      <xdr:colOff>141514</xdr:colOff>
      <xdr:row>82</xdr:row>
      <xdr:rowOff>54429</xdr:rowOff>
    </xdr:from>
    <xdr:to>
      <xdr:col>26</xdr:col>
      <xdr:colOff>303439</xdr:colOff>
      <xdr:row>86</xdr:row>
      <xdr:rowOff>67503</xdr:rowOff>
    </xdr:to>
    <xdr:pic>
      <xdr:nvPicPr>
        <xdr:cNvPr id="1089" name="Picture 7">
          <a:extLst>
            <a:ext uri="{FF2B5EF4-FFF2-40B4-BE49-F238E27FC236}">
              <a16:creationId xmlns:a16="http://schemas.microsoft.com/office/drawing/2014/main" id="{A0452EDF-97FF-44DB-A89C-327F89F0382A}"/>
            </a:ext>
          </a:extLst>
        </xdr:cNvPr>
        <xdr:cNvPicPr>
          <a:picLocks noChangeAspect="1"/>
        </xdr:cNvPicPr>
      </xdr:nvPicPr>
      <xdr:blipFill>
        <a:blip xmlns:r="http://schemas.openxmlformats.org/officeDocument/2006/relationships" r:embed="rId1" cstate="print"/>
        <a:srcRect/>
        <a:stretch>
          <a:fillRect/>
        </a:stretch>
      </xdr:blipFill>
      <xdr:spPr bwMode="auto">
        <a:xfrm>
          <a:off x="12574814" y="20876079"/>
          <a:ext cx="161925" cy="806824"/>
        </a:xfrm>
        <a:prstGeom prst="rect">
          <a:avLst/>
        </a:prstGeom>
        <a:noFill/>
        <a:ln w="9525">
          <a:noFill/>
          <a:miter lim="800000"/>
          <a:headEnd/>
          <a:tailEnd/>
        </a:ln>
      </xdr:spPr>
    </xdr:pic>
    <xdr:clientData/>
  </xdr:twoCellAnchor>
  <xdr:twoCellAnchor>
    <xdr:from>
      <xdr:col>10</xdr:col>
      <xdr:colOff>174171</xdr:colOff>
      <xdr:row>113</xdr:row>
      <xdr:rowOff>152400</xdr:rowOff>
    </xdr:from>
    <xdr:to>
      <xdr:col>10</xdr:col>
      <xdr:colOff>336096</xdr:colOff>
      <xdr:row>117</xdr:row>
      <xdr:rowOff>176361</xdr:rowOff>
    </xdr:to>
    <xdr:pic>
      <xdr:nvPicPr>
        <xdr:cNvPr id="1090" name="Picture 7">
          <a:extLst>
            <a:ext uri="{FF2B5EF4-FFF2-40B4-BE49-F238E27FC236}">
              <a16:creationId xmlns:a16="http://schemas.microsoft.com/office/drawing/2014/main" id="{834127FD-5FE2-4AF2-85A9-1271D9F1E8D6}"/>
            </a:ext>
          </a:extLst>
        </xdr:cNvPr>
        <xdr:cNvPicPr>
          <a:picLocks noChangeAspect="1"/>
        </xdr:cNvPicPr>
      </xdr:nvPicPr>
      <xdr:blipFill>
        <a:blip xmlns:r="http://schemas.openxmlformats.org/officeDocument/2006/relationships" r:embed="rId1" cstate="print"/>
        <a:srcRect/>
        <a:stretch>
          <a:fillRect/>
        </a:stretch>
      </xdr:blipFill>
      <xdr:spPr bwMode="auto">
        <a:xfrm>
          <a:off x="5133521" y="28511500"/>
          <a:ext cx="161925" cy="811361"/>
        </a:xfrm>
        <a:prstGeom prst="rect">
          <a:avLst/>
        </a:prstGeom>
        <a:noFill/>
        <a:ln w="9525">
          <a:noFill/>
          <a:miter lim="800000"/>
          <a:headEnd/>
          <a:tailEnd/>
        </a:ln>
      </xdr:spPr>
    </xdr:pic>
    <xdr:clientData/>
  </xdr:twoCellAnchor>
  <xdr:twoCellAnchor>
    <xdr:from>
      <xdr:col>6</xdr:col>
      <xdr:colOff>130629</xdr:colOff>
      <xdr:row>256</xdr:row>
      <xdr:rowOff>76200</xdr:rowOff>
    </xdr:from>
    <xdr:to>
      <xdr:col>6</xdr:col>
      <xdr:colOff>292554</xdr:colOff>
      <xdr:row>261</xdr:row>
      <xdr:rowOff>132818</xdr:rowOff>
    </xdr:to>
    <xdr:pic>
      <xdr:nvPicPr>
        <xdr:cNvPr id="1091" name="Picture 7">
          <a:extLst>
            <a:ext uri="{FF2B5EF4-FFF2-40B4-BE49-F238E27FC236}">
              <a16:creationId xmlns:a16="http://schemas.microsoft.com/office/drawing/2014/main" id="{669BAF70-D506-42B0-8D2E-EE027888C71B}"/>
            </a:ext>
          </a:extLst>
        </xdr:cNvPr>
        <xdr:cNvPicPr>
          <a:picLocks noChangeAspect="1"/>
        </xdr:cNvPicPr>
      </xdr:nvPicPr>
      <xdr:blipFill>
        <a:blip xmlns:r="http://schemas.openxmlformats.org/officeDocument/2006/relationships" r:embed="rId1" cstate="print"/>
        <a:srcRect/>
        <a:stretch>
          <a:fillRect/>
        </a:stretch>
      </xdr:blipFill>
      <xdr:spPr bwMode="auto">
        <a:xfrm>
          <a:off x="3165929" y="63607950"/>
          <a:ext cx="161925" cy="990068"/>
        </a:xfrm>
        <a:prstGeom prst="rect">
          <a:avLst/>
        </a:prstGeom>
        <a:noFill/>
        <a:ln w="9525">
          <a:noFill/>
          <a:miter lim="800000"/>
          <a:headEnd/>
          <a:tailEnd/>
        </a:ln>
      </xdr:spPr>
    </xdr:pic>
    <xdr:clientData/>
  </xdr:twoCellAnchor>
  <xdr:twoCellAnchor>
    <xdr:from>
      <xdr:col>18</xdr:col>
      <xdr:colOff>141514</xdr:colOff>
      <xdr:row>272</xdr:row>
      <xdr:rowOff>108857</xdr:rowOff>
    </xdr:from>
    <xdr:to>
      <xdr:col>18</xdr:col>
      <xdr:colOff>303439</xdr:colOff>
      <xdr:row>277</xdr:row>
      <xdr:rowOff>165475</xdr:rowOff>
    </xdr:to>
    <xdr:pic>
      <xdr:nvPicPr>
        <xdr:cNvPr id="1092" name="Picture 7">
          <a:extLst>
            <a:ext uri="{FF2B5EF4-FFF2-40B4-BE49-F238E27FC236}">
              <a16:creationId xmlns:a16="http://schemas.microsoft.com/office/drawing/2014/main" id="{0B57E7E2-6491-4194-8303-3CD487B7298D}"/>
            </a:ext>
          </a:extLst>
        </xdr:cNvPr>
        <xdr:cNvPicPr>
          <a:picLocks noChangeAspect="1"/>
        </xdr:cNvPicPr>
      </xdr:nvPicPr>
      <xdr:blipFill>
        <a:blip xmlns:r="http://schemas.openxmlformats.org/officeDocument/2006/relationships" r:embed="rId1" cstate="print"/>
        <a:srcRect/>
        <a:stretch>
          <a:fillRect/>
        </a:stretch>
      </xdr:blipFill>
      <xdr:spPr bwMode="auto">
        <a:xfrm>
          <a:off x="8809264" y="67425207"/>
          <a:ext cx="161925" cy="990068"/>
        </a:xfrm>
        <a:prstGeom prst="rect">
          <a:avLst/>
        </a:prstGeom>
        <a:noFill/>
        <a:ln w="9525">
          <a:noFill/>
          <a:miter lim="800000"/>
          <a:headEnd/>
          <a:tailEnd/>
        </a:ln>
      </xdr:spPr>
    </xdr:pic>
    <xdr:clientData/>
  </xdr:twoCellAnchor>
  <xdr:twoCellAnchor>
    <xdr:from>
      <xdr:col>8</xdr:col>
      <xdr:colOff>141515</xdr:colOff>
      <xdr:row>297</xdr:row>
      <xdr:rowOff>108858</xdr:rowOff>
    </xdr:from>
    <xdr:to>
      <xdr:col>8</xdr:col>
      <xdr:colOff>303440</xdr:colOff>
      <xdr:row>301</xdr:row>
      <xdr:rowOff>165475</xdr:rowOff>
    </xdr:to>
    <xdr:pic>
      <xdr:nvPicPr>
        <xdr:cNvPr id="1094" name="Picture 7">
          <a:extLst>
            <a:ext uri="{FF2B5EF4-FFF2-40B4-BE49-F238E27FC236}">
              <a16:creationId xmlns:a16="http://schemas.microsoft.com/office/drawing/2014/main" id="{E69946F2-AFA1-4E2D-87EC-D46DB121A6D7}"/>
            </a:ext>
          </a:extLst>
        </xdr:cNvPr>
        <xdr:cNvPicPr>
          <a:picLocks noChangeAspect="1"/>
        </xdr:cNvPicPr>
      </xdr:nvPicPr>
      <xdr:blipFill>
        <a:blip xmlns:r="http://schemas.openxmlformats.org/officeDocument/2006/relationships" r:embed="rId1" cstate="print"/>
        <a:srcRect/>
        <a:stretch>
          <a:fillRect/>
        </a:stretch>
      </xdr:blipFill>
      <xdr:spPr bwMode="auto">
        <a:xfrm>
          <a:off x="4173765" y="73286258"/>
          <a:ext cx="161925" cy="805917"/>
        </a:xfrm>
        <a:prstGeom prst="rect">
          <a:avLst/>
        </a:prstGeom>
        <a:noFill/>
        <a:ln w="9525">
          <a:noFill/>
          <a:miter lim="800000"/>
          <a:headEnd/>
          <a:tailEnd/>
        </a:ln>
      </xdr:spPr>
    </xdr:pic>
    <xdr:clientData/>
  </xdr:twoCellAnchor>
  <xdr:twoCellAnchor>
    <xdr:from>
      <xdr:col>8</xdr:col>
      <xdr:colOff>108857</xdr:colOff>
      <xdr:row>17</xdr:row>
      <xdr:rowOff>130629</xdr:rowOff>
    </xdr:from>
    <xdr:to>
      <xdr:col>8</xdr:col>
      <xdr:colOff>270782</xdr:colOff>
      <xdr:row>21</xdr:row>
      <xdr:rowOff>187247</xdr:rowOff>
    </xdr:to>
    <xdr:pic>
      <xdr:nvPicPr>
        <xdr:cNvPr id="1095" name="Picture 7">
          <a:extLst>
            <a:ext uri="{FF2B5EF4-FFF2-40B4-BE49-F238E27FC236}">
              <a16:creationId xmlns:a16="http://schemas.microsoft.com/office/drawing/2014/main" id="{91A39A0D-42A9-4652-BFB7-BCFB8B4D1330}"/>
            </a:ext>
          </a:extLst>
        </xdr:cNvPr>
        <xdr:cNvPicPr>
          <a:picLocks noChangeAspect="1"/>
        </xdr:cNvPicPr>
      </xdr:nvPicPr>
      <xdr:blipFill>
        <a:blip xmlns:r="http://schemas.openxmlformats.org/officeDocument/2006/relationships" r:embed="rId1" cstate="print"/>
        <a:srcRect/>
        <a:stretch>
          <a:fillRect/>
        </a:stretch>
      </xdr:blipFill>
      <xdr:spPr bwMode="auto">
        <a:xfrm>
          <a:off x="4141107" y="5242379"/>
          <a:ext cx="161925" cy="805918"/>
        </a:xfrm>
        <a:prstGeom prst="rect">
          <a:avLst/>
        </a:prstGeom>
        <a:noFill/>
        <a:ln w="9525">
          <a:noFill/>
          <a:miter lim="800000"/>
          <a:headEnd/>
          <a:tailEnd/>
        </a:ln>
      </xdr:spPr>
    </xdr:pic>
    <xdr:clientData/>
  </xdr:twoCellAnchor>
  <xdr:twoCellAnchor>
    <xdr:from>
      <xdr:col>28</xdr:col>
      <xdr:colOff>87086</xdr:colOff>
      <xdr:row>16</xdr:row>
      <xdr:rowOff>65315</xdr:rowOff>
    </xdr:from>
    <xdr:to>
      <xdr:col>28</xdr:col>
      <xdr:colOff>344261</xdr:colOff>
      <xdr:row>21</xdr:row>
      <xdr:rowOff>97972</xdr:rowOff>
    </xdr:to>
    <xdr:sp macro="" textlink="">
      <xdr:nvSpPr>
        <xdr:cNvPr id="1096" name="Equals 2636">
          <a:extLst>
            <a:ext uri="{FF2B5EF4-FFF2-40B4-BE49-F238E27FC236}">
              <a16:creationId xmlns:a16="http://schemas.microsoft.com/office/drawing/2014/main" id="{F78B1D59-7D67-413D-842F-D8508FEFB2A4}"/>
            </a:ext>
          </a:extLst>
        </xdr:cNvPr>
        <xdr:cNvSpPr/>
      </xdr:nvSpPr>
      <xdr:spPr>
        <a:xfrm rot="5400000">
          <a:off x="13093020" y="5347381"/>
          <a:ext cx="966107"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21771</xdr:colOff>
      <xdr:row>114</xdr:row>
      <xdr:rowOff>43543</xdr:rowOff>
    </xdr:from>
    <xdr:to>
      <xdr:col>26</xdr:col>
      <xdr:colOff>444959</xdr:colOff>
      <xdr:row>116</xdr:row>
      <xdr:rowOff>30387</xdr:rowOff>
    </xdr:to>
    <xdr:grpSp>
      <xdr:nvGrpSpPr>
        <xdr:cNvPr id="1099" name="Group 1115">
          <a:extLst>
            <a:ext uri="{FF2B5EF4-FFF2-40B4-BE49-F238E27FC236}">
              <a16:creationId xmlns:a16="http://schemas.microsoft.com/office/drawing/2014/main" id="{9B69CCF9-EA71-4347-9427-47A795181814}"/>
            </a:ext>
          </a:extLst>
        </xdr:cNvPr>
        <xdr:cNvGrpSpPr>
          <a:grpSpLocks/>
        </xdr:cNvGrpSpPr>
      </xdr:nvGrpSpPr>
      <xdr:grpSpPr bwMode="auto">
        <a:xfrm>
          <a:off x="12948557" y="23493186"/>
          <a:ext cx="423188" cy="295272"/>
          <a:chOff x="5424645" y="49113913"/>
          <a:chExt cx="313716" cy="343844"/>
        </a:xfrm>
      </xdr:grpSpPr>
      <xdr:cxnSp macro="">
        <xdr:nvCxnSpPr>
          <xdr:cNvPr id="1100" name="Straight Connector 1107">
            <a:extLst>
              <a:ext uri="{FF2B5EF4-FFF2-40B4-BE49-F238E27FC236}">
                <a16:creationId xmlns:a16="http://schemas.microsoft.com/office/drawing/2014/main" id="{EAF0306E-A4C1-D38B-CCD5-1B6B718CB5C8}"/>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1101" name="Straight Connector 1108">
            <a:extLst>
              <a:ext uri="{FF2B5EF4-FFF2-40B4-BE49-F238E27FC236}">
                <a16:creationId xmlns:a16="http://schemas.microsoft.com/office/drawing/2014/main" id="{1B5DEF96-AC96-4C1E-0C06-9F984AD336E2}"/>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1102" name="Straight Connector 1109">
            <a:extLst>
              <a:ext uri="{FF2B5EF4-FFF2-40B4-BE49-F238E27FC236}">
                <a16:creationId xmlns:a16="http://schemas.microsoft.com/office/drawing/2014/main" id="{DB1808C9-963A-9407-191F-69D11EABD0DF}"/>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1103" name="Straight Connector 1111">
            <a:extLst>
              <a:ext uri="{FF2B5EF4-FFF2-40B4-BE49-F238E27FC236}">
                <a16:creationId xmlns:a16="http://schemas.microsoft.com/office/drawing/2014/main" id="{14DBA6A4-35C7-E472-0F6C-A39B1AC993D2}"/>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1104" name="Straight Connector 1112">
            <a:extLst>
              <a:ext uri="{FF2B5EF4-FFF2-40B4-BE49-F238E27FC236}">
                <a16:creationId xmlns:a16="http://schemas.microsoft.com/office/drawing/2014/main" id="{2474063E-30B0-6748-BC53-9ADDBC85FD1A}"/>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1105" name="Straight Connector 1113">
            <a:extLst>
              <a:ext uri="{FF2B5EF4-FFF2-40B4-BE49-F238E27FC236}">
                <a16:creationId xmlns:a16="http://schemas.microsoft.com/office/drawing/2014/main" id="{18421E45-7A97-B299-4666-12D31A93FE88}"/>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1106" name="Straight Connector 1114">
            <a:extLst>
              <a:ext uri="{FF2B5EF4-FFF2-40B4-BE49-F238E27FC236}">
                <a16:creationId xmlns:a16="http://schemas.microsoft.com/office/drawing/2014/main" id="{827D2895-F875-54E3-9B45-176C81B35907}"/>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10</xdr:col>
      <xdr:colOff>152400</xdr:colOff>
      <xdr:row>120</xdr:row>
      <xdr:rowOff>65315</xdr:rowOff>
    </xdr:from>
    <xdr:to>
      <xdr:col>10</xdr:col>
      <xdr:colOff>314325</xdr:colOff>
      <xdr:row>124</xdr:row>
      <xdr:rowOff>89275</xdr:rowOff>
    </xdr:to>
    <xdr:pic>
      <xdr:nvPicPr>
        <xdr:cNvPr id="1107" name="Picture 7">
          <a:extLst>
            <a:ext uri="{FF2B5EF4-FFF2-40B4-BE49-F238E27FC236}">
              <a16:creationId xmlns:a16="http://schemas.microsoft.com/office/drawing/2014/main" id="{BAC38E77-B2F2-4CD4-9145-7D6039FF983A}"/>
            </a:ext>
          </a:extLst>
        </xdr:cNvPr>
        <xdr:cNvPicPr>
          <a:picLocks noChangeAspect="1"/>
        </xdr:cNvPicPr>
      </xdr:nvPicPr>
      <xdr:blipFill>
        <a:blip xmlns:r="http://schemas.openxmlformats.org/officeDocument/2006/relationships" r:embed="rId1" cstate="print"/>
        <a:srcRect/>
        <a:stretch>
          <a:fillRect/>
        </a:stretch>
      </xdr:blipFill>
      <xdr:spPr bwMode="auto">
        <a:xfrm>
          <a:off x="5111750" y="30157965"/>
          <a:ext cx="161925" cy="811360"/>
        </a:xfrm>
        <a:prstGeom prst="rect">
          <a:avLst/>
        </a:prstGeom>
        <a:noFill/>
        <a:ln w="9525">
          <a:noFill/>
          <a:miter lim="800000"/>
          <a:headEnd/>
          <a:tailEnd/>
        </a:ln>
      </xdr:spPr>
    </xdr:pic>
    <xdr:clientData/>
  </xdr:twoCellAnchor>
  <xdr:twoCellAnchor>
    <xdr:from>
      <xdr:col>22</xdr:col>
      <xdr:colOff>163286</xdr:colOff>
      <xdr:row>129</xdr:row>
      <xdr:rowOff>141515</xdr:rowOff>
    </xdr:from>
    <xdr:to>
      <xdr:col>22</xdr:col>
      <xdr:colOff>325211</xdr:colOff>
      <xdr:row>133</xdr:row>
      <xdr:rowOff>154590</xdr:rowOff>
    </xdr:to>
    <xdr:pic>
      <xdr:nvPicPr>
        <xdr:cNvPr id="1108" name="Picture 7">
          <a:extLst>
            <a:ext uri="{FF2B5EF4-FFF2-40B4-BE49-F238E27FC236}">
              <a16:creationId xmlns:a16="http://schemas.microsoft.com/office/drawing/2014/main" id="{BB7AFA29-1F36-4659-9C25-503BDADFF97A}"/>
            </a:ext>
          </a:extLst>
        </xdr:cNvPr>
        <xdr:cNvPicPr>
          <a:picLocks noChangeAspect="1"/>
        </xdr:cNvPicPr>
      </xdr:nvPicPr>
      <xdr:blipFill>
        <a:blip xmlns:r="http://schemas.openxmlformats.org/officeDocument/2006/relationships" r:embed="rId1" cstate="print"/>
        <a:srcRect/>
        <a:stretch>
          <a:fillRect/>
        </a:stretch>
      </xdr:blipFill>
      <xdr:spPr bwMode="auto">
        <a:xfrm>
          <a:off x="10685236" y="32361415"/>
          <a:ext cx="161925" cy="806825"/>
        </a:xfrm>
        <a:prstGeom prst="rect">
          <a:avLst/>
        </a:prstGeom>
        <a:noFill/>
        <a:ln w="9525">
          <a:noFill/>
          <a:miter lim="800000"/>
          <a:headEnd/>
          <a:tailEnd/>
        </a:ln>
      </xdr:spPr>
    </xdr:pic>
    <xdr:clientData/>
  </xdr:twoCellAnchor>
  <xdr:twoCellAnchor>
    <xdr:from>
      <xdr:col>22</xdr:col>
      <xdr:colOff>87086</xdr:colOff>
      <xdr:row>154</xdr:row>
      <xdr:rowOff>21771</xdr:rowOff>
    </xdr:from>
    <xdr:to>
      <xdr:col>22</xdr:col>
      <xdr:colOff>344261</xdr:colOff>
      <xdr:row>158</xdr:row>
      <xdr:rowOff>195943</xdr:rowOff>
    </xdr:to>
    <xdr:sp macro="" textlink="">
      <xdr:nvSpPr>
        <xdr:cNvPr id="1109" name="Equals 2636">
          <a:extLst>
            <a:ext uri="{FF2B5EF4-FFF2-40B4-BE49-F238E27FC236}">
              <a16:creationId xmlns:a16="http://schemas.microsoft.com/office/drawing/2014/main" id="{19A18A2D-610D-4467-8096-4F343ED39403}"/>
            </a:ext>
          </a:extLst>
        </xdr:cNvPr>
        <xdr:cNvSpPr/>
      </xdr:nvSpPr>
      <xdr:spPr>
        <a:xfrm rot="5400000">
          <a:off x="10253663" y="38559694"/>
          <a:ext cx="967922"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xdr:col>
      <xdr:colOff>163286</xdr:colOff>
      <xdr:row>224</xdr:row>
      <xdr:rowOff>0</xdr:rowOff>
    </xdr:from>
    <xdr:to>
      <xdr:col>2</xdr:col>
      <xdr:colOff>325211</xdr:colOff>
      <xdr:row>229</xdr:row>
      <xdr:rowOff>56618</xdr:rowOff>
    </xdr:to>
    <xdr:pic>
      <xdr:nvPicPr>
        <xdr:cNvPr id="1110" name="Picture 7">
          <a:extLst>
            <a:ext uri="{FF2B5EF4-FFF2-40B4-BE49-F238E27FC236}">
              <a16:creationId xmlns:a16="http://schemas.microsoft.com/office/drawing/2014/main" id="{245D2A60-5D2F-4971-A404-73C2ADDF9614}"/>
            </a:ext>
          </a:extLst>
        </xdr:cNvPr>
        <xdr:cNvPicPr>
          <a:picLocks noChangeAspect="1"/>
        </xdr:cNvPicPr>
      </xdr:nvPicPr>
      <xdr:blipFill>
        <a:blip xmlns:r="http://schemas.openxmlformats.org/officeDocument/2006/relationships" r:embed="rId1" cstate="print"/>
        <a:srcRect/>
        <a:stretch>
          <a:fillRect/>
        </a:stretch>
      </xdr:blipFill>
      <xdr:spPr bwMode="auto">
        <a:xfrm>
          <a:off x="1236436" y="55962550"/>
          <a:ext cx="161925" cy="990068"/>
        </a:xfrm>
        <a:prstGeom prst="rect">
          <a:avLst/>
        </a:prstGeom>
        <a:noFill/>
        <a:ln w="9525">
          <a:noFill/>
          <a:miter lim="800000"/>
          <a:headEnd/>
          <a:tailEnd/>
        </a:ln>
      </xdr:spPr>
    </xdr:pic>
    <xdr:clientData/>
  </xdr:twoCellAnchor>
  <xdr:twoCellAnchor>
    <xdr:from>
      <xdr:col>12</xdr:col>
      <xdr:colOff>125186</xdr:colOff>
      <xdr:row>234</xdr:row>
      <xdr:rowOff>18145</xdr:rowOff>
    </xdr:from>
    <xdr:to>
      <xdr:col>12</xdr:col>
      <xdr:colOff>382361</xdr:colOff>
      <xdr:row>238</xdr:row>
      <xdr:rowOff>337459</xdr:rowOff>
    </xdr:to>
    <xdr:sp macro="" textlink="">
      <xdr:nvSpPr>
        <xdr:cNvPr id="1111" name="Equals 2636">
          <a:extLst>
            <a:ext uri="{FF2B5EF4-FFF2-40B4-BE49-F238E27FC236}">
              <a16:creationId xmlns:a16="http://schemas.microsoft.com/office/drawing/2014/main" id="{54CA5DFC-87F2-4015-9703-08C51DCFE893}"/>
            </a:ext>
          </a:extLst>
        </xdr:cNvPr>
        <xdr:cNvSpPr/>
      </xdr:nvSpPr>
      <xdr:spPr>
        <a:xfrm rot="5400000">
          <a:off x="5636760" y="49434071"/>
          <a:ext cx="990600"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22</xdr:col>
      <xdr:colOff>0</xdr:colOff>
      <xdr:row>251</xdr:row>
      <xdr:rowOff>0</xdr:rowOff>
    </xdr:from>
    <xdr:to>
      <xdr:col>23</xdr:col>
      <xdr:colOff>0</xdr:colOff>
      <xdr:row>252</xdr:row>
      <xdr:rowOff>95788</xdr:rowOff>
    </xdr:to>
    <xdr:sp macro="" textlink="">
      <xdr:nvSpPr>
        <xdr:cNvPr id="1112" name="Freeform 1130">
          <a:extLst>
            <a:ext uri="{FF2B5EF4-FFF2-40B4-BE49-F238E27FC236}">
              <a16:creationId xmlns:a16="http://schemas.microsoft.com/office/drawing/2014/main" id="{C041E1F7-C2EA-471B-AF93-86256E255E62}"/>
            </a:ext>
          </a:extLst>
        </xdr:cNvPr>
        <xdr:cNvSpPr>
          <a:spLocks noChangeArrowheads="1"/>
        </xdr:cNvSpPr>
      </xdr:nvSpPr>
      <xdr:spPr bwMode="auto">
        <a:xfrm rot="5139476">
          <a:off x="10613756" y="62100094"/>
          <a:ext cx="279938" cy="46355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26</xdr:col>
      <xdr:colOff>206829</xdr:colOff>
      <xdr:row>280</xdr:row>
      <xdr:rowOff>152400</xdr:rowOff>
    </xdr:from>
    <xdr:to>
      <xdr:col>27</xdr:col>
      <xdr:colOff>6804</xdr:colOff>
      <xdr:row>286</xdr:row>
      <xdr:rowOff>163286</xdr:rowOff>
    </xdr:to>
    <xdr:sp macro="" textlink="">
      <xdr:nvSpPr>
        <xdr:cNvPr id="1113" name="Equals 2636">
          <a:extLst>
            <a:ext uri="{FF2B5EF4-FFF2-40B4-BE49-F238E27FC236}">
              <a16:creationId xmlns:a16="http://schemas.microsoft.com/office/drawing/2014/main" id="{998F80E5-AF4C-438B-80BF-028CB09E067C}"/>
            </a:ext>
          </a:extLst>
        </xdr:cNvPr>
        <xdr:cNvSpPr/>
      </xdr:nvSpPr>
      <xdr:spPr>
        <a:xfrm rot="5400000">
          <a:off x="12194949" y="69806230"/>
          <a:ext cx="1153886" cy="263525"/>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28</xdr:col>
      <xdr:colOff>192313</xdr:colOff>
      <xdr:row>290</xdr:row>
      <xdr:rowOff>48986</xdr:rowOff>
    </xdr:from>
    <xdr:to>
      <xdr:col>29</xdr:col>
      <xdr:colOff>7715</xdr:colOff>
      <xdr:row>292</xdr:row>
      <xdr:rowOff>57600</xdr:rowOff>
    </xdr:to>
    <xdr:grpSp>
      <xdr:nvGrpSpPr>
        <xdr:cNvPr id="1114" name="Group 1115">
          <a:extLst>
            <a:ext uri="{FF2B5EF4-FFF2-40B4-BE49-F238E27FC236}">
              <a16:creationId xmlns:a16="http://schemas.microsoft.com/office/drawing/2014/main" id="{6E4A80F2-0255-4F2C-8E27-1E7B55C243ED}"/>
            </a:ext>
          </a:extLst>
        </xdr:cNvPr>
        <xdr:cNvGrpSpPr>
          <a:grpSpLocks/>
        </xdr:cNvGrpSpPr>
      </xdr:nvGrpSpPr>
      <xdr:grpSpPr bwMode="auto">
        <a:xfrm>
          <a:off x="14044384" y="60664272"/>
          <a:ext cx="432260" cy="317042"/>
          <a:chOff x="5424645" y="49113913"/>
          <a:chExt cx="313716" cy="343844"/>
        </a:xfrm>
      </xdr:grpSpPr>
      <xdr:cxnSp macro="">
        <xdr:nvCxnSpPr>
          <xdr:cNvPr id="1115" name="Straight Connector 1107">
            <a:extLst>
              <a:ext uri="{FF2B5EF4-FFF2-40B4-BE49-F238E27FC236}">
                <a16:creationId xmlns:a16="http://schemas.microsoft.com/office/drawing/2014/main" id="{41E822D0-D1D5-26F2-90E5-D79487452CB6}"/>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1116" name="Straight Connector 1108">
            <a:extLst>
              <a:ext uri="{FF2B5EF4-FFF2-40B4-BE49-F238E27FC236}">
                <a16:creationId xmlns:a16="http://schemas.microsoft.com/office/drawing/2014/main" id="{C2F009FB-8709-9CF0-F761-B36C8C498694}"/>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1117" name="Straight Connector 1109">
            <a:extLst>
              <a:ext uri="{FF2B5EF4-FFF2-40B4-BE49-F238E27FC236}">
                <a16:creationId xmlns:a16="http://schemas.microsoft.com/office/drawing/2014/main" id="{B490F761-926A-5D07-38C6-A803013E42B3}"/>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1118" name="Straight Connector 1111">
            <a:extLst>
              <a:ext uri="{FF2B5EF4-FFF2-40B4-BE49-F238E27FC236}">
                <a16:creationId xmlns:a16="http://schemas.microsoft.com/office/drawing/2014/main" id="{7C4D736B-794F-7400-C6D7-959F4BC74BFF}"/>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1119" name="Straight Connector 1112">
            <a:extLst>
              <a:ext uri="{FF2B5EF4-FFF2-40B4-BE49-F238E27FC236}">
                <a16:creationId xmlns:a16="http://schemas.microsoft.com/office/drawing/2014/main" id="{271AA112-BF64-CD4A-7ADC-CFC2576CF66B}"/>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1120" name="Straight Connector 1113">
            <a:extLst>
              <a:ext uri="{FF2B5EF4-FFF2-40B4-BE49-F238E27FC236}">
                <a16:creationId xmlns:a16="http://schemas.microsoft.com/office/drawing/2014/main" id="{5ACAD250-EC8B-181E-4193-AE266FF015FB}"/>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1121" name="Straight Connector 1114">
            <a:extLst>
              <a:ext uri="{FF2B5EF4-FFF2-40B4-BE49-F238E27FC236}">
                <a16:creationId xmlns:a16="http://schemas.microsoft.com/office/drawing/2014/main" id="{E0D8826E-0294-7E95-4C4D-65C053EC793A}"/>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2</xdr:col>
      <xdr:colOff>152399</xdr:colOff>
      <xdr:row>297</xdr:row>
      <xdr:rowOff>97972</xdr:rowOff>
    </xdr:from>
    <xdr:to>
      <xdr:col>2</xdr:col>
      <xdr:colOff>314324</xdr:colOff>
      <xdr:row>301</xdr:row>
      <xdr:rowOff>154589</xdr:rowOff>
    </xdr:to>
    <xdr:pic>
      <xdr:nvPicPr>
        <xdr:cNvPr id="1122" name="Picture 7">
          <a:extLst>
            <a:ext uri="{FF2B5EF4-FFF2-40B4-BE49-F238E27FC236}">
              <a16:creationId xmlns:a16="http://schemas.microsoft.com/office/drawing/2014/main" id="{8F9201F5-60DD-45F6-AE74-5160F8BD0E28}"/>
            </a:ext>
          </a:extLst>
        </xdr:cNvPr>
        <xdr:cNvPicPr>
          <a:picLocks noChangeAspect="1"/>
        </xdr:cNvPicPr>
      </xdr:nvPicPr>
      <xdr:blipFill>
        <a:blip xmlns:r="http://schemas.openxmlformats.org/officeDocument/2006/relationships" r:embed="rId1" cstate="print"/>
        <a:srcRect/>
        <a:stretch>
          <a:fillRect/>
        </a:stretch>
      </xdr:blipFill>
      <xdr:spPr bwMode="auto">
        <a:xfrm>
          <a:off x="1225549" y="73275372"/>
          <a:ext cx="161925" cy="805917"/>
        </a:xfrm>
        <a:prstGeom prst="rect">
          <a:avLst/>
        </a:prstGeom>
        <a:noFill/>
        <a:ln w="9525">
          <a:noFill/>
          <a:miter lim="800000"/>
          <a:headEnd/>
          <a:tailEnd/>
        </a:ln>
      </xdr:spPr>
    </xdr:pic>
    <xdr:clientData/>
  </xdr:twoCellAnchor>
  <xdr:twoCellAnchor>
    <xdr:from>
      <xdr:col>34</xdr:col>
      <xdr:colOff>1</xdr:colOff>
      <xdr:row>9</xdr:row>
      <xdr:rowOff>0</xdr:rowOff>
    </xdr:from>
    <xdr:to>
      <xdr:col>34</xdr:col>
      <xdr:colOff>270933</xdr:colOff>
      <xdr:row>9</xdr:row>
      <xdr:rowOff>8466</xdr:rowOff>
    </xdr:to>
    <xdr:cxnSp macro="">
      <xdr:nvCxnSpPr>
        <xdr:cNvPr id="1123" name="Straight Connector 529">
          <a:extLst>
            <a:ext uri="{FF2B5EF4-FFF2-40B4-BE49-F238E27FC236}">
              <a16:creationId xmlns:a16="http://schemas.microsoft.com/office/drawing/2014/main" id="{BE3B2400-9328-41A2-9F0C-3D40BC8241B4}"/>
            </a:ext>
          </a:extLst>
        </xdr:cNvPr>
        <xdr:cNvCxnSpPr>
          <a:cxnSpLocks noChangeShapeType="1"/>
        </xdr:cNvCxnSpPr>
      </xdr:nvCxnSpPr>
      <xdr:spPr bwMode="auto">
        <a:xfrm flipH="1" flipV="1">
          <a:off x="16116301" y="2863850"/>
          <a:ext cx="270932" cy="8466"/>
        </a:xfrm>
        <a:prstGeom prst="line">
          <a:avLst/>
        </a:prstGeom>
        <a:noFill/>
        <a:ln w="9525" algn="ctr">
          <a:solidFill>
            <a:srgbClr val="000000"/>
          </a:solidFill>
          <a:round/>
          <a:headEnd/>
          <a:tailEnd/>
        </a:ln>
      </xdr:spPr>
    </xdr:cxnSp>
    <xdr:clientData/>
  </xdr:twoCellAnchor>
  <xdr:twoCellAnchor editAs="oneCell">
    <xdr:from>
      <xdr:col>4</xdr:col>
      <xdr:colOff>1</xdr:colOff>
      <xdr:row>175</xdr:row>
      <xdr:rowOff>47625</xdr:rowOff>
    </xdr:from>
    <xdr:to>
      <xdr:col>4</xdr:col>
      <xdr:colOff>299111</xdr:colOff>
      <xdr:row>178</xdr:row>
      <xdr:rowOff>116884</xdr:rowOff>
    </xdr:to>
    <xdr:pic>
      <xdr:nvPicPr>
        <xdr:cNvPr id="1124" name="Picture 1123">
          <a:extLst>
            <a:ext uri="{FF2B5EF4-FFF2-40B4-BE49-F238E27FC236}">
              <a16:creationId xmlns:a16="http://schemas.microsoft.com/office/drawing/2014/main" id="{C2716A6C-F9F8-4127-B183-2F5673FD1E7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57401" y="43424475"/>
          <a:ext cx="299110" cy="501059"/>
        </a:xfrm>
        <a:prstGeom prst="rect">
          <a:avLst/>
        </a:prstGeom>
      </xdr:spPr>
    </xdr:pic>
    <xdr:clientData/>
  </xdr:twoCellAnchor>
  <xdr:twoCellAnchor editAs="oneCell">
    <xdr:from>
      <xdr:col>2</xdr:col>
      <xdr:colOff>0</xdr:colOff>
      <xdr:row>175</xdr:row>
      <xdr:rowOff>0</xdr:rowOff>
    </xdr:from>
    <xdr:to>
      <xdr:col>2</xdr:col>
      <xdr:colOff>299110</xdr:colOff>
      <xdr:row>178</xdr:row>
      <xdr:rowOff>69259</xdr:rowOff>
    </xdr:to>
    <xdr:pic>
      <xdr:nvPicPr>
        <xdr:cNvPr id="1125" name="Picture 1124">
          <a:extLst>
            <a:ext uri="{FF2B5EF4-FFF2-40B4-BE49-F238E27FC236}">
              <a16:creationId xmlns:a16="http://schemas.microsoft.com/office/drawing/2014/main" id="{3831AA54-7540-4327-926E-8C5489A3DD2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73150" y="43376850"/>
          <a:ext cx="299110" cy="501059"/>
        </a:xfrm>
        <a:prstGeom prst="rect">
          <a:avLst/>
        </a:prstGeom>
      </xdr:spPr>
    </xdr:pic>
    <xdr:clientData/>
  </xdr:twoCellAnchor>
  <xdr:twoCellAnchor editAs="oneCell">
    <xdr:from>
      <xdr:col>20</xdr:col>
      <xdr:colOff>0</xdr:colOff>
      <xdr:row>175</xdr:row>
      <xdr:rowOff>0</xdr:rowOff>
    </xdr:from>
    <xdr:to>
      <xdr:col>20</xdr:col>
      <xdr:colOff>299110</xdr:colOff>
      <xdr:row>178</xdr:row>
      <xdr:rowOff>69259</xdr:rowOff>
    </xdr:to>
    <xdr:pic>
      <xdr:nvPicPr>
        <xdr:cNvPr id="1126" name="Picture 1125">
          <a:extLst>
            <a:ext uri="{FF2B5EF4-FFF2-40B4-BE49-F238E27FC236}">
              <a16:creationId xmlns:a16="http://schemas.microsoft.com/office/drawing/2014/main" id="{99B4AFA9-17E5-476F-920D-61749962DD1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94850" y="43376850"/>
          <a:ext cx="299110" cy="501059"/>
        </a:xfrm>
        <a:prstGeom prst="rect">
          <a:avLst/>
        </a:prstGeom>
      </xdr:spPr>
    </xdr:pic>
    <xdr:clientData/>
  </xdr:twoCellAnchor>
  <xdr:twoCellAnchor editAs="oneCell">
    <xdr:from>
      <xdr:col>24</xdr:col>
      <xdr:colOff>0</xdr:colOff>
      <xdr:row>167</xdr:row>
      <xdr:rowOff>0</xdr:rowOff>
    </xdr:from>
    <xdr:to>
      <xdr:col>24</xdr:col>
      <xdr:colOff>299110</xdr:colOff>
      <xdr:row>170</xdr:row>
      <xdr:rowOff>69260</xdr:rowOff>
    </xdr:to>
    <xdr:pic>
      <xdr:nvPicPr>
        <xdr:cNvPr id="1127" name="Picture 1126">
          <a:extLst>
            <a:ext uri="{FF2B5EF4-FFF2-40B4-BE49-F238E27FC236}">
              <a16:creationId xmlns:a16="http://schemas.microsoft.com/office/drawing/2014/main" id="{40B9B869-119E-4F5B-B861-F2D382BD673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449050" y="41446450"/>
          <a:ext cx="299110" cy="501059"/>
        </a:xfrm>
        <a:prstGeom prst="rect">
          <a:avLst/>
        </a:prstGeom>
      </xdr:spPr>
    </xdr:pic>
    <xdr:clientData/>
  </xdr:twoCellAnchor>
  <xdr:twoCellAnchor editAs="oneCell">
    <xdr:from>
      <xdr:col>12</xdr:col>
      <xdr:colOff>0</xdr:colOff>
      <xdr:row>167</xdr:row>
      <xdr:rowOff>0</xdr:rowOff>
    </xdr:from>
    <xdr:to>
      <xdr:col>12</xdr:col>
      <xdr:colOff>299110</xdr:colOff>
      <xdr:row>170</xdr:row>
      <xdr:rowOff>69260</xdr:rowOff>
    </xdr:to>
    <xdr:pic>
      <xdr:nvPicPr>
        <xdr:cNvPr id="1128" name="Picture 1127">
          <a:extLst>
            <a:ext uri="{FF2B5EF4-FFF2-40B4-BE49-F238E27FC236}">
              <a16:creationId xmlns:a16="http://schemas.microsoft.com/office/drawing/2014/main" id="{D9CC8759-6C35-4A1D-8A0B-9DC92EE8853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1446450"/>
          <a:ext cx="299110" cy="501059"/>
        </a:xfrm>
        <a:prstGeom prst="rect">
          <a:avLst/>
        </a:prstGeom>
      </xdr:spPr>
    </xdr:pic>
    <xdr:clientData/>
  </xdr:twoCellAnchor>
  <xdr:twoCellAnchor editAs="oneCell">
    <xdr:from>
      <xdr:col>20</xdr:col>
      <xdr:colOff>0</xdr:colOff>
      <xdr:row>167</xdr:row>
      <xdr:rowOff>0</xdr:rowOff>
    </xdr:from>
    <xdr:to>
      <xdr:col>20</xdr:col>
      <xdr:colOff>299110</xdr:colOff>
      <xdr:row>170</xdr:row>
      <xdr:rowOff>69260</xdr:rowOff>
    </xdr:to>
    <xdr:pic>
      <xdr:nvPicPr>
        <xdr:cNvPr id="1129" name="Picture 1128">
          <a:extLst>
            <a:ext uri="{FF2B5EF4-FFF2-40B4-BE49-F238E27FC236}">
              <a16:creationId xmlns:a16="http://schemas.microsoft.com/office/drawing/2014/main" id="{928B9091-A27A-45C2-B472-FCFC5516EA1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94850" y="41446450"/>
          <a:ext cx="299110" cy="501059"/>
        </a:xfrm>
        <a:prstGeom prst="rect">
          <a:avLst/>
        </a:prstGeom>
      </xdr:spPr>
    </xdr:pic>
    <xdr:clientData/>
  </xdr:twoCellAnchor>
  <xdr:twoCellAnchor editAs="oneCell">
    <xdr:from>
      <xdr:col>22</xdr:col>
      <xdr:colOff>0</xdr:colOff>
      <xdr:row>167</xdr:row>
      <xdr:rowOff>0</xdr:rowOff>
    </xdr:from>
    <xdr:to>
      <xdr:col>22</xdr:col>
      <xdr:colOff>299110</xdr:colOff>
      <xdr:row>170</xdr:row>
      <xdr:rowOff>69260</xdr:rowOff>
    </xdr:to>
    <xdr:pic>
      <xdr:nvPicPr>
        <xdr:cNvPr id="1130" name="Picture 1129">
          <a:extLst>
            <a:ext uri="{FF2B5EF4-FFF2-40B4-BE49-F238E27FC236}">
              <a16:creationId xmlns:a16="http://schemas.microsoft.com/office/drawing/2014/main" id="{26C73186-A0BF-414A-83ED-E44443CF394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21950" y="41446450"/>
          <a:ext cx="299110" cy="501059"/>
        </a:xfrm>
        <a:prstGeom prst="rect">
          <a:avLst/>
        </a:prstGeom>
      </xdr:spPr>
    </xdr:pic>
    <xdr:clientData/>
  </xdr:twoCellAnchor>
  <xdr:twoCellAnchor editAs="oneCell">
    <xdr:from>
      <xdr:col>12</xdr:col>
      <xdr:colOff>0</xdr:colOff>
      <xdr:row>175</xdr:row>
      <xdr:rowOff>0</xdr:rowOff>
    </xdr:from>
    <xdr:to>
      <xdr:col>12</xdr:col>
      <xdr:colOff>299110</xdr:colOff>
      <xdr:row>178</xdr:row>
      <xdr:rowOff>69259</xdr:rowOff>
    </xdr:to>
    <xdr:pic>
      <xdr:nvPicPr>
        <xdr:cNvPr id="1131" name="Picture 1130">
          <a:extLst>
            <a:ext uri="{FF2B5EF4-FFF2-40B4-BE49-F238E27FC236}">
              <a16:creationId xmlns:a16="http://schemas.microsoft.com/office/drawing/2014/main" id="{90851940-9D47-4DA8-95B8-0224A32E954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3376850"/>
          <a:ext cx="299110" cy="501059"/>
        </a:xfrm>
        <a:prstGeom prst="rect">
          <a:avLst/>
        </a:prstGeom>
      </xdr:spPr>
    </xdr:pic>
    <xdr:clientData/>
  </xdr:twoCellAnchor>
  <xdr:twoCellAnchor editAs="oneCell">
    <xdr:from>
      <xdr:col>18</xdr:col>
      <xdr:colOff>0</xdr:colOff>
      <xdr:row>175</xdr:row>
      <xdr:rowOff>0</xdr:rowOff>
    </xdr:from>
    <xdr:to>
      <xdr:col>18</xdr:col>
      <xdr:colOff>299110</xdr:colOff>
      <xdr:row>178</xdr:row>
      <xdr:rowOff>69259</xdr:rowOff>
    </xdr:to>
    <xdr:pic>
      <xdr:nvPicPr>
        <xdr:cNvPr id="1132" name="Picture 1131">
          <a:extLst>
            <a:ext uri="{FF2B5EF4-FFF2-40B4-BE49-F238E27FC236}">
              <a16:creationId xmlns:a16="http://schemas.microsoft.com/office/drawing/2014/main" id="{69B36D1E-6FC3-45FC-B8C4-F20B9EB8F20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67750" y="43376850"/>
          <a:ext cx="299110" cy="501059"/>
        </a:xfrm>
        <a:prstGeom prst="rect">
          <a:avLst/>
        </a:prstGeom>
      </xdr:spPr>
    </xdr:pic>
    <xdr:clientData/>
  </xdr:twoCellAnchor>
  <xdr:twoCellAnchor editAs="oneCell">
    <xdr:from>
      <xdr:col>28</xdr:col>
      <xdr:colOff>0</xdr:colOff>
      <xdr:row>175</xdr:row>
      <xdr:rowOff>0</xdr:rowOff>
    </xdr:from>
    <xdr:to>
      <xdr:col>28</xdr:col>
      <xdr:colOff>299110</xdr:colOff>
      <xdr:row>178</xdr:row>
      <xdr:rowOff>69259</xdr:rowOff>
    </xdr:to>
    <xdr:pic>
      <xdr:nvPicPr>
        <xdr:cNvPr id="1133" name="Picture 1132">
          <a:extLst>
            <a:ext uri="{FF2B5EF4-FFF2-40B4-BE49-F238E27FC236}">
              <a16:creationId xmlns:a16="http://schemas.microsoft.com/office/drawing/2014/main" id="{DF9657F6-95B7-4E10-ABCE-A35378E5D95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360400" y="43376850"/>
          <a:ext cx="299110" cy="501059"/>
        </a:xfrm>
        <a:prstGeom prst="rect">
          <a:avLst/>
        </a:prstGeom>
      </xdr:spPr>
    </xdr:pic>
    <xdr:clientData/>
  </xdr:twoCellAnchor>
  <xdr:twoCellAnchor editAs="oneCell">
    <xdr:from>
      <xdr:col>24</xdr:col>
      <xdr:colOff>0</xdr:colOff>
      <xdr:row>199</xdr:row>
      <xdr:rowOff>0</xdr:rowOff>
    </xdr:from>
    <xdr:to>
      <xdr:col>24</xdr:col>
      <xdr:colOff>299110</xdr:colOff>
      <xdr:row>202</xdr:row>
      <xdr:rowOff>69260</xdr:rowOff>
    </xdr:to>
    <xdr:pic>
      <xdr:nvPicPr>
        <xdr:cNvPr id="1134" name="Picture 1133">
          <a:extLst>
            <a:ext uri="{FF2B5EF4-FFF2-40B4-BE49-F238E27FC236}">
              <a16:creationId xmlns:a16="http://schemas.microsoft.com/office/drawing/2014/main" id="{4561014B-8EF8-41E9-9C41-EDA70BD0946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449050" y="49383950"/>
          <a:ext cx="299110" cy="501059"/>
        </a:xfrm>
        <a:prstGeom prst="rect">
          <a:avLst/>
        </a:prstGeom>
      </xdr:spPr>
    </xdr:pic>
    <xdr:clientData/>
  </xdr:twoCellAnchor>
  <xdr:twoCellAnchor editAs="oneCell">
    <xdr:from>
      <xdr:col>10</xdr:col>
      <xdr:colOff>0</xdr:colOff>
      <xdr:row>167</xdr:row>
      <xdr:rowOff>0</xdr:rowOff>
    </xdr:from>
    <xdr:to>
      <xdr:col>10</xdr:col>
      <xdr:colOff>299110</xdr:colOff>
      <xdr:row>170</xdr:row>
      <xdr:rowOff>69260</xdr:rowOff>
    </xdr:to>
    <xdr:pic>
      <xdr:nvPicPr>
        <xdr:cNvPr id="1135" name="Picture 1134">
          <a:extLst>
            <a:ext uri="{FF2B5EF4-FFF2-40B4-BE49-F238E27FC236}">
              <a16:creationId xmlns:a16="http://schemas.microsoft.com/office/drawing/2014/main" id="{6F0678CF-4DE3-4BA3-8B15-CF7DE04EC48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41446450"/>
          <a:ext cx="299110" cy="501059"/>
        </a:xfrm>
        <a:prstGeom prst="rect">
          <a:avLst/>
        </a:prstGeom>
      </xdr:spPr>
    </xdr:pic>
    <xdr:clientData/>
  </xdr:twoCellAnchor>
  <xdr:twoCellAnchor editAs="oneCell">
    <xdr:from>
      <xdr:col>6</xdr:col>
      <xdr:colOff>0</xdr:colOff>
      <xdr:row>183</xdr:row>
      <xdr:rowOff>0</xdr:rowOff>
    </xdr:from>
    <xdr:to>
      <xdr:col>6</xdr:col>
      <xdr:colOff>299110</xdr:colOff>
      <xdr:row>186</xdr:row>
      <xdr:rowOff>69258</xdr:rowOff>
    </xdr:to>
    <xdr:pic>
      <xdr:nvPicPr>
        <xdr:cNvPr id="1136" name="Picture 1135">
          <a:extLst>
            <a:ext uri="{FF2B5EF4-FFF2-40B4-BE49-F238E27FC236}">
              <a16:creationId xmlns:a16="http://schemas.microsoft.com/office/drawing/2014/main" id="{F80CB542-47F5-41B0-A292-29D91937D6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35300" y="45383450"/>
          <a:ext cx="299110" cy="501059"/>
        </a:xfrm>
        <a:prstGeom prst="rect">
          <a:avLst/>
        </a:prstGeom>
      </xdr:spPr>
    </xdr:pic>
    <xdr:clientData/>
  </xdr:twoCellAnchor>
  <xdr:twoCellAnchor editAs="oneCell">
    <xdr:from>
      <xdr:col>16</xdr:col>
      <xdr:colOff>0</xdr:colOff>
      <xdr:row>175</xdr:row>
      <xdr:rowOff>0</xdr:rowOff>
    </xdr:from>
    <xdr:to>
      <xdr:col>16</xdr:col>
      <xdr:colOff>299110</xdr:colOff>
      <xdr:row>178</xdr:row>
      <xdr:rowOff>69259</xdr:rowOff>
    </xdr:to>
    <xdr:pic>
      <xdr:nvPicPr>
        <xdr:cNvPr id="1137" name="Picture 1136">
          <a:extLst>
            <a:ext uri="{FF2B5EF4-FFF2-40B4-BE49-F238E27FC236}">
              <a16:creationId xmlns:a16="http://schemas.microsoft.com/office/drawing/2014/main" id="{0E79C8CD-60FA-4EEB-83AD-823BF2064A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40650" y="43376850"/>
          <a:ext cx="299110" cy="501059"/>
        </a:xfrm>
        <a:prstGeom prst="rect">
          <a:avLst/>
        </a:prstGeom>
      </xdr:spPr>
    </xdr:pic>
    <xdr:clientData/>
  </xdr:twoCellAnchor>
  <xdr:twoCellAnchor editAs="oneCell">
    <xdr:from>
      <xdr:col>14</xdr:col>
      <xdr:colOff>0</xdr:colOff>
      <xdr:row>175</xdr:row>
      <xdr:rowOff>0</xdr:rowOff>
    </xdr:from>
    <xdr:to>
      <xdr:col>14</xdr:col>
      <xdr:colOff>299110</xdr:colOff>
      <xdr:row>178</xdr:row>
      <xdr:rowOff>69259</xdr:rowOff>
    </xdr:to>
    <xdr:pic>
      <xdr:nvPicPr>
        <xdr:cNvPr id="1138" name="Picture 1137">
          <a:extLst>
            <a:ext uri="{FF2B5EF4-FFF2-40B4-BE49-F238E27FC236}">
              <a16:creationId xmlns:a16="http://schemas.microsoft.com/office/drawing/2014/main" id="{B7984BF4-D0DB-453E-9431-0BCE96B81CA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43376850"/>
          <a:ext cx="299110" cy="501059"/>
        </a:xfrm>
        <a:prstGeom prst="rect">
          <a:avLst/>
        </a:prstGeom>
      </xdr:spPr>
    </xdr:pic>
    <xdr:clientData/>
  </xdr:twoCellAnchor>
  <xdr:twoCellAnchor editAs="oneCell">
    <xdr:from>
      <xdr:col>8</xdr:col>
      <xdr:colOff>0</xdr:colOff>
      <xdr:row>175</xdr:row>
      <xdr:rowOff>0</xdr:rowOff>
    </xdr:from>
    <xdr:to>
      <xdr:col>8</xdr:col>
      <xdr:colOff>299110</xdr:colOff>
      <xdr:row>178</xdr:row>
      <xdr:rowOff>69259</xdr:rowOff>
    </xdr:to>
    <xdr:pic>
      <xdr:nvPicPr>
        <xdr:cNvPr id="1139" name="Picture 1138">
          <a:extLst>
            <a:ext uri="{FF2B5EF4-FFF2-40B4-BE49-F238E27FC236}">
              <a16:creationId xmlns:a16="http://schemas.microsoft.com/office/drawing/2014/main" id="{CEC58875-AE64-4C6A-B203-5C3B0F74332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43376850"/>
          <a:ext cx="299110" cy="501059"/>
        </a:xfrm>
        <a:prstGeom prst="rect">
          <a:avLst/>
        </a:prstGeom>
      </xdr:spPr>
    </xdr:pic>
    <xdr:clientData/>
  </xdr:twoCellAnchor>
  <xdr:twoCellAnchor editAs="oneCell">
    <xdr:from>
      <xdr:col>16</xdr:col>
      <xdr:colOff>0</xdr:colOff>
      <xdr:row>167</xdr:row>
      <xdr:rowOff>0</xdr:rowOff>
    </xdr:from>
    <xdr:to>
      <xdr:col>16</xdr:col>
      <xdr:colOff>299110</xdr:colOff>
      <xdr:row>170</xdr:row>
      <xdr:rowOff>69260</xdr:rowOff>
    </xdr:to>
    <xdr:pic>
      <xdr:nvPicPr>
        <xdr:cNvPr id="1140" name="Picture 1139">
          <a:extLst>
            <a:ext uri="{FF2B5EF4-FFF2-40B4-BE49-F238E27FC236}">
              <a16:creationId xmlns:a16="http://schemas.microsoft.com/office/drawing/2014/main" id="{C5693119-2A87-4525-A656-7C6A2E8620C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40650" y="41446450"/>
          <a:ext cx="299110" cy="501059"/>
        </a:xfrm>
        <a:prstGeom prst="rect">
          <a:avLst/>
        </a:prstGeom>
      </xdr:spPr>
    </xdr:pic>
    <xdr:clientData/>
  </xdr:twoCellAnchor>
  <xdr:twoCellAnchor editAs="oneCell">
    <xdr:from>
      <xdr:col>28</xdr:col>
      <xdr:colOff>0</xdr:colOff>
      <xdr:row>199</xdr:row>
      <xdr:rowOff>0</xdr:rowOff>
    </xdr:from>
    <xdr:to>
      <xdr:col>28</xdr:col>
      <xdr:colOff>299110</xdr:colOff>
      <xdr:row>202</xdr:row>
      <xdr:rowOff>69260</xdr:rowOff>
    </xdr:to>
    <xdr:pic>
      <xdr:nvPicPr>
        <xdr:cNvPr id="1141" name="Picture 1140">
          <a:extLst>
            <a:ext uri="{FF2B5EF4-FFF2-40B4-BE49-F238E27FC236}">
              <a16:creationId xmlns:a16="http://schemas.microsoft.com/office/drawing/2014/main" id="{12A681D4-EFCC-4CA5-8E6D-39949370B8E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360400" y="49383950"/>
          <a:ext cx="299110" cy="501059"/>
        </a:xfrm>
        <a:prstGeom prst="rect">
          <a:avLst/>
        </a:prstGeom>
      </xdr:spPr>
    </xdr:pic>
    <xdr:clientData/>
  </xdr:twoCellAnchor>
  <xdr:twoCellAnchor editAs="oneCell">
    <xdr:from>
      <xdr:col>2</xdr:col>
      <xdr:colOff>0</xdr:colOff>
      <xdr:row>207</xdr:row>
      <xdr:rowOff>0</xdr:rowOff>
    </xdr:from>
    <xdr:to>
      <xdr:col>2</xdr:col>
      <xdr:colOff>299110</xdr:colOff>
      <xdr:row>209</xdr:row>
      <xdr:rowOff>142284</xdr:rowOff>
    </xdr:to>
    <xdr:pic>
      <xdr:nvPicPr>
        <xdr:cNvPr id="1142" name="Picture 1141">
          <a:extLst>
            <a:ext uri="{FF2B5EF4-FFF2-40B4-BE49-F238E27FC236}">
              <a16:creationId xmlns:a16="http://schemas.microsoft.com/office/drawing/2014/main" id="{439D094D-DF78-48DD-AB3D-3F141CE53C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73150" y="51314350"/>
          <a:ext cx="299110" cy="510584"/>
        </a:xfrm>
        <a:prstGeom prst="rect">
          <a:avLst/>
        </a:prstGeom>
      </xdr:spPr>
    </xdr:pic>
    <xdr:clientData/>
  </xdr:twoCellAnchor>
  <xdr:twoCellAnchor editAs="oneCell">
    <xdr:from>
      <xdr:col>26</xdr:col>
      <xdr:colOff>0</xdr:colOff>
      <xdr:row>167</xdr:row>
      <xdr:rowOff>0</xdr:rowOff>
    </xdr:from>
    <xdr:to>
      <xdr:col>26</xdr:col>
      <xdr:colOff>299110</xdr:colOff>
      <xdr:row>170</xdr:row>
      <xdr:rowOff>69260</xdr:rowOff>
    </xdr:to>
    <xdr:pic>
      <xdr:nvPicPr>
        <xdr:cNvPr id="1143" name="Picture 1142">
          <a:extLst>
            <a:ext uri="{FF2B5EF4-FFF2-40B4-BE49-F238E27FC236}">
              <a16:creationId xmlns:a16="http://schemas.microsoft.com/office/drawing/2014/main" id="{949DB837-3466-4769-8EFF-F15AB0B2EFF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433300" y="41446450"/>
          <a:ext cx="299110" cy="501059"/>
        </a:xfrm>
        <a:prstGeom prst="rect">
          <a:avLst/>
        </a:prstGeom>
      </xdr:spPr>
    </xdr:pic>
    <xdr:clientData/>
  </xdr:twoCellAnchor>
  <xdr:twoCellAnchor editAs="oneCell">
    <xdr:from>
      <xdr:col>12</xdr:col>
      <xdr:colOff>0</xdr:colOff>
      <xdr:row>183</xdr:row>
      <xdr:rowOff>0</xdr:rowOff>
    </xdr:from>
    <xdr:to>
      <xdr:col>12</xdr:col>
      <xdr:colOff>299110</xdr:colOff>
      <xdr:row>186</xdr:row>
      <xdr:rowOff>69258</xdr:rowOff>
    </xdr:to>
    <xdr:pic>
      <xdr:nvPicPr>
        <xdr:cNvPr id="1144" name="Picture 1143">
          <a:extLst>
            <a:ext uri="{FF2B5EF4-FFF2-40B4-BE49-F238E27FC236}">
              <a16:creationId xmlns:a16="http://schemas.microsoft.com/office/drawing/2014/main" id="{9642BAA7-B6DB-44D9-90BB-AD8D504A6A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5383450"/>
          <a:ext cx="299110" cy="501059"/>
        </a:xfrm>
        <a:prstGeom prst="rect">
          <a:avLst/>
        </a:prstGeom>
      </xdr:spPr>
    </xdr:pic>
    <xdr:clientData/>
  </xdr:twoCellAnchor>
  <xdr:twoCellAnchor editAs="oneCell">
    <xdr:from>
      <xdr:col>6</xdr:col>
      <xdr:colOff>0</xdr:colOff>
      <xdr:row>151</xdr:row>
      <xdr:rowOff>0</xdr:rowOff>
    </xdr:from>
    <xdr:to>
      <xdr:col>6</xdr:col>
      <xdr:colOff>299110</xdr:colOff>
      <xdr:row>154</xdr:row>
      <xdr:rowOff>69260</xdr:rowOff>
    </xdr:to>
    <xdr:pic>
      <xdr:nvPicPr>
        <xdr:cNvPr id="1145" name="Picture 1144">
          <a:extLst>
            <a:ext uri="{FF2B5EF4-FFF2-40B4-BE49-F238E27FC236}">
              <a16:creationId xmlns:a16="http://schemas.microsoft.com/office/drawing/2014/main" id="{C9F4347F-37EC-4754-959F-A64FD90A478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35300" y="37585650"/>
          <a:ext cx="299110" cy="501059"/>
        </a:xfrm>
        <a:prstGeom prst="rect">
          <a:avLst/>
        </a:prstGeom>
      </xdr:spPr>
    </xdr:pic>
    <xdr:clientData/>
  </xdr:twoCellAnchor>
  <xdr:twoCellAnchor editAs="oneCell">
    <xdr:from>
      <xdr:col>10</xdr:col>
      <xdr:colOff>0</xdr:colOff>
      <xdr:row>207</xdr:row>
      <xdr:rowOff>0</xdr:rowOff>
    </xdr:from>
    <xdr:to>
      <xdr:col>10</xdr:col>
      <xdr:colOff>299110</xdr:colOff>
      <xdr:row>209</xdr:row>
      <xdr:rowOff>142284</xdr:rowOff>
    </xdr:to>
    <xdr:pic>
      <xdr:nvPicPr>
        <xdr:cNvPr id="1146" name="Picture 1145">
          <a:extLst>
            <a:ext uri="{FF2B5EF4-FFF2-40B4-BE49-F238E27FC236}">
              <a16:creationId xmlns:a16="http://schemas.microsoft.com/office/drawing/2014/main" id="{FC780FD7-2873-4035-8F57-8B02D4A48E9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51314350"/>
          <a:ext cx="299110" cy="510584"/>
        </a:xfrm>
        <a:prstGeom prst="rect">
          <a:avLst/>
        </a:prstGeom>
      </xdr:spPr>
    </xdr:pic>
    <xdr:clientData/>
  </xdr:twoCellAnchor>
  <xdr:twoCellAnchor editAs="oneCell">
    <xdr:from>
      <xdr:col>10</xdr:col>
      <xdr:colOff>0</xdr:colOff>
      <xdr:row>151</xdr:row>
      <xdr:rowOff>0</xdr:rowOff>
    </xdr:from>
    <xdr:to>
      <xdr:col>10</xdr:col>
      <xdr:colOff>299110</xdr:colOff>
      <xdr:row>154</xdr:row>
      <xdr:rowOff>69260</xdr:rowOff>
    </xdr:to>
    <xdr:pic>
      <xdr:nvPicPr>
        <xdr:cNvPr id="1147" name="Picture 1146">
          <a:extLst>
            <a:ext uri="{FF2B5EF4-FFF2-40B4-BE49-F238E27FC236}">
              <a16:creationId xmlns:a16="http://schemas.microsoft.com/office/drawing/2014/main" id="{7FD812F2-D088-474A-B937-71AAEB1C0CA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37585650"/>
          <a:ext cx="299110" cy="501059"/>
        </a:xfrm>
        <a:prstGeom prst="rect">
          <a:avLst/>
        </a:prstGeom>
      </xdr:spPr>
    </xdr:pic>
    <xdr:clientData/>
  </xdr:twoCellAnchor>
  <xdr:twoCellAnchor editAs="oneCell">
    <xdr:from>
      <xdr:col>14</xdr:col>
      <xdr:colOff>0</xdr:colOff>
      <xdr:row>207</xdr:row>
      <xdr:rowOff>0</xdr:rowOff>
    </xdr:from>
    <xdr:to>
      <xdr:col>14</xdr:col>
      <xdr:colOff>299110</xdr:colOff>
      <xdr:row>209</xdr:row>
      <xdr:rowOff>142284</xdr:rowOff>
    </xdr:to>
    <xdr:pic>
      <xdr:nvPicPr>
        <xdr:cNvPr id="1148" name="Picture 1147">
          <a:extLst>
            <a:ext uri="{FF2B5EF4-FFF2-40B4-BE49-F238E27FC236}">
              <a16:creationId xmlns:a16="http://schemas.microsoft.com/office/drawing/2014/main" id="{369A7802-5AC7-43EF-918E-A0EEF3F4B39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51314350"/>
          <a:ext cx="299110" cy="510584"/>
        </a:xfrm>
        <a:prstGeom prst="rect">
          <a:avLst/>
        </a:prstGeom>
      </xdr:spPr>
    </xdr:pic>
    <xdr:clientData/>
  </xdr:twoCellAnchor>
  <xdr:twoCellAnchor editAs="oneCell">
    <xdr:from>
      <xdr:col>8</xdr:col>
      <xdr:colOff>0</xdr:colOff>
      <xdr:row>151</xdr:row>
      <xdr:rowOff>0</xdr:rowOff>
    </xdr:from>
    <xdr:to>
      <xdr:col>8</xdr:col>
      <xdr:colOff>299110</xdr:colOff>
      <xdr:row>154</xdr:row>
      <xdr:rowOff>69260</xdr:rowOff>
    </xdr:to>
    <xdr:pic>
      <xdr:nvPicPr>
        <xdr:cNvPr id="1149" name="Picture 1148">
          <a:extLst>
            <a:ext uri="{FF2B5EF4-FFF2-40B4-BE49-F238E27FC236}">
              <a16:creationId xmlns:a16="http://schemas.microsoft.com/office/drawing/2014/main" id="{9EC2E22B-559B-4A46-B02D-E3EF4BBF1A2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31515050"/>
          <a:ext cx="299110" cy="532809"/>
        </a:xfrm>
        <a:prstGeom prst="rect">
          <a:avLst/>
        </a:prstGeom>
      </xdr:spPr>
    </xdr:pic>
    <xdr:clientData/>
  </xdr:twoCellAnchor>
  <xdr:twoCellAnchor editAs="oneCell">
    <xdr:from>
      <xdr:col>12</xdr:col>
      <xdr:colOff>0</xdr:colOff>
      <xdr:row>151</xdr:row>
      <xdr:rowOff>0</xdr:rowOff>
    </xdr:from>
    <xdr:to>
      <xdr:col>12</xdr:col>
      <xdr:colOff>299110</xdr:colOff>
      <xdr:row>154</xdr:row>
      <xdr:rowOff>69260</xdr:rowOff>
    </xdr:to>
    <xdr:pic>
      <xdr:nvPicPr>
        <xdr:cNvPr id="1150" name="Picture 1149">
          <a:extLst>
            <a:ext uri="{FF2B5EF4-FFF2-40B4-BE49-F238E27FC236}">
              <a16:creationId xmlns:a16="http://schemas.microsoft.com/office/drawing/2014/main" id="{F8D5745A-94F8-4E47-8106-888A581844B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31515050"/>
          <a:ext cx="299110" cy="532809"/>
        </a:xfrm>
        <a:prstGeom prst="rect">
          <a:avLst/>
        </a:prstGeom>
      </xdr:spPr>
    </xdr:pic>
    <xdr:clientData/>
  </xdr:twoCellAnchor>
  <xdr:twoCellAnchor editAs="oneCell">
    <xdr:from>
      <xdr:col>14</xdr:col>
      <xdr:colOff>0</xdr:colOff>
      <xdr:row>151</xdr:row>
      <xdr:rowOff>0</xdr:rowOff>
    </xdr:from>
    <xdr:to>
      <xdr:col>14</xdr:col>
      <xdr:colOff>299110</xdr:colOff>
      <xdr:row>154</xdr:row>
      <xdr:rowOff>69260</xdr:rowOff>
    </xdr:to>
    <xdr:pic>
      <xdr:nvPicPr>
        <xdr:cNvPr id="1151" name="Picture 1150">
          <a:extLst>
            <a:ext uri="{FF2B5EF4-FFF2-40B4-BE49-F238E27FC236}">
              <a16:creationId xmlns:a16="http://schemas.microsoft.com/office/drawing/2014/main" id="{D2BC3F21-4498-4184-9C9C-40AF76BBD9A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31515050"/>
          <a:ext cx="299110" cy="532809"/>
        </a:xfrm>
        <a:prstGeom prst="rect">
          <a:avLst/>
        </a:prstGeom>
      </xdr:spPr>
    </xdr:pic>
    <xdr:clientData/>
  </xdr:twoCellAnchor>
  <xdr:twoCellAnchor editAs="oneCell">
    <xdr:from>
      <xdr:col>22</xdr:col>
      <xdr:colOff>0</xdr:colOff>
      <xdr:row>158</xdr:row>
      <xdr:rowOff>527050</xdr:rowOff>
    </xdr:from>
    <xdr:to>
      <xdr:col>22</xdr:col>
      <xdr:colOff>299110</xdr:colOff>
      <xdr:row>162</xdr:row>
      <xdr:rowOff>56559</xdr:rowOff>
    </xdr:to>
    <xdr:pic>
      <xdr:nvPicPr>
        <xdr:cNvPr id="1152" name="Picture 1151">
          <a:extLst>
            <a:ext uri="{FF2B5EF4-FFF2-40B4-BE49-F238E27FC236}">
              <a16:creationId xmlns:a16="http://schemas.microsoft.com/office/drawing/2014/main" id="{66E968B9-4F3F-4A46-B4B4-AAFD810F845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21950" y="33121600"/>
          <a:ext cx="299110" cy="532809"/>
        </a:xfrm>
        <a:prstGeom prst="rect">
          <a:avLst/>
        </a:prstGeom>
      </xdr:spPr>
    </xdr:pic>
    <xdr:clientData/>
  </xdr:twoCellAnchor>
  <xdr:twoCellAnchor editAs="oneCell">
    <xdr:from>
      <xdr:col>4</xdr:col>
      <xdr:colOff>0</xdr:colOff>
      <xdr:row>199</xdr:row>
      <xdr:rowOff>19151</xdr:rowOff>
    </xdr:from>
    <xdr:to>
      <xdr:col>4</xdr:col>
      <xdr:colOff>299110</xdr:colOff>
      <xdr:row>202</xdr:row>
      <xdr:rowOff>92442</xdr:rowOff>
    </xdr:to>
    <xdr:pic>
      <xdr:nvPicPr>
        <xdr:cNvPr id="1153" name="Picture 1152">
          <a:extLst>
            <a:ext uri="{FF2B5EF4-FFF2-40B4-BE49-F238E27FC236}">
              <a16:creationId xmlns:a16="http://schemas.microsoft.com/office/drawing/2014/main" id="{393A68F0-62DB-4678-93EA-2085D463918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286000" y="41375794"/>
          <a:ext cx="299110" cy="545005"/>
        </a:xfrm>
        <a:prstGeom prst="rect">
          <a:avLst/>
        </a:prstGeom>
      </xdr:spPr>
    </xdr:pic>
    <xdr:clientData/>
  </xdr:twoCellAnchor>
  <xdr:twoCellAnchor editAs="oneCell">
    <xdr:from>
      <xdr:col>18</xdr:col>
      <xdr:colOff>0</xdr:colOff>
      <xdr:row>190</xdr:row>
      <xdr:rowOff>451557</xdr:rowOff>
    </xdr:from>
    <xdr:to>
      <xdr:col>18</xdr:col>
      <xdr:colOff>299110</xdr:colOff>
      <xdr:row>193</xdr:row>
      <xdr:rowOff>132760</xdr:rowOff>
    </xdr:to>
    <xdr:pic>
      <xdr:nvPicPr>
        <xdr:cNvPr id="1154" name="Picture 1153">
          <a:extLst>
            <a:ext uri="{FF2B5EF4-FFF2-40B4-BE49-F238E27FC236}">
              <a16:creationId xmlns:a16="http://schemas.microsoft.com/office/drawing/2014/main" id="{B90D52FA-6E2B-49C2-A88F-CA86F7E164A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99500" y="40181390"/>
          <a:ext cx="299110" cy="541981"/>
        </a:xfrm>
        <a:prstGeom prst="rect">
          <a:avLst/>
        </a:prstGeom>
      </xdr:spPr>
    </xdr:pic>
    <xdr:clientData/>
  </xdr:twoCellAnchor>
  <xdr:twoCellAnchor editAs="oneCell">
    <xdr:from>
      <xdr:col>6</xdr:col>
      <xdr:colOff>0</xdr:colOff>
      <xdr:row>198</xdr:row>
      <xdr:rowOff>552350</xdr:rowOff>
    </xdr:from>
    <xdr:to>
      <xdr:col>6</xdr:col>
      <xdr:colOff>299110</xdr:colOff>
      <xdr:row>202</xdr:row>
      <xdr:rowOff>72284</xdr:rowOff>
    </xdr:to>
    <xdr:pic>
      <xdr:nvPicPr>
        <xdr:cNvPr id="1155" name="Picture 1154">
          <a:extLst>
            <a:ext uri="{FF2B5EF4-FFF2-40B4-BE49-F238E27FC236}">
              <a16:creationId xmlns:a16="http://schemas.microsoft.com/office/drawing/2014/main" id="{08FBC1D7-C031-495B-85F0-25FE47B7859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265714" y="41355636"/>
          <a:ext cx="299110" cy="545005"/>
        </a:xfrm>
        <a:prstGeom prst="rect">
          <a:avLst/>
        </a:prstGeom>
      </xdr:spPr>
    </xdr:pic>
    <xdr:clientData/>
  </xdr:twoCellAnchor>
  <xdr:twoCellAnchor editAs="oneCell">
    <xdr:from>
      <xdr:col>16</xdr:col>
      <xdr:colOff>0</xdr:colOff>
      <xdr:row>191</xdr:row>
      <xdr:rowOff>7</xdr:rowOff>
    </xdr:from>
    <xdr:to>
      <xdr:col>16</xdr:col>
      <xdr:colOff>299110</xdr:colOff>
      <xdr:row>194</xdr:row>
      <xdr:rowOff>69266</xdr:rowOff>
    </xdr:to>
    <xdr:pic>
      <xdr:nvPicPr>
        <xdr:cNvPr id="1156" name="Picture 1155">
          <a:extLst>
            <a:ext uri="{FF2B5EF4-FFF2-40B4-BE49-F238E27FC236}">
              <a16:creationId xmlns:a16="http://schemas.microsoft.com/office/drawing/2014/main" id="{3EE92314-6B1D-4030-A900-45989A0415A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68167" y="40273118"/>
          <a:ext cx="299110" cy="541981"/>
        </a:xfrm>
        <a:prstGeom prst="rect">
          <a:avLst/>
        </a:prstGeom>
      </xdr:spPr>
    </xdr:pic>
    <xdr:clientData/>
  </xdr:twoCellAnchor>
  <xdr:twoCellAnchor editAs="oneCell">
    <xdr:from>
      <xdr:col>16</xdr:col>
      <xdr:colOff>0</xdr:colOff>
      <xdr:row>126</xdr:row>
      <xdr:rowOff>515059</xdr:rowOff>
    </xdr:from>
    <xdr:to>
      <xdr:col>16</xdr:col>
      <xdr:colOff>299110</xdr:colOff>
      <xdr:row>130</xdr:row>
      <xdr:rowOff>41041</xdr:rowOff>
    </xdr:to>
    <xdr:pic>
      <xdr:nvPicPr>
        <xdr:cNvPr id="1157" name="Picture 1156">
          <a:extLst>
            <a:ext uri="{FF2B5EF4-FFF2-40B4-BE49-F238E27FC236}">
              <a16:creationId xmlns:a16="http://schemas.microsoft.com/office/drawing/2014/main" id="{9E0A8B23-CB02-4DBA-AE03-5E16286A3FC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68167" y="26959281"/>
          <a:ext cx="299110" cy="541982"/>
        </a:xfrm>
        <a:prstGeom prst="rect">
          <a:avLst/>
        </a:prstGeom>
      </xdr:spPr>
    </xdr:pic>
    <xdr:clientData/>
  </xdr:twoCellAnchor>
  <xdr:twoCellAnchor editAs="oneCell">
    <xdr:from>
      <xdr:col>6</xdr:col>
      <xdr:colOff>0</xdr:colOff>
      <xdr:row>238</xdr:row>
      <xdr:rowOff>303392</xdr:rowOff>
    </xdr:from>
    <xdr:to>
      <xdr:col>6</xdr:col>
      <xdr:colOff>299110</xdr:colOff>
      <xdr:row>240</xdr:row>
      <xdr:rowOff>128176</xdr:rowOff>
    </xdr:to>
    <xdr:pic>
      <xdr:nvPicPr>
        <xdr:cNvPr id="1158" name="Picture 1157">
          <a:extLst>
            <a:ext uri="{FF2B5EF4-FFF2-40B4-BE49-F238E27FC236}">
              <a16:creationId xmlns:a16="http://schemas.microsoft.com/office/drawing/2014/main" id="{5E7FCC2F-F055-4AD5-B13E-63C4C01A9FE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40944" y="50136781"/>
          <a:ext cx="299110" cy="579728"/>
        </a:xfrm>
        <a:prstGeom prst="rect">
          <a:avLst/>
        </a:prstGeom>
      </xdr:spPr>
    </xdr:pic>
    <xdr:clientData/>
  </xdr:twoCellAnchor>
  <xdr:twoCellAnchor editAs="oneCell">
    <xdr:from>
      <xdr:col>20</xdr:col>
      <xdr:colOff>0</xdr:colOff>
      <xdr:row>198</xdr:row>
      <xdr:rowOff>486834</xdr:rowOff>
    </xdr:from>
    <xdr:to>
      <xdr:col>20</xdr:col>
      <xdr:colOff>299110</xdr:colOff>
      <xdr:row>202</xdr:row>
      <xdr:rowOff>43507</xdr:rowOff>
    </xdr:to>
    <xdr:pic>
      <xdr:nvPicPr>
        <xdr:cNvPr id="1159" name="Picture 1158">
          <a:extLst>
            <a:ext uri="{FF2B5EF4-FFF2-40B4-BE49-F238E27FC236}">
              <a16:creationId xmlns:a16="http://schemas.microsoft.com/office/drawing/2014/main" id="{C3CDC664-F117-4418-B39D-D30C7EEF261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630833" y="41366723"/>
          <a:ext cx="299110" cy="579728"/>
        </a:xfrm>
        <a:prstGeom prst="rect">
          <a:avLst/>
        </a:prstGeom>
      </xdr:spPr>
    </xdr:pic>
    <xdr:clientData/>
  </xdr:twoCellAnchor>
  <xdr:twoCellAnchor editAs="oneCell">
    <xdr:from>
      <xdr:col>18</xdr:col>
      <xdr:colOff>7061</xdr:colOff>
      <xdr:row>126</xdr:row>
      <xdr:rowOff>458616</xdr:rowOff>
    </xdr:from>
    <xdr:to>
      <xdr:col>18</xdr:col>
      <xdr:colOff>306171</xdr:colOff>
      <xdr:row>129</xdr:row>
      <xdr:rowOff>139820</xdr:rowOff>
    </xdr:to>
    <xdr:pic>
      <xdr:nvPicPr>
        <xdr:cNvPr id="1160" name="Picture 1159">
          <a:extLst>
            <a:ext uri="{FF2B5EF4-FFF2-40B4-BE49-F238E27FC236}">
              <a16:creationId xmlns:a16="http://schemas.microsoft.com/office/drawing/2014/main" id="{16C3FBA3-B907-4EA4-946B-4EF6735501D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706561" y="26239616"/>
          <a:ext cx="299110" cy="541982"/>
        </a:xfrm>
        <a:prstGeom prst="rect">
          <a:avLst/>
        </a:prstGeom>
      </xdr:spPr>
    </xdr:pic>
    <xdr:clientData/>
  </xdr:twoCellAnchor>
  <xdr:twoCellAnchor editAs="oneCell">
    <xdr:from>
      <xdr:col>26</xdr:col>
      <xdr:colOff>0</xdr:colOff>
      <xdr:row>207</xdr:row>
      <xdr:rowOff>7</xdr:rowOff>
    </xdr:from>
    <xdr:to>
      <xdr:col>26</xdr:col>
      <xdr:colOff>299110</xdr:colOff>
      <xdr:row>209</xdr:row>
      <xdr:rowOff>104545</xdr:rowOff>
    </xdr:to>
    <xdr:pic>
      <xdr:nvPicPr>
        <xdr:cNvPr id="1161" name="Picture 1160">
          <a:extLst>
            <a:ext uri="{FF2B5EF4-FFF2-40B4-BE49-F238E27FC236}">
              <a16:creationId xmlns:a16="http://schemas.microsoft.com/office/drawing/2014/main" id="{532FB47D-2115-4193-9531-E8420A2CCEA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481278" y="43074174"/>
          <a:ext cx="299110" cy="541982"/>
        </a:xfrm>
        <a:prstGeom prst="rect">
          <a:avLst/>
        </a:prstGeom>
      </xdr:spPr>
    </xdr:pic>
    <xdr:clientData/>
  </xdr:twoCellAnchor>
  <xdr:twoCellAnchor editAs="oneCell">
    <xdr:from>
      <xdr:col>4</xdr:col>
      <xdr:colOff>0</xdr:colOff>
      <xdr:row>238</xdr:row>
      <xdr:rowOff>390069</xdr:rowOff>
    </xdr:from>
    <xdr:to>
      <xdr:col>4</xdr:col>
      <xdr:colOff>299110</xdr:colOff>
      <xdr:row>241</xdr:row>
      <xdr:rowOff>60639</xdr:rowOff>
    </xdr:to>
    <xdr:pic>
      <xdr:nvPicPr>
        <xdr:cNvPr id="1162" name="Picture 1161">
          <a:extLst>
            <a:ext uri="{FF2B5EF4-FFF2-40B4-BE49-F238E27FC236}">
              <a16:creationId xmlns:a16="http://schemas.microsoft.com/office/drawing/2014/main" id="{5C53F19F-A154-47C3-9794-8454B51AA8A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50143" y="50110569"/>
          <a:ext cx="299110" cy="577713"/>
        </a:xfrm>
        <a:prstGeom prst="rect">
          <a:avLst/>
        </a:prstGeom>
      </xdr:spPr>
    </xdr:pic>
    <xdr:clientData/>
  </xdr:twoCellAnchor>
  <xdr:twoCellAnchor editAs="oneCell">
    <xdr:from>
      <xdr:col>20</xdr:col>
      <xdr:colOff>0</xdr:colOff>
      <xdr:row>143</xdr:row>
      <xdr:rowOff>0</xdr:rowOff>
    </xdr:from>
    <xdr:to>
      <xdr:col>20</xdr:col>
      <xdr:colOff>299110</xdr:colOff>
      <xdr:row>146</xdr:row>
      <xdr:rowOff>51118</xdr:rowOff>
    </xdr:to>
    <xdr:pic>
      <xdr:nvPicPr>
        <xdr:cNvPr id="1163" name="Picture 1162">
          <a:extLst>
            <a:ext uri="{FF2B5EF4-FFF2-40B4-BE49-F238E27FC236}">
              <a16:creationId xmlns:a16="http://schemas.microsoft.com/office/drawing/2014/main" id="{95723B3F-7616-4AE3-AD06-811E1DD10B7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79429" y="29554714"/>
          <a:ext cx="299110" cy="540975"/>
        </a:xfrm>
        <a:prstGeom prst="rect">
          <a:avLst/>
        </a:prstGeom>
      </xdr:spPr>
    </xdr:pic>
    <xdr:clientData/>
  </xdr:twoCellAnchor>
  <xdr:twoCellAnchor editAs="oneCell">
    <xdr:from>
      <xdr:col>8</xdr:col>
      <xdr:colOff>0</xdr:colOff>
      <xdr:row>223</xdr:row>
      <xdr:rowOff>82550</xdr:rowOff>
    </xdr:from>
    <xdr:to>
      <xdr:col>8</xdr:col>
      <xdr:colOff>299110</xdr:colOff>
      <xdr:row>227</xdr:row>
      <xdr:rowOff>467</xdr:rowOff>
    </xdr:to>
    <xdr:pic>
      <xdr:nvPicPr>
        <xdr:cNvPr id="1164" name="Picture 1163">
          <a:extLst>
            <a:ext uri="{FF2B5EF4-FFF2-40B4-BE49-F238E27FC236}">
              <a16:creationId xmlns:a16="http://schemas.microsoft.com/office/drawing/2014/main" id="{A56803F0-6E3D-4EA5-820A-50DB331EC73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46367700"/>
          <a:ext cx="299110" cy="580434"/>
        </a:xfrm>
        <a:prstGeom prst="rect">
          <a:avLst/>
        </a:prstGeom>
      </xdr:spPr>
    </xdr:pic>
    <xdr:clientData/>
  </xdr:twoCellAnchor>
  <xdr:twoCellAnchor editAs="oneCell">
    <xdr:from>
      <xdr:col>10</xdr:col>
      <xdr:colOff>0</xdr:colOff>
      <xdr:row>223</xdr:row>
      <xdr:rowOff>31750</xdr:rowOff>
    </xdr:from>
    <xdr:to>
      <xdr:col>10</xdr:col>
      <xdr:colOff>299110</xdr:colOff>
      <xdr:row>226</xdr:row>
      <xdr:rowOff>97834</xdr:rowOff>
    </xdr:to>
    <xdr:pic>
      <xdr:nvPicPr>
        <xdr:cNvPr id="1165" name="Picture 1164">
          <a:extLst>
            <a:ext uri="{FF2B5EF4-FFF2-40B4-BE49-F238E27FC236}">
              <a16:creationId xmlns:a16="http://schemas.microsoft.com/office/drawing/2014/main" id="{6D445268-5C23-4F47-8339-ABDFE483BAE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46316900"/>
          <a:ext cx="299110" cy="580434"/>
        </a:xfrm>
        <a:prstGeom prst="rect">
          <a:avLst/>
        </a:prstGeom>
      </xdr:spPr>
    </xdr:pic>
    <xdr:clientData/>
  </xdr:twoCellAnchor>
  <xdr:twoCellAnchor>
    <xdr:from>
      <xdr:col>4</xdr:col>
      <xdr:colOff>190500</xdr:colOff>
      <xdr:row>83</xdr:row>
      <xdr:rowOff>57150</xdr:rowOff>
    </xdr:from>
    <xdr:to>
      <xdr:col>4</xdr:col>
      <xdr:colOff>352425</xdr:colOff>
      <xdr:row>86</xdr:row>
      <xdr:rowOff>227161</xdr:rowOff>
    </xdr:to>
    <xdr:pic>
      <xdr:nvPicPr>
        <xdr:cNvPr id="1166" name="Picture 7">
          <a:extLst>
            <a:ext uri="{FF2B5EF4-FFF2-40B4-BE49-F238E27FC236}">
              <a16:creationId xmlns:a16="http://schemas.microsoft.com/office/drawing/2014/main" id="{CC04C56E-6DEB-406A-9919-2E1B2A5915DE}"/>
            </a:ext>
          </a:extLst>
        </xdr:cNvPr>
        <xdr:cNvPicPr>
          <a:picLocks noChangeAspect="1"/>
        </xdr:cNvPicPr>
      </xdr:nvPicPr>
      <xdr:blipFill>
        <a:blip xmlns:r="http://schemas.openxmlformats.org/officeDocument/2006/relationships" r:embed="rId1" cstate="print"/>
        <a:srcRect/>
        <a:stretch>
          <a:fillRect/>
        </a:stretch>
      </xdr:blipFill>
      <xdr:spPr bwMode="auto">
        <a:xfrm>
          <a:off x="2247900" y="16840200"/>
          <a:ext cx="161925" cy="633561"/>
        </a:xfrm>
        <a:prstGeom prst="rect">
          <a:avLst/>
        </a:prstGeom>
        <a:noFill/>
        <a:ln w="9525">
          <a:noFill/>
          <a:miter lim="800000"/>
          <a:headEnd/>
          <a:tailEnd/>
        </a:ln>
      </xdr:spPr>
    </xdr:pic>
    <xdr:clientData/>
  </xdr:twoCellAnchor>
  <xdr:twoCellAnchor editAs="oneCell">
    <xdr:from>
      <xdr:col>14</xdr:col>
      <xdr:colOff>0</xdr:colOff>
      <xdr:row>222</xdr:row>
      <xdr:rowOff>544280</xdr:rowOff>
    </xdr:from>
    <xdr:to>
      <xdr:col>14</xdr:col>
      <xdr:colOff>299110</xdr:colOff>
      <xdr:row>226</xdr:row>
      <xdr:rowOff>66078</xdr:rowOff>
    </xdr:to>
    <xdr:pic>
      <xdr:nvPicPr>
        <xdr:cNvPr id="1167" name="Picture 1166">
          <a:extLst>
            <a:ext uri="{FF2B5EF4-FFF2-40B4-BE49-F238E27FC236}">
              <a16:creationId xmlns:a16="http://schemas.microsoft.com/office/drawing/2014/main" id="{7F102E8B-71BC-4702-92F6-816E106238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03571" y="46799494"/>
          <a:ext cx="299110" cy="583155"/>
        </a:xfrm>
        <a:prstGeom prst="rect">
          <a:avLst/>
        </a:prstGeom>
      </xdr:spPr>
    </xdr:pic>
    <xdr:clientData/>
  </xdr:twoCellAnchor>
  <xdr:twoCellAnchor editAs="oneCell">
    <xdr:from>
      <xdr:col>16</xdr:col>
      <xdr:colOff>0</xdr:colOff>
      <xdr:row>215</xdr:row>
      <xdr:rowOff>18140</xdr:rowOff>
    </xdr:from>
    <xdr:to>
      <xdr:col>16</xdr:col>
      <xdr:colOff>299110</xdr:colOff>
      <xdr:row>218</xdr:row>
      <xdr:rowOff>51568</xdr:rowOff>
    </xdr:to>
    <xdr:pic>
      <xdr:nvPicPr>
        <xdr:cNvPr id="1168" name="Picture 1167">
          <a:extLst>
            <a:ext uri="{FF2B5EF4-FFF2-40B4-BE49-F238E27FC236}">
              <a16:creationId xmlns:a16="http://schemas.microsoft.com/office/drawing/2014/main" id="{25704B6B-693F-4FE5-9970-68085CFDD63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046357" y="44885426"/>
          <a:ext cx="299110" cy="577713"/>
        </a:xfrm>
        <a:prstGeom prst="rect">
          <a:avLst/>
        </a:prstGeom>
      </xdr:spPr>
    </xdr:pic>
    <xdr:clientData/>
  </xdr:twoCellAnchor>
  <xdr:twoCellAnchor editAs="oneCell">
    <xdr:from>
      <xdr:col>12</xdr:col>
      <xdr:colOff>0</xdr:colOff>
      <xdr:row>223</xdr:row>
      <xdr:rowOff>27214</xdr:rowOff>
    </xdr:from>
    <xdr:to>
      <xdr:col>12</xdr:col>
      <xdr:colOff>299110</xdr:colOff>
      <xdr:row>226</xdr:row>
      <xdr:rowOff>99648</xdr:rowOff>
    </xdr:to>
    <xdr:pic>
      <xdr:nvPicPr>
        <xdr:cNvPr id="1169" name="Picture 1168">
          <a:extLst>
            <a:ext uri="{FF2B5EF4-FFF2-40B4-BE49-F238E27FC236}">
              <a16:creationId xmlns:a16="http://schemas.microsoft.com/office/drawing/2014/main" id="{3AFAC580-B3DD-4248-8B06-2DBB361223B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78286" y="46826714"/>
          <a:ext cx="299110" cy="589505"/>
        </a:xfrm>
        <a:prstGeom prst="rect">
          <a:avLst/>
        </a:prstGeom>
      </xdr:spPr>
    </xdr:pic>
    <xdr:clientData/>
  </xdr:twoCellAnchor>
  <xdr:twoCellAnchor editAs="oneCell">
    <xdr:from>
      <xdr:col>12</xdr:col>
      <xdr:colOff>0</xdr:colOff>
      <xdr:row>207</xdr:row>
      <xdr:rowOff>84359</xdr:rowOff>
    </xdr:from>
    <xdr:to>
      <xdr:col>12</xdr:col>
      <xdr:colOff>299110</xdr:colOff>
      <xdr:row>210</xdr:row>
      <xdr:rowOff>27071</xdr:rowOff>
    </xdr:to>
    <xdr:pic>
      <xdr:nvPicPr>
        <xdr:cNvPr id="1170" name="Picture 1169">
          <a:extLst>
            <a:ext uri="{FF2B5EF4-FFF2-40B4-BE49-F238E27FC236}">
              <a16:creationId xmlns:a16="http://schemas.microsoft.com/office/drawing/2014/main" id="{76E1E368-4127-49AC-ACB0-971E24B848E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14143" y="43082930"/>
          <a:ext cx="299110" cy="595855"/>
        </a:xfrm>
        <a:prstGeom prst="rect">
          <a:avLst/>
        </a:prstGeom>
      </xdr:spPr>
    </xdr:pic>
    <xdr:clientData/>
  </xdr:twoCellAnchor>
  <xdr:twoCellAnchor editAs="oneCell">
    <xdr:from>
      <xdr:col>18</xdr:col>
      <xdr:colOff>0</xdr:colOff>
      <xdr:row>182</xdr:row>
      <xdr:rowOff>426355</xdr:rowOff>
    </xdr:from>
    <xdr:to>
      <xdr:col>18</xdr:col>
      <xdr:colOff>299110</xdr:colOff>
      <xdr:row>185</xdr:row>
      <xdr:rowOff>147724</xdr:rowOff>
    </xdr:to>
    <xdr:pic>
      <xdr:nvPicPr>
        <xdr:cNvPr id="1171" name="Picture 1170">
          <a:extLst>
            <a:ext uri="{FF2B5EF4-FFF2-40B4-BE49-F238E27FC236}">
              <a16:creationId xmlns:a16="http://schemas.microsoft.com/office/drawing/2014/main" id="{7CE76531-4768-429E-A0A8-F041ACF679B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54143" y="37773426"/>
          <a:ext cx="299110" cy="583155"/>
        </a:xfrm>
        <a:prstGeom prst="rect">
          <a:avLst/>
        </a:prstGeom>
      </xdr:spPr>
    </xdr:pic>
    <xdr:clientData/>
  </xdr:twoCellAnchor>
  <xdr:twoCellAnchor>
    <xdr:from>
      <xdr:col>29</xdr:col>
      <xdr:colOff>0</xdr:colOff>
      <xdr:row>260</xdr:row>
      <xdr:rowOff>57150</xdr:rowOff>
    </xdr:from>
    <xdr:to>
      <xdr:col>30</xdr:col>
      <xdr:colOff>0</xdr:colOff>
      <xdr:row>261</xdr:row>
      <xdr:rowOff>190500</xdr:rowOff>
    </xdr:to>
    <xdr:sp macro="" textlink="">
      <xdr:nvSpPr>
        <xdr:cNvPr id="1181" name="AutoShape 46">
          <a:extLst>
            <a:ext uri="{FF2B5EF4-FFF2-40B4-BE49-F238E27FC236}">
              <a16:creationId xmlns:a16="http://schemas.microsoft.com/office/drawing/2014/main" id="{BFFBC225-518D-49EB-AD9E-B126F967AAAF}"/>
            </a:ext>
          </a:extLst>
        </xdr:cNvPr>
        <xdr:cNvSpPr>
          <a:spLocks noChangeArrowheads="1"/>
        </xdr:cNvSpPr>
      </xdr:nvSpPr>
      <xdr:spPr bwMode="auto">
        <a:xfrm>
          <a:off x="12872357" y="54612721"/>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260</xdr:row>
      <xdr:rowOff>57150</xdr:rowOff>
    </xdr:from>
    <xdr:to>
      <xdr:col>30</xdr:col>
      <xdr:colOff>0</xdr:colOff>
      <xdr:row>261</xdr:row>
      <xdr:rowOff>190500</xdr:rowOff>
    </xdr:to>
    <xdr:sp macro="" textlink="">
      <xdr:nvSpPr>
        <xdr:cNvPr id="1182" name="AutoShape 46">
          <a:extLst>
            <a:ext uri="{FF2B5EF4-FFF2-40B4-BE49-F238E27FC236}">
              <a16:creationId xmlns:a16="http://schemas.microsoft.com/office/drawing/2014/main" id="{4F71FE44-62A8-4048-8801-1B9F157474B6}"/>
            </a:ext>
          </a:extLst>
        </xdr:cNvPr>
        <xdr:cNvSpPr>
          <a:spLocks noChangeArrowheads="1"/>
        </xdr:cNvSpPr>
      </xdr:nvSpPr>
      <xdr:spPr bwMode="auto">
        <a:xfrm>
          <a:off x="12872357" y="54612721"/>
          <a:ext cx="462643" cy="287565"/>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260</xdr:row>
      <xdr:rowOff>57150</xdr:rowOff>
    </xdr:from>
    <xdr:to>
      <xdr:col>30</xdr:col>
      <xdr:colOff>0</xdr:colOff>
      <xdr:row>261</xdr:row>
      <xdr:rowOff>190500</xdr:rowOff>
    </xdr:to>
    <xdr:sp macro="" textlink="">
      <xdr:nvSpPr>
        <xdr:cNvPr id="1183" name="AutoShape 46">
          <a:extLst>
            <a:ext uri="{FF2B5EF4-FFF2-40B4-BE49-F238E27FC236}">
              <a16:creationId xmlns:a16="http://schemas.microsoft.com/office/drawing/2014/main" id="{FEC7EEC9-2E65-4226-9E33-3C58623E5BA2}"/>
            </a:ext>
          </a:extLst>
        </xdr:cNvPr>
        <xdr:cNvSpPr>
          <a:spLocks noChangeArrowheads="1"/>
        </xdr:cNvSpPr>
      </xdr:nvSpPr>
      <xdr:spPr bwMode="auto">
        <a:xfrm>
          <a:off x="12872357" y="54612721"/>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7" name="AutoShape 46">
          <a:extLst>
            <a:ext uri="{FF2B5EF4-FFF2-40B4-BE49-F238E27FC236}">
              <a16:creationId xmlns:a16="http://schemas.microsoft.com/office/drawing/2014/main" id="{3A92A78A-3A4C-4AB3-8B13-C64FA54C0F8B}"/>
            </a:ext>
          </a:extLst>
        </xdr:cNvPr>
        <xdr:cNvSpPr>
          <a:spLocks noChangeArrowheads="1"/>
        </xdr:cNvSpPr>
      </xdr:nvSpPr>
      <xdr:spPr bwMode="auto">
        <a:xfrm>
          <a:off x="12872357" y="60980864"/>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8" name="AutoShape 46">
          <a:extLst>
            <a:ext uri="{FF2B5EF4-FFF2-40B4-BE49-F238E27FC236}">
              <a16:creationId xmlns:a16="http://schemas.microsoft.com/office/drawing/2014/main" id="{F5E85797-867D-4F25-9987-B7F0CA36528F}"/>
            </a:ext>
          </a:extLst>
        </xdr:cNvPr>
        <xdr:cNvSpPr>
          <a:spLocks noChangeArrowheads="1"/>
        </xdr:cNvSpPr>
      </xdr:nvSpPr>
      <xdr:spPr bwMode="auto">
        <a:xfrm>
          <a:off x="12872357" y="60980864"/>
          <a:ext cx="462643" cy="287565"/>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9" name="AutoShape 46">
          <a:extLst>
            <a:ext uri="{FF2B5EF4-FFF2-40B4-BE49-F238E27FC236}">
              <a16:creationId xmlns:a16="http://schemas.microsoft.com/office/drawing/2014/main" id="{07AF17A9-F5FE-40CC-9DD8-70746A0E4982}"/>
            </a:ext>
          </a:extLst>
        </xdr:cNvPr>
        <xdr:cNvSpPr>
          <a:spLocks noChangeArrowheads="1"/>
        </xdr:cNvSpPr>
      </xdr:nvSpPr>
      <xdr:spPr bwMode="auto">
        <a:xfrm>
          <a:off x="12872357" y="60980864"/>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editAs="oneCell">
    <xdr:from>
      <xdr:col>22</xdr:col>
      <xdr:colOff>0</xdr:colOff>
      <xdr:row>142</xdr:row>
      <xdr:rowOff>498930</xdr:rowOff>
    </xdr:from>
    <xdr:to>
      <xdr:col>22</xdr:col>
      <xdr:colOff>299110</xdr:colOff>
      <xdr:row>146</xdr:row>
      <xdr:rowOff>5763</xdr:rowOff>
    </xdr:to>
    <xdr:pic>
      <xdr:nvPicPr>
        <xdr:cNvPr id="1093" name="Picture 1092">
          <a:extLst>
            <a:ext uri="{FF2B5EF4-FFF2-40B4-BE49-F238E27FC236}">
              <a16:creationId xmlns:a16="http://schemas.microsoft.com/office/drawing/2014/main" id="{E544CC27-4B5F-44FF-957E-1788DF5F707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4714" y="29509359"/>
          <a:ext cx="299110" cy="540975"/>
        </a:xfrm>
        <a:prstGeom prst="rect">
          <a:avLst/>
        </a:prstGeom>
      </xdr:spPr>
    </xdr:pic>
    <xdr:clientData/>
  </xdr:twoCellAnchor>
  <xdr:twoCellAnchor editAs="oneCell">
    <xdr:from>
      <xdr:col>4</xdr:col>
      <xdr:colOff>0</xdr:colOff>
      <xdr:row>207</xdr:row>
      <xdr:rowOff>0</xdr:rowOff>
    </xdr:from>
    <xdr:to>
      <xdr:col>4</xdr:col>
      <xdr:colOff>299110</xdr:colOff>
      <xdr:row>209</xdr:row>
      <xdr:rowOff>142284</xdr:rowOff>
    </xdr:to>
    <xdr:pic>
      <xdr:nvPicPr>
        <xdr:cNvPr id="1172" name="Picture 1171">
          <a:extLst>
            <a:ext uri="{FF2B5EF4-FFF2-40B4-BE49-F238E27FC236}">
              <a16:creationId xmlns:a16="http://schemas.microsoft.com/office/drawing/2014/main" id="{3886EAD4-5CDA-44C5-8E6D-C5094B07329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296583" y="41984083"/>
          <a:ext cx="299110" cy="586784"/>
        </a:xfrm>
        <a:prstGeom prst="rect">
          <a:avLst/>
        </a:prstGeom>
      </xdr:spPr>
    </xdr:pic>
    <xdr:clientData/>
  </xdr:twoCellAnchor>
  <xdr:twoCellAnchor editAs="oneCell">
    <xdr:from>
      <xdr:col>24</xdr:col>
      <xdr:colOff>0</xdr:colOff>
      <xdr:row>183</xdr:row>
      <xdr:rowOff>74076</xdr:rowOff>
    </xdr:from>
    <xdr:to>
      <xdr:col>24</xdr:col>
      <xdr:colOff>299110</xdr:colOff>
      <xdr:row>186</xdr:row>
      <xdr:rowOff>143334</xdr:rowOff>
    </xdr:to>
    <xdr:pic>
      <xdr:nvPicPr>
        <xdr:cNvPr id="1173" name="Picture 1172">
          <a:extLst>
            <a:ext uri="{FF2B5EF4-FFF2-40B4-BE49-F238E27FC236}">
              <a16:creationId xmlns:a16="http://schemas.microsoft.com/office/drawing/2014/main" id="{92403162-08BE-4424-90EF-F37DF4B655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980333" y="37073409"/>
          <a:ext cx="299110" cy="524342"/>
        </a:xfrm>
        <a:prstGeom prst="rect">
          <a:avLst/>
        </a:prstGeom>
      </xdr:spPr>
    </xdr:pic>
    <xdr:clientData/>
  </xdr:twoCellAnchor>
  <xdr:twoCellAnchor>
    <xdr:from>
      <xdr:col>12</xdr:col>
      <xdr:colOff>0</xdr:colOff>
      <xdr:row>287</xdr:row>
      <xdr:rowOff>99471</xdr:rowOff>
    </xdr:from>
    <xdr:to>
      <xdr:col>12</xdr:col>
      <xdr:colOff>228600</xdr:colOff>
      <xdr:row>288</xdr:row>
      <xdr:rowOff>101548</xdr:rowOff>
    </xdr:to>
    <xdr:grpSp>
      <xdr:nvGrpSpPr>
        <xdr:cNvPr id="1174" name="Group 1008">
          <a:extLst>
            <a:ext uri="{FF2B5EF4-FFF2-40B4-BE49-F238E27FC236}">
              <a16:creationId xmlns:a16="http://schemas.microsoft.com/office/drawing/2014/main" id="{D475C9AF-EE8F-4B29-8A35-4F5316C3293A}"/>
            </a:ext>
          </a:extLst>
        </xdr:cNvPr>
        <xdr:cNvGrpSpPr>
          <a:grpSpLocks/>
        </xdr:cNvGrpSpPr>
      </xdr:nvGrpSpPr>
      <xdr:grpSpPr bwMode="auto">
        <a:xfrm>
          <a:off x="6123214" y="60197685"/>
          <a:ext cx="228600" cy="210720"/>
          <a:chOff x="5475762" y="47760700"/>
          <a:chExt cx="314325" cy="230209"/>
        </a:xfrm>
      </xdr:grpSpPr>
      <xdr:cxnSp macro="">
        <xdr:nvCxnSpPr>
          <xdr:cNvPr id="1175" name="Straight Connector 1174">
            <a:extLst>
              <a:ext uri="{FF2B5EF4-FFF2-40B4-BE49-F238E27FC236}">
                <a16:creationId xmlns:a16="http://schemas.microsoft.com/office/drawing/2014/main" id="{E0CF4528-F4A6-C89E-A005-763641ECFE4E}"/>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176" name="Straight Connector 529">
            <a:extLst>
              <a:ext uri="{FF2B5EF4-FFF2-40B4-BE49-F238E27FC236}">
                <a16:creationId xmlns:a16="http://schemas.microsoft.com/office/drawing/2014/main" id="{6503B803-0110-44AA-73AF-B476C01B81D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1177" name="Straight Connector 531">
            <a:extLst>
              <a:ext uri="{FF2B5EF4-FFF2-40B4-BE49-F238E27FC236}">
                <a16:creationId xmlns:a16="http://schemas.microsoft.com/office/drawing/2014/main" id="{9D0535E3-F506-FA95-E700-5F0E91AB9672}"/>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178" name="Straight Connector 533">
            <a:extLst>
              <a:ext uri="{FF2B5EF4-FFF2-40B4-BE49-F238E27FC236}">
                <a16:creationId xmlns:a16="http://schemas.microsoft.com/office/drawing/2014/main" id="{18593935-C111-C5A0-53A7-E44B24F18FA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179" name="Straight Connector 535">
            <a:extLst>
              <a:ext uri="{FF2B5EF4-FFF2-40B4-BE49-F238E27FC236}">
                <a16:creationId xmlns:a16="http://schemas.microsoft.com/office/drawing/2014/main" id="{C77E45AB-F463-AA87-78F4-345B48EBAD5A}"/>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180" name="Straight Connector 537">
            <a:extLst>
              <a:ext uri="{FF2B5EF4-FFF2-40B4-BE49-F238E27FC236}">
                <a16:creationId xmlns:a16="http://schemas.microsoft.com/office/drawing/2014/main" id="{ADF8E361-3350-9571-B13C-CA0F46AF63A8}"/>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22953</xdr:colOff>
      <xdr:row>18</xdr:row>
      <xdr:rowOff>7647</xdr:rowOff>
    </xdr:from>
    <xdr:to>
      <xdr:col>16</xdr:col>
      <xdr:colOff>280128</xdr:colOff>
      <xdr:row>22</xdr:row>
      <xdr:rowOff>181819</xdr:rowOff>
    </xdr:to>
    <xdr:sp macro="" textlink="">
      <xdr:nvSpPr>
        <xdr:cNvPr id="1184" name="Equals 2636">
          <a:extLst>
            <a:ext uri="{FF2B5EF4-FFF2-40B4-BE49-F238E27FC236}">
              <a16:creationId xmlns:a16="http://schemas.microsoft.com/office/drawing/2014/main" id="{B0BF1A5F-E44A-4BA7-847C-77D2574A258B}"/>
            </a:ext>
          </a:extLst>
        </xdr:cNvPr>
        <xdr:cNvSpPr/>
      </xdr:nvSpPr>
      <xdr:spPr>
        <a:xfrm rot="5400000">
          <a:off x="7841292" y="4453224"/>
          <a:ext cx="793871"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336626</xdr:colOff>
      <xdr:row>6</xdr:row>
      <xdr:rowOff>114759</xdr:rowOff>
    </xdr:from>
    <xdr:to>
      <xdr:col>17</xdr:col>
      <xdr:colOff>451386</xdr:colOff>
      <xdr:row>8</xdr:row>
      <xdr:rowOff>107108</xdr:rowOff>
    </xdr:to>
    <xdr:sp macro="" textlink="">
      <xdr:nvSpPr>
        <xdr:cNvPr id="1185" name="Block Arc 1184">
          <a:extLst>
            <a:ext uri="{FF2B5EF4-FFF2-40B4-BE49-F238E27FC236}">
              <a16:creationId xmlns:a16="http://schemas.microsoft.com/office/drawing/2014/main" id="{050B74D4-B9BB-27E0-B09C-4FEA6E58C130}"/>
            </a:ext>
          </a:extLst>
        </xdr:cNvPr>
        <xdr:cNvSpPr/>
      </xdr:nvSpPr>
      <xdr:spPr>
        <a:xfrm>
          <a:off x="8423313" y="1354157"/>
          <a:ext cx="581446" cy="397831"/>
        </a:xfrm>
        <a:prstGeom prst="blockArc">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17</xdr:col>
      <xdr:colOff>45293</xdr:colOff>
      <xdr:row>8</xdr:row>
      <xdr:rowOff>121804</xdr:rowOff>
    </xdr:from>
    <xdr:to>
      <xdr:col>18</xdr:col>
      <xdr:colOff>83546</xdr:colOff>
      <xdr:row>9</xdr:row>
      <xdr:rowOff>129455</xdr:rowOff>
    </xdr:to>
    <xdr:sp macro="" textlink="">
      <xdr:nvSpPr>
        <xdr:cNvPr id="1186" name="Block Arc 1185">
          <a:extLst>
            <a:ext uri="{FF2B5EF4-FFF2-40B4-BE49-F238E27FC236}">
              <a16:creationId xmlns:a16="http://schemas.microsoft.com/office/drawing/2014/main" id="{3D65D5E9-13F2-406D-ADDB-4814D23CA21D}"/>
            </a:ext>
          </a:extLst>
        </xdr:cNvPr>
        <xdr:cNvSpPr/>
      </xdr:nvSpPr>
      <xdr:spPr>
        <a:xfrm>
          <a:off x="8598666" y="1766684"/>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11</xdr:col>
      <xdr:colOff>428433</xdr:colOff>
      <xdr:row>99</xdr:row>
      <xdr:rowOff>99458</xdr:rowOff>
    </xdr:from>
    <xdr:to>
      <xdr:col>13</xdr:col>
      <xdr:colOff>76506</xdr:colOff>
      <xdr:row>101</xdr:row>
      <xdr:rowOff>53554</xdr:rowOff>
    </xdr:to>
    <xdr:sp macro="" textlink="">
      <xdr:nvSpPr>
        <xdr:cNvPr id="1190" name="Block Arc 1189">
          <a:extLst>
            <a:ext uri="{FF2B5EF4-FFF2-40B4-BE49-F238E27FC236}">
              <a16:creationId xmlns:a16="http://schemas.microsoft.com/office/drawing/2014/main" id="{6A26E2E4-F2A3-4D4B-836F-C44E97D6C479}"/>
            </a:ext>
          </a:extLst>
        </xdr:cNvPr>
        <xdr:cNvSpPr/>
      </xdr:nvSpPr>
      <xdr:spPr>
        <a:xfrm>
          <a:off x="6105180" y="20189940"/>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0</xdr:colOff>
      <xdr:row>84</xdr:row>
      <xdr:rowOff>0</xdr:rowOff>
    </xdr:from>
    <xdr:to>
      <xdr:col>28</xdr:col>
      <xdr:colOff>581446</xdr:colOff>
      <xdr:row>86</xdr:row>
      <xdr:rowOff>84156</xdr:rowOff>
    </xdr:to>
    <xdr:sp macro="" textlink="">
      <xdr:nvSpPr>
        <xdr:cNvPr id="1191" name="Block Arc 1190">
          <a:extLst>
            <a:ext uri="{FF2B5EF4-FFF2-40B4-BE49-F238E27FC236}">
              <a16:creationId xmlns:a16="http://schemas.microsoft.com/office/drawing/2014/main" id="{04D9664E-08D2-4A6E-B53E-9DE894569D6C}"/>
            </a:ext>
          </a:extLst>
        </xdr:cNvPr>
        <xdr:cNvSpPr/>
      </xdr:nvSpPr>
      <xdr:spPr>
        <a:xfrm>
          <a:off x="13916446" y="17022590"/>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11</xdr:col>
      <xdr:colOff>0</xdr:colOff>
      <xdr:row>100</xdr:row>
      <xdr:rowOff>57150</xdr:rowOff>
    </xdr:from>
    <xdr:to>
      <xdr:col>12</xdr:col>
      <xdr:colOff>0</xdr:colOff>
      <xdr:row>101</xdr:row>
      <xdr:rowOff>190500</xdr:rowOff>
    </xdr:to>
    <xdr:sp macro="" textlink="">
      <xdr:nvSpPr>
        <xdr:cNvPr id="1192" name="AutoShape 46">
          <a:extLst>
            <a:ext uri="{FF2B5EF4-FFF2-40B4-BE49-F238E27FC236}">
              <a16:creationId xmlns:a16="http://schemas.microsoft.com/office/drawing/2014/main" id="{7820207E-1877-43C5-8F8A-AD58D8B8ABEE}"/>
            </a:ext>
          </a:extLst>
        </xdr:cNvPr>
        <xdr:cNvSpPr>
          <a:spLocks noChangeArrowheads="1"/>
        </xdr:cNvSpPr>
      </xdr:nvSpPr>
      <xdr:spPr bwMode="auto">
        <a:xfrm>
          <a:off x="6610120" y="20438355"/>
          <a:ext cx="543193" cy="254612"/>
        </a:xfrm>
        <a:prstGeom prst="triangle">
          <a:avLst>
            <a:gd name="adj" fmla="val 50000"/>
          </a:avLst>
        </a:prstGeom>
        <a:solidFill>
          <a:schemeClr val="bg1"/>
        </a:solidFill>
        <a:ln w="9525">
          <a:solidFill>
            <a:srgbClr val="000000"/>
          </a:solidFill>
          <a:miter lim="800000"/>
          <a:headEnd/>
          <a:tailEnd/>
        </a:ln>
      </xdr:spPr>
    </xdr:sp>
    <xdr:clientData/>
  </xdr:twoCellAnchor>
  <xdr:twoCellAnchor editAs="oneCell">
    <xdr:from>
      <xdr:col>14</xdr:col>
      <xdr:colOff>0</xdr:colOff>
      <xdr:row>166</xdr:row>
      <xdr:rowOff>497289</xdr:rowOff>
    </xdr:from>
    <xdr:to>
      <xdr:col>14</xdr:col>
      <xdr:colOff>299110</xdr:colOff>
      <xdr:row>170</xdr:row>
      <xdr:rowOff>23356</xdr:rowOff>
    </xdr:to>
    <xdr:pic>
      <xdr:nvPicPr>
        <xdr:cNvPr id="1097" name="Picture 1096">
          <a:extLst>
            <a:ext uri="{FF2B5EF4-FFF2-40B4-BE49-F238E27FC236}">
              <a16:creationId xmlns:a16="http://schemas.microsoft.com/office/drawing/2014/main" id="{72604562-E9A4-4313-9D48-AC129073099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153313" y="34244096"/>
          <a:ext cx="299110" cy="535947"/>
        </a:xfrm>
        <a:prstGeom prst="rect">
          <a:avLst/>
        </a:prstGeom>
      </xdr:spPr>
    </xdr:pic>
    <xdr:clientData/>
  </xdr:twoCellAnchor>
  <xdr:twoCellAnchor editAs="oneCell">
    <xdr:from>
      <xdr:col>16</xdr:col>
      <xdr:colOff>0</xdr:colOff>
      <xdr:row>287</xdr:row>
      <xdr:rowOff>45907</xdr:rowOff>
    </xdr:from>
    <xdr:to>
      <xdr:col>16</xdr:col>
      <xdr:colOff>299110</xdr:colOff>
      <xdr:row>290</xdr:row>
      <xdr:rowOff>117248</xdr:rowOff>
    </xdr:to>
    <xdr:pic>
      <xdr:nvPicPr>
        <xdr:cNvPr id="1098" name="Picture 1097">
          <a:extLst>
            <a:ext uri="{FF2B5EF4-FFF2-40B4-BE49-F238E27FC236}">
              <a16:creationId xmlns:a16="http://schemas.microsoft.com/office/drawing/2014/main" id="{70ED910F-ECA4-4B06-AF21-E319AEF9BBD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086687" y="59774160"/>
          <a:ext cx="299110" cy="583931"/>
        </a:xfrm>
        <a:prstGeom prst="rect">
          <a:avLst/>
        </a:prstGeom>
      </xdr:spPr>
    </xdr:pic>
    <xdr:clientData/>
  </xdr:twoCellAnchor>
  <xdr:twoCellAnchor editAs="oneCell">
    <xdr:from>
      <xdr:col>22</xdr:col>
      <xdr:colOff>0</xdr:colOff>
      <xdr:row>198</xdr:row>
      <xdr:rowOff>480782</xdr:rowOff>
    </xdr:from>
    <xdr:to>
      <xdr:col>22</xdr:col>
      <xdr:colOff>299110</xdr:colOff>
      <xdr:row>202</xdr:row>
      <xdr:rowOff>37455</xdr:rowOff>
    </xdr:to>
    <xdr:pic>
      <xdr:nvPicPr>
        <xdr:cNvPr id="1193" name="Picture 1192">
          <a:extLst>
            <a:ext uri="{FF2B5EF4-FFF2-40B4-BE49-F238E27FC236}">
              <a16:creationId xmlns:a16="http://schemas.microsoft.com/office/drawing/2014/main" id="{2D9480D5-E306-4731-A2F9-4FAF54556C4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958286" y="41284068"/>
          <a:ext cx="299110" cy="581744"/>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7</xdr:col>
      <xdr:colOff>157032</xdr:colOff>
      <xdr:row>215</xdr:row>
      <xdr:rowOff>127660</xdr:rowOff>
    </xdr:from>
    <xdr:to>
      <xdr:col>7</xdr:col>
      <xdr:colOff>423732</xdr:colOff>
      <xdr:row>217</xdr:row>
      <xdr:rowOff>127660</xdr:rowOff>
    </xdr:to>
    <xdr:sp macro="" textlink="">
      <xdr:nvSpPr>
        <xdr:cNvPr id="325" name="Line 327">
          <a:extLst>
            <a:ext uri="{FF2B5EF4-FFF2-40B4-BE49-F238E27FC236}">
              <a16:creationId xmlns:a16="http://schemas.microsoft.com/office/drawing/2014/main" id="{00000000-0008-0000-0B00-000045010000}"/>
            </a:ext>
          </a:extLst>
        </xdr:cNvPr>
        <xdr:cNvSpPr>
          <a:spLocks noChangeShapeType="1"/>
        </xdr:cNvSpPr>
      </xdr:nvSpPr>
      <xdr:spPr>
        <a:xfrm flipH="1">
          <a:off x="4766945" y="47127160"/>
          <a:ext cx="266700" cy="38735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133828</xdr:colOff>
      <xdr:row>213</xdr:row>
      <xdr:rowOff>40012</xdr:rowOff>
    </xdr:from>
    <xdr:to>
      <xdr:col>11</xdr:col>
      <xdr:colOff>400528</xdr:colOff>
      <xdr:row>215</xdr:row>
      <xdr:rowOff>59062</xdr:rowOff>
    </xdr:to>
    <xdr:sp macro="" textlink="">
      <xdr:nvSpPr>
        <xdr:cNvPr id="326" name="Line 328">
          <a:extLst>
            <a:ext uri="{FF2B5EF4-FFF2-40B4-BE49-F238E27FC236}">
              <a16:creationId xmlns:a16="http://schemas.microsoft.com/office/drawing/2014/main" id="{00000000-0008-0000-0B00-000046010000}"/>
            </a:ext>
          </a:extLst>
        </xdr:cNvPr>
        <xdr:cNvSpPr>
          <a:spLocks noChangeShapeType="1"/>
        </xdr:cNvSpPr>
      </xdr:nvSpPr>
      <xdr:spPr>
        <a:xfrm flipH="1">
          <a:off x="7258050" y="46642655"/>
          <a:ext cx="266700" cy="4159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40797</xdr:colOff>
      <xdr:row>213</xdr:row>
      <xdr:rowOff>6828</xdr:rowOff>
    </xdr:from>
    <xdr:to>
      <xdr:col>11</xdr:col>
      <xdr:colOff>307497</xdr:colOff>
      <xdr:row>215</xdr:row>
      <xdr:rowOff>4404</xdr:rowOff>
    </xdr:to>
    <xdr:sp macro="" textlink="">
      <xdr:nvSpPr>
        <xdr:cNvPr id="327" name="Line 328">
          <a:extLst>
            <a:ext uri="{FF2B5EF4-FFF2-40B4-BE49-F238E27FC236}">
              <a16:creationId xmlns:a16="http://schemas.microsoft.com/office/drawing/2014/main" id="{00000000-0008-0000-0B00-000047010000}"/>
            </a:ext>
          </a:extLst>
        </xdr:cNvPr>
        <xdr:cNvSpPr>
          <a:spLocks noChangeShapeType="1"/>
        </xdr:cNvSpPr>
      </xdr:nvSpPr>
      <xdr:spPr>
        <a:xfrm flipH="1">
          <a:off x="7165340" y="46609000"/>
          <a:ext cx="266700" cy="3943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4</xdr:col>
      <xdr:colOff>75267</xdr:colOff>
      <xdr:row>219</xdr:row>
      <xdr:rowOff>128725</xdr:rowOff>
    </xdr:from>
    <xdr:to>
      <xdr:col>4</xdr:col>
      <xdr:colOff>242984</xdr:colOff>
      <xdr:row>221</xdr:row>
      <xdr:rowOff>97132</xdr:rowOff>
    </xdr:to>
    <xdr:sp macro="" textlink="">
      <xdr:nvSpPr>
        <xdr:cNvPr id="328" name="AutoShape 301">
          <a:extLst>
            <a:ext uri="{FF2B5EF4-FFF2-40B4-BE49-F238E27FC236}">
              <a16:creationId xmlns:a16="http://schemas.microsoft.com/office/drawing/2014/main" id="{00000000-0008-0000-0B00-000048010000}"/>
            </a:ext>
          </a:extLst>
        </xdr:cNvPr>
        <xdr:cNvSpPr>
          <a:spLocks noChangeArrowheads="1"/>
        </xdr:cNvSpPr>
      </xdr:nvSpPr>
      <xdr:spPr>
        <a:xfrm rot="7084349">
          <a:off x="2714625" y="47967900"/>
          <a:ext cx="3365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7</xdr:col>
      <xdr:colOff>236194</xdr:colOff>
      <xdr:row>221</xdr:row>
      <xdr:rowOff>103211</xdr:rowOff>
    </xdr:from>
    <xdr:to>
      <xdr:col>7</xdr:col>
      <xdr:colOff>412246</xdr:colOff>
      <xdr:row>223</xdr:row>
      <xdr:rowOff>147305</xdr:rowOff>
    </xdr:to>
    <xdr:sp macro="" textlink="">
      <xdr:nvSpPr>
        <xdr:cNvPr id="329" name="AutoShape 410">
          <a:extLst>
            <a:ext uri="{FF2B5EF4-FFF2-40B4-BE49-F238E27FC236}">
              <a16:creationId xmlns:a16="http://schemas.microsoft.com/office/drawing/2014/main" id="{00000000-0008-0000-0B00-000049010000}"/>
            </a:ext>
          </a:extLst>
        </xdr:cNvPr>
        <xdr:cNvSpPr>
          <a:spLocks noChangeArrowheads="1"/>
        </xdr:cNvSpPr>
      </xdr:nvSpPr>
      <xdr:spPr>
        <a:xfrm rot="7297720">
          <a:off x="4727575" y="48344455"/>
          <a:ext cx="4127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16</xdr:col>
      <xdr:colOff>142551</xdr:colOff>
      <xdr:row>215</xdr:row>
      <xdr:rowOff>135416</xdr:rowOff>
    </xdr:from>
    <xdr:to>
      <xdr:col>16</xdr:col>
      <xdr:colOff>450912</xdr:colOff>
      <xdr:row>217</xdr:row>
      <xdr:rowOff>68070</xdr:rowOff>
    </xdr:to>
    <xdr:pic>
      <xdr:nvPicPr>
        <xdr:cNvPr id="330" name="Picture 329">
          <a:extLst>
            <a:ext uri="{FF2B5EF4-FFF2-40B4-BE49-F238E27FC236}">
              <a16:creationId xmlns:a16="http://schemas.microsoft.com/office/drawing/2014/main" id="{00000000-0008-0000-0B00-00004A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0410190" y="47134780"/>
          <a:ext cx="308610" cy="3359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264392</xdr:colOff>
      <xdr:row>221</xdr:row>
      <xdr:rowOff>119688</xdr:rowOff>
    </xdr:from>
    <xdr:to>
      <xdr:col>11</xdr:col>
      <xdr:colOff>457586</xdr:colOff>
      <xdr:row>223</xdr:row>
      <xdr:rowOff>127463</xdr:rowOff>
    </xdr:to>
    <xdr:sp macro="" textlink="">
      <xdr:nvSpPr>
        <xdr:cNvPr id="331" name="Parallelogram 330">
          <a:extLst>
            <a:ext uri="{FF2B5EF4-FFF2-40B4-BE49-F238E27FC236}">
              <a16:creationId xmlns:a16="http://schemas.microsoft.com/office/drawing/2014/main" id="{00000000-0008-0000-0B00-00004B010000}"/>
            </a:ext>
          </a:extLst>
        </xdr:cNvPr>
        <xdr:cNvSpPr/>
      </xdr:nvSpPr>
      <xdr:spPr>
        <a:xfrm rot="1440000">
          <a:off x="7388860" y="48242855"/>
          <a:ext cx="193040" cy="3759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265280</xdr:colOff>
      <xdr:row>221</xdr:row>
      <xdr:rowOff>136020</xdr:rowOff>
    </xdr:from>
    <xdr:to>
      <xdr:col>11</xdr:col>
      <xdr:colOff>461973</xdr:colOff>
      <xdr:row>223</xdr:row>
      <xdr:rowOff>103775</xdr:rowOff>
    </xdr:to>
    <xdr:cxnSp macro="">
      <xdr:nvCxnSpPr>
        <xdr:cNvPr id="332" name="Straight Connector 331">
          <a:extLst>
            <a:ext uri="{FF2B5EF4-FFF2-40B4-BE49-F238E27FC236}">
              <a16:creationId xmlns:a16="http://schemas.microsoft.com/office/drawing/2014/main" id="{00000000-0008-0000-0B00-00004C010000}"/>
            </a:ext>
          </a:extLst>
        </xdr:cNvPr>
        <xdr:cNvCxnSpPr/>
      </xdr:nvCxnSpPr>
      <xdr:spPr>
        <a:xfrm flipH="1">
          <a:off x="7389495" y="48259365"/>
          <a:ext cx="196850" cy="3359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5</xdr:col>
      <xdr:colOff>4572</xdr:colOff>
      <xdr:row>207</xdr:row>
      <xdr:rowOff>78147</xdr:rowOff>
    </xdr:from>
    <xdr:to>
      <xdr:col>6</xdr:col>
      <xdr:colOff>0</xdr:colOff>
      <xdr:row>209</xdr:row>
      <xdr:rowOff>0</xdr:rowOff>
    </xdr:to>
    <xdr:sp macro="" textlink="">
      <xdr:nvSpPr>
        <xdr:cNvPr id="333" name="Isosceles Triangle 332">
          <a:extLst>
            <a:ext uri="{FF2B5EF4-FFF2-40B4-BE49-F238E27FC236}">
              <a16:creationId xmlns:a16="http://schemas.microsoft.com/office/drawing/2014/main" id="{00000000-0008-0000-0B00-00004D010000}"/>
            </a:ext>
          </a:extLst>
        </xdr:cNvPr>
        <xdr:cNvSpPr/>
      </xdr:nvSpPr>
      <xdr:spPr>
        <a:xfrm>
          <a:off x="3357245" y="45518705"/>
          <a:ext cx="624205" cy="29972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7</xdr:col>
      <xdr:colOff>4572</xdr:colOff>
      <xdr:row>207</xdr:row>
      <xdr:rowOff>78147</xdr:rowOff>
    </xdr:from>
    <xdr:to>
      <xdr:col>8</xdr:col>
      <xdr:colOff>0</xdr:colOff>
      <xdr:row>208</xdr:row>
      <xdr:rowOff>192447</xdr:rowOff>
    </xdr:to>
    <xdr:sp macro="" textlink="">
      <xdr:nvSpPr>
        <xdr:cNvPr id="334" name="Isosceles Triangle 333">
          <a:extLst>
            <a:ext uri="{FF2B5EF4-FFF2-40B4-BE49-F238E27FC236}">
              <a16:creationId xmlns:a16="http://schemas.microsoft.com/office/drawing/2014/main" id="{00000000-0008-0000-0B00-00004E010000}"/>
            </a:ext>
          </a:extLst>
        </xdr:cNvPr>
        <xdr:cNvSpPr/>
      </xdr:nvSpPr>
      <xdr:spPr>
        <a:xfrm>
          <a:off x="4614545" y="45518705"/>
          <a:ext cx="624205" cy="29845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207</xdr:row>
      <xdr:rowOff>78147</xdr:rowOff>
    </xdr:from>
    <xdr:to>
      <xdr:col>10</xdr:col>
      <xdr:colOff>0</xdr:colOff>
      <xdr:row>208</xdr:row>
      <xdr:rowOff>192447</xdr:rowOff>
    </xdr:to>
    <xdr:sp macro="" textlink="">
      <xdr:nvSpPr>
        <xdr:cNvPr id="335" name="Isosceles Triangle 334">
          <a:extLst>
            <a:ext uri="{FF2B5EF4-FFF2-40B4-BE49-F238E27FC236}">
              <a16:creationId xmlns:a16="http://schemas.microsoft.com/office/drawing/2014/main" id="{00000000-0008-0000-0B00-00004F010000}"/>
            </a:ext>
          </a:extLst>
        </xdr:cNvPr>
        <xdr:cNvSpPr/>
      </xdr:nvSpPr>
      <xdr:spPr>
        <a:xfrm>
          <a:off x="5871845" y="45518705"/>
          <a:ext cx="624205" cy="29845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284789</xdr:colOff>
      <xdr:row>207</xdr:row>
      <xdr:rowOff>45487</xdr:rowOff>
    </xdr:from>
    <xdr:to>
      <xdr:col>7</xdr:col>
      <xdr:colOff>338667</xdr:colOff>
      <xdr:row>207</xdr:row>
      <xdr:rowOff>138545</xdr:rowOff>
    </xdr:to>
    <xdr:sp macro="" textlink="">
      <xdr:nvSpPr>
        <xdr:cNvPr id="336" name="Freeform 1071">
          <a:extLst>
            <a:ext uri="{FF2B5EF4-FFF2-40B4-BE49-F238E27FC236}">
              <a16:creationId xmlns:a16="http://schemas.microsoft.com/office/drawing/2014/main" id="{00000000-0008-0000-0B00-000050010000}"/>
            </a:ext>
          </a:extLst>
        </xdr:cNvPr>
        <xdr:cNvSpPr/>
      </xdr:nvSpPr>
      <xdr:spPr>
        <a:xfrm>
          <a:off x="3637280" y="45485685"/>
          <a:ext cx="1311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7</xdr:col>
      <xdr:colOff>284788</xdr:colOff>
      <xdr:row>207</xdr:row>
      <xdr:rowOff>23091</xdr:rowOff>
    </xdr:from>
    <xdr:to>
      <xdr:col>9</xdr:col>
      <xdr:colOff>374843</xdr:colOff>
      <xdr:row>208</xdr:row>
      <xdr:rowOff>9496</xdr:rowOff>
    </xdr:to>
    <xdr:sp macro="" textlink="">
      <xdr:nvSpPr>
        <xdr:cNvPr id="337" name="Freeform 1072">
          <a:extLst>
            <a:ext uri="{FF2B5EF4-FFF2-40B4-BE49-F238E27FC236}">
              <a16:creationId xmlns:a16="http://schemas.microsoft.com/office/drawing/2014/main" id="{00000000-0008-0000-0B00-000051010000}"/>
            </a:ext>
          </a:extLst>
        </xdr:cNvPr>
        <xdr:cNvSpPr/>
      </xdr:nvSpPr>
      <xdr:spPr>
        <a:xfrm>
          <a:off x="4894580" y="45463460"/>
          <a:ext cx="1347470" cy="17018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6</xdr:col>
      <xdr:colOff>212656</xdr:colOff>
      <xdr:row>208</xdr:row>
      <xdr:rowOff>140918</xdr:rowOff>
    </xdr:from>
    <xdr:ext cx="224509" cy="507924"/>
    <xdr:pic>
      <xdr:nvPicPr>
        <xdr:cNvPr id="338" name="Picture 337">
          <a:extLst>
            <a:ext uri="{FF2B5EF4-FFF2-40B4-BE49-F238E27FC236}">
              <a16:creationId xmlns:a16="http://schemas.microsoft.com/office/drawing/2014/main" id="{00000000-0008-0000-0B00-000052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193540" y="457650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10</xdr:col>
      <xdr:colOff>123265</xdr:colOff>
      <xdr:row>209</xdr:row>
      <xdr:rowOff>11206</xdr:rowOff>
    </xdr:from>
    <xdr:to>
      <xdr:col>10</xdr:col>
      <xdr:colOff>212913</xdr:colOff>
      <xdr:row>209</xdr:row>
      <xdr:rowOff>156883</xdr:rowOff>
    </xdr:to>
    <xdr:sp macro="" textlink="">
      <xdr:nvSpPr>
        <xdr:cNvPr id="339" name="Curved Down Ribbon 1963">
          <a:extLst>
            <a:ext uri="{FF2B5EF4-FFF2-40B4-BE49-F238E27FC236}">
              <a16:creationId xmlns:a16="http://schemas.microsoft.com/office/drawing/2014/main" id="{00000000-0008-0000-0B00-000053010000}"/>
            </a:ext>
          </a:extLst>
        </xdr:cNvPr>
        <xdr:cNvSpPr/>
      </xdr:nvSpPr>
      <xdr:spPr>
        <a:xfrm>
          <a:off x="6619240" y="458292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0</xdr:colOff>
      <xdr:row>207</xdr:row>
      <xdr:rowOff>0</xdr:rowOff>
    </xdr:from>
    <xdr:to>
      <xdr:col>16</xdr:col>
      <xdr:colOff>609261</xdr:colOff>
      <xdr:row>208</xdr:row>
      <xdr:rowOff>95250</xdr:rowOff>
    </xdr:to>
    <xdr:sp macro="" textlink="">
      <xdr:nvSpPr>
        <xdr:cNvPr id="340" name="Isosceles Triangle 339">
          <a:extLst>
            <a:ext uri="{FF2B5EF4-FFF2-40B4-BE49-F238E27FC236}">
              <a16:creationId xmlns:a16="http://schemas.microsoft.com/office/drawing/2014/main" id="{00000000-0008-0000-0B00-000054010000}"/>
            </a:ext>
          </a:extLst>
        </xdr:cNvPr>
        <xdr:cNvSpPr/>
      </xdr:nvSpPr>
      <xdr:spPr>
        <a:xfrm>
          <a:off x="10267950" y="45440600"/>
          <a:ext cx="608965" cy="27940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0</xdr:colOff>
      <xdr:row>210</xdr:row>
      <xdr:rowOff>0</xdr:rowOff>
    </xdr:from>
    <xdr:to>
      <xdr:col>16</xdr:col>
      <xdr:colOff>609261</xdr:colOff>
      <xdr:row>211</xdr:row>
      <xdr:rowOff>81642</xdr:rowOff>
    </xdr:to>
    <xdr:sp macro="" textlink="">
      <xdr:nvSpPr>
        <xdr:cNvPr id="341" name="Isosceles Triangle 340">
          <a:extLst>
            <a:ext uri="{FF2B5EF4-FFF2-40B4-BE49-F238E27FC236}">
              <a16:creationId xmlns:a16="http://schemas.microsoft.com/office/drawing/2014/main" id="{00000000-0008-0000-0B00-000055010000}"/>
            </a:ext>
          </a:extLst>
        </xdr:cNvPr>
        <xdr:cNvSpPr/>
      </xdr:nvSpPr>
      <xdr:spPr>
        <a:xfrm>
          <a:off x="10267950" y="46021625"/>
          <a:ext cx="608965" cy="28448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204108</xdr:colOff>
      <xdr:row>210</xdr:row>
      <xdr:rowOff>95250</xdr:rowOff>
    </xdr:from>
    <xdr:to>
      <xdr:col>16</xdr:col>
      <xdr:colOff>353787</xdr:colOff>
      <xdr:row>211</xdr:row>
      <xdr:rowOff>68035</xdr:rowOff>
    </xdr:to>
    <xdr:sp macro="" textlink="">
      <xdr:nvSpPr>
        <xdr:cNvPr id="342" name="Curved Right Arrow 2121">
          <a:extLst>
            <a:ext uri="{FF2B5EF4-FFF2-40B4-BE49-F238E27FC236}">
              <a16:creationId xmlns:a16="http://schemas.microsoft.com/office/drawing/2014/main" id="{00000000-0008-0000-0B00-000056010000}"/>
            </a:ext>
          </a:extLst>
        </xdr:cNvPr>
        <xdr:cNvSpPr/>
      </xdr:nvSpPr>
      <xdr:spPr>
        <a:xfrm>
          <a:off x="10471785" y="46116875"/>
          <a:ext cx="149860" cy="17589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9</xdr:col>
      <xdr:colOff>244928</xdr:colOff>
      <xdr:row>208</xdr:row>
      <xdr:rowOff>13608</xdr:rowOff>
    </xdr:from>
    <xdr:to>
      <xdr:col>9</xdr:col>
      <xdr:colOff>381000</xdr:colOff>
      <xdr:row>208</xdr:row>
      <xdr:rowOff>149679</xdr:rowOff>
    </xdr:to>
    <xdr:sp macro="" textlink="">
      <xdr:nvSpPr>
        <xdr:cNvPr id="343" name="Flowchart: Connector 342">
          <a:extLst>
            <a:ext uri="{FF2B5EF4-FFF2-40B4-BE49-F238E27FC236}">
              <a16:creationId xmlns:a16="http://schemas.microsoft.com/office/drawing/2014/main" id="{00000000-0008-0000-0B00-000057010000}"/>
            </a:ext>
          </a:extLst>
        </xdr:cNvPr>
        <xdr:cNvSpPr/>
      </xdr:nvSpPr>
      <xdr:spPr>
        <a:xfrm>
          <a:off x="6111875" y="456380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460385</xdr:colOff>
      <xdr:row>207</xdr:row>
      <xdr:rowOff>95250</xdr:rowOff>
    </xdr:from>
    <xdr:to>
      <xdr:col>10</xdr:col>
      <xdr:colOff>217714</xdr:colOff>
      <xdr:row>208</xdr:row>
      <xdr:rowOff>44130</xdr:rowOff>
    </xdr:to>
    <xdr:cxnSp macro="">
      <xdr:nvCxnSpPr>
        <xdr:cNvPr id="344" name="Straight Arrow Connector 343">
          <a:extLst>
            <a:ext uri="{FF2B5EF4-FFF2-40B4-BE49-F238E27FC236}">
              <a16:creationId xmlns:a16="http://schemas.microsoft.com/office/drawing/2014/main" id="{00000000-0008-0000-0B00-000058010000}"/>
            </a:ext>
          </a:extLst>
        </xdr:cNvPr>
        <xdr:cNvCxnSpPr>
          <a:endCxn id="335" idx="5"/>
        </xdr:cNvCxnSpPr>
      </xdr:nvCxnSpPr>
      <xdr:spPr>
        <a:xfrm flipH="1">
          <a:off x="6327775" y="45535850"/>
          <a:ext cx="385445" cy="1327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199</xdr:colOff>
      <xdr:row>217</xdr:row>
      <xdr:rowOff>50269</xdr:rowOff>
    </xdr:from>
    <xdr:to>
      <xdr:col>3</xdr:col>
      <xdr:colOff>109057</xdr:colOff>
      <xdr:row>217</xdr:row>
      <xdr:rowOff>131915</xdr:rowOff>
    </xdr:to>
    <xdr:sp macro="" textlink="">
      <xdr:nvSpPr>
        <xdr:cNvPr id="345" name="Oval 344">
          <a:extLst>
            <a:ext uri="{FF2B5EF4-FFF2-40B4-BE49-F238E27FC236}">
              <a16:creationId xmlns:a16="http://schemas.microsoft.com/office/drawing/2014/main" id="{00000000-0008-0000-0B00-000059010000}"/>
            </a:ext>
          </a:extLst>
        </xdr:cNvPr>
        <xdr:cNvSpPr/>
      </xdr:nvSpPr>
      <xdr:spPr>
        <a:xfrm flipH="1">
          <a:off x="1885950" y="4743704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152599</xdr:colOff>
      <xdr:row>218</xdr:row>
      <xdr:rowOff>45787</xdr:rowOff>
    </xdr:from>
    <xdr:to>
      <xdr:col>3</xdr:col>
      <xdr:colOff>261457</xdr:colOff>
      <xdr:row>218</xdr:row>
      <xdr:rowOff>127433</xdr:rowOff>
    </xdr:to>
    <xdr:sp macro="" textlink="">
      <xdr:nvSpPr>
        <xdr:cNvPr id="346" name="Oval 345">
          <a:extLst>
            <a:ext uri="{FF2B5EF4-FFF2-40B4-BE49-F238E27FC236}">
              <a16:creationId xmlns:a16="http://schemas.microsoft.com/office/drawing/2014/main" id="{00000000-0008-0000-0B00-00005A010000}"/>
            </a:ext>
          </a:extLst>
        </xdr:cNvPr>
        <xdr:cNvSpPr/>
      </xdr:nvSpPr>
      <xdr:spPr>
        <a:xfrm flipH="1">
          <a:off x="2038350" y="4761674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4572</xdr:colOff>
      <xdr:row>8</xdr:row>
      <xdr:rowOff>86085</xdr:rowOff>
    </xdr:from>
    <xdr:to>
      <xdr:col>5</xdr:col>
      <xdr:colOff>0</xdr:colOff>
      <xdr:row>10</xdr:row>
      <xdr:rowOff>8297</xdr:rowOff>
    </xdr:to>
    <xdr:sp macro="" textlink="">
      <xdr:nvSpPr>
        <xdr:cNvPr id="347" name="Isosceles Triangle 346">
          <a:extLst>
            <a:ext uri="{FF2B5EF4-FFF2-40B4-BE49-F238E27FC236}">
              <a16:creationId xmlns:a16="http://schemas.microsoft.com/office/drawing/2014/main" id="{00000000-0008-0000-0B00-00005B010000}"/>
            </a:ext>
          </a:extLst>
        </xdr:cNvPr>
        <xdr:cNvSpPr/>
      </xdr:nvSpPr>
      <xdr:spPr>
        <a:xfrm>
          <a:off x="2728595" y="1568450"/>
          <a:ext cx="624205" cy="3003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348" name="Isosceles Triangle 347">
          <a:extLst>
            <a:ext uri="{FF2B5EF4-FFF2-40B4-BE49-F238E27FC236}">
              <a16:creationId xmlns:a16="http://schemas.microsoft.com/office/drawing/2014/main" id="{00000000-0008-0000-0B00-00005C010000}"/>
            </a:ext>
          </a:extLst>
        </xdr:cNvPr>
        <xdr:cNvSpPr/>
      </xdr:nvSpPr>
      <xdr:spPr>
        <a:xfrm>
          <a:off x="39858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349" name="Isosceles Triangle 348">
          <a:extLst>
            <a:ext uri="{FF2B5EF4-FFF2-40B4-BE49-F238E27FC236}">
              <a16:creationId xmlns:a16="http://schemas.microsoft.com/office/drawing/2014/main" id="{00000000-0008-0000-0B00-00005D010000}"/>
            </a:ext>
          </a:extLst>
        </xdr:cNvPr>
        <xdr:cNvSpPr/>
      </xdr:nvSpPr>
      <xdr:spPr>
        <a:xfrm>
          <a:off x="52431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350" name="Isosceles Triangle 349">
          <a:extLst>
            <a:ext uri="{FF2B5EF4-FFF2-40B4-BE49-F238E27FC236}">
              <a16:creationId xmlns:a16="http://schemas.microsoft.com/office/drawing/2014/main" id="{00000000-0008-0000-0B00-00005E010000}"/>
            </a:ext>
          </a:extLst>
        </xdr:cNvPr>
        <xdr:cNvSpPr/>
      </xdr:nvSpPr>
      <xdr:spPr>
        <a:xfrm>
          <a:off x="6475730" y="157099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351" name="Isosceles Triangle 350">
          <a:extLst>
            <a:ext uri="{FF2B5EF4-FFF2-40B4-BE49-F238E27FC236}">
              <a16:creationId xmlns:a16="http://schemas.microsoft.com/office/drawing/2014/main" id="{00000000-0008-0000-0B00-00005F010000}"/>
            </a:ext>
          </a:extLst>
        </xdr:cNvPr>
        <xdr:cNvSpPr/>
      </xdr:nvSpPr>
      <xdr:spPr>
        <a:xfrm>
          <a:off x="7764145" y="157226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352" name="Isosceles Triangle 351">
          <a:extLst>
            <a:ext uri="{FF2B5EF4-FFF2-40B4-BE49-F238E27FC236}">
              <a16:creationId xmlns:a16="http://schemas.microsoft.com/office/drawing/2014/main" id="{00000000-0008-0000-0B00-000060010000}"/>
            </a:ext>
          </a:extLst>
        </xdr:cNvPr>
        <xdr:cNvSpPr/>
      </xdr:nvSpPr>
      <xdr:spPr>
        <a:xfrm>
          <a:off x="90150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53" name="Isosceles Triangle 352">
          <a:extLst>
            <a:ext uri="{FF2B5EF4-FFF2-40B4-BE49-F238E27FC236}">
              <a16:creationId xmlns:a16="http://schemas.microsoft.com/office/drawing/2014/main" id="{00000000-0008-0000-0B00-00006101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354" name="Isosceles Triangle 353">
          <a:extLst>
            <a:ext uri="{FF2B5EF4-FFF2-40B4-BE49-F238E27FC236}">
              <a16:creationId xmlns:a16="http://schemas.microsoft.com/office/drawing/2014/main" id="{00000000-0008-0000-0B00-000062010000}"/>
            </a:ext>
          </a:extLst>
        </xdr:cNvPr>
        <xdr:cNvSpPr/>
      </xdr:nvSpPr>
      <xdr:spPr>
        <a:xfrm>
          <a:off x="11548745" y="1560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355" name="Isosceles Triangle 354">
          <a:extLst>
            <a:ext uri="{FF2B5EF4-FFF2-40B4-BE49-F238E27FC236}">
              <a16:creationId xmlns:a16="http://schemas.microsoft.com/office/drawing/2014/main" id="{00000000-0008-0000-0B00-000063010000}"/>
            </a:ext>
          </a:extLst>
        </xdr:cNvPr>
        <xdr:cNvSpPr/>
      </xdr:nvSpPr>
      <xdr:spPr>
        <a:xfrm>
          <a:off x="126174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56" name="Isosceles Triangle 355">
          <a:extLst>
            <a:ext uri="{FF2B5EF4-FFF2-40B4-BE49-F238E27FC236}">
              <a16:creationId xmlns:a16="http://schemas.microsoft.com/office/drawing/2014/main" id="{00000000-0008-0000-0B00-00006401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357" name="Isosceles Triangle 356">
          <a:extLst>
            <a:ext uri="{FF2B5EF4-FFF2-40B4-BE49-F238E27FC236}">
              <a16:creationId xmlns:a16="http://schemas.microsoft.com/office/drawing/2014/main" id="{00000000-0008-0000-0B00-000065010000}"/>
            </a:ext>
          </a:extLst>
        </xdr:cNvPr>
        <xdr:cNvSpPr/>
      </xdr:nvSpPr>
      <xdr:spPr>
        <a:xfrm>
          <a:off x="633095" y="32753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358" name="Isosceles Triangle 357">
          <a:extLst>
            <a:ext uri="{FF2B5EF4-FFF2-40B4-BE49-F238E27FC236}">
              <a16:creationId xmlns:a16="http://schemas.microsoft.com/office/drawing/2014/main" id="{00000000-0008-0000-0B00-000066010000}"/>
            </a:ext>
          </a:extLst>
        </xdr:cNvPr>
        <xdr:cNvSpPr/>
      </xdr:nvSpPr>
      <xdr:spPr>
        <a:xfrm>
          <a:off x="33572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359" name="Isosceles Triangle 358">
          <a:extLst>
            <a:ext uri="{FF2B5EF4-FFF2-40B4-BE49-F238E27FC236}">
              <a16:creationId xmlns:a16="http://schemas.microsoft.com/office/drawing/2014/main" id="{00000000-0008-0000-0B00-000067010000}"/>
            </a:ext>
          </a:extLst>
        </xdr:cNvPr>
        <xdr:cNvSpPr/>
      </xdr:nvSpPr>
      <xdr:spPr>
        <a:xfrm>
          <a:off x="46145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360" name="Isosceles Triangle 359">
          <a:extLst>
            <a:ext uri="{FF2B5EF4-FFF2-40B4-BE49-F238E27FC236}">
              <a16:creationId xmlns:a16="http://schemas.microsoft.com/office/drawing/2014/main" id="{00000000-0008-0000-0B00-000068010000}"/>
            </a:ext>
          </a:extLst>
        </xdr:cNvPr>
        <xdr:cNvSpPr/>
      </xdr:nvSpPr>
      <xdr:spPr>
        <a:xfrm>
          <a:off x="58718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361" name="Isosceles Triangle 360">
          <a:extLst>
            <a:ext uri="{FF2B5EF4-FFF2-40B4-BE49-F238E27FC236}">
              <a16:creationId xmlns:a16="http://schemas.microsoft.com/office/drawing/2014/main" id="{00000000-0008-0000-0B00-000069010000}"/>
            </a:ext>
          </a:extLst>
        </xdr:cNvPr>
        <xdr:cNvSpPr/>
      </xdr:nvSpPr>
      <xdr:spPr>
        <a:xfrm>
          <a:off x="71291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362" name="Isosceles Triangle 361">
          <a:extLst>
            <a:ext uri="{FF2B5EF4-FFF2-40B4-BE49-F238E27FC236}">
              <a16:creationId xmlns:a16="http://schemas.microsoft.com/office/drawing/2014/main" id="{00000000-0008-0000-0B00-00006A010000}"/>
            </a:ext>
          </a:extLst>
        </xdr:cNvPr>
        <xdr:cNvSpPr/>
      </xdr:nvSpPr>
      <xdr:spPr>
        <a:xfrm>
          <a:off x="83864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363" name="Isosceles Triangle 362">
          <a:extLst>
            <a:ext uri="{FF2B5EF4-FFF2-40B4-BE49-F238E27FC236}">
              <a16:creationId xmlns:a16="http://schemas.microsoft.com/office/drawing/2014/main" id="{00000000-0008-0000-0B00-00006B010000}"/>
            </a:ext>
          </a:extLst>
        </xdr:cNvPr>
        <xdr:cNvSpPr/>
      </xdr:nvSpPr>
      <xdr:spPr>
        <a:xfrm>
          <a:off x="96437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364" name="Isosceles Triangle 363">
          <a:extLst>
            <a:ext uri="{FF2B5EF4-FFF2-40B4-BE49-F238E27FC236}">
              <a16:creationId xmlns:a16="http://schemas.microsoft.com/office/drawing/2014/main" id="{00000000-0008-0000-0B00-00006C010000}"/>
            </a:ext>
          </a:extLst>
        </xdr:cNvPr>
        <xdr:cNvSpPr/>
      </xdr:nvSpPr>
      <xdr:spPr>
        <a:xfrm>
          <a:off x="109010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365" name="Isosceles Triangle 364">
          <a:extLst>
            <a:ext uri="{FF2B5EF4-FFF2-40B4-BE49-F238E27FC236}">
              <a16:creationId xmlns:a16="http://schemas.microsoft.com/office/drawing/2014/main" id="{00000000-0008-0000-0B00-00006D010000}"/>
            </a:ext>
          </a:extLst>
        </xdr:cNvPr>
        <xdr:cNvSpPr/>
      </xdr:nvSpPr>
      <xdr:spPr>
        <a:xfrm>
          <a:off x="121583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366" name="Isosceles Triangle 365">
          <a:extLst>
            <a:ext uri="{FF2B5EF4-FFF2-40B4-BE49-F238E27FC236}">
              <a16:creationId xmlns:a16="http://schemas.microsoft.com/office/drawing/2014/main" id="{00000000-0008-0000-0B00-00006E010000}"/>
            </a:ext>
          </a:extLst>
        </xdr:cNvPr>
        <xdr:cNvSpPr/>
      </xdr:nvSpPr>
      <xdr:spPr>
        <a:xfrm>
          <a:off x="1890395" y="32753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367" name="Isosceles Triangle 366">
          <a:extLst>
            <a:ext uri="{FF2B5EF4-FFF2-40B4-BE49-F238E27FC236}">
              <a16:creationId xmlns:a16="http://schemas.microsoft.com/office/drawing/2014/main" id="{00000000-0008-0000-0B00-00006F010000}"/>
            </a:ext>
          </a:extLst>
        </xdr:cNvPr>
        <xdr:cNvSpPr/>
      </xdr:nvSpPr>
      <xdr:spPr>
        <a:xfrm>
          <a:off x="109010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368" name="Isosceles Triangle 367">
          <a:extLst>
            <a:ext uri="{FF2B5EF4-FFF2-40B4-BE49-F238E27FC236}">
              <a16:creationId xmlns:a16="http://schemas.microsoft.com/office/drawing/2014/main" id="{00000000-0008-0000-0B00-000070010000}"/>
            </a:ext>
          </a:extLst>
        </xdr:cNvPr>
        <xdr:cNvSpPr/>
      </xdr:nvSpPr>
      <xdr:spPr>
        <a:xfrm>
          <a:off x="33572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369" name="Isosceles Triangle 368">
          <a:extLst>
            <a:ext uri="{FF2B5EF4-FFF2-40B4-BE49-F238E27FC236}">
              <a16:creationId xmlns:a16="http://schemas.microsoft.com/office/drawing/2014/main" id="{00000000-0008-0000-0B00-000071010000}"/>
            </a:ext>
          </a:extLst>
        </xdr:cNvPr>
        <xdr:cNvSpPr/>
      </xdr:nvSpPr>
      <xdr:spPr>
        <a:xfrm>
          <a:off x="46145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370" name="Isosceles Triangle 369">
          <a:extLst>
            <a:ext uri="{FF2B5EF4-FFF2-40B4-BE49-F238E27FC236}">
              <a16:creationId xmlns:a16="http://schemas.microsoft.com/office/drawing/2014/main" id="{00000000-0008-0000-0B00-000072010000}"/>
            </a:ext>
          </a:extLst>
        </xdr:cNvPr>
        <xdr:cNvSpPr/>
      </xdr:nvSpPr>
      <xdr:spPr>
        <a:xfrm>
          <a:off x="5871845" y="499872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371" name="Isosceles Triangle 370">
          <a:extLst>
            <a:ext uri="{FF2B5EF4-FFF2-40B4-BE49-F238E27FC236}">
              <a16:creationId xmlns:a16="http://schemas.microsoft.com/office/drawing/2014/main" id="{00000000-0008-0000-0B00-000073010000}"/>
            </a:ext>
          </a:extLst>
        </xdr:cNvPr>
        <xdr:cNvSpPr/>
      </xdr:nvSpPr>
      <xdr:spPr>
        <a:xfrm>
          <a:off x="71291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372" name="Isosceles Triangle 371">
          <a:extLst>
            <a:ext uri="{FF2B5EF4-FFF2-40B4-BE49-F238E27FC236}">
              <a16:creationId xmlns:a16="http://schemas.microsoft.com/office/drawing/2014/main" id="{00000000-0008-0000-0B00-000074010000}"/>
            </a:ext>
          </a:extLst>
        </xdr:cNvPr>
        <xdr:cNvSpPr/>
      </xdr:nvSpPr>
      <xdr:spPr>
        <a:xfrm>
          <a:off x="83864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373" name="Isosceles Triangle 372">
          <a:extLst>
            <a:ext uri="{FF2B5EF4-FFF2-40B4-BE49-F238E27FC236}">
              <a16:creationId xmlns:a16="http://schemas.microsoft.com/office/drawing/2014/main" id="{00000000-0008-0000-0B00-000075010000}"/>
            </a:ext>
          </a:extLst>
        </xdr:cNvPr>
        <xdr:cNvSpPr/>
      </xdr:nvSpPr>
      <xdr:spPr>
        <a:xfrm>
          <a:off x="96437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374" name="Isosceles Triangle 373">
          <a:extLst>
            <a:ext uri="{FF2B5EF4-FFF2-40B4-BE49-F238E27FC236}">
              <a16:creationId xmlns:a16="http://schemas.microsoft.com/office/drawing/2014/main" id="{00000000-0008-0000-0B00-000076010000}"/>
            </a:ext>
          </a:extLst>
        </xdr:cNvPr>
        <xdr:cNvSpPr/>
      </xdr:nvSpPr>
      <xdr:spPr>
        <a:xfrm>
          <a:off x="121583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375" name="Isosceles Triangle 374">
          <a:extLst>
            <a:ext uri="{FF2B5EF4-FFF2-40B4-BE49-F238E27FC236}">
              <a16:creationId xmlns:a16="http://schemas.microsoft.com/office/drawing/2014/main" id="{00000000-0008-0000-0B00-000077010000}"/>
            </a:ext>
          </a:extLst>
        </xdr:cNvPr>
        <xdr:cNvSpPr/>
      </xdr:nvSpPr>
      <xdr:spPr>
        <a:xfrm>
          <a:off x="1890395" y="49898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376" name="Isosceles Triangle 375">
          <a:extLst>
            <a:ext uri="{FF2B5EF4-FFF2-40B4-BE49-F238E27FC236}">
              <a16:creationId xmlns:a16="http://schemas.microsoft.com/office/drawing/2014/main" id="{00000000-0008-0000-0B00-000078010000}"/>
            </a:ext>
          </a:extLst>
        </xdr:cNvPr>
        <xdr:cNvSpPr/>
      </xdr:nvSpPr>
      <xdr:spPr>
        <a:xfrm>
          <a:off x="63309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377" name="Isosceles Triangle 376">
          <a:extLst>
            <a:ext uri="{FF2B5EF4-FFF2-40B4-BE49-F238E27FC236}">
              <a16:creationId xmlns:a16="http://schemas.microsoft.com/office/drawing/2014/main" id="{00000000-0008-0000-0B00-000079010000}"/>
            </a:ext>
          </a:extLst>
        </xdr:cNvPr>
        <xdr:cNvSpPr/>
      </xdr:nvSpPr>
      <xdr:spPr>
        <a:xfrm>
          <a:off x="109010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378" name="Isosceles Triangle 377">
          <a:extLst>
            <a:ext uri="{FF2B5EF4-FFF2-40B4-BE49-F238E27FC236}">
              <a16:creationId xmlns:a16="http://schemas.microsoft.com/office/drawing/2014/main" id="{00000000-0008-0000-0B00-00007A010000}"/>
            </a:ext>
          </a:extLst>
        </xdr:cNvPr>
        <xdr:cNvSpPr/>
      </xdr:nvSpPr>
      <xdr:spPr>
        <a:xfrm>
          <a:off x="3376295" y="67208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379" name="Isosceles Triangle 378">
          <a:extLst>
            <a:ext uri="{FF2B5EF4-FFF2-40B4-BE49-F238E27FC236}">
              <a16:creationId xmlns:a16="http://schemas.microsoft.com/office/drawing/2014/main" id="{00000000-0008-0000-0B00-00007B010000}"/>
            </a:ext>
          </a:extLst>
        </xdr:cNvPr>
        <xdr:cNvSpPr/>
      </xdr:nvSpPr>
      <xdr:spPr>
        <a:xfrm>
          <a:off x="46145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86528</xdr:rowOff>
    </xdr:from>
    <xdr:to>
      <xdr:col>10</xdr:col>
      <xdr:colOff>4407</xdr:colOff>
      <xdr:row>36</xdr:row>
      <xdr:rowOff>181778</xdr:rowOff>
    </xdr:to>
    <xdr:sp macro="" textlink="">
      <xdr:nvSpPr>
        <xdr:cNvPr id="380" name="Isosceles Triangle 379">
          <a:extLst>
            <a:ext uri="{FF2B5EF4-FFF2-40B4-BE49-F238E27FC236}">
              <a16:creationId xmlns:a16="http://schemas.microsoft.com/office/drawing/2014/main" id="{00000000-0008-0000-0B00-00007C010000}"/>
            </a:ext>
          </a:extLst>
        </xdr:cNvPr>
        <xdr:cNvSpPr/>
      </xdr:nvSpPr>
      <xdr:spPr>
        <a:xfrm>
          <a:off x="5871845" y="6712585"/>
          <a:ext cx="628015"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12510</xdr:colOff>
      <xdr:row>35</xdr:row>
      <xdr:rowOff>78147</xdr:rowOff>
    </xdr:from>
    <xdr:to>
      <xdr:col>12</xdr:col>
      <xdr:colOff>7938</xdr:colOff>
      <xdr:row>37</xdr:row>
      <xdr:rowOff>5057</xdr:rowOff>
    </xdr:to>
    <xdr:sp macro="" textlink="">
      <xdr:nvSpPr>
        <xdr:cNvPr id="381" name="Isosceles Triangle 380">
          <a:extLst>
            <a:ext uri="{FF2B5EF4-FFF2-40B4-BE49-F238E27FC236}">
              <a16:creationId xmlns:a16="http://schemas.microsoft.com/office/drawing/2014/main" id="{00000000-0008-0000-0B00-00007D010000}"/>
            </a:ext>
          </a:extLst>
        </xdr:cNvPr>
        <xdr:cNvSpPr/>
      </xdr:nvSpPr>
      <xdr:spPr>
        <a:xfrm>
          <a:off x="7124510" y="6467835"/>
          <a:ext cx="622491" cy="29203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382" name="Isosceles Triangle 381">
          <a:extLst>
            <a:ext uri="{FF2B5EF4-FFF2-40B4-BE49-F238E27FC236}">
              <a16:creationId xmlns:a16="http://schemas.microsoft.com/office/drawing/2014/main" id="{00000000-0008-0000-0B00-00007E010000}"/>
            </a:ext>
          </a:extLst>
        </xdr:cNvPr>
        <xdr:cNvSpPr/>
      </xdr:nvSpPr>
      <xdr:spPr>
        <a:xfrm>
          <a:off x="83864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383" name="Isosceles Triangle 382">
          <a:extLst>
            <a:ext uri="{FF2B5EF4-FFF2-40B4-BE49-F238E27FC236}">
              <a16:creationId xmlns:a16="http://schemas.microsoft.com/office/drawing/2014/main" id="{00000000-0008-0000-0B00-00007F010000}"/>
            </a:ext>
          </a:extLst>
        </xdr:cNvPr>
        <xdr:cNvSpPr/>
      </xdr:nvSpPr>
      <xdr:spPr>
        <a:xfrm>
          <a:off x="109010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84" name="Isosceles Triangle 383">
          <a:extLst>
            <a:ext uri="{FF2B5EF4-FFF2-40B4-BE49-F238E27FC236}">
              <a16:creationId xmlns:a16="http://schemas.microsoft.com/office/drawing/2014/main" id="{00000000-0008-0000-0B00-000080010000}"/>
            </a:ext>
          </a:extLst>
        </xdr:cNvPr>
        <xdr:cNvSpPr/>
      </xdr:nvSpPr>
      <xdr:spPr>
        <a:xfrm>
          <a:off x="63309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385" name="Isosceles Triangle 384">
          <a:extLst>
            <a:ext uri="{FF2B5EF4-FFF2-40B4-BE49-F238E27FC236}">
              <a16:creationId xmlns:a16="http://schemas.microsoft.com/office/drawing/2014/main" id="{00000000-0008-0000-0B00-000081010000}"/>
            </a:ext>
          </a:extLst>
        </xdr:cNvPr>
        <xdr:cNvSpPr/>
      </xdr:nvSpPr>
      <xdr:spPr>
        <a:xfrm>
          <a:off x="1890395" y="67043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86" name="Isosceles Triangle 385">
          <a:extLst>
            <a:ext uri="{FF2B5EF4-FFF2-40B4-BE49-F238E27FC236}">
              <a16:creationId xmlns:a16="http://schemas.microsoft.com/office/drawing/2014/main" id="{00000000-0008-0000-0B00-000082010000}"/>
            </a:ext>
          </a:extLst>
        </xdr:cNvPr>
        <xdr:cNvSpPr/>
      </xdr:nvSpPr>
      <xdr:spPr>
        <a:xfrm>
          <a:off x="63309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387" name="Isosceles Triangle 386">
          <a:extLst>
            <a:ext uri="{FF2B5EF4-FFF2-40B4-BE49-F238E27FC236}">
              <a16:creationId xmlns:a16="http://schemas.microsoft.com/office/drawing/2014/main" id="{00000000-0008-0000-0B00-000083010000}"/>
            </a:ext>
          </a:extLst>
        </xdr:cNvPr>
        <xdr:cNvSpPr/>
      </xdr:nvSpPr>
      <xdr:spPr>
        <a:xfrm>
          <a:off x="964374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388" name="Isosceles Triangle 387">
          <a:extLst>
            <a:ext uri="{FF2B5EF4-FFF2-40B4-BE49-F238E27FC236}">
              <a16:creationId xmlns:a16="http://schemas.microsoft.com/office/drawing/2014/main" id="{00000000-0008-0000-0B00-000084010000}"/>
            </a:ext>
          </a:extLst>
        </xdr:cNvPr>
        <xdr:cNvSpPr/>
      </xdr:nvSpPr>
      <xdr:spPr>
        <a:xfrm>
          <a:off x="63309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389" name="Isosceles Triangle 388">
          <a:extLst>
            <a:ext uri="{FF2B5EF4-FFF2-40B4-BE49-F238E27FC236}">
              <a16:creationId xmlns:a16="http://schemas.microsoft.com/office/drawing/2014/main" id="{00000000-0008-0000-0B00-000085010000}"/>
            </a:ext>
          </a:extLst>
        </xdr:cNvPr>
        <xdr:cNvSpPr/>
      </xdr:nvSpPr>
      <xdr:spPr>
        <a:xfrm>
          <a:off x="1890395" y="8234680"/>
          <a:ext cx="83375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390" name="Isosceles Triangle 389">
          <a:extLst>
            <a:ext uri="{FF2B5EF4-FFF2-40B4-BE49-F238E27FC236}">
              <a16:creationId xmlns:a16="http://schemas.microsoft.com/office/drawing/2014/main" id="{00000000-0008-0000-0B00-000086010000}"/>
            </a:ext>
          </a:extLst>
        </xdr:cNvPr>
        <xdr:cNvSpPr/>
      </xdr:nvSpPr>
      <xdr:spPr>
        <a:xfrm>
          <a:off x="33572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391" name="Isosceles Triangle 390">
          <a:extLst>
            <a:ext uri="{FF2B5EF4-FFF2-40B4-BE49-F238E27FC236}">
              <a16:creationId xmlns:a16="http://schemas.microsoft.com/office/drawing/2014/main" id="{00000000-0008-0000-0B00-000087010000}"/>
            </a:ext>
          </a:extLst>
        </xdr:cNvPr>
        <xdr:cNvSpPr/>
      </xdr:nvSpPr>
      <xdr:spPr>
        <a:xfrm>
          <a:off x="46145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392" name="Isosceles Triangle 391">
          <a:extLst>
            <a:ext uri="{FF2B5EF4-FFF2-40B4-BE49-F238E27FC236}">
              <a16:creationId xmlns:a16="http://schemas.microsoft.com/office/drawing/2014/main" id="{00000000-0008-0000-0B00-000088010000}"/>
            </a:ext>
          </a:extLst>
        </xdr:cNvPr>
        <xdr:cNvSpPr/>
      </xdr:nvSpPr>
      <xdr:spPr>
        <a:xfrm>
          <a:off x="58718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393" name="Isosceles Triangle 392">
          <a:extLst>
            <a:ext uri="{FF2B5EF4-FFF2-40B4-BE49-F238E27FC236}">
              <a16:creationId xmlns:a16="http://schemas.microsoft.com/office/drawing/2014/main" id="{00000000-0008-0000-0B00-000089010000}"/>
            </a:ext>
          </a:extLst>
        </xdr:cNvPr>
        <xdr:cNvSpPr/>
      </xdr:nvSpPr>
      <xdr:spPr>
        <a:xfrm>
          <a:off x="7124700" y="823468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394" name="Isosceles Triangle 393">
          <a:extLst>
            <a:ext uri="{FF2B5EF4-FFF2-40B4-BE49-F238E27FC236}">
              <a16:creationId xmlns:a16="http://schemas.microsoft.com/office/drawing/2014/main" id="{00000000-0008-0000-0B00-00008A010000}"/>
            </a:ext>
          </a:extLst>
        </xdr:cNvPr>
        <xdr:cNvSpPr/>
      </xdr:nvSpPr>
      <xdr:spPr>
        <a:xfrm>
          <a:off x="83864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395" name="Isosceles Triangle 394">
          <a:extLst>
            <a:ext uri="{FF2B5EF4-FFF2-40B4-BE49-F238E27FC236}">
              <a16:creationId xmlns:a16="http://schemas.microsoft.com/office/drawing/2014/main" id="{00000000-0008-0000-0B00-00008B010000}"/>
            </a:ext>
          </a:extLst>
        </xdr:cNvPr>
        <xdr:cNvSpPr/>
      </xdr:nvSpPr>
      <xdr:spPr>
        <a:xfrm>
          <a:off x="96437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396" name="Isosceles Triangle 395">
          <a:extLst>
            <a:ext uri="{FF2B5EF4-FFF2-40B4-BE49-F238E27FC236}">
              <a16:creationId xmlns:a16="http://schemas.microsoft.com/office/drawing/2014/main" id="{00000000-0008-0000-0B00-00008C010000}"/>
            </a:ext>
          </a:extLst>
        </xdr:cNvPr>
        <xdr:cNvSpPr/>
      </xdr:nvSpPr>
      <xdr:spPr>
        <a:xfrm>
          <a:off x="1215834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397" name="Isosceles Triangle 396">
          <a:extLst>
            <a:ext uri="{FF2B5EF4-FFF2-40B4-BE49-F238E27FC236}">
              <a16:creationId xmlns:a16="http://schemas.microsoft.com/office/drawing/2014/main" id="{00000000-0008-0000-0B00-00008D010000}"/>
            </a:ext>
          </a:extLst>
        </xdr:cNvPr>
        <xdr:cNvSpPr/>
      </xdr:nvSpPr>
      <xdr:spPr>
        <a:xfrm>
          <a:off x="83864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398" name="Isosceles Triangle 397">
          <a:extLst>
            <a:ext uri="{FF2B5EF4-FFF2-40B4-BE49-F238E27FC236}">
              <a16:creationId xmlns:a16="http://schemas.microsoft.com/office/drawing/2014/main" id="{00000000-0008-0000-0B00-00008E010000}"/>
            </a:ext>
          </a:extLst>
        </xdr:cNvPr>
        <xdr:cNvSpPr/>
      </xdr:nvSpPr>
      <xdr:spPr>
        <a:xfrm>
          <a:off x="96437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399" name="Isosceles Triangle 398">
          <a:extLst>
            <a:ext uri="{FF2B5EF4-FFF2-40B4-BE49-F238E27FC236}">
              <a16:creationId xmlns:a16="http://schemas.microsoft.com/office/drawing/2014/main" id="{00000000-0008-0000-0B00-00008F010000}"/>
            </a:ext>
          </a:extLst>
        </xdr:cNvPr>
        <xdr:cNvSpPr/>
      </xdr:nvSpPr>
      <xdr:spPr>
        <a:xfrm>
          <a:off x="12158345" y="112953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400" name="Isosceles Triangle 399">
          <a:extLst>
            <a:ext uri="{FF2B5EF4-FFF2-40B4-BE49-F238E27FC236}">
              <a16:creationId xmlns:a16="http://schemas.microsoft.com/office/drawing/2014/main" id="{00000000-0008-0000-0B00-000090010000}"/>
            </a:ext>
          </a:extLst>
        </xdr:cNvPr>
        <xdr:cNvSpPr/>
      </xdr:nvSpPr>
      <xdr:spPr>
        <a:xfrm>
          <a:off x="109010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401" name="Isosceles Triangle 400">
          <a:extLst>
            <a:ext uri="{FF2B5EF4-FFF2-40B4-BE49-F238E27FC236}">
              <a16:creationId xmlns:a16="http://schemas.microsoft.com/office/drawing/2014/main" id="{00000000-0008-0000-0B00-000091010000}"/>
            </a:ext>
          </a:extLst>
        </xdr:cNvPr>
        <xdr:cNvSpPr/>
      </xdr:nvSpPr>
      <xdr:spPr>
        <a:xfrm>
          <a:off x="9643745" y="1129538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402" name="Line 327">
          <a:extLst>
            <a:ext uri="{FF2B5EF4-FFF2-40B4-BE49-F238E27FC236}">
              <a16:creationId xmlns:a16="http://schemas.microsoft.com/office/drawing/2014/main" id="{00000000-0008-0000-0B00-000092010000}"/>
            </a:ext>
          </a:extLst>
        </xdr:cNvPr>
        <xdr:cNvSpPr>
          <a:spLocks noChangeShapeType="1"/>
        </xdr:cNvSpPr>
      </xdr:nvSpPr>
      <xdr:spPr>
        <a:xfrm flipH="1">
          <a:off x="1376680" y="8582025"/>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403" name="Line 327">
          <a:extLst>
            <a:ext uri="{FF2B5EF4-FFF2-40B4-BE49-F238E27FC236}">
              <a16:creationId xmlns:a16="http://schemas.microsoft.com/office/drawing/2014/main" id="{00000000-0008-0000-0B00-000093010000}"/>
            </a:ext>
          </a:extLst>
        </xdr:cNvPr>
        <xdr:cNvSpPr>
          <a:spLocks noChangeShapeType="1"/>
        </xdr:cNvSpPr>
      </xdr:nvSpPr>
      <xdr:spPr>
        <a:xfrm flipH="1">
          <a:off x="6564630" y="854773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404" name="Line 327">
          <a:extLst>
            <a:ext uri="{FF2B5EF4-FFF2-40B4-BE49-F238E27FC236}">
              <a16:creationId xmlns:a16="http://schemas.microsoft.com/office/drawing/2014/main" id="{00000000-0008-0000-0B00-000094010000}"/>
            </a:ext>
          </a:extLst>
        </xdr:cNvPr>
        <xdr:cNvSpPr>
          <a:spLocks noChangeShapeType="1"/>
        </xdr:cNvSpPr>
      </xdr:nvSpPr>
      <xdr:spPr>
        <a:xfrm flipH="1">
          <a:off x="9122410" y="857377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405" name="Line 327">
          <a:extLst>
            <a:ext uri="{FF2B5EF4-FFF2-40B4-BE49-F238E27FC236}">
              <a16:creationId xmlns:a16="http://schemas.microsoft.com/office/drawing/2014/main" id="{00000000-0008-0000-0B00-000095010000}"/>
            </a:ext>
          </a:extLst>
        </xdr:cNvPr>
        <xdr:cNvSpPr>
          <a:spLocks noChangeShapeType="1"/>
        </xdr:cNvSpPr>
      </xdr:nvSpPr>
      <xdr:spPr>
        <a:xfrm flipH="1">
          <a:off x="11664950" y="11529060"/>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150650</xdr:colOff>
      <xdr:row>62</xdr:row>
      <xdr:rowOff>13234</xdr:rowOff>
    </xdr:to>
    <xdr:pic>
      <xdr:nvPicPr>
        <xdr:cNvPr id="406" name="Picture 13">
          <a:extLst>
            <a:ext uri="{FF2B5EF4-FFF2-40B4-BE49-F238E27FC236}">
              <a16:creationId xmlns:a16="http://schemas.microsoft.com/office/drawing/2014/main" id="{00000000-0008-0000-0B00-00009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13085" y="11492865"/>
          <a:ext cx="95885" cy="5721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2115</xdr:rowOff>
    </xdr:to>
    <xdr:pic>
      <xdr:nvPicPr>
        <xdr:cNvPr id="407" name="Picture 13">
          <a:extLst>
            <a:ext uri="{FF2B5EF4-FFF2-40B4-BE49-F238E27FC236}">
              <a16:creationId xmlns:a16="http://schemas.microsoft.com/office/drawing/2014/main" id="{00000000-0008-0000-0B00-000097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05605" y="8461375"/>
          <a:ext cx="958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464302</xdr:colOff>
      <xdr:row>210</xdr:row>
      <xdr:rowOff>163871</xdr:rowOff>
    </xdr:from>
    <xdr:to>
      <xdr:col>11</xdr:col>
      <xdr:colOff>409228</xdr:colOff>
      <xdr:row>211</xdr:row>
      <xdr:rowOff>51026</xdr:rowOff>
    </xdr:to>
    <xdr:pic>
      <xdr:nvPicPr>
        <xdr:cNvPr id="408" name="Picture 13">
          <a:extLst>
            <a:ext uri="{FF2B5EF4-FFF2-40B4-BE49-F238E27FC236}">
              <a16:creationId xmlns:a16="http://schemas.microsoft.com/office/drawing/2014/main" id="{00000000-0008-0000-0B00-00009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193915" y="45951775"/>
          <a:ext cx="106045" cy="5734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25918</xdr:colOff>
      <xdr:row>220</xdr:row>
      <xdr:rowOff>19440</xdr:rowOff>
    </xdr:from>
    <xdr:to>
      <xdr:col>16</xdr:col>
      <xdr:colOff>431132</xdr:colOff>
      <xdr:row>220</xdr:row>
      <xdr:rowOff>133733</xdr:rowOff>
    </xdr:to>
    <xdr:pic>
      <xdr:nvPicPr>
        <xdr:cNvPr id="409" name="Picture 13">
          <a:extLst>
            <a:ext uri="{FF2B5EF4-FFF2-40B4-BE49-F238E27FC236}">
              <a16:creationId xmlns:a16="http://schemas.microsoft.com/office/drawing/2014/main" id="{00000000-0008-0000-0B00-000099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10438765" y="47812960"/>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181430</xdr:colOff>
      <xdr:row>214</xdr:row>
      <xdr:rowOff>19438</xdr:rowOff>
    </xdr:from>
    <xdr:to>
      <xdr:col>7</xdr:col>
      <xdr:colOff>311022</xdr:colOff>
      <xdr:row>215</xdr:row>
      <xdr:rowOff>12959</xdr:rowOff>
    </xdr:to>
    <xdr:sp macro="" textlink="">
      <xdr:nvSpPr>
        <xdr:cNvPr id="410" name="Flowchart: Magnetic Disk 409">
          <a:extLst>
            <a:ext uri="{FF2B5EF4-FFF2-40B4-BE49-F238E27FC236}">
              <a16:creationId xmlns:a16="http://schemas.microsoft.com/office/drawing/2014/main" id="{00000000-0008-0000-0B00-00009A010000}"/>
            </a:ext>
          </a:extLst>
        </xdr:cNvPr>
        <xdr:cNvSpPr/>
      </xdr:nvSpPr>
      <xdr:spPr>
        <a:xfrm>
          <a:off x="4791075" y="468153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110153</xdr:colOff>
      <xdr:row>45</xdr:row>
      <xdr:rowOff>25918</xdr:rowOff>
    </xdr:from>
    <xdr:to>
      <xdr:col>2</xdr:col>
      <xdr:colOff>239745</xdr:colOff>
      <xdr:row>46</xdr:row>
      <xdr:rowOff>19439</xdr:rowOff>
    </xdr:to>
    <xdr:sp macro="" textlink="">
      <xdr:nvSpPr>
        <xdr:cNvPr id="411" name="Flowchart: Magnetic Disk 410">
          <a:extLst>
            <a:ext uri="{FF2B5EF4-FFF2-40B4-BE49-F238E27FC236}">
              <a16:creationId xmlns:a16="http://schemas.microsoft.com/office/drawing/2014/main" id="{00000000-0008-0000-0B00-00009B010000}"/>
            </a:ext>
          </a:extLst>
        </xdr:cNvPr>
        <xdr:cNvSpPr/>
      </xdr:nvSpPr>
      <xdr:spPr>
        <a:xfrm>
          <a:off x="1367155" y="85598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412" name="Flowchart: Magnetic Disk 411">
          <a:extLst>
            <a:ext uri="{FF2B5EF4-FFF2-40B4-BE49-F238E27FC236}">
              <a16:creationId xmlns:a16="http://schemas.microsoft.com/office/drawing/2014/main" id="{00000000-0008-0000-0B00-00009C010000}"/>
            </a:ext>
          </a:extLst>
        </xdr:cNvPr>
        <xdr:cNvSpPr/>
      </xdr:nvSpPr>
      <xdr:spPr>
        <a:xfrm>
          <a:off x="8063865" y="8750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413" name="Flowchart: Magnetic Disk 412">
          <a:extLst>
            <a:ext uri="{FF2B5EF4-FFF2-40B4-BE49-F238E27FC236}">
              <a16:creationId xmlns:a16="http://schemas.microsoft.com/office/drawing/2014/main" id="{00000000-0008-0000-0B00-00009D010000}"/>
            </a:ext>
          </a:extLst>
        </xdr:cNvPr>
        <xdr:cNvSpPr/>
      </xdr:nvSpPr>
      <xdr:spPr>
        <a:xfrm>
          <a:off x="9334500" y="87439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16</xdr:col>
      <xdr:colOff>155510</xdr:colOff>
      <xdr:row>212</xdr:row>
      <xdr:rowOff>123113</xdr:rowOff>
    </xdr:from>
    <xdr:to>
      <xdr:col>16</xdr:col>
      <xdr:colOff>369336</xdr:colOff>
      <xdr:row>214</xdr:row>
      <xdr:rowOff>84235</xdr:rowOff>
    </xdr:to>
    <xdr:sp macro="" textlink="">
      <xdr:nvSpPr>
        <xdr:cNvPr id="414" name="Flowchart: Predefined Process 413">
          <a:extLst>
            <a:ext uri="{FF2B5EF4-FFF2-40B4-BE49-F238E27FC236}">
              <a16:creationId xmlns:a16="http://schemas.microsoft.com/office/drawing/2014/main" id="{00000000-0008-0000-0B00-00009E010000}"/>
            </a:ext>
          </a:extLst>
        </xdr:cNvPr>
        <xdr:cNvSpPr/>
      </xdr:nvSpPr>
      <xdr:spPr>
        <a:xfrm>
          <a:off x="10422890" y="46541055"/>
          <a:ext cx="213995" cy="3390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415" name="Flowchart: Predefined Process 414">
          <a:extLst>
            <a:ext uri="{FF2B5EF4-FFF2-40B4-BE49-F238E27FC236}">
              <a16:creationId xmlns:a16="http://schemas.microsoft.com/office/drawing/2014/main" id="{00000000-0008-0000-0B00-00009F010000}"/>
            </a:ext>
          </a:extLst>
        </xdr:cNvPr>
        <xdr:cNvSpPr/>
      </xdr:nvSpPr>
      <xdr:spPr>
        <a:xfrm>
          <a:off x="151638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416" name="Line 327">
          <a:extLst>
            <a:ext uri="{FF2B5EF4-FFF2-40B4-BE49-F238E27FC236}">
              <a16:creationId xmlns:a16="http://schemas.microsoft.com/office/drawing/2014/main" id="{00000000-0008-0000-0B00-0000A0010000}"/>
            </a:ext>
          </a:extLst>
        </xdr:cNvPr>
        <xdr:cNvSpPr>
          <a:spLocks noChangeShapeType="1"/>
        </xdr:cNvSpPr>
      </xdr:nvSpPr>
      <xdr:spPr>
        <a:xfrm flipH="1">
          <a:off x="6612890" y="862901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417" name="Flowchart: Predefined Process 416">
          <a:extLst>
            <a:ext uri="{FF2B5EF4-FFF2-40B4-BE49-F238E27FC236}">
              <a16:creationId xmlns:a16="http://schemas.microsoft.com/office/drawing/2014/main" id="{00000000-0008-0000-0B00-0000A1010000}"/>
            </a:ext>
          </a:extLst>
        </xdr:cNvPr>
        <xdr:cNvSpPr/>
      </xdr:nvSpPr>
      <xdr:spPr>
        <a:xfrm>
          <a:off x="7824470" y="861822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418" name="Line 327">
          <a:extLst>
            <a:ext uri="{FF2B5EF4-FFF2-40B4-BE49-F238E27FC236}">
              <a16:creationId xmlns:a16="http://schemas.microsoft.com/office/drawing/2014/main" id="{00000000-0008-0000-0B00-0000A2010000}"/>
            </a:ext>
          </a:extLst>
        </xdr:cNvPr>
        <xdr:cNvSpPr>
          <a:spLocks noChangeShapeType="1"/>
        </xdr:cNvSpPr>
      </xdr:nvSpPr>
      <xdr:spPr>
        <a:xfrm flipH="1">
          <a:off x="10304780" y="11529060"/>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419" name="Line 327">
          <a:extLst>
            <a:ext uri="{FF2B5EF4-FFF2-40B4-BE49-F238E27FC236}">
              <a16:creationId xmlns:a16="http://schemas.microsoft.com/office/drawing/2014/main" id="{00000000-0008-0000-0B00-0000A3010000}"/>
            </a:ext>
          </a:extLst>
        </xdr:cNvPr>
        <xdr:cNvSpPr>
          <a:spLocks noChangeShapeType="1"/>
        </xdr:cNvSpPr>
      </xdr:nvSpPr>
      <xdr:spPr>
        <a:xfrm flipH="1">
          <a:off x="10353040" y="11622405"/>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0</xdr:col>
      <xdr:colOff>220306</xdr:colOff>
      <xdr:row>214</xdr:row>
      <xdr:rowOff>0</xdr:rowOff>
    </xdr:from>
    <xdr:to>
      <xdr:col>0</xdr:col>
      <xdr:colOff>388775</xdr:colOff>
      <xdr:row>214</xdr:row>
      <xdr:rowOff>155510</xdr:rowOff>
    </xdr:to>
    <xdr:sp macro="" textlink="">
      <xdr:nvSpPr>
        <xdr:cNvPr id="420" name="Rectangle: Top Corners Snipped 419">
          <a:extLst>
            <a:ext uri="{FF2B5EF4-FFF2-40B4-BE49-F238E27FC236}">
              <a16:creationId xmlns:a16="http://schemas.microsoft.com/office/drawing/2014/main" id="{00000000-0008-0000-0B00-0000A4010000}"/>
            </a:ext>
          </a:extLst>
        </xdr:cNvPr>
        <xdr:cNvSpPr/>
      </xdr:nvSpPr>
      <xdr:spPr>
        <a:xfrm>
          <a:off x="219710" y="4679632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239745</xdr:colOff>
      <xdr:row>215</xdr:row>
      <xdr:rowOff>129592</xdr:rowOff>
    </xdr:from>
    <xdr:to>
      <xdr:col>0</xdr:col>
      <xdr:colOff>356378</xdr:colOff>
      <xdr:row>217</xdr:row>
      <xdr:rowOff>19439</xdr:rowOff>
    </xdr:to>
    <xdr:sp macro="" textlink="">
      <xdr:nvSpPr>
        <xdr:cNvPr id="421" name="Isosceles Triangle 420">
          <a:extLst>
            <a:ext uri="{FF2B5EF4-FFF2-40B4-BE49-F238E27FC236}">
              <a16:creationId xmlns:a16="http://schemas.microsoft.com/office/drawing/2014/main" id="{00000000-0008-0000-0B00-0000A5010000}"/>
            </a:ext>
          </a:extLst>
        </xdr:cNvPr>
        <xdr:cNvSpPr/>
      </xdr:nvSpPr>
      <xdr:spPr>
        <a:xfrm>
          <a:off x="239395" y="47129065"/>
          <a:ext cx="116840" cy="276860"/>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422" name="Flowchart: Decision 421">
          <a:extLst>
            <a:ext uri="{FF2B5EF4-FFF2-40B4-BE49-F238E27FC236}">
              <a16:creationId xmlns:a16="http://schemas.microsoft.com/office/drawing/2014/main" id="{00000000-0008-0000-0B00-0000A6010000}"/>
            </a:ext>
          </a:extLst>
        </xdr:cNvPr>
        <xdr:cNvSpPr/>
      </xdr:nvSpPr>
      <xdr:spPr>
        <a:xfrm>
          <a:off x="132207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220306</xdr:colOff>
      <xdr:row>218</xdr:row>
      <xdr:rowOff>38877</xdr:rowOff>
    </xdr:from>
    <xdr:to>
      <xdr:col>0</xdr:col>
      <xdr:colOff>414692</xdr:colOff>
      <xdr:row>218</xdr:row>
      <xdr:rowOff>142549</xdr:rowOff>
    </xdr:to>
    <xdr:sp macro="" textlink="">
      <xdr:nvSpPr>
        <xdr:cNvPr id="423" name="Flowchart: Decision 422">
          <a:extLst>
            <a:ext uri="{FF2B5EF4-FFF2-40B4-BE49-F238E27FC236}">
              <a16:creationId xmlns:a16="http://schemas.microsoft.com/office/drawing/2014/main" id="{00000000-0008-0000-0B00-0000A7010000}"/>
            </a:ext>
          </a:extLst>
        </xdr:cNvPr>
        <xdr:cNvSpPr/>
      </xdr:nvSpPr>
      <xdr:spPr>
        <a:xfrm>
          <a:off x="219710" y="47609760"/>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259183</xdr:colOff>
      <xdr:row>220</xdr:row>
      <xdr:rowOff>32398</xdr:rowOff>
    </xdr:from>
    <xdr:to>
      <xdr:col>0</xdr:col>
      <xdr:colOff>414694</xdr:colOff>
      <xdr:row>220</xdr:row>
      <xdr:rowOff>155511</xdr:rowOff>
    </xdr:to>
    <xdr:sp macro="" textlink="">
      <xdr:nvSpPr>
        <xdr:cNvPr id="424" name="Oval 423">
          <a:extLst>
            <a:ext uri="{FF2B5EF4-FFF2-40B4-BE49-F238E27FC236}">
              <a16:creationId xmlns:a16="http://schemas.microsoft.com/office/drawing/2014/main" id="{00000000-0008-0000-0B00-0000A8010000}"/>
            </a:ext>
          </a:extLst>
        </xdr:cNvPr>
        <xdr:cNvSpPr/>
      </xdr:nvSpPr>
      <xdr:spPr>
        <a:xfrm>
          <a:off x="259080" y="4797171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252704</xdr:colOff>
      <xdr:row>221</xdr:row>
      <xdr:rowOff>149031</xdr:rowOff>
    </xdr:from>
    <xdr:to>
      <xdr:col>0</xdr:col>
      <xdr:colOff>473010</xdr:colOff>
      <xdr:row>222</xdr:row>
      <xdr:rowOff>142551</xdr:rowOff>
    </xdr:to>
    <xdr:sp macro="" textlink="">
      <xdr:nvSpPr>
        <xdr:cNvPr id="425" name="Arrow: Left-Right-Up 424">
          <a:extLst>
            <a:ext uri="{FF2B5EF4-FFF2-40B4-BE49-F238E27FC236}">
              <a16:creationId xmlns:a16="http://schemas.microsoft.com/office/drawing/2014/main" id="{00000000-0008-0000-0B00-0000A9010000}"/>
            </a:ext>
          </a:extLst>
        </xdr:cNvPr>
        <xdr:cNvSpPr/>
      </xdr:nvSpPr>
      <xdr:spPr>
        <a:xfrm>
          <a:off x="252095" y="48272065"/>
          <a:ext cx="220345" cy="1778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103674</xdr:colOff>
      <xdr:row>217</xdr:row>
      <xdr:rowOff>58316</xdr:rowOff>
    </xdr:from>
    <xdr:to>
      <xdr:col>7</xdr:col>
      <xdr:colOff>370374</xdr:colOff>
      <xdr:row>219</xdr:row>
      <xdr:rowOff>58317</xdr:rowOff>
    </xdr:to>
    <xdr:sp macro="" textlink="">
      <xdr:nvSpPr>
        <xdr:cNvPr id="426" name="Line 327">
          <a:extLst>
            <a:ext uri="{FF2B5EF4-FFF2-40B4-BE49-F238E27FC236}">
              <a16:creationId xmlns:a16="http://schemas.microsoft.com/office/drawing/2014/main" id="{00000000-0008-0000-0B00-0000AA010000}"/>
            </a:ext>
          </a:extLst>
        </xdr:cNvPr>
        <xdr:cNvSpPr>
          <a:spLocks noChangeShapeType="1"/>
        </xdr:cNvSpPr>
      </xdr:nvSpPr>
      <xdr:spPr>
        <a:xfrm flipH="1">
          <a:off x="4713605" y="47444660"/>
          <a:ext cx="266700" cy="3683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129592</xdr:colOff>
      <xdr:row>218</xdr:row>
      <xdr:rowOff>58317</xdr:rowOff>
    </xdr:from>
    <xdr:to>
      <xdr:col>7</xdr:col>
      <xdr:colOff>395255</xdr:colOff>
      <xdr:row>220</xdr:row>
      <xdr:rowOff>64796</xdr:rowOff>
    </xdr:to>
    <xdr:sp macro="" textlink="">
      <xdr:nvSpPr>
        <xdr:cNvPr id="427" name="Line 327">
          <a:extLst>
            <a:ext uri="{FF2B5EF4-FFF2-40B4-BE49-F238E27FC236}">
              <a16:creationId xmlns:a16="http://schemas.microsoft.com/office/drawing/2014/main" id="{00000000-0008-0000-0B00-0000AB010000}"/>
            </a:ext>
          </a:extLst>
        </xdr:cNvPr>
        <xdr:cNvSpPr>
          <a:spLocks noChangeShapeType="1"/>
        </xdr:cNvSpPr>
      </xdr:nvSpPr>
      <xdr:spPr>
        <a:xfrm flipH="1">
          <a:off x="4739640" y="47628810"/>
          <a:ext cx="265430" cy="3752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127000</xdr:colOff>
      <xdr:row>217</xdr:row>
      <xdr:rowOff>12700</xdr:rowOff>
    </xdr:from>
    <xdr:to>
      <xdr:col>11</xdr:col>
      <xdr:colOff>393700</xdr:colOff>
      <xdr:row>219</xdr:row>
      <xdr:rowOff>31750</xdr:rowOff>
    </xdr:to>
    <xdr:sp macro="" textlink="">
      <xdr:nvSpPr>
        <xdr:cNvPr id="428" name="Line 328">
          <a:extLst>
            <a:ext uri="{FF2B5EF4-FFF2-40B4-BE49-F238E27FC236}">
              <a16:creationId xmlns:a16="http://schemas.microsoft.com/office/drawing/2014/main" id="{00000000-0008-0000-0B00-0000AC010000}"/>
            </a:ext>
          </a:extLst>
        </xdr:cNvPr>
        <xdr:cNvSpPr>
          <a:spLocks noChangeShapeType="1"/>
        </xdr:cNvSpPr>
      </xdr:nvSpPr>
      <xdr:spPr>
        <a:xfrm flipH="1">
          <a:off x="7251700" y="47399575"/>
          <a:ext cx="266700" cy="3873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11</xdr:col>
      <xdr:colOff>47625</xdr:colOff>
      <xdr:row>217</xdr:row>
      <xdr:rowOff>0</xdr:rowOff>
    </xdr:from>
    <xdr:to>
      <xdr:col>11</xdr:col>
      <xdr:colOff>314325</xdr:colOff>
      <xdr:row>218</xdr:row>
      <xdr:rowOff>155575</xdr:rowOff>
    </xdr:to>
    <xdr:sp macro="" textlink="">
      <xdr:nvSpPr>
        <xdr:cNvPr id="429" name="Line 328">
          <a:extLst>
            <a:ext uri="{FF2B5EF4-FFF2-40B4-BE49-F238E27FC236}">
              <a16:creationId xmlns:a16="http://schemas.microsoft.com/office/drawing/2014/main" id="{00000000-0008-0000-0B00-0000AD010000}"/>
            </a:ext>
          </a:extLst>
        </xdr:cNvPr>
        <xdr:cNvSpPr>
          <a:spLocks noChangeShapeType="1"/>
        </xdr:cNvSpPr>
      </xdr:nvSpPr>
      <xdr:spPr>
        <a:xfrm flipH="1">
          <a:off x="7172325" y="47386875"/>
          <a:ext cx="266700" cy="3397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4572</xdr:colOff>
      <xdr:row>67</xdr:row>
      <xdr:rowOff>78147</xdr:rowOff>
    </xdr:from>
    <xdr:to>
      <xdr:col>6</xdr:col>
      <xdr:colOff>0</xdr:colOff>
      <xdr:row>68</xdr:row>
      <xdr:rowOff>192447</xdr:rowOff>
    </xdr:to>
    <xdr:sp macro="" textlink="">
      <xdr:nvSpPr>
        <xdr:cNvPr id="430" name="Isosceles Triangle 429">
          <a:extLst>
            <a:ext uri="{FF2B5EF4-FFF2-40B4-BE49-F238E27FC236}">
              <a16:creationId xmlns:a16="http://schemas.microsoft.com/office/drawing/2014/main" id="{00000000-0008-0000-0B00-0000AE010000}"/>
            </a:ext>
          </a:extLst>
        </xdr:cNvPr>
        <xdr:cNvSpPr/>
      </xdr:nvSpPr>
      <xdr:spPr>
        <a:xfrm>
          <a:off x="33572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431" name="Isosceles Triangle 430">
          <a:extLst>
            <a:ext uri="{FF2B5EF4-FFF2-40B4-BE49-F238E27FC236}">
              <a16:creationId xmlns:a16="http://schemas.microsoft.com/office/drawing/2014/main" id="{00000000-0008-0000-0B00-0000AF010000}"/>
            </a:ext>
          </a:extLst>
        </xdr:cNvPr>
        <xdr:cNvSpPr/>
      </xdr:nvSpPr>
      <xdr:spPr>
        <a:xfrm>
          <a:off x="46145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432" name="Isosceles Triangle 431">
          <a:extLst>
            <a:ext uri="{FF2B5EF4-FFF2-40B4-BE49-F238E27FC236}">
              <a16:creationId xmlns:a16="http://schemas.microsoft.com/office/drawing/2014/main" id="{00000000-0008-0000-0B00-0000B0010000}"/>
            </a:ext>
          </a:extLst>
        </xdr:cNvPr>
        <xdr:cNvSpPr/>
      </xdr:nvSpPr>
      <xdr:spPr>
        <a:xfrm>
          <a:off x="5871845" y="128257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433" name="Isosceles Triangle 432">
          <a:extLst>
            <a:ext uri="{FF2B5EF4-FFF2-40B4-BE49-F238E27FC236}">
              <a16:creationId xmlns:a16="http://schemas.microsoft.com/office/drawing/2014/main" id="{00000000-0008-0000-0B00-0000B1010000}"/>
            </a:ext>
          </a:extLst>
        </xdr:cNvPr>
        <xdr:cNvSpPr/>
      </xdr:nvSpPr>
      <xdr:spPr>
        <a:xfrm>
          <a:off x="83864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434" name="Isosceles Triangle 433">
          <a:extLst>
            <a:ext uri="{FF2B5EF4-FFF2-40B4-BE49-F238E27FC236}">
              <a16:creationId xmlns:a16="http://schemas.microsoft.com/office/drawing/2014/main" id="{00000000-0008-0000-0B00-0000B2010000}"/>
            </a:ext>
          </a:extLst>
        </xdr:cNvPr>
        <xdr:cNvSpPr/>
      </xdr:nvSpPr>
      <xdr:spPr>
        <a:xfrm>
          <a:off x="96437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435" name="Isosceles Triangle 434">
          <a:extLst>
            <a:ext uri="{FF2B5EF4-FFF2-40B4-BE49-F238E27FC236}">
              <a16:creationId xmlns:a16="http://schemas.microsoft.com/office/drawing/2014/main" id="{00000000-0008-0000-0B00-0000B3010000}"/>
            </a:ext>
          </a:extLst>
        </xdr:cNvPr>
        <xdr:cNvSpPr/>
      </xdr:nvSpPr>
      <xdr:spPr>
        <a:xfrm>
          <a:off x="121583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436" name="Isosceles Triangle 435">
          <a:extLst>
            <a:ext uri="{FF2B5EF4-FFF2-40B4-BE49-F238E27FC236}">
              <a16:creationId xmlns:a16="http://schemas.microsoft.com/office/drawing/2014/main" id="{00000000-0008-0000-0B00-0000B4010000}"/>
            </a:ext>
          </a:extLst>
        </xdr:cNvPr>
        <xdr:cNvSpPr/>
      </xdr:nvSpPr>
      <xdr:spPr>
        <a:xfrm>
          <a:off x="1890395" y="128257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437" name="Isosceles Triangle 436">
          <a:extLst>
            <a:ext uri="{FF2B5EF4-FFF2-40B4-BE49-F238E27FC236}">
              <a16:creationId xmlns:a16="http://schemas.microsoft.com/office/drawing/2014/main" id="{00000000-0008-0000-0B00-0000B5010000}"/>
            </a:ext>
          </a:extLst>
        </xdr:cNvPr>
        <xdr:cNvSpPr/>
      </xdr:nvSpPr>
      <xdr:spPr>
        <a:xfrm>
          <a:off x="63309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438" name="Isosceles Triangle 437">
          <a:extLst>
            <a:ext uri="{FF2B5EF4-FFF2-40B4-BE49-F238E27FC236}">
              <a16:creationId xmlns:a16="http://schemas.microsoft.com/office/drawing/2014/main" id="{00000000-0008-0000-0B00-0000B6010000}"/>
            </a:ext>
          </a:extLst>
        </xdr:cNvPr>
        <xdr:cNvSpPr/>
      </xdr:nvSpPr>
      <xdr:spPr>
        <a:xfrm>
          <a:off x="109010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439" name="Isosceles Triangle 438">
          <a:extLst>
            <a:ext uri="{FF2B5EF4-FFF2-40B4-BE49-F238E27FC236}">
              <a16:creationId xmlns:a16="http://schemas.microsoft.com/office/drawing/2014/main" id="{00000000-0008-0000-0B00-0000B7010000}"/>
            </a:ext>
          </a:extLst>
        </xdr:cNvPr>
        <xdr:cNvSpPr/>
      </xdr:nvSpPr>
      <xdr:spPr>
        <a:xfrm>
          <a:off x="46145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440" name="Isosceles Triangle 439">
          <a:extLst>
            <a:ext uri="{FF2B5EF4-FFF2-40B4-BE49-F238E27FC236}">
              <a16:creationId xmlns:a16="http://schemas.microsoft.com/office/drawing/2014/main" id="{00000000-0008-0000-0B00-0000B8010000}"/>
            </a:ext>
          </a:extLst>
        </xdr:cNvPr>
        <xdr:cNvSpPr/>
      </xdr:nvSpPr>
      <xdr:spPr>
        <a:xfrm>
          <a:off x="58718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441" name="Isosceles Triangle 440">
          <a:extLst>
            <a:ext uri="{FF2B5EF4-FFF2-40B4-BE49-F238E27FC236}">
              <a16:creationId xmlns:a16="http://schemas.microsoft.com/office/drawing/2014/main" id="{00000000-0008-0000-0B00-0000B9010000}"/>
            </a:ext>
          </a:extLst>
        </xdr:cNvPr>
        <xdr:cNvSpPr/>
      </xdr:nvSpPr>
      <xdr:spPr>
        <a:xfrm>
          <a:off x="71291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442" name="Isosceles Triangle 441">
          <a:extLst>
            <a:ext uri="{FF2B5EF4-FFF2-40B4-BE49-F238E27FC236}">
              <a16:creationId xmlns:a16="http://schemas.microsoft.com/office/drawing/2014/main" id="{00000000-0008-0000-0B00-0000BA010000}"/>
            </a:ext>
          </a:extLst>
        </xdr:cNvPr>
        <xdr:cNvSpPr/>
      </xdr:nvSpPr>
      <xdr:spPr>
        <a:xfrm>
          <a:off x="83864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443" name="Isosceles Triangle 442">
          <a:extLst>
            <a:ext uri="{FF2B5EF4-FFF2-40B4-BE49-F238E27FC236}">
              <a16:creationId xmlns:a16="http://schemas.microsoft.com/office/drawing/2014/main" id="{00000000-0008-0000-0B00-0000BB010000}"/>
            </a:ext>
          </a:extLst>
        </xdr:cNvPr>
        <xdr:cNvSpPr/>
      </xdr:nvSpPr>
      <xdr:spPr>
        <a:xfrm>
          <a:off x="96437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444" name="Isosceles Triangle 443">
          <a:extLst>
            <a:ext uri="{FF2B5EF4-FFF2-40B4-BE49-F238E27FC236}">
              <a16:creationId xmlns:a16="http://schemas.microsoft.com/office/drawing/2014/main" id="{00000000-0008-0000-0B00-0000BC010000}"/>
            </a:ext>
          </a:extLst>
        </xdr:cNvPr>
        <xdr:cNvSpPr/>
      </xdr:nvSpPr>
      <xdr:spPr>
        <a:xfrm>
          <a:off x="121583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445" name="Isosceles Triangle 444">
          <a:extLst>
            <a:ext uri="{FF2B5EF4-FFF2-40B4-BE49-F238E27FC236}">
              <a16:creationId xmlns:a16="http://schemas.microsoft.com/office/drawing/2014/main" id="{00000000-0008-0000-0B00-0000BD010000}"/>
            </a:ext>
          </a:extLst>
        </xdr:cNvPr>
        <xdr:cNvSpPr/>
      </xdr:nvSpPr>
      <xdr:spPr>
        <a:xfrm>
          <a:off x="63309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446" name="Isosceles Triangle 445">
          <a:extLst>
            <a:ext uri="{FF2B5EF4-FFF2-40B4-BE49-F238E27FC236}">
              <a16:creationId xmlns:a16="http://schemas.microsoft.com/office/drawing/2014/main" id="{00000000-0008-0000-0B00-0000BE010000}"/>
            </a:ext>
          </a:extLst>
        </xdr:cNvPr>
        <xdr:cNvSpPr/>
      </xdr:nvSpPr>
      <xdr:spPr>
        <a:xfrm>
          <a:off x="33572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447" name="Isosceles Triangle 446">
          <a:extLst>
            <a:ext uri="{FF2B5EF4-FFF2-40B4-BE49-F238E27FC236}">
              <a16:creationId xmlns:a16="http://schemas.microsoft.com/office/drawing/2014/main" id="{00000000-0008-0000-0B00-0000BF010000}"/>
            </a:ext>
          </a:extLst>
        </xdr:cNvPr>
        <xdr:cNvSpPr/>
      </xdr:nvSpPr>
      <xdr:spPr>
        <a:xfrm>
          <a:off x="1890395" y="143560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448" name="Isosceles Triangle 447">
          <a:extLst>
            <a:ext uri="{FF2B5EF4-FFF2-40B4-BE49-F238E27FC236}">
              <a16:creationId xmlns:a16="http://schemas.microsoft.com/office/drawing/2014/main" id="{00000000-0008-0000-0B00-0000C0010000}"/>
            </a:ext>
          </a:extLst>
        </xdr:cNvPr>
        <xdr:cNvSpPr/>
      </xdr:nvSpPr>
      <xdr:spPr>
        <a:xfrm>
          <a:off x="109010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449" name="Isosceles Triangle 448">
          <a:extLst>
            <a:ext uri="{FF2B5EF4-FFF2-40B4-BE49-F238E27FC236}">
              <a16:creationId xmlns:a16="http://schemas.microsoft.com/office/drawing/2014/main" id="{00000000-0008-0000-0B00-0000C1010000}"/>
            </a:ext>
          </a:extLst>
        </xdr:cNvPr>
        <xdr:cNvSpPr/>
      </xdr:nvSpPr>
      <xdr:spPr>
        <a:xfrm>
          <a:off x="121583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450" name="Isosceles Triangle 449">
          <a:extLst>
            <a:ext uri="{FF2B5EF4-FFF2-40B4-BE49-F238E27FC236}">
              <a16:creationId xmlns:a16="http://schemas.microsoft.com/office/drawing/2014/main" id="{00000000-0008-0000-0B00-0000C2010000}"/>
            </a:ext>
          </a:extLst>
        </xdr:cNvPr>
        <xdr:cNvSpPr/>
      </xdr:nvSpPr>
      <xdr:spPr>
        <a:xfrm>
          <a:off x="7131050" y="128422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451" name="Isosceles Triangle 450">
          <a:extLst>
            <a:ext uri="{FF2B5EF4-FFF2-40B4-BE49-F238E27FC236}">
              <a16:creationId xmlns:a16="http://schemas.microsoft.com/office/drawing/2014/main" id="{00000000-0008-0000-0B00-0000C3010000}"/>
            </a:ext>
          </a:extLst>
        </xdr:cNvPr>
        <xdr:cNvSpPr/>
      </xdr:nvSpPr>
      <xdr:spPr>
        <a:xfrm>
          <a:off x="46145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452" name="Isosceles Triangle 451">
          <a:extLst>
            <a:ext uri="{FF2B5EF4-FFF2-40B4-BE49-F238E27FC236}">
              <a16:creationId xmlns:a16="http://schemas.microsoft.com/office/drawing/2014/main" id="{00000000-0008-0000-0B00-0000C4010000}"/>
            </a:ext>
          </a:extLst>
        </xdr:cNvPr>
        <xdr:cNvSpPr/>
      </xdr:nvSpPr>
      <xdr:spPr>
        <a:xfrm>
          <a:off x="58718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453" name="Isosceles Triangle 452">
          <a:extLst>
            <a:ext uri="{FF2B5EF4-FFF2-40B4-BE49-F238E27FC236}">
              <a16:creationId xmlns:a16="http://schemas.microsoft.com/office/drawing/2014/main" id="{00000000-0008-0000-0B00-0000C5010000}"/>
            </a:ext>
          </a:extLst>
        </xdr:cNvPr>
        <xdr:cNvSpPr/>
      </xdr:nvSpPr>
      <xdr:spPr>
        <a:xfrm>
          <a:off x="7129145" y="15861030"/>
          <a:ext cx="624205" cy="30099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454" name="Isosceles Triangle 453">
          <a:extLst>
            <a:ext uri="{FF2B5EF4-FFF2-40B4-BE49-F238E27FC236}">
              <a16:creationId xmlns:a16="http://schemas.microsoft.com/office/drawing/2014/main" id="{00000000-0008-0000-0B00-0000C6010000}"/>
            </a:ext>
          </a:extLst>
        </xdr:cNvPr>
        <xdr:cNvSpPr/>
      </xdr:nvSpPr>
      <xdr:spPr>
        <a:xfrm>
          <a:off x="96437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455" name="Isosceles Triangle 454">
          <a:extLst>
            <a:ext uri="{FF2B5EF4-FFF2-40B4-BE49-F238E27FC236}">
              <a16:creationId xmlns:a16="http://schemas.microsoft.com/office/drawing/2014/main" id="{00000000-0008-0000-0B00-0000C7010000}"/>
            </a:ext>
          </a:extLst>
        </xdr:cNvPr>
        <xdr:cNvSpPr/>
      </xdr:nvSpPr>
      <xdr:spPr>
        <a:xfrm>
          <a:off x="109010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94023</xdr:rowOff>
    </xdr:from>
    <xdr:to>
      <xdr:col>2</xdr:col>
      <xdr:colOff>0</xdr:colOff>
      <xdr:row>93</xdr:row>
      <xdr:rowOff>17823</xdr:rowOff>
    </xdr:to>
    <xdr:sp macro="" textlink="">
      <xdr:nvSpPr>
        <xdr:cNvPr id="456" name="Isosceles Triangle 455">
          <a:extLst>
            <a:ext uri="{FF2B5EF4-FFF2-40B4-BE49-F238E27FC236}">
              <a16:creationId xmlns:a16="http://schemas.microsoft.com/office/drawing/2014/main" id="{00000000-0008-0000-0B00-0000C8010000}"/>
            </a:ext>
          </a:extLst>
        </xdr:cNvPr>
        <xdr:cNvSpPr/>
      </xdr:nvSpPr>
      <xdr:spPr>
        <a:xfrm>
          <a:off x="631635" y="17191398"/>
          <a:ext cx="622490"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457" name="Isosceles Triangle 456">
          <a:extLst>
            <a:ext uri="{FF2B5EF4-FFF2-40B4-BE49-F238E27FC236}">
              <a16:creationId xmlns:a16="http://schemas.microsoft.com/office/drawing/2014/main" id="{00000000-0008-0000-0B00-0000C9010000}"/>
            </a:ext>
          </a:extLst>
        </xdr:cNvPr>
        <xdr:cNvSpPr/>
      </xdr:nvSpPr>
      <xdr:spPr>
        <a:xfrm>
          <a:off x="33572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458" name="Isosceles Triangle 457">
          <a:extLst>
            <a:ext uri="{FF2B5EF4-FFF2-40B4-BE49-F238E27FC236}">
              <a16:creationId xmlns:a16="http://schemas.microsoft.com/office/drawing/2014/main" id="{00000000-0008-0000-0B00-0000CA010000}"/>
            </a:ext>
          </a:extLst>
        </xdr:cNvPr>
        <xdr:cNvSpPr/>
      </xdr:nvSpPr>
      <xdr:spPr>
        <a:xfrm>
          <a:off x="1890395" y="158864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459" name="Isosceles Triangle 458">
          <a:extLst>
            <a:ext uri="{FF2B5EF4-FFF2-40B4-BE49-F238E27FC236}">
              <a16:creationId xmlns:a16="http://schemas.microsoft.com/office/drawing/2014/main" id="{00000000-0008-0000-0B00-0000CB010000}"/>
            </a:ext>
          </a:extLst>
        </xdr:cNvPr>
        <xdr:cNvSpPr/>
      </xdr:nvSpPr>
      <xdr:spPr>
        <a:xfrm>
          <a:off x="121583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460" name="Isosceles Triangle 459">
          <a:extLst>
            <a:ext uri="{FF2B5EF4-FFF2-40B4-BE49-F238E27FC236}">
              <a16:creationId xmlns:a16="http://schemas.microsoft.com/office/drawing/2014/main" id="{00000000-0008-0000-0B00-0000CC010000}"/>
            </a:ext>
          </a:extLst>
        </xdr:cNvPr>
        <xdr:cNvSpPr/>
      </xdr:nvSpPr>
      <xdr:spPr>
        <a:xfrm>
          <a:off x="46145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461" name="Isosceles Triangle 460">
          <a:extLst>
            <a:ext uri="{FF2B5EF4-FFF2-40B4-BE49-F238E27FC236}">
              <a16:creationId xmlns:a16="http://schemas.microsoft.com/office/drawing/2014/main" id="{00000000-0008-0000-0B00-0000CD010000}"/>
            </a:ext>
          </a:extLst>
        </xdr:cNvPr>
        <xdr:cNvSpPr/>
      </xdr:nvSpPr>
      <xdr:spPr>
        <a:xfrm>
          <a:off x="58718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462" name="Isosceles Triangle 461">
          <a:extLst>
            <a:ext uri="{FF2B5EF4-FFF2-40B4-BE49-F238E27FC236}">
              <a16:creationId xmlns:a16="http://schemas.microsoft.com/office/drawing/2014/main" id="{00000000-0008-0000-0B00-0000CE010000}"/>
            </a:ext>
          </a:extLst>
        </xdr:cNvPr>
        <xdr:cNvSpPr/>
      </xdr:nvSpPr>
      <xdr:spPr>
        <a:xfrm>
          <a:off x="71291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463" name="Isosceles Triangle 462">
          <a:extLst>
            <a:ext uri="{FF2B5EF4-FFF2-40B4-BE49-F238E27FC236}">
              <a16:creationId xmlns:a16="http://schemas.microsoft.com/office/drawing/2014/main" id="{00000000-0008-0000-0B00-0000CF010000}"/>
            </a:ext>
          </a:extLst>
        </xdr:cNvPr>
        <xdr:cNvSpPr/>
      </xdr:nvSpPr>
      <xdr:spPr>
        <a:xfrm>
          <a:off x="83864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464" name="Isosceles Triangle 463">
          <a:extLst>
            <a:ext uri="{FF2B5EF4-FFF2-40B4-BE49-F238E27FC236}">
              <a16:creationId xmlns:a16="http://schemas.microsoft.com/office/drawing/2014/main" id="{00000000-0008-0000-0B00-0000D0010000}"/>
            </a:ext>
          </a:extLst>
        </xdr:cNvPr>
        <xdr:cNvSpPr/>
      </xdr:nvSpPr>
      <xdr:spPr>
        <a:xfrm>
          <a:off x="96437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465" name="Isosceles Triangle 464">
          <a:extLst>
            <a:ext uri="{FF2B5EF4-FFF2-40B4-BE49-F238E27FC236}">
              <a16:creationId xmlns:a16="http://schemas.microsoft.com/office/drawing/2014/main" id="{00000000-0008-0000-0B00-0000D1010000}"/>
            </a:ext>
          </a:extLst>
        </xdr:cNvPr>
        <xdr:cNvSpPr/>
      </xdr:nvSpPr>
      <xdr:spPr>
        <a:xfrm>
          <a:off x="121583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466" name="Isosceles Triangle 465">
          <a:extLst>
            <a:ext uri="{FF2B5EF4-FFF2-40B4-BE49-F238E27FC236}">
              <a16:creationId xmlns:a16="http://schemas.microsoft.com/office/drawing/2014/main" id="{00000000-0008-0000-0B00-0000D2010000}"/>
            </a:ext>
          </a:extLst>
        </xdr:cNvPr>
        <xdr:cNvSpPr/>
      </xdr:nvSpPr>
      <xdr:spPr>
        <a:xfrm>
          <a:off x="63309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467" name="Isosceles Triangle 466">
          <a:extLst>
            <a:ext uri="{FF2B5EF4-FFF2-40B4-BE49-F238E27FC236}">
              <a16:creationId xmlns:a16="http://schemas.microsoft.com/office/drawing/2014/main" id="{00000000-0008-0000-0B00-0000D3010000}"/>
            </a:ext>
          </a:extLst>
        </xdr:cNvPr>
        <xdr:cNvSpPr/>
      </xdr:nvSpPr>
      <xdr:spPr>
        <a:xfrm>
          <a:off x="33572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468" name="Isosceles Triangle 467">
          <a:extLst>
            <a:ext uri="{FF2B5EF4-FFF2-40B4-BE49-F238E27FC236}">
              <a16:creationId xmlns:a16="http://schemas.microsoft.com/office/drawing/2014/main" id="{00000000-0008-0000-0B00-0000D4010000}"/>
            </a:ext>
          </a:extLst>
        </xdr:cNvPr>
        <xdr:cNvSpPr/>
      </xdr:nvSpPr>
      <xdr:spPr>
        <a:xfrm>
          <a:off x="1890395" y="174167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469" name="Isosceles Triangle 468">
          <a:extLst>
            <a:ext uri="{FF2B5EF4-FFF2-40B4-BE49-F238E27FC236}">
              <a16:creationId xmlns:a16="http://schemas.microsoft.com/office/drawing/2014/main" id="{00000000-0008-0000-0B00-0000D5010000}"/>
            </a:ext>
          </a:extLst>
        </xdr:cNvPr>
        <xdr:cNvSpPr/>
      </xdr:nvSpPr>
      <xdr:spPr>
        <a:xfrm>
          <a:off x="109010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470" name="Isosceles Triangle 469">
          <a:extLst>
            <a:ext uri="{FF2B5EF4-FFF2-40B4-BE49-F238E27FC236}">
              <a16:creationId xmlns:a16="http://schemas.microsoft.com/office/drawing/2014/main" id="{00000000-0008-0000-0B00-0000D6010000}"/>
            </a:ext>
          </a:extLst>
        </xdr:cNvPr>
        <xdr:cNvSpPr/>
      </xdr:nvSpPr>
      <xdr:spPr>
        <a:xfrm>
          <a:off x="8388350" y="1589532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71" name="Isosceles Triangle 470">
          <a:extLst>
            <a:ext uri="{FF2B5EF4-FFF2-40B4-BE49-F238E27FC236}">
              <a16:creationId xmlns:a16="http://schemas.microsoft.com/office/drawing/2014/main" id="{00000000-0008-0000-0B00-0000D7010000}"/>
            </a:ext>
          </a:extLst>
        </xdr:cNvPr>
        <xdr:cNvSpPr/>
      </xdr:nvSpPr>
      <xdr:spPr>
        <a:xfrm>
          <a:off x="33572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472" name="Isosceles Triangle 471">
          <a:extLst>
            <a:ext uri="{FF2B5EF4-FFF2-40B4-BE49-F238E27FC236}">
              <a16:creationId xmlns:a16="http://schemas.microsoft.com/office/drawing/2014/main" id="{00000000-0008-0000-0B00-0000D8010000}"/>
            </a:ext>
          </a:extLst>
        </xdr:cNvPr>
        <xdr:cNvSpPr/>
      </xdr:nvSpPr>
      <xdr:spPr>
        <a:xfrm>
          <a:off x="46145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473" name="Isosceles Triangle 472">
          <a:extLst>
            <a:ext uri="{FF2B5EF4-FFF2-40B4-BE49-F238E27FC236}">
              <a16:creationId xmlns:a16="http://schemas.microsoft.com/office/drawing/2014/main" id="{00000000-0008-0000-0B00-0000D9010000}"/>
            </a:ext>
          </a:extLst>
        </xdr:cNvPr>
        <xdr:cNvSpPr/>
      </xdr:nvSpPr>
      <xdr:spPr>
        <a:xfrm>
          <a:off x="58718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474" name="Isosceles Triangle 473">
          <a:extLst>
            <a:ext uri="{FF2B5EF4-FFF2-40B4-BE49-F238E27FC236}">
              <a16:creationId xmlns:a16="http://schemas.microsoft.com/office/drawing/2014/main" id="{00000000-0008-0000-0B00-0000DA010000}"/>
            </a:ext>
          </a:extLst>
        </xdr:cNvPr>
        <xdr:cNvSpPr/>
      </xdr:nvSpPr>
      <xdr:spPr>
        <a:xfrm>
          <a:off x="71291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475" name="Isosceles Triangle 474">
          <a:extLst>
            <a:ext uri="{FF2B5EF4-FFF2-40B4-BE49-F238E27FC236}">
              <a16:creationId xmlns:a16="http://schemas.microsoft.com/office/drawing/2014/main" id="{00000000-0008-0000-0B00-0000DB010000}"/>
            </a:ext>
          </a:extLst>
        </xdr:cNvPr>
        <xdr:cNvSpPr/>
      </xdr:nvSpPr>
      <xdr:spPr>
        <a:xfrm>
          <a:off x="8386445" y="189471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476" name="Isosceles Triangle 475">
          <a:extLst>
            <a:ext uri="{FF2B5EF4-FFF2-40B4-BE49-F238E27FC236}">
              <a16:creationId xmlns:a16="http://schemas.microsoft.com/office/drawing/2014/main" id="{00000000-0008-0000-0B00-0000DC010000}"/>
            </a:ext>
          </a:extLst>
        </xdr:cNvPr>
        <xdr:cNvSpPr/>
      </xdr:nvSpPr>
      <xdr:spPr>
        <a:xfrm>
          <a:off x="109010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477" name="Isosceles Triangle 476">
          <a:extLst>
            <a:ext uri="{FF2B5EF4-FFF2-40B4-BE49-F238E27FC236}">
              <a16:creationId xmlns:a16="http://schemas.microsoft.com/office/drawing/2014/main" id="{00000000-0008-0000-0B00-0000DD010000}"/>
            </a:ext>
          </a:extLst>
        </xdr:cNvPr>
        <xdr:cNvSpPr/>
      </xdr:nvSpPr>
      <xdr:spPr>
        <a:xfrm>
          <a:off x="121583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478" name="Isosceles Triangle 477">
          <a:extLst>
            <a:ext uri="{FF2B5EF4-FFF2-40B4-BE49-F238E27FC236}">
              <a16:creationId xmlns:a16="http://schemas.microsoft.com/office/drawing/2014/main" id="{00000000-0008-0000-0B00-0000DE010000}"/>
            </a:ext>
          </a:extLst>
        </xdr:cNvPr>
        <xdr:cNvSpPr/>
      </xdr:nvSpPr>
      <xdr:spPr>
        <a:xfrm>
          <a:off x="1890395" y="206616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79" name="Isosceles Triangle 478">
          <a:extLst>
            <a:ext uri="{FF2B5EF4-FFF2-40B4-BE49-F238E27FC236}">
              <a16:creationId xmlns:a16="http://schemas.microsoft.com/office/drawing/2014/main" id="{00000000-0008-0000-0B00-0000DF010000}"/>
            </a:ext>
          </a:extLst>
        </xdr:cNvPr>
        <xdr:cNvSpPr/>
      </xdr:nvSpPr>
      <xdr:spPr>
        <a:xfrm>
          <a:off x="33572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480" name="Isosceles Triangle 479">
          <a:extLst>
            <a:ext uri="{FF2B5EF4-FFF2-40B4-BE49-F238E27FC236}">
              <a16:creationId xmlns:a16="http://schemas.microsoft.com/office/drawing/2014/main" id="{00000000-0008-0000-0B00-0000E0010000}"/>
            </a:ext>
          </a:extLst>
        </xdr:cNvPr>
        <xdr:cNvSpPr/>
      </xdr:nvSpPr>
      <xdr:spPr>
        <a:xfrm>
          <a:off x="46145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81" name="Isosceles Triangle 480">
          <a:extLst>
            <a:ext uri="{FF2B5EF4-FFF2-40B4-BE49-F238E27FC236}">
              <a16:creationId xmlns:a16="http://schemas.microsoft.com/office/drawing/2014/main" id="{00000000-0008-0000-0B00-0000E1010000}"/>
            </a:ext>
          </a:extLst>
        </xdr:cNvPr>
        <xdr:cNvSpPr/>
      </xdr:nvSpPr>
      <xdr:spPr>
        <a:xfrm>
          <a:off x="33572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482" name="Isosceles Triangle 481">
          <a:extLst>
            <a:ext uri="{FF2B5EF4-FFF2-40B4-BE49-F238E27FC236}">
              <a16:creationId xmlns:a16="http://schemas.microsoft.com/office/drawing/2014/main" id="{00000000-0008-0000-0B00-0000E2010000}"/>
            </a:ext>
          </a:extLst>
        </xdr:cNvPr>
        <xdr:cNvSpPr/>
      </xdr:nvSpPr>
      <xdr:spPr>
        <a:xfrm>
          <a:off x="63309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483" name="Isosceles Triangle 482">
          <a:extLst>
            <a:ext uri="{FF2B5EF4-FFF2-40B4-BE49-F238E27FC236}">
              <a16:creationId xmlns:a16="http://schemas.microsoft.com/office/drawing/2014/main" id="{00000000-0008-0000-0B00-0000E3010000}"/>
            </a:ext>
          </a:extLst>
        </xdr:cNvPr>
        <xdr:cNvSpPr/>
      </xdr:nvSpPr>
      <xdr:spPr>
        <a:xfrm>
          <a:off x="3357245" y="206616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484" name="Isosceles Triangle 483">
          <a:extLst>
            <a:ext uri="{FF2B5EF4-FFF2-40B4-BE49-F238E27FC236}">
              <a16:creationId xmlns:a16="http://schemas.microsoft.com/office/drawing/2014/main" id="{00000000-0008-0000-0B00-0000E4010000}"/>
            </a:ext>
          </a:extLst>
        </xdr:cNvPr>
        <xdr:cNvSpPr/>
      </xdr:nvSpPr>
      <xdr:spPr>
        <a:xfrm>
          <a:off x="58718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485" name="Isosceles Triangle 484">
          <a:extLst>
            <a:ext uri="{FF2B5EF4-FFF2-40B4-BE49-F238E27FC236}">
              <a16:creationId xmlns:a16="http://schemas.microsoft.com/office/drawing/2014/main" id="{00000000-0008-0000-0B00-0000E5010000}"/>
            </a:ext>
          </a:extLst>
        </xdr:cNvPr>
        <xdr:cNvSpPr/>
      </xdr:nvSpPr>
      <xdr:spPr>
        <a:xfrm>
          <a:off x="71291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486" name="Isosceles Triangle 485">
          <a:extLst>
            <a:ext uri="{FF2B5EF4-FFF2-40B4-BE49-F238E27FC236}">
              <a16:creationId xmlns:a16="http://schemas.microsoft.com/office/drawing/2014/main" id="{00000000-0008-0000-0B00-0000E6010000}"/>
            </a:ext>
          </a:extLst>
        </xdr:cNvPr>
        <xdr:cNvSpPr/>
      </xdr:nvSpPr>
      <xdr:spPr>
        <a:xfrm>
          <a:off x="83864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487" name="Isosceles Triangle 486">
          <a:extLst>
            <a:ext uri="{FF2B5EF4-FFF2-40B4-BE49-F238E27FC236}">
              <a16:creationId xmlns:a16="http://schemas.microsoft.com/office/drawing/2014/main" id="{00000000-0008-0000-0B00-0000E7010000}"/>
            </a:ext>
          </a:extLst>
        </xdr:cNvPr>
        <xdr:cNvSpPr/>
      </xdr:nvSpPr>
      <xdr:spPr>
        <a:xfrm>
          <a:off x="96437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488" name="Isosceles Triangle 487">
          <a:extLst>
            <a:ext uri="{FF2B5EF4-FFF2-40B4-BE49-F238E27FC236}">
              <a16:creationId xmlns:a16="http://schemas.microsoft.com/office/drawing/2014/main" id="{00000000-0008-0000-0B00-0000E8010000}"/>
            </a:ext>
          </a:extLst>
        </xdr:cNvPr>
        <xdr:cNvSpPr/>
      </xdr:nvSpPr>
      <xdr:spPr>
        <a:xfrm>
          <a:off x="109010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489" name="Isosceles Triangle 488">
          <a:extLst>
            <a:ext uri="{FF2B5EF4-FFF2-40B4-BE49-F238E27FC236}">
              <a16:creationId xmlns:a16="http://schemas.microsoft.com/office/drawing/2014/main" id="{00000000-0008-0000-0B00-0000E9010000}"/>
            </a:ext>
          </a:extLst>
        </xdr:cNvPr>
        <xdr:cNvSpPr/>
      </xdr:nvSpPr>
      <xdr:spPr>
        <a:xfrm>
          <a:off x="12158345" y="206616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490" name="Isosceles Triangle 489">
          <a:extLst>
            <a:ext uri="{FF2B5EF4-FFF2-40B4-BE49-F238E27FC236}">
              <a16:creationId xmlns:a16="http://schemas.microsoft.com/office/drawing/2014/main" id="{00000000-0008-0000-0B00-0000EA010000}"/>
            </a:ext>
          </a:extLst>
        </xdr:cNvPr>
        <xdr:cNvSpPr/>
      </xdr:nvSpPr>
      <xdr:spPr>
        <a:xfrm>
          <a:off x="63309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491" name="Isosceles Triangle 490">
          <a:extLst>
            <a:ext uri="{FF2B5EF4-FFF2-40B4-BE49-F238E27FC236}">
              <a16:creationId xmlns:a16="http://schemas.microsoft.com/office/drawing/2014/main" id="{00000000-0008-0000-0B00-0000EB010000}"/>
            </a:ext>
          </a:extLst>
        </xdr:cNvPr>
        <xdr:cNvSpPr/>
      </xdr:nvSpPr>
      <xdr:spPr>
        <a:xfrm>
          <a:off x="1890395" y="220078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492" name="Isosceles Triangle 491">
          <a:extLst>
            <a:ext uri="{FF2B5EF4-FFF2-40B4-BE49-F238E27FC236}">
              <a16:creationId xmlns:a16="http://schemas.microsoft.com/office/drawing/2014/main" id="{00000000-0008-0000-0B00-0000EC010000}"/>
            </a:ext>
          </a:extLst>
        </xdr:cNvPr>
        <xdr:cNvSpPr/>
      </xdr:nvSpPr>
      <xdr:spPr>
        <a:xfrm>
          <a:off x="46145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493" name="Isosceles Triangle 492">
          <a:extLst>
            <a:ext uri="{FF2B5EF4-FFF2-40B4-BE49-F238E27FC236}">
              <a16:creationId xmlns:a16="http://schemas.microsoft.com/office/drawing/2014/main" id="{00000000-0008-0000-0B00-0000ED010000}"/>
            </a:ext>
          </a:extLst>
        </xdr:cNvPr>
        <xdr:cNvSpPr/>
      </xdr:nvSpPr>
      <xdr:spPr>
        <a:xfrm>
          <a:off x="33572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494" name="Isosceles Triangle 493">
          <a:extLst>
            <a:ext uri="{FF2B5EF4-FFF2-40B4-BE49-F238E27FC236}">
              <a16:creationId xmlns:a16="http://schemas.microsoft.com/office/drawing/2014/main" id="{00000000-0008-0000-0B00-0000EE010000}"/>
            </a:ext>
          </a:extLst>
        </xdr:cNvPr>
        <xdr:cNvSpPr/>
      </xdr:nvSpPr>
      <xdr:spPr>
        <a:xfrm>
          <a:off x="121583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495" name="Isosceles Triangle 494">
          <a:extLst>
            <a:ext uri="{FF2B5EF4-FFF2-40B4-BE49-F238E27FC236}">
              <a16:creationId xmlns:a16="http://schemas.microsoft.com/office/drawing/2014/main" id="{00000000-0008-0000-0B00-0000EF010000}"/>
            </a:ext>
          </a:extLst>
        </xdr:cNvPr>
        <xdr:cNvSpPr/>
      </xdr:nvSpPr>
      <xdr:spPr>
        <a:xfrm>
          <a:off x="63309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496" name="Isosceles Triangle 495">
          <a:extLst>
            <a:ext uri="{FF2B5EF4-FFF2-40B4-BE49-F238E27FC236}">
              <a16:creationId xmlns:a16="http://schemas.microsoft.com/office/drawing/2014/main" id="{00000000-0008-0000-0B00-0000F0010000}"/>
            </a:ext>
          </a:extLst>
        </xdr:cNvPr>
        <xdr:cNvSpPr/>
      </xdr:nvSpPr>
      <xdr:spPr>
        <a:xfrm>
          <a:off x="9645650" y="189636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497" name="Isosceles Triangle 496">
          <a:extLst>
            <a:ext uri="{FF2B5EF4-FFF2-40B4-BE49-F238E27FC236}">
              <a16:creationId xmlns:a16="http://schemas.microsoft.com/office/drawing/2014/main" id="{00000000-0008-0000-0B00-0000F1010000}"/>
            </a:ext>
          </a:extLst>
        </xdr:cNvPr>
        <xdr:cNvSpPr/>
      </xdr:nvSpPr>
      <xdr:spPr>
        <a:xfrm>
          <a:off x="33572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498" name="Isosceles Triangle 497">
          <a:extLst>
            <a:ext uri="{FF2B5EF4-FFF2-40B4-BE49-F238E27FC236}">
              <a16:creationId xmlns:a16="http://schemas.microsoft.com/office/drawing/2014/main" id="{00000000-0008-0000-0B00-0000F2010000}"/>
            </a:ext>
          </a:extLst>
        </xdr:cNvPr>
        <xdr:cNvSpPr/>
      </xdr:nvSpPr>
      <xdr:spPr>
        <a:xfrm>
          <a:off x="46145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499" name="Isosceles Triangle 498">
          <a:extLst>
            <a:ext uri="{FF2B5EF4-FFF2-40B4-BE49-F238E27FC236}">
              <a16:creationId xmlns:a16="http://schemas.microsoft.com/office/drawing/2014/main" id="{00000000-0008-0000-0B00-0000F3010000}"/>
            </a:ext>
          </a:extLst>
        </xdr:cNvPr>
        <xdr:cNvSpPr/>
      </xdr:nvSpPr>
      <xdr:spPr>
        <a:xfrm>
          <a:off x="58718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500" name="Isosceles Triangle 499">
          <a:extLst>
            <a:ext uri="{FF2B5EF4-FFF2-40B4-BE49-F238E27FC236}">
              <a16:creationId xmlns:a16="http://schemas.microsoft.com/office/drawing/2014/main" id="{00000000-0008-0000-0B00-0000F4010000}"/>
            </a:ext>
          </a:extLst>
        </xdr:cNvPr>
        <xdr:cNvSpPr/>
      </xdr:nvSpPr>
      <xdr:spPr>
        <a:xfrm>
          <a:off x="83864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501" name="Isosceles Triangle 500">
          <a:extLst>
            <a:ext uri="{FF2B5EF4-FFF2-40B4-BE49-F238E27FC236}">
              <a16:creationId xmlns:a16="http://schemas.microsoft.com/office/drawing/2014/main" id="{00000000-0008-0000-0B00-0000F5010000}"/>
            </a:ext>
          </a:extLst>
        </xdr:cNvPr>
        <xdr:cNvSpPr/>
      </xdr:nvSpPr>
      <xdr:spPr>
        <a:xfrm>
          <a:off x="9643745" y="22007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502" name="Isosceles Triangle 501">
          <a:extLst>
            <a:ext uri="{FF2B5EF4-FFF2-40B4-BE49-F238E27FC236}">
              <a16:creationId xmlns:a16="http://schemas.microsoft.com/office/drawing/2014/main" id="{00000000-0008-0000-0B00-0000F6010000}"/>
            </a:ext>
          </a:extLst>
        </xdr:cNvPr>
        <xdr:cNvSpPr/>
      </xdr:nvSpPr>
      <xdr:spPr>
        <a:xfrm>
          <a:off x="121583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503" name="Isosceles Triangle 502">
          <a:extLst>
            <a:ext uri="{FF2B5EF4-FFF2-40B4-BE49-F238E27FC236}">
              <a16:creationId xmlns:a16="http://schemas.microsoft.com/office/drawing/2014/main" id="{00000000-0008-0000-0B00-0000F7010000}"/>
            </a:ext>
          </a:extLst>
        </xdr:cNvPr>
        <xdr:cNvSpPr/>
      </xdr:nvSpPr>
      <xdr:spPr>
        <a:xfrm>
          <a:off x="134156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504" name="Isosceles Triangle 503">
          <a:extLst>
            <a:ext uri="{FF2B5EF4-FFF2-40B4-BE49-F238E27FC236}">
              <a16:creationId xmlns:a16="http://schemas.microsoft.com/office/drawing/2014/main" id="{00000000-0008-0000-0B00-0000F8010000}"/>
            </a:ext>
          </a:extLst>
        </xdr:cNvPr>
        <xdr:cNvSpPr/>
      </xdr:nvSpPr>
      <xdr:spPr>
        <a:xfrm>
          <a:off x="1890395" y="235381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505" name="Isosceles Triangle 504">
          <a:extLst>
            <a:ext uri="{FF2B5EF4-FFF2-40B4-BE49-F238E27FC236}">
              <a16:creationId xmlns:a16="http://schemas.microsoft.com/office/drawing/2014/main" id="{00000000-0008-0000-0B00-0000F9010000}"/>
            </a:ext>
          </a:extLst>
        </xdr:cNvPr>
        <xdr:cNvSpPr/>
      </xdr:nvSpPr>
      <xdr:spPr>
        <a:xfrm>
          <a:off x="33572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506" name="Isosceles Triangle 505">
          <a:extLst>
            <a:ext uri="{FF2B5EF4-FFF2-40B4-BE49-F238E27FC236}">
              <a16:creationId xmlns:a16="http://schemas.microsoft.com/office/drawing/2014/main" id="{00000000-0008-0000-0B00-0000FA010000}"/>
            </a:ext>
          </a:extLst>
        </xdr:cNvPr>
        <xdr:cNvSpPr/>
      </xdr:nvSpPr>
      <xdr:spPr>
        <a:xfrm>
          <a:off x="46145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507" name="Isosceles Triangle 506">
          <a:extLst>
            <a:ext uri="{FF2B5EF4-FFF2-40B4-BE49-F238E27FC236}">
              <a16:creationId xmlns:a16="http://schemas.microsoft.com/office/drawing/2014/main" id="{00000000-0008-0000-0B00-0000FB010000}"/>
            </a:ext>
          </a:extLst>
        </xdr:cNvPr>
        <xdr:cNvSpPr/>
      </xdr:nvSpPr>
      <xdr:spPr>
        <a:xfrm>
          <a:off x="33572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508" name="Isosceles Triangle 507">
          <a:extLst>
            <a:ext uri="{FF2B5EF4-FFF2-40B4-BE49-F238E27FC236}">
              <a16:creationId xmlns:a16="http://schemas.microsoft.com/office/drawing/2014/main" id="{00000000-0008-0000-0B00-0000FC010000}"/>
            </a:ext>
          </a:extLst>
        </xdr:cNvPr>
        <xdr:cNvSpPr/>
      </xdr:nvSpPr>
      <xdr:spPr>
        <a:xfrm>
          <a:off x="63309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509" name="Isosceles Triangle 508">
          <a:extLst>
            <a:ext uri="{FF2B5EF4-FFF2-40B4-BE49-F238E27FC236}">
              <a16:creationId xmlns:a16="http://schemas.microsoft.com/office/drawing/2014/main" id="{00000000-0008-0000-0B00-0000FD010000}"/>
            </a:ext>
          </a:extLst>
        </xdr:cNvPr>
        <xdr:cNvSpPr/>
      </xdr:nvSpPr>
      <xdr:spPr>
        <a:xfrm>
          <a:off x="10902950" y="21994495"/>
          <a:ext cx="624205" cy="3130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510" name="Flowchart: Magnetic Disk 509">
          <a:extLst>
            <a:ext uri="{FF2B5EF4-FFF2-40B4-BE49-F238E27FC236}">
              <a16:creationId xmlns:a16="http://schemas.microsoft.com/office/drawing/2014/main" id="{00000000-0008-0000-0B00-0000FE010000}"/>
            </a:ext>
          </a:extLst>
        </xdr:cNvPr>
        <xdr:cNvSpPr/>
      </xdr:nvSpPr>
      <xdr:spPr>
        <a:xfrm>
          <a:off x="9321165" y="8750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511" name="Flowchart: Predefined Process 510">
          <a:extLst>
            <a:ext uri="{FF2B5EF4-FFF2-40B4-BE49-F238E27FC236}">
              <a16:creationId xmlns:a16="http://schemas.microsoft.com/office/drawing/2014/main" id="{00000000-0008-0000-0B00-0000FF010000}"/>
            </a:ext>
          </a:extLst>
        </xdr:cNvPr>
        <xdr:cNvSpPr/>
      </xdr:nvSpPr>
      <xdr:spPr>
        <a:xfrm>
          <a:off x="298323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512" name="Flowchart: Decision 511">
          <a:extLst>
            <a:ext uri="{FF2B5EF4-FFF2-40B4-BE49-F238E27FC236}">
              <a16:creationId xmlns:a16="http://schemas.microsoft.com/office/drawing/2014/main" id="{00000000-0008-0000-0B00-000000020000}"/>
            </a:ext>
          </a:extLst>
        </xdr:cNvPr>
        <xdr:cNvSpPr/>
      </xdr:nvSpPr>
      <xdr:spPr>
        <a:xfrm>
          <a:off x="278892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56699</xdr:rowOff>
    </xdr:from>
    <xdr:to>
      <xdr:col>3</xdr:col>
      <xdr:colOff>831371</xdr:colOff>
      <xdr:row>101</xdr:row>
      <xdr:rowOff>16542</xdr:rowOff>
    </xdr:to>
    <xdr:sp macro="" textlink="">
      <xdr:nvSpPr>
        <xdr:cNvPr id="513" name="Isosceles Triangle 512">
          <a:extLst>
            <a:ext uri="{FF2B5EF4-FFF2-40B4-BE49-F238E27FC236}">
              <a16:creationId xmlns:a16="http://schemas.microsoft.com/office/drawing/2014/main" id="{00000000-0008-0000-0B00-000001020000}"/>
            </a:ext>
          </a:extLst>
        </xdr:cNvPr>
        <xdr:cNvSpPr/>
      </xdr:nvSpPr>
      <xdr:spPr>
        <a:xfrm>
          <a:off x="1846580" y="18925540"/>
          <a:ext cx="870585" cy="3378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514" name="Isosceles Triangle 513">
          <a:extLst>
            <a:ext uri="{FF2B5EF4-FFF2-40B4-BE49-F238E27FC236}">
              <a16:creationId xmlns:a16="http://schemas.microsoft.com/office/drawing/2014/main" id="{00000000-0008-0000-0B00-000002020000}"/>
            </a:ext>
          </a:extLst>
        </xdr:cNvPr>
        <xdr:cNvSpPr/>
      </xdr:nvSpPr>
      <xdr:spPr>
        <a:xfrm>
          <a:off x="109010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515" name="Isosceles Triangle 514">
          <a:extLst>
            <a:ext uri="{FF2B5EF4-FFF2-40B4-BE49-F238E27FC236}">
              <a16:creationId xmlns:a16="http://schemas.microsoft.com/office/drawing/2014/main" id="{00000000-0008-0000-0B00-000003020000}"/>
            </a:ext>
          </a:extLst>
        </xdr:cNvPr>
        <xdr:cNvSpPr/>
      </xdr:nvSpPr>
      <xdr:spPr>
        <a:xfrm>
          <a:off x="121583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516" name="Isosceles Triangle 515">
          <a:extLst>
            <a:ext uri="{FF2B5EF4-FFF2-40B4-BE49-F238E27FC236}">
              <a16:creationId xmlns:a16="http://schemas.microsoft.com/office/drawing/2014/main" id="{00000000-0008-0000-0B00-000004020000}"/>
            </a:ext>
          </a:extLst>
        </xdr:cNvPr>
        <xdr:cNvSpPr/>
      </xdr:nvSpPr>
      <xdr:spPr>
        <a:xfrm>
          <a:off x="63309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517" name="Isosceles Triangle 516">
          <a:extLst>
            <a:ext uri="{FF2B5EF4-FFF2-40B4-BE49-F238E27FC236}">
              <a16:creationId xmlns:a16="http://schemas.microsoft.com/office/drawing/2014/main" id="{00000000-0008-0000-0B00-000005020000}"/>
            </a:ext>
          </a:extLst>
        </xdr:cNvPr>
        <xdr:cNvSpPr/>
      </xdr:nvSpPr>
      <xdr:spPr>
        <a:xfrm>
          <a:off x="1890395" y="112953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518" name="Isosceles Triangle 517">
          <a:extLst>
            <a:ext uri="{FF2B5EF4-FFF2-40B4-BE49-F238E27FC236}">
              <a16:creationId xmlns:a16="http://schemas.microsoft.com/office/drawing/2014/main" id="{00000000-0008-0000-0B00-000006020000}"/>
            </a:ext>
          </a:extLst>
        </xdr:cNvPr>
        <xdr:cNvSpPr/>
      </xdr:nvSpPr>
      <xdr:spPr>
        <a:xfrm>
          <a:off x="3357245" y="112953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519" name="Isosceles Triangle 518">
          <a:extLst>
            <a:ext uri="{FF2B5EF4-FFF2-40B4-BE49-F238E27FC236}">
              <a16:creationId xmlns:a16="http://schemas.microsoft.com/office/drawing/2014/main" id="{00000000-0008-0000-0B00-000007020000}"/>
            </a:ext>
          </a:extLst>
        </xdr:cNvPr>
        <xdr:cNvSpPr/>
      </xdr:nvSpPr>
      <xdr:spPr>
        <a:xfrm>
          <a:off x="4610100" y="1129538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520" name="Isosceles Triangle 519">
          <a:extLst>
            <a:ext uri="{FF2B5EF4-FFF2-40B4-BE49-F238E27FC236}">
              <a16:creationId xmlns:a16="http://schemas.microsoft.com/office/drawing/2014/main" id="{00000000-0008-0000-0B00-000008020000}"/>
            </a:ext>
          </a:extLst>
        </xdr:cNvPr>
        <xdr:cNvSpPr/>
      </xdr:nvSpPr>
      <xdr:spPr>
        <a:xfrm>
          <a:off x="58718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521" name="Isosceles Triangle 520">
          <a:extLst>
            <a:ext uri="{FF2B5EF4-FFF2-40B4-BE49-F238E27FC236}">
              <a16:creationId xmlns:a16="http://schemas.microsoft.com/office/drawing/2014/main" id="{00000000-0008-0000-0B00-000009020000}"/>
            </a:ext>
          </a:extLst>
        </xdr:cNvPr>
        <xdr:cNvSpPr/>
      </xdr:nvSpPr>
      <xdr:spPr>
        <a:xfrm>
          <a:off x="71291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522" name="Isosceles Triangle 521">
          <a:extLst>
            <a:ext uri="{FF2B5EF4-FFF2-40B4-BE49-F238E27FC236}">
              <a16:creationId xmlns:a16="http://schemas.microsoft.com/office/drawing/2014/main" id="{00000000-0008-0000-0B00-00000A020000}"/>
            </a:ext>
          </a:extLst>
        </xdr:cNvPr>
        <xdr:cNvSpPr/>
      </xdr:nvSpPr>
      <xdr:spPr>
        <a:xfrm>
          <a:off x="8386445" y="11295380"/>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523" name="Isosceles Triangle 522">
          <a:extLst>
            <a:ext uri="{FF2B5EF4-FFF2-40B4-BE49-F238E27FC236}">
              <a16:creationId xmlns:a16="http://schemas.microsoft.com/office/drawing/2014/main" id="{00000000-0008-0000-0B00-00000B020000}"/>
            </a:ext>
          </a:extLst>
        </xdr:cNvPr>
        <xdr:cNvSpPr/>
      </xdr:nvSpPr>
      <xdr:spPr>
        <a:xfrm>
          <a:off x="58718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524" name="Isosceles Triangle 523">
          <a:extLst>
            <a:ext uri="{FF2B5EF4-FFF2-40B4-BE49-F238E27FC236}">
              <a16:creationId xmlns:a16="http://schemas.microsoft.com/office/drawing/2014/main" id="{00000000-0008-0000-0B00-00000C020000}"/>
            </a:ext>
          </a:extLst>
        </xdr:cNvPr>
        <xdr:cNvSpPr/>
      </xdr:nvSpPr>
      <xdr:spPr>
        <a:xfrm>
          <a:off x="71291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525" name="Line 327">
          <a:extLst>
            <a:ext uri="{FF2B5EF4-FFF2-40B4-BE49-F238E27FC236}">
              <a16:creationId xmlns:a16="http://schemas.microsoft.com/office/drawing/2014/main" id="{00000000-0008-0000-0B00-00000D020000}"/>
            </a:ext>
          </a:extLst>
        </xdr:cNvPr>
        <xdr:cNvSpPr>
          <a:spLocks noChangeShapeType="1"/>
        </xdr:cNvSpPr>
      </xdr:nvSpPr>
      <xdr:spPr>
        <a:xfrm flipH="1">
          <a:off x="11644630" y="8582025"/>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526" name="Line 327">
          <a:extLst>
            <a:ext uri="{FF2B5EF4-FFF2-40B4-BE49-F238E27FC236}">
              <a16:creationId xmlns:a16="http://schemas.microsoft.com/office/drawing/2014/main" id="{00000000-0008-0000-0B00-00000E020000}"/>
            </a:ext>
          </a:extLst>
        </xdr:cNvPr>
        <xdr:cNvSpPr>
          <a:spLocks noChangeShapeType="1"/>
        </xdr:cNvSpPr>
      </xdr:nvSpPr>
      <xdr:spPr>
        <a:xfrm flipH="1">
          <a:off x="4050030" y="1160843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527" name="Line 327">
          <a:extLst>
            <a:ext uri="{FF2B5EF4-FFF2-40B4-BE49-F238E27FC236}">
              <a16:creationId xmlns:a16="http://schemas.microsoft.com/office/drawing/2014/main" id="{00000000-0008-0000-0B00-00000F020000}"/>
            </a:ext>
          </a:extLst>
        </xdr:cNvPr>
        <xdr:cNvSpPr>
          <a:spLocks noChangeShapeType="1"/>
        </xdr:cNvSpPr>
      </xdr:nvSpPr>
      <xdr:spPr>
        <a:xfrm flipH="1">
          <a:off x="6607810" y="1163447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528" name="Line 327">
          <a:extLst>
            <a:ext uri="{FF2B5EF4-FFF2-40B4-BE49-F238E27FC236}">
              <a16:creationId xmlns:a16="http://schemas.microsoft.com/office/drawing/2014/main" id="{00000000-0008-0000-0B00-000010020000}"/>
            </a:ext>
          </a:extLst>
        </xdr:cNvPr>
        <xdr:cNvSpPr>
          <a:spLocks noChangeShapeType="1"/>
        </xdr:cNvSpPr>
      </xdr:nvSpPr>
      <xdr:spPr>
        <a:xfrm flipH="1">
          <a:off x="9148445" y="1162558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529" name="Picture 13">
          <a:extLst>
            <a:ext uri="{FF2B5EF4-FFF2-40B4-BE49-F238E27FC236}">
              <a16:creationId xmlns:a16="http://schemas.microsoft.com/office/drawing/2014/main" id="{00000000-0008-0000-0B00-000011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11508105"/>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530" name="Flowchart: Magnetic Disk 529">
          <a:extLst>
            <a:ext uri="{FF2B5EF4-FFF2-40B4-BE49-F238E27FC236}">
              <a16:creationId xmlns:a16="http://schemas.microsoft.com/office/drawing/2014/main" id="{00000000-0008-0000-0B00-000012020000}"/>
            </a:ext>
          </a:extLst>
        </xdr:cNvPr>
        <xdr:cNvSpPr/>
      </xdr:nvSpPr>
      <xdr:spPr>
        <a:xfrm>
          <a:off x="11635105" y="85598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531" name="Flowchart: Magnetic Disk 530">
          <a:extLst>
            <a:ext uri="{FF2B5EF4-FFF2-40B4-BE49-F238E27FC236}">
              <a16:creationId xmlns:a16="http://schemas.microsoft.com/office/drawing/2014/main" id="{00000000-0008-0000-0B00-000013020000}"/>
            </a:ext>
          </a:extLst>
        </xdr:cNvPr>
        <xdr:cNvSpPr/>
      </xdr:nvSpPr>
      <xdr:spPr>
        <a:xfrm>
          <a:off x="5549265" y="118110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532" name="Flowchart: Magnetic Disk 531">
          <a:extLst>
            <a:ext uri="{FF2B5EF4-FFF2-40B4-BE49-F238E27FC236}">
              <a16:creationId xmlns:a16="http://schemas.microsoft.com/office/drawing/2014/main" id="{00000000-0008-0000-0B00-000014020000}"/>
            </a:ext>
          </a:extLst>
        </xdr:cNvPr>
        <xdr:cNvSpPr/>
      </xdr:nvSpPr>
      <xdr:spPr>
        <a:xfrm>
          <a:off x="6819900" y="11804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533" name="Flowchart: Predefined Process 532">
          <a:extLst>
            <a:ext uri="{FF2B5EF4-FFF2-40B4-BE49-F238E27FC236}">
              <a16:creationId xmlns:a16="http://schemas.microsoft.com/office/drawing/2014/main" id="{00000000-0008-0000-0B00-000015020000}"/>
            </a:ext>
          </a:extLst>
        </xdr:cNvPr>
        <xdr:cNvSpPr/>
      </xdr:nvSpPr>
      <xdr:spPr>
        <a:xfrm>
          <a:off x="1178433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534" name="Line 327">
          <a:extLst>
            <a:ext uri="{FF2B5EF4-FFF2-40B4-BE49-F238E27FC236}">
              <a16:creationId xmlns:a16="http://schemas.microsoft.com/office/drawing/2014/main" id="{00000000-0008-0000-0B00-000016020000}"/>
            </a:ext>
          </a:extLst>
        </xdr:cNvPr>
        <xdr:cNvSpPr>
          <a:spLocks noChangeShapeType="1"/>
        </xdr:cNvSpPr>
      </xdr:nvSpPr>
      <xdr:spPr>
        <a:xfrm flipH="1">
          <a:off x="4098290" y="1168971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535" name="Flowchart: Predefined Process 534">
          <a:extLst>
            <a:ext uri="{FF2B5EF4-FFF2-40B4-BE49-F238E27FC236}">
              <a16:creationId xmlns:a16="http://schemas.microsoft.com/office/drawing/2014/main" id="{00000000-0008-0000-0B00-000017020000}"/>
            </a:ext>
          </a:extLst>
        </xdr:cNvPr>
        <xdr:cNvSpPr/>
      </xdr:nvSpPr>
      <xdr:spPr>
        <a:xfrm>
          <a:off x="5309870" y="1167892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536" name="Flowchart: Decision 535">
          <a:extLst>
            <a:ext uri="{FF2B5EF4-FFF2-40B4-BE49-F238E27FC236}">
              <a16:creationId xmlns:a16="http://schemas.microsoft.com/office/drawing/2014/main" id="{00000000-0008-0000-0B00-000018020000}"/>
            </a:ext>
          </a:extLst>
        </xdr:cNvPr>
        <xdr:cNvSpPr/>
      </xdr:nvSpPr>
      <xdr:spPr>
        <a:xfrm>
          <a:off x="1159002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537" name="Flowchart: Magnetic Disk 536">
          <a:extLst>
            <a:ext uri="{FF2B5EF4-FFF2-40B4-BE49-F238E27FC236}">
              <a16:creationId xmlns:a16="http://schemas.microsoft.com/office/drawing/2014/main" id="{00000000-0008-0000-0B00-000019020000}"/>
            </a:ext>
          </a:extLst>
        </xdr:cNvPr>
        <xdr:cNvSpPr/>
      </xdr:nvSpPr>
      <xdr:spPr>
        <a:xfrm>
          <a:off x="6806565" y="118110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538" name="Flowchart: Predefined Process 537">
          <a:extLst>
            <a:ext uri="{FF2B5EF4-FFF2-40B4-BE49-F238E27FC236}">
              <a16:creationId xmlns:a16="http://schemas.microsoft.com/office/drawing/2014/main" id="{00000000-0008-0000-0B00-00001A020000}"/>
            </a:ext>
          </a:extLst>
        </xdr:cNvPr>
        <xdr:cNvSpPr/>
      </xdr:nvSpPr>
      <xdr:spPr>
        <a:xfrm>
          <a:off x="1516380" y="118560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539" name="Flowchart: Decision 538">
          <a:extLst>
            <a:ext uri="{FF2B5EF4-FFF2-40B4-BE49-F238E27FC236}">
              <a16:creationId xmlns:a16="http://schemas.microsoft.com/office/drawing/2014/main" id="{00000000-0008-0000-0B00-00001B020000}"/>
            </a:ext>
          </a:extLst>
        </xdr:cNvPr>
        <xdr:cNvSpPr/>
      </xdr:nvSpPr>
      <xdr:spPr>
        <a:xfrm>
          <a:off x="1322070" y="120465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540" name="Rectangle: Top Corners Snipped 539">
          <a:extLst>
            <a:ext uri="{FF2B5EF4-FFF2-40B4-BE49-F238E27FC236}">
              <a16:creationId xmlns:a16="http://schemas.microsoft.com/office/drawing/2014/main" id="{00000000-0008-0000-0B00-00001C020000}"/>
            </a:ext>
          </a:extLst>
        </xdr:cNvPr>
        <xdr:cNvSpPr/>
      </xdr:nvSpPr>
      <xdr:spPr>
        <a:xfrm>
          <a:off x="8044815" y="1184973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541" name="Isosceles Triangle 540">
          <a:extLst>
            <a:ext uri="{FF2B5EF4-FFF2-40B4-BE49-F238E27FC236}">
              <a16:creationId xmlns:a16="http://schemas.microsoft.com/office/drawing/2014/main" id="{00000000-0008-0000-0B00-00001D020000}"/>
            </a:ext>
          </a:extLst>
        </xdr:cNvPr>
        <xdr:cNvSpPr/>
      </xdr:nvSpPr>
      <xdr:spPr>
        <a:xfrm>
          <a:off x="96437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542" name="Isosceles Triangle 541">
          <a:extLst>
            <a:ext uri="{FF2B5EF4-FFF2-40B4-BE49-F238E27FC236}">
              <a16:creationId xmlns:a16="http://schemas.microsoft.com/office/drawing/2014/main" id="{00000000-0008-0000-0B00-00001E020000}"/>
            </a:ext>
          </a:extLst>
        </xdr:cNvPr>
        <xdr:cNvSpPr/>
      </xdr:nvSpPr>
      <xdr:spPr>
        <a:xfrm>
          <a:off x="63309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543" name="Isosceles Triangle 542">
          <a:extLst>
            <a:ext uri="{FF2B5EF4-FFF2-40B4-BE49-F238E27FC236}">
              <a16:creationId xmlns:a16="http://schemas.microsoft.com/office/drawing/2014/main" id="{00000000-0008-0000-0B00-00001F020000}"/>
            </a:ext>
          </a:extLst>
        </xdr:cNvPr>
        <xdr:cNvSpPr/>
      </xdr:nvSpPr>
      <xdr:spPr>
        <a:xfrm>
          <a:off x="12158345" y="97650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544" name="Isosceles Triangle 543">
          <a:extLst>
            <a:ext uri="{FF2B5EF4-FFF2-40B4-BE49-F238E27FC236}">
              <a16:creationId xmlns:a16="http://schemas.microsoft.com/office/drawing/2014/main" id="{00000000-0008-0000-0B00-000020020000}"/>
            </a:ext>
          </a:extLst>
        </xdr:cNvPr>
        <xdr:cNvSpPr/>
      </xdr:nvSpPr>
      <xdr:spPr>
        <a:xfrm>
          <a:off x="109010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545" name="Isosceles Triangle 544">
          <a:extLst>
            <a:ext uri="{FF2B5EF4-FFF2-40B4-BE49-F238E27FC236}">
              <a16:creationId xmlns:a16="http://schemas.microsoft.com/office/drawing/2014/main" id="{00000000-0008-0000-0B00-000021020000}"/>
            </a:ext>
          </a:extLst>
        </xdr:cNvPr>
        <xdr:cNvSpPr/>
      </xdr:nvSpPr>
      <xdr:spPr>
        <a:xfrm>
          <a:off x="9643745" y="976503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546" name="Line 327">
          <a:extLst>
            <a:ext uri="{FF2B5EF4-FFF2-40B4-BE49-F238E27FC236}">
              <a16:creationId xmlns:a16="http://schemas.microsoft.com/office/drawing/2014/main" id="{00000000-0008-0000-0B00-000022020000}"/>
            </a:ext>
          </a:extLst>
        </xdr:cNvPr>
        <xdr:cNvSpPr>
          <a:spLocks noChangeShapeType="1"/>
        </xdr:cNvSpPr>
      </xdr:nvSpPr>
      <xdr:spPr>
        <a:xfrm flipH="1">
          <a:off x="11664950" y="9998710"/>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547" name="Picture 13">
          <a:extLst>
            <a:ext uri="{FF2B5EF4-FFF2-40B4-BE49-F238E27FC236}">
              <a16:creationId xmlns:a16="http://schemas.microsoft.com/office/drawing/2014/main" id="{00000000-0008-0000-0B00-000023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07370" y="9968230"/>
          <a:ext cx="86360" cy="551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548" name="Line 327">
          <a:extLst>
            <a:ext uri="{FF2B5EF4-FFF2-40B4-BE49-F238E27FC236}">
              <a16:creationId xmlns:a16="http://schemas.microsoft.com/office/drawing/2014/main" id="{00000000-0008-0000-0B00-000024020000}"/>
            </a:ext>
          </a:extLst>
        </xdr:cNvPr>
        <xdr:cNvSpPr>
          <a:spLocks noChangeShapeType="1"/>
        </xdr:cNvSpPr>
      </xdr:nvSpPr>
      <xdr:spPr>
        <a:xfrm flipH="1">
          <a:off x="10304780" y="9998710"/>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549" name="Line 327">
          <a:extLst>
            <a:ext uri="{FF2B5EF4-FFF2-40B4-BE49-F238E27FC236}">
              <a16:creationId xmlns:a16="http://schemas.microsoft.com/office/drawing/2014/main" id="{00000000-0008-0000-0B00-000025020000}"/>
            </a:ext>
          </a:extLst>
        </xdr:cNvPr>
        <xdr:cNvSpPr>
          <a:spLocks noChangeShapeType="1"/>
        </xdr:cNvSpPr>
      </xdr:nvSpPr>
      <xdr:spPr>
        <a:xfrm flipH="1">
          <a:off x="10353040" y="10092055"/>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550" name="Isosceles Triangle 549">
          <a:extLst>
            <a:ext uri="{FF2B5EF4-FFF2-40B4-BE49-F238E27FC236}">
              <a16:creationId xmlns:a16="http://schemas.microsoft.com/office/drawing/2014/main" id="{00000000-0008-0000-0B00-000026020000}"/>
            </a:ext>
          </a:extLst>
        </xdr:cNvPr>
        <xdr:cNvSpPr/>
      </xdr:nvSpPr>
      <xdr:spPr>
        <a:xfrm>
          <a:off x="63309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551" name="Isosceles Triangle 550">
          <a:extLst>
            <a:ext uri="{FF2B5EF4-FFF2-40B4-BE49-F238E27FC236}">
              <a16:creationId xmlns:a16="http://schemas.microsoft.com/office/drawing/2014/main" id="{00000000-0008-0000-0B00-000027020000}"/>
            </a:ext>
          </a:extLst>
        </xdr:cNvPr>
        <xdr:cNvSpPr/>
      </xdr:nvSpPr>
      <xdr:spPr>
        <a:xfrm>
          <a:off x="1890395" y="97650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552" name="Isosceles Triangle 551">
          <a:extLst>
            <a:ext uri="{FF2B5EF4-FFF2-40B4-BE49-F238E27FC236}">
              <a16:creationId xmlns:a16="http://schemas.microsoft.com/office/drawing/2014/main" id="{00000000-0008-0000-0B00-000028020000}"/>
            </a:ext>
          </a:extLst>
        </xdr:cNvPr>
        <xdr:cNvSpPr/>
      </xdr:nvSpPr>
      <xdr:spPr>
        <a:xfrm>
          <a:off x="3357245" y="97650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553" name="Isosceles Triangle 552">
          <a:extLst>
            <a:ext uri="{FF2B5EF4-FFF2-40B4-BE49-F238E27FC236}">
              <a16:creationId xmlns:a16="http://schemas.microsoft.com/office/drawing/2014/main" id="{00000000-0008-0000-0B00-000029020000}"/>
            </a:ext>
          </a:extLst>
        </xdr:cNvPr>
        <xdr:cNvSpPr/>
      </xdr:nvSpPr>
      <xdr:spPr>
        <a:xfrm>
          <a:off x="4610100" y="976503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554" name="Isosceles Triangle 553">
          <a:extLst>
            <a:ext uri="{FF2B5EF4-FFF2-40B4-BE49-F238E27FC236}">
              <a16:creationId xmlns:a16="http://schemas.microsoft.com/office/drawing/2014/main" id="{00000000-0008-0000-0B00-00002A020000}"/>
            </a:ext>
          </a:extLst>
        </xdr:cNvPr>
        <xdr:cNvSpPr/>
      </xdr:nvSpPr>
      <xdr:spPr>
        <a:xfrm>
          <a:off x="58718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555" name="Isosceles Triangle 554">
          <a:extLst>
            <a:ext uri="{FF2B5EF4-FFF2-40B4-BE49-F238E27FC236}">
              <a16:creationId xmlns:a16="http://schemas.microsoft.com/office/drawing/2014/main" id="{00000000-0008-0000-0B00-00002B020000}"/>
            </a:ext>
          </a:extLst>
        </xdr:cNvPr>
        <xdr:cNvSpPr/>
      </xdr:nvSpPr>
      <xdr:spPr>
        <a:xfrm>
          <a:off x="71291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556" name="Isosceles Triangle 555">
          <a:extLst>
            <a:ext uri="{FF2B5EF4-FFF2-40B4-BE49-F238E27FC236}">
              <a16:creationId xmlns:a16="http://schemas.microsoft.com/office/drawing/2014/main" id="{00000000-0008-0000-0B00-00002C020000}"/>
            </a:ext>
          </a:extLst>
        </xdr:cNvPr>
        <xdr:cNvSpPr/>
      </xdr:nvSpPr>
      <xdr:spPr>
        <a:xfrm>
          <a:off x="8386445" y="9765030"/>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557" name="Isosceles Triangle 556">
          <a:extLst>
            <a:ext uri="{FF2B5EF4-FFF2-40B4-BE49-F238E27FC236}">
              <a16:creationId xmlns:a16="http://schemas.microsoft.com/office/drawing/2014/main" id="{00000000-0008-0000-0B00-00002D020000}"/>
            </a:ext>
          </a:extLst>
        </xdr:cNvPr>
        <xdr:cNvSpPr/>
      </xdr:nvSpPr>
      <xdr:spPr>
        <a:xfrm>
          <a:off x="58718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558" name="Isosceles Triangle 557">
          <a:extLst>
            <a:ext uri="{FF2B5EF4-FFF2-40B4-BE49-F238E27FC236}">
              <a16:creationId xmlns:a16="http://schemas.microsoft.com/office/drawing/2014/main" id="{00000000-0008-0000-0B00-00002E020000}"/>
            </a:ext>
          </a:extLst>
        </xdr:cNvPr>
        <xdr:cNvSpPr/>
      </xdr:nvSpPr>
      <xdr:spPr>
        <a:xfrm>
          <a:off x="71291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559" name="Line 327">
          <a:extLst>
            <a:ext uri="{FF2B5EF4-FFF2-40B4-BE49-F238E27FC236}">
              <a16:creationId xmlns:a16="http://schemas.microsoft.com/office/drawing/2014/main" id="{00000000-0008-0000-0B00-00002F020000}"/>
            </a:ext>
          </a:extLst>
        </xdr:cNvPr>
        <xdr:cNvSpPr>
          <a:spLocks noChangeShapeType="1"/>
        </xdr:cNvSpPr>
      </xdr:nvSpPr>
      <xdr:spPr>
        <a:xfrm flipH="1">
          <a:off x="4050030" y="1007808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560" name="Line 327">
          <a:extLst>
            <a:ext uri="{FF2B5EF4-FFF2-40B4-BE49-F238E27FC236}">
              <a16:creationId xmlns:a16="http://schemas.microsoft.com/office/drawing/2014/main" id="{00000000-0008-0000-0B00-000030020000}"/>
            </a:ext>
          </a:extLst>
        </xdr:cNvPr>
        <xdr:cNvSpPr>
          <a:spLocks noChangeShapeType="1"/>
        </xdr:cNvSpPr>
      </xdr:nvSpPr>
      <xdr:spPr>
        <a:xfrm flipH="1">
          <a:off x="6607810" y="1010412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561" name="Line 327">
          <a:extLst>
            <a:ext uri="{FF2B5EF4-FFF2-40B4-BE49-F238E27FC236}">
              <a16:creationId xmlns:a16="http://schemas.microsoft.com/office/drawing/2014/main" id="{00000000-0008-0000-0B00-000031020000}"/>
            </a:ext>
          </a:extLst>
        </xdr:cNvPr>
        <xdr:cNvSpPr>
          <a:spLocks noChangeShapeType="1"/>
        </xdr:cNvSpPr>
      </xdr:nvSpPr>
      <xdr:spPr>
        <a:xfrm flipH="1">
          <a:off x="9148445" y="1009523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562" name="Picture 13">
          <a:extLst>
            <a:ext uri="{FF2B5EF4-FFF2-40B4-BE49-F238E27FC236}">
              <a16:creationId xmlns:a16="http://schemas.microsoft.com/office/drawing/2014/main" id="{00000000-0008-0000-0B00-000032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9977755"/>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563" name="Flowchart: Magnetic Disk 562">
          <a:extLst>
            <a:ext uri="{FF2B5EF4-FFF2-40B4-BE49-F238E27FC236}">
              <a16:creationId xmlns:a16="http://schemas.microsoft.com/office/drawing/2014/main" id="{00000000-0008-0000-0B00-000033020000}"/>
            </a:ext>
          </a:extLst>
        </xdr:cNvPr>
        <xdr:cNvSpPr/>
      </xdr:nvSpPr>
      <xdr:spPr>
        <a:xfrm>
          <a:off x="55492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564" name="Flowchart: Magnetic Disk 563">
          <a:extLst>
            <a:ext uri="{FF2B5EF4-FFF2-40B4-BE49-F238E27FC236}">
              <a16:creationId xmlns:a16="http://schemas.microsoft.com/office/drawing/2014/main" id="{00000000-0008-0000-0B00-000034020000}"/>
            </a:ext>
          </a:extLst>
        </xdr:cNvPr>
        <xdr:cNvSpPr/>
      </xdr:nvSpPr>
      <xdr:spPr>
        <a:xfrm>
          <a:off x="6819900" y="10274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565" name="Line 327">
          <a:extLst>
            <a:ext uri="{FF2B5EF4-FFF2-40B4-BE49-F238E27FC236}">
              <a16:creationId xmlns:a16="http://schemas.microsoft.com/office/drawing/2014/main" id="{00000000-0008-0000-0B00-000035020000}"/>
            </a:ext>
          </a:extLst>
        </xdr:cNvPr>
        <xdr:cNvSpPr>
          <a:spLocks noChangeShapeType="1"/>
        </xdr:cNvSpPr>
      </xdr:nvSpPr>
      <xdr:spPr>
        <a:xfrm flipH="1">
          <a:off x="4098290" y="1015936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566" name="Flowchart: Predefined Process 565">
          <a:extLst>
            <a:ext uri="{FF2B5EF4-FFF2-40B4-BE49-F238E27FC236}">
              <a16:creationId xmlns:a16="http://schemas.microsoft.com/office/drawing/2014/main" id="{00000000-0008-0000-0B00-000036020000}"/>
            </a:ext>
          </a:extLst>
        </xdr:cNvPr>
        <xdr:cNvSpPr/>
      </xdr:nvSpPr>
      <xdr:spPr>
        <a:xfrm>
          <a:off x="5309870" y="1014857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567" name="Flowchart: Magnetic Disk 566">
          <a:extLst>
            <a:ext uri="{FF2B5EF4-FFF2-40B4-BE49-F238E27FC236}">
              <a16:creationId xmlns:a16="http://schemas.microsoft.com/office/drawing/2014/main" id="{00000000-0008-0000-0B00-000037020000}"/>
            </a:ext>
          </a:extLst>
        </xdr:cNvPr>
        <xdr:cNvSpPr/>
      </xdr:nvSpPr>
      <xdr:spPr>
        <a:xfrm>
          <a:off x="68065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568" name="Flowchart: Predefined Process 567">
          <a:extLst>
            <a:ext uri="{FF2B5EF4-FFF2-40B4-BE49-F238E27FC236}">
              <a16:creationId xmlns:a16="http://schemas.microsoft.com/office/drawing/2014/main" id="{00000000-0008-0000-0B00-000038020000}"/>
            </a:ext>
          </a:extLst>
        </xdr:cNvPr>
        <xdr:cNvSpPr/>
      </xdr:nvSpPr>
      <xdr:spPr>
        <a:xfrm>
          <a:off x="151638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569" name="Flowchart: Decision 568">
          <a:extLst>
            <a:ext uri="{FF2B5EF4-FFF2-40B4-BE49-F238E27FC236}">
              <a16:creationId xmlns:a16="http://schemas.microsoft.com/office/drawing/2014/main" id="{00000000-0008-0000-0B00-000039020000}"/>
            </a:ext>
          </a:extLst>
        </xdr:cNvPr>
        <xdr:cNvSpPr/>
      </xdr:nvSpPr>
      <xdr:spPr>
        <a:xfrm>
          <a:off x="132207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570" name="Rectangle: Top Corners Snipped 569">
          <a:extLst>
            <a:ext uri="{FF2B5EF4-FFF2-40B4-BE49-F238E27FC236}">
              <a16:creationId xmlns:a16="http://schemas.microsoft.com/office/drawing/2014/main" id="{00000000-0008-0000-0B00-00003A020000}"/>
            </a:ext>
          </a:extLst>
        </xdr:cNvPr>
        <xdr:cNvSpPr/>
      </xdr:nvSpPr>
      <xdr:spPr>
        <a:xfrm>
          <a:off x="8044815" y="1031938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571" name="Isosceles Triangle 570">
          <a:extLst>
            <a:ext uri="{FF2B5EF4-FFF2-40B4-BE49-F238E27FC236}">
              <a16:creationId xmlns:a16="http://schemas.microsoft.com/office/drawing/2014/main" id="{00000000-0008-0000-0B00-00003B020000}"/>
            </a:ext>
          </a:extLst>
        </xdr:cNvPr>
        <xdr:cNvSpPr/>
      </xdr:nvSpPr>
      <xdr:spPr>
        <a:xfrm>
          <a:off x="96437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572" name="Flowchart: Predefined Process 571">
          <a:extLst>
            <a:ext uri="{FF2B5EF4-FFF2-40B4-BE49-F238E27FC236}">
              <a16:creationId xmlns:a16="http://schemas.microsoft.com/office/drawing/2014/main" id="{00000000-0008-0000-0B00-00003C020000}"/>
            </a:ext>
          </a:extLst>
        </xdr:cNvPr>
        <xdr:cNvSpPr/>
      </xdr:nvSpPr>
      <xdr:spPr>
        <a:xfrm>
          <a:off x="151638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573" name="Flowchart: Decision 572">
          <a:extLst>
            <a:ext uri="{FF2B5EF4-FFF2-40B4-BE49-F238E27FC236}">
              <a16:creationId xmlns:a16="http://schemas.microsoft.com/office/drawing/2014/main" id="{00000000-0008-0000-0B00-00003D020000}"/>
            </a:ext>
          </a:extLst>
        </xdr:cNvPr>
        <xdr:cNvSpPr/>
      </xdr:nvSpPr>
      <xdr:spPr>
        <a:xfrm>
          <a:off x="132207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574" name="Flowchart: Magnetic Disk 573">
          <a:extLst>
            <a:ext uri="{FF2B5EF4-FFF2-40B4-BE49-F238E27FC236}">
              <a16:creationId xmlns:a16="http://schemas.microsoft.com/office/drawing/2014/main" id="{00000000-0008-0000-0B00-00003E020000}"/>
            </a:ext>
          </a:extLst>
        </xdr:cNvPr>
        <xdr:cNvSpPr/>
      </xdr:nvSpPr>
      <xdr:spPr>
        <a:xfrm>
          <a:off x="80638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575" name="Flowchart: Magnetic Disk 574">
          <a:extLst>
            <a:ext uri="{FF2B5EF4-FFF2-40B4-BE49-F238E27FC236}">
              <a16:creationId xmlns:a16="http://schemas.microsoft.com/office/drawing/2014/main" id="{00000000-0008-0000-0B00-00003F020000}"/>
            </a:ext>
          </a:extLst>
        </xdr:cNvPr>
        <xdr:cNvSpPr/>
      </xdr:nvSpPr>
      <xdr:spPr>
        <a:xfrm>
          <a:off x="93211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576" name="Flowchart: Predefined Process 575">
          <a:extLst>
            <a:ext uri="{FF2B5EF4-FFF2-40B4-BE49-F238E27FC236}">
              <a16:creationId xmlns:a16="http://schemas.microsoft.com/office/drawing/2014/main" id="{00000000-0008-0000-0B00-000040020000}"/>
            </a:ext>
          </a:extLst>
        </xdr:cNvPr>
        <xdr:cNvSpPr/>
      </xdr:nvSpPr>
      <xdr:spPr>
        <a:xfrm>
          <a:off x="424053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577" name="Flowchart: Decision 576">
          <a:extLst>
            <a:ext uri="{FF2B5EF4-FFF2-40B4-BE49-F238E27FC236}">
              <a16:creationId xmlns:a16="http://schemas.microsoft.com/office/drawing/2014/main" id="{00000000-0008-0000-0B00-000041020000}"/>
            </a:ext>
          </a:extLst>
        </xdr:cNvPr>
        <xdr:cNvSpPr/>
      </xdr:nvSpPr>
      <xdr:spPr>
        <a:xfrm>
          <a:off x="404622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578" name="Rectangle: Top Corners Snipped 577">
          <a:extLst>
            <a:ext uri="{FF2B5EF4-FFF2-40B4-BE49-F238E27FC236}">
              <a16:creationId xmlns:a16="http://schemas.microsoft.com/office/drawing/2014/main" id="{00000000-0008-0000-0B00-000042020000}"/>
            </a:ext>
          </a:extLst>
        </xdr:cNvPr>
        <xdr:cNvSpPr/>
      </xdr:nvSpPr>
      <xdr:spPr>
        <a:xfrm>
          <a:off x="10559415" y="1031938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579" name="Flowchart: Predefined Process 578">
          <a:extLst>
            <a:ext uri="{FF2B5EF4-FFF2-40B4-BE49-F238E27FC236}">
              <a16:creationId xmlns:a16="http://schemas.microsoft.com/office/drawing/2014/main" id="{00000000-0008-0000-0B00-000043020000}"/>
            </a:ext>
          </a:extLst>
        </xdr:cNvPr>
        <xdr:cNvSpPr/>
      </xdr:nvSpPr>
      <xdr:spPr>
        <a:xfrm>
          <a:off x="9204960" y="11843385"/>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580" name="Rectangle: Top Corners Snipped 579">
          <a:extLst>
            <a:ext uri="{FF2B5EF4-FFF2-40B4-BE49-F238E27FC236}">
              <a16:creationId xmlns:a16="http://schemas.microsoft.com/office/drawing/2014/main" id="{00000000-0008-0000-0B00-000044020000}"/>
            </a:ext>
          </a:extLst>
        </xdr:cNvPr>
        <xdr:cNvSpPr/>
      </xdr:nvSpPr>
      <xdr:spPr>
        <a:xfrm>
          <a:off x="11835765" y="11908155"/>
          <a:ext cx="168910"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581" name="Flowchart: Predefined Process 580">
          <a:extLst>
            <a:ext uri="{FF2B5EF4-FFF2-40B4-BE49-F238E27FC236}">
              <a16:creationId xmlns:a16="http://schemas.microsoft.com/office/drawing/2014/main" id="{00000000-0008-0000-0B00-000045020000}"/>
            </a:ext>
          </a:extLst>
        </xdr:cNvPr>
        <xdr:cNvSpPr/>
      </xdr:nvSpPr>
      <xdr:spPr>
        <a:xfrm>
          <a:off x="10462260" y="11843385"/>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582" name="Isosceles Triangle 581">
          <a:extLst>
            <a:ext uri="{FF2B5EF4-FFF2-40B4-BE49-F238E27FC236}">
              <a16:creationId xmlns:a16="http://schemas.microsoft.com/office/drawing/2014/main" id="{00000000-0008-0000-0B00-000046020000}"/>
            </a:ext>
          </a:extLst>
        </xdr:cNvPr>
        <xdr:cNvSpPr/>
      </xdr:nvSpPr>
      <xdr:spPr>
        <a:xfrm>
          <a:off x="71291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583" name="Isosceles Triangle 582">
          <a:extLst>
            <a:ext uri="{FF2B5EF4-FFF2-40B4-BE49-F238E27FC236}">
              <a16:creationId xmlns:a16="http://schemas.microsoft.com/office/drawing/2014/main" id="{00000000-0008-0000-0B00-000047020000}"/>
            </a:ext>
          </a:extLst>
        </xdr:cNvPr>
        <xdr:cNvSpPr/>
      </xdr:nvSpPr>
      <xdr:spPr>
        <a:xfrm>
          <a:off x="33572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584" name="Isosceles Triangle 583">
          <a:extLst>
            <a:ext uri="{FF2B5EF4-FFF2-40B4-BE49-F238E27FC236}">
              <a16:creationId xmlns:a16="http://schemas.microsoft.com/office/drawing/2014/main" id="{00000000-0008-0000-0B00-000048020000}"/>
            </a:ext>
          </a:extLst>
        </xdr:cNvPr>
        <xdr:cNvSpPr/>
      </xdr:nvSpPr>
      <xdr:spPr>
        <a:xfrm>
          <a:off x="46145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585" name="Isosceles Triangle 584">
          <a:extLst>
            <a:ext uri="{FF2B5EF4-FFF2-40B4-BE49-F238E27FC236}">
              <a16:creationId xmlns:a16="http://schemas.microsoft.com/office/drawing/2014/main" id="{00000000-0008-0000-0B00-000049020000}"/>
            </a:ext>
          </a:extLst>
        </xdr:cNvPr>
        <xdr:cNvSpPr/>
      </xdr:nvSpPr>
      <xdr:spPr>
        <a:xfrm>
          <a:off x="58718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586" name="Isosceles Triangle 585">
          <a:extLst>
            <a:ext uri="{FF2B5EF4-FFF2-40B4-BE49-F238E27FC236}">
              <a16:creationId xmlns:a16="http://schemas.microsoft.com/office/drawing/2014/main" id="{00000000-0008-0000-0B00-00004A020000}"/>
            </a:ext>
          </a:extLst>
        </xdr:cNvPr>
        <xdr:cNvSpPr/>
      </xdr:nvSpPr>
      <xdr:spPr>
        <a:xfrm>
          <a:off x="71291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587" name="Isosceles Triangle 586">
          <a:extLst>
            <a:ext uri="{FF2B5EF4-FFF2-40B4-BE49-F238E27FC236}">
              <a16:creationId xmlns:a16="http://schemas.microsoft.com/office/drawing/2014/main" id="{00000000-0008-0000-0B00-00004B020000}"/>
            </a:ext>
          </a:extLst>
        </xdr:cNvPr>
        <xdr:cNvSpPr/>
      </xdr:nvSpPr>
      <xdr:spPr>
        <a:xfrm>
          <a:off x="83864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588" name="Isosceles Triangle 587">
          <a:extLst>
            <a:ext uri="{FF2B5EF4-FFF2-40B4-BE49-F238E27FC236}">
              <a16:creationId xmlns:a16="http://schemas.microsoft.com/office/drawing/2014/main" id="{00000000-0008-0000-0B00-00004C020000}"/>
            </a:ext>
          </a:extLst>
        </xdr:cNvPr>
        <xdr:cNvSpPr/>
      </xdr:nvSpPr>
      <xdr:spPr>
        <a:xfrm>
          <a:off x="96437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589" name="Isosceles Triangle 588">
          <a:extLst>
            <a:ext uri="{FF2B5EF4-FFF2-40B4-BE49-F238E27FC236}">
              <a16:creationId xmlns:a16="http://schemas.microsoft.com/office/drawing/2014/main" id="{00000000-0008-0000-0B00-00004D020000}"/>
            </a:ext>
          </a:extLst>
        </xdr:cNvPr>
        <xdr:cNvSpPr/>
      </xdr:nvSpPr>
      <xdr:spPr>
        <a:xfrm>
          <a:off x="109010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590" name="Isosceles Triangle 589">
          <a:extLst>
            <a:ext uri="{FF2B5EF4-FFF2-40B4-BE49-F238E27FC236}">
              <a16:creationId xmlns:a16="http://schemas.microsoft.com/office/drawing/2014/main" id="{00000000-0008-0000-0B00-00004E020000}"/>
            </a:ext>
          </a:extLst>
        </xdr:cNvPr>
        <xdr:cNvSpPr/>
      </xdr:nvSpPr>
      <xdr:spPr>
        <a:xfrm>
          <a:off x="121583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591" name="Isosceles Triangle 590">
          <a:extLst>
            <a:ext uri="{FF2B5EF4-FFF2-40B4-BE49-F238E27FC236}">
              <a16:creationId xmlns:a16="http://schemas.microsoft.com/office/drawing/2014/main" id="{00000000-0008-0000-0B00-00004F020000}"/>
            </a:ext>
          </a:extLst>
        </xdr:cNvPr>
        <xdr:cNvSpPr/>
      </xdr:nvSpPr>
      <xdr:spPr>
        <a:xfrm>
          <a:off x="134156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592" name="Isosceles Triangle 591">
          <a:extLst>
            <a:ext uri="{FF2B5EF4-FFF2-40B4-BE49-F238E27FC236}">
              <a16:creationId xmlns:a16="http://schemas.microsoft.com/office/drawing/2014/main" id="{00000000-0008-0000-0B00-000050020000}"/>
            </a:ext>
          </a:extLst>
        </xdr:cNvPr>
        <xdr:cNvSpPr/>
      </xdr:nvSpPr>
      <xdr:spPr>
        <a:xfrm>
          <a:off x="1890395" y="252526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593" name="Isosceles Triangle 592">
          <a:extLst>
            <a:ext uri="{FF2B5EF4-FFF2-40B4-BE49-F238E27FC236}">
              <a16:creationId xmlns:a16="http://schemas.microsoft.com/office/drawing/2014/main" id="{00000000-0008-0000-0B00-000051020000}"/>
            </a:ext>
          </a:extLst>
        </xdr:cNvPr>
        <xdr:cNvSpPr/>
      </xdr:nvSpPr>
      <xdr:spPr>
        <a:xfrm>
          <a:off x="63309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594" name="Isosceles Triangle 593">
          <a:extLst>
            <a:ext uri="{FF2B5EF4-FFF2-40B4-BE49-F238E27FC236}">
              <a16:creationId xmlns:a16="http://schemas.microsoft.com/office/drawing/2014/main" id="{00000000-0008-0000-0B00-000052020000}"/>
            </a:ext>
          </a:extLst>
        </xdr:cNvPr>
        <xdr:cNvSpPr/>
      </xdr:nvSpPr>
      <xdr:spPr>
        <a:xfrm>
          <a:off x="33572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595" name="Isosceles Triangle 594">
          <a:extLst>
            <a:ext uri="{FF2B5EF4-FFF2-40B4-BE49-F238E27FC236}">
              <a16:creationId xmlns:a16="http://schemas.microsoft.com/office/drawing/2014/main" id="{00000000-0008-0000-0B00-000053020000}"/>
            </a:ext>
          </a:extLst>
        </xdr:cNvPr>
        <xdr:cNvSpPr/>
      </xdr:nvSpPr>
      <xdr:spPr>
        <a:xfrm>
          <a:off x="46145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596" name="Isosceles Triangle 595">
          <a:extLst>
            <a:ext uri="{FF2B5EF4-FFF2-40B4-BE49-F238E27FC236}">
              <a16:creationId xmlns:a16="http://schemas.microsoft.com/office/drawing/2014/main" id="{00000000-0008-0000-0B00-000054020000}"/>
            </a:ext>
          </a:extLst>
        </xdr:cNvPr>
        <xdr:cNvSpPr/>
      </xdr:nvSpPr>
      <xdr:spPr>
        <a:xfrm>
          <a:off x="58718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597" name="Isosceles Triangle 596">
          <a:extLst>
            <a:ext uri="{FF2B5EF4-FFF2-40B4-BE49-F238E27FC236}">
              <a16:creationId xmlns:a16="http://schemas.microsoft.com/office/drawing/2014/main" id="{00000000-0008-0000-0B00-000055020000}"/>
            </a:ext>
          </a:extLst>
        </xdr:cNvPr>
        <xdr:cNvSpPr/>
      </xdr:nvSpPr>
      <xdr:spPr>
        <a:xfrm>
          <a:off x="71291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598" name="Isosceles Triangle 597">
          <a:extLst>
            <a:ext uri="{FF2B5EF4-FFF2-40B4-BE49-F238E27FC236}">
              <a16:creationId xmlns:a16="http://schemas.microsoft.com/office/drawing/2014/main" id="{00000000-0008-0000-0B00-000056020000}"/>
            </a:ext>
          </a:extLst>
        </xdr:cNvPr>
        <xdr:cNvSpPr/>
      </xdr:nvSpPr>
      <xdr:spPr>
        <a:xfrm>
          <a:off x="83864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599" name="Isosceles Triangle 598">
          <a:extLst>
            <a:ext uri="{FF2B5EF4-FFF2-40B4-BE49-F238E27FC236}">
              <a16:creationId xmlns:a16="http://schemas.microsoft.com/office/drawing/2014/main" id="{00000000-0008-0000-0B00-000057020000}"/>
            </a:ext>
          </a:extLst>
        </xdr:cNvPr>
        <xdr:cNvSpPr/>
      </xdr:nvSpPr>
      <xdr:spPr>
        <a:xfrm>
          <a:off x="96437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600" name="Isosceles Triangle 599">
          <a:extLst>
            <a:ext uri="{FF2B5EF4-FFF2-40B4-BE49-F238E27FC236}">
              <a16:creationId xmlns:a16="http://schemas.microsoft.com/office/drawing/2014/main" id="{00000000-0008-0000-0B00-000058020000}"/>
            </a:ext>
          </a:extLst>
        </xdr:cNvPr>
        <xdr:cNvSpPr/>
      </xdr:nvSpPr>
      <xdr:spPr>
        <a:xfrm>
          <a:off x="109010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601" name="Isosceles Triangle 600">
          <a:extLst>
            <a:ext uri="{FF2B5EF4-FFF2-40B4-BE49-F238E27FC236}">
              <a16:creationId xmlns:a16="http://schemas.microsoft.com/office/drawing/2014/main" id="{00000000-0008-0000-0B00-000059020000}"/>
            </a:ext>
          </a:extLst>
        </xdr:cNvPr>
        <xdr:cNvSpPr/>
      </xdr:nvSpPr>
      <xdr:spPr>
        <a:xfrm>
          <a:off x="121583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602" name="Isosceles Triangle 601">
          <a:extLst>
            <a:ext uri="{FF2B5EF4-FFF2-40B4-BE49-F238E27FC236}">
              <a16:creationId xmlns:a16="http://schemas.microsoft.com/office/drawing/2014/main" id="{00000000-0008-0000-0B00-00005A020000}"/>
            </a:ext>
          </a:extLst>
        </xdr:cNvPr>
        <xdr:cNvSpPr/>
      </xdr:nvSpPr>
      <xdr:spPr>
        <a:xfrm>
          <a:off x="134156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603" name="Isosceles Triangle 602">
          <a:extLst>
            <a:ext uri="{FF2B5EF4-FFF2-40B4-BE49-F238E27FC236}">
              <a16:creationId xmlns:a16="http://schemas.microsoft.com/office/drawing/2014/main" id="{00000000-0008-0000-0B00-00005B020000}"/>
            </a:ext>
          </a:extLst>
        </xdr:cNvPr>
        <xdr:cNvSpPr/>
      </xdr:nvSpPr>
      <xdr:spPr>
        <a:xfrm>
          <a:off x="1890395" y="269671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604" name="Isosceles Triangle 603">
          <a:extLst>
            <a:ext uri="{FF2B5EF4-FFF2-40B4-BE49-F238E27FC236}">
              <a16:creationId xmlns:a16="http://schemas.microsoft.com/office/drawing/2014/main" id="{00000000-0008-0000-0B00-00005C020000}"/>
            </a:ext>
          </a:extLst>
        </xdr:cNvPr>
        <xdr:cNvSpPr/>
      </xdr:nvSpPr>
      <xdr:spPr>
        <a:xfrm>
          <a:off x="63309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605" name="Isosceles Triangle 604">
          <a:extLst>
            <a:ext uri="{FF2B5EF4-FFF2-40B4-BE49-F238E27FC236}">
              <a16:creationId xmlns:a16="http://schemas.microsoft.com/office/drawing/2014/main" id="{00000000-0008-0000-0B00-00005D020000}"/>
            </a:ext>
          </a:extLst>
        </xdr:cNvPr>
        <xdr:cNvSpPr/>
      </xdr:nvSpPr>
      <xdr:spPr>
        <a:xfrm>
          <a:off x="33572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606" name="Isosceles Triangle 605">
          <a:extLst>
            <a:ext uri="{FF2B5EF4-FFF2-40B4-BE49-F238E27FC236}">
              <a16:creationId xmlns:a16="http://schemas.microsoft.com/office/drawing/2014/main" id="{00000000-0008-0000-0B00-00005E020000}"/>
            </a:ext>
          </a:extLst>
        </xdr:cNvPr>
        <xdr:cNvSpPr/>
      </xdr:nvSpPr>
      <xdr:spPr>
        <a:xfrm>
          <a:off x="46145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607" name="Isosceles Triangle 606">
          <a:extLst>
            <a:ext uri="{FF2B5EF4-FFF2-40B4-BE49-F238E27FC236}">
              <a16:creationId xmlns:a16="http://schemas.microsoft.com/office/drawing/2014/main" id="{00000000-0008-0000-0B00-00005F020000}"/>
            </a:ext>
          </a:extLst>
        </xdr:cNvPr>
        <xdr:cNvSpPr/>
      </xdr:nvSpPr>
      <xdr:spPr>
        <a:xfrm>
          <a:off x="58718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608" name="Isosceles Triangle 607">
          <a:extLst>
            <a:ext uri="{FF2B5EF4-FFF2-40B4-BE49-F238E27FC236}">
              <a16:creationId xmlns:a16="http://schemas.microsoft.com/office/drawing/2014/main" id="{00000000-0008-0000-0B00-000060020000}"/>
            </a:ext>
          </a:extLst>
        </xdr:cNvPr>
        <xdr:cNvSpPr/>
      </xdr:nvSpPr>
      <xdr:spPr>
        <a:xfrm>
          <a:off x="71291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609" name="Isosceles Triangle 608">
          <a:extLst>
            <a:ext uri="{FF2B5EF4-FFF2-40B4-BE49-F238E27FC236}">
              <a16:creationId xmlns:a16="http://schemas.microsoft.com/office/drawing/2014/main" id="{00000000-0008-0000-0B00-000061020000}"/>
            </a:ext>
          </a:extLst>
        </xdr:cNvPr>
        <xdr:cNvSpPr/>
      </xdr:nvSpPr>
      <xdr:spPr>
        <a:xfrm>
          <a:off x="83864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610" name="Isosceles Triangle 609">
          <a:extLst>
            <a:ext uri="{FF2B5EF4-FFF2-40B4-BE49-F238E27FC236}">
              <a16:creationId xmlns:a16="http://schemas.microsoft.com/office/drawing/2014/main" id="{00000000-0008-0000-0B00-000062020000}"/>
            </a:ext>
          </a:extLst>
        </xdr:cNvPr>
        <xdr:cNvSpPr/>
      </xdr:nvSpPr>
      <xdr:spPr>
        <a:xfrm>
          <a:off x="96437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611" name="Isosceles Triangle 610">
          <a:extLst>
            <a:ext uri="{FF2B5EF4-FFF2-40B4-BE49-F238E27FC236}">
              <a16:creationId xmlns:a16="http://schemas.microsoft.com/office/drawing/2014/main" id="{00000000-0008-0000-0B00-000063020000}"/>
            </a:ext>
          </a:extLst>
        </xdr:cNvPr>
        <xdr:cNvSpPr/>
      </xdr:nvSpPr>
      <xdr:spPr>
        <a:xfrm>
          <a:off x="109010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612" name="Isosceles Triangle 611">
          <a:extLst>
            <a:ext uri="{FF2B5EF4-FFF2-40B4-BE49-F238E27FC236}">
              <a16:creationId xmlns:a16="http://schemas.microsoft.com/office/drawing/2014/main" id="{00000000-0008-0000-0B00-000064020000}"/>
            </a:ext>
          </a:extLst>
        </xdr:cNvPr>
        <xdr:cNvSpPr/>
      </xdr:nvSpPr>
      <xdr:spPr>
        <a:xfrm>
          <a:off x="121583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613" name="Isosceles Triangle 612">
          <a:extLst>
            <a:ext uri="{FF2B5EF4-FFF2-40B4-BE49-F238E27FC236}">
              <a16:creationId xmlns:a16="http://schemas.microsoft.com/office/drawing/2014/main" id="{00000000-0008-0000-0B00-000065020000}"/>
            </a:ext>
          </a:extLst>
        </xdr:cNvPr>
        <xdr:cNvSpPr/>
      </xdr:nvSpPr>
      <xdr:spPr>
        <a:xfrm>
          <a:off x="134156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625" name="Isosceles Triangle 624">
          <a:extLst>
            <a:ext uri="{FF2B5EF4-FFF2-40B4-BE49-F238E27FC236}">
              <a16:creationId xmlns:a16="http://schemas.microsoft.com/office/drawing/2014/main" id="{00000000-0008-0000-0B00-000071020000}"/>
            </a:ext>
          </a:extLst>
        </xdr:cNvPr>
        <xdr:cNvSpPr/>
      </xdr:nvSpPr>
      <xdr:spPr>
        <a:xfrm>
          <a:off x="1890395" y="302120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626" name="Isosceles Triangle 625">
          <a:extLst>
            <a:ext uri="{FF2B5EF4-FFF2-40B4-BE49-F238E27FC236}">
              <a16:creationId xmlns:a16="http://schemas.microsoft.com/office/drawing/2014/main" id="{00000000-0008-0000-0B00-000072020000}"/>
            </a:ext>
          </a:extLst>
        </xdr:cNvPr>
        <xdr:cNvSpPr/>
      </xdr:nvSpPr>
      <xdr:spPr>
        <a:xfrm>
          <a:off x="63309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627" name="Isosceles Triangle 626">
          <a:extLst>
            <a:ext uri="{FF2B5EF4-FFF2-40B4-BE49-F238E27FC236}">
              <a16:creationId xmlns:a16="http://schemas.microsoft.com/office/drawing/2014/main" id="{00000000-0008-0000-0B00-000073020000}"/>
            </a:ext>
          </a:extLst>
        </xdr:cNvPr>
        <xdr:cNvSpPr/>
      </xdr:nvSpPr>
      <xdr:spPr>
        <a:xfrm>
          <a:off x="33572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628" name="Isosceles Triangle 627">
          <a:extLst>
            <a:ext uri="{FF2B5EF4-FFF2-40B4-BE49-F238E27FC236}">
              <a16:creationId xmlns:a16="http://schemas.microsoft.com/office/drawing/2014/main" id="{00000000-0008-0000-0B00-000074020000}"/>
            </a:ext>
          </a:extLst>
        </xdr:cNvPr>
        <xdr:cNvSpPr/>
      </xdr:nvSpPr>
      <xdr:spPr>
        <a:xfrm>
          <a:off x="46145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629" name="Isosceles Triangle 628">
          <a:extLst>
            <a:ext uri="{FF2B5EF4-FFF2-40B4-BE49-F238E27FC236}">
              <a16:creationId xmlns:a16="http://schemas.microsoft.com/office/drawing/2014/main" id="{00000000-0008-0000-0B00-000075020000}"/>
            </a:ext>
          </a:extLst>
        </xdr:cNvPr>
        <xdr:cNvSpPr/>
      </xdr:nvSpPr>
      <xdr:spPr>
        <a:xfrm>
          <a:off x="58718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630" name="Isosceles Triangle 629">
          <a:extLst>
            <a:ext uri="{FF2B5EF4-FFF2-40B4-BE49-F238E27FC236}">
              <a16:creationId xmlns:a16="http://schemas.microsoft.com/office/drawing/2014/main" id="{00000000-0008-0000-0B00-000076020000}"/>
            </a:ext>
          </a:extLst>
        </xdr:cNvPr>
        <xdr:cNvSpPr/>
      </xdr:nvSpPr>
      <xdr:spPr>
        <a:xfrm>
          <a:off x="71291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631" name="Isosceles Triangle 630">
          <a:extLst>
            <a:ext uri="{FF2B5EF4-FFF2-40B4-BE49-F238E27FC236}">
              <a16:creationId xmlns:a16="http://schemas.microsoft.com/office/drawing/2014/main" id="{00000000-0008-0000-0B00-000077020000}"/>
            </a:ext>
          </a:extLst>
        </xdr:cNvPr>
        <xdr:cNvSpPr/>
      </xdr:nvSpPr>
      <xdr:spPr>
        <a:xfrm>
          <a:off x="83864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632" name="Isosceles Triangle 631">
          <a:extLst>
            <a:ext uri="{FF2B5EF4-FFF2-40B4-BE49-F238E27FC236}">
              <a16:creationId xmlns:a16="http://schemas.microsoft.com/office/drawing/2014/main" id="{00000000-0008-0000-0B00-000078020000}"/>
            </a:ext>
          </a:extLst>
        </xdr:cNvPr>
        <xdr:cNvSpPr/>
      </xdr:nvSpPr>
      <xdr:spPr>
        <a:xfrm>
          <a:off x="96437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633" name="Isosceles Triangle 632">
          <a:extLst>
            <a:ext uri="{FF2B5EF4-FFF2-40B4-BE49-F238E27FC236}">
              <a16:creationId xmlns:a16="http://schemas.microsoft.com/office/drawing/2014/main" id="{00000000-0008-0000-0B00-000079020000}"/>
            </a:ext>
          </a:extLst>
        </xdr:cNvPr>
        <xdr:cNvSpPr/>
      </xdr:nvSpPr>
      <xdr:spPr>
        <a:xfrm>
          <a:off x="109010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634" name="Isosceles Triangle 633">
          <a:extLst>
            <a:ext uri="{FF2B5EF4-FFF2-40B4-BE49-F238E27FC236}">
              <a16:creationId xmlns:a16="http://schemas.microsoft.com/office/drawing/2014/main" id="{00000000-0008-0000-0B00-00007A020000}"/>
            </a:ext>
          </a:extLst>
        </xdr:cNvPr>
        <xdr:cNvSpPr/>
      </xdr:nvSpPr>
      <xdr:spPr>
        <a:xfrm>
          <a:off x="121583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635" name="Isosceles Triangle 634">
          <a:extLst>
            <a:ext uri="{FF2B5EF4-FFF2-40B4-BE49-F238E27FC236}">
              <a16:creationId xmlns:a16="http://schemas.microsoft.com/office/drawing/2014/main" id="{00000000-0008-0000-0B00-00007B020000}"/>
            </a:ext>
          </a:extLst>
        </xdr:cNvPr>
        <xdr:cNvSpPr/>
      </xdr:nvSpPr>
      <xdr:spPr>
        <a:xfrm>
          <a:off x="134156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636" name="Isosceles Triangle 635">
          <a:extLst>
            <a:ext uri="{FF2B5EF4-FFF2-40B4-BE49-F238E27FC236}">
              <a16:creationId xmlns:a16="http://schemas.microsoft.com/office/drawing/2014/main" id="{00000000-0008-0000-0B00-00007C020000}"/>
            </a:ext>
          </a:extLst>
        </xdr:cNvPr>
        <xdr:cNvSpPr/>
      </xdr:nvSpPr>
      <xdr:spPr>
        <a:xfrm>
          <a:off x="1890395" y="317423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637" name="Isosceles Triangle 636">
          <a:extLst>
            <a:ext uri="{FF2B5EF4-FFF2-40B4-BE49-F238E27FC236}">
              <a16:creationId xmlns:a16="http://schemas.microsoft.com/office/drawing/2014/main" id="{00000000-0008-0000-0B00-00007D020000}"/>
            </a:ext>
          </a:extLst>
        </xdr:cNvPr>
        <xdr:cNvSpPr/>
      </xdr:nvSpPr>
      <xdr:spPr>
        <a:xfrm>
          <a:off x="63309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638" name="Isosceles Triangle 637">
          <a:extLst>
            <a:ext uri="{FF2B5EF4-FFF2-40B4-BE49-F238E27FC236}">
              <a16:creationId xmlns:a16="http://schemas.microsoft.com/office/drawing/2014/main" id="{00000000-0008-0000-0B00-00007E020000}"/>
            </a:ext>
          </a:extLst>
        </xdr:cNvPr>
        <xdr:cNvSpPr/>
      </xdr:nvSpPr>
      <xdr:spPr>
        <a:xfrm>
          <a:off x="33572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639" name="Isosceles Triangle 638">
          <a:extLst>
            <a:ext uri="{FF2B5EF4-FFF2-40B4-BE49-F238E27FC236}">
              <a16:creationId xmlns:a16="http://schemas.microsoft.com/office/drawing/2014/main" id="{00000000-0008-0000-0B00-00007F020000}"/>
            </a:ext>
          </a:extLst>
        </xdr:cNvPr>
        <xdr:cNvSpPr/>
      </xdr:nvSpPr>
      <xdr:spPr>
        <a:xfrm>
          <a:off x="46145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640" name="Isosceles Triangle 639">
          <a:extLst>
            <a:ext uri="{FF2B5EF4-FFF2-40B4-BE49-F238E27FC236}">
              <a16:creationId xmlns:a16="http://schemas.microsoft.com/office/drawing/2014/main" id="{00000000-0008-0000-0B00-000080020000}"/>
            </a:ext>
          </a:extLst>
        </xdr:cNvPr>
        <xdr:cNvSpPr/>
      </xdr:nvSpPr>
      <xdr:spPr>
        <a:xfrm>
          <a:off x="58718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641" name="Isosceles Triangle 640">
          <a:extLst>
            <a:ext uri="{FF2B5EF4-FFF2-40B4-BE49-F238E27FC236}">
              <a16:creationId xmlns:a16="http://schemas.microsoft.com/office/drawing/2014/main" id="{00000000-0008-0000-0B00-000081020000}"/>
            </a:ext>
          </a:extLst>
        </xdr:cNvPr>
        <xdr:cNvSpPr/>
      </xdr:nvSpPr>
      <xdr:spPr>
        <a:xfrm>
          <a:off x="71291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642" name="Isosceles Triangle 641">
          <a:extLst>
            <a:ext uri="{FF2B5EF4-FFF2-40B4-BE49-F238E27FC236}">
              <a16:creationId xmlns:a16="http://schemas.microsoft.com/office/drawing/2014/main" id="{00000000-0008-0000-0B00-000082020000}"/>
            </a:ext>
          </a:extLst>
        </xdr:cNvPr>
        <xdr:cNvSpPr/>
      </xdr:nvSpPr>
      <xdr:spPr>
        <a:xfrm>
          <a:off x="83864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643" name="Isosceles Triangle 642">
          <a:extLst>
            <a:ext uri="{FF2B5EF4-FFF2-40B4-BE49-F238E27FC236}">
              <a16:creationId xmlns:a16="http://schemas.microsoft.com/office/drawing/2014/main" id="{00000000-0008-0000-0B00-000083020000}"/>
            </a:ext>
          </a:extLst>
        </xdr:cNvPr>
        <xdr:cNvSpPr/>
      </xdr:nvSpPr>
      <xdr:spPr>
        <a:xfrm>
          <a:off x="96437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644" name="Isosceles Triangle 643">
          <a:extLst>
            <a:ext uri="{FF2B5EF4-FFF2-40B4-BE49-F238E27FC236}">
              <a16:creationId xmlns:a16="http://schemas.microsoft.com/office/drawing/2014/main" id="{00000000-0008-0000-0B00-000084020000}"/>
            </a:ext>
          </a:extLst>
        </xdr:cNvPr>
        <xdr:cNvSpPr/>
      </xdr:nvSpPr>
      <xdr:spPr>
        <a:xfrm>
          <a:off x="109010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645" name="Isosceles Triangle 644">
          <a:extLst>
            <a:ext uri="{FF2B5EF4-FFF2-40B4-BE49-F238E27FC236}">
              <a16:creationId xmlns:a16="http://schemas.microsoft.com/office/drawing/2014/main" id="{00000000-0008-0000-0B00-000085020000}"/>
            </a:ext>
          </a:extLst>
        </xdr:cNvPr>
        <xdr:cNvSpPr/>
      </xdr:nvSpPr>
      <xdr:spPr>
        <a:xfrm>
          <a:off x="121583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158</xdr:row>
      <xdr:rowOff>60004</xdr:rowOff>
    </xdr:from>
    <xdr:to>
      <xdr:col>21</xdr:col>
      <xdr:colOff>580571</xdr:colOff>
      <xdr:row>159</xdr:row>
      <xdr:rowOff>174304</xdr:rowOff>
    </xdr:to>
    <xdr:sp macro="" textlink="">
      <xdr:nvSpPr>
        <xdr:cNvPr id="646" name="Isosceles Triangle 645">
          <a:extLst>
            <a:ext uri="{FF2B5EF4-FFF2-40B4-BE49-F238E27FC236}">
              <a16:creationId xmlns:a16="http://schemas.microsoft.com/office/drawing/2014/main" id="{00000000-0008-0000-0B00-000086020000}"/>
            </a:ext>
          </a:extLst>
        </xdr:cNvPr>
        <xdr:cNvSpPr/>
      </xdr:nvSpPr>
      <xdr:spPr>
        <a:xfrm>
          <a:off x="13367385" y="3172396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647" name="Isosceles Triangle 646">
          <a:extLst>
            <a:ext uri="{FF2B5EF4-FFF2-40B4-BE49-F238E27FC236}">
              <a16:creationId xmlns:a16="http://schemas.microsoft.com/office/drawing/2014/main" id="{00000000-0008-0000-0B00-000087020000}"/>
            </a:ext>
          </a:extLst>
        </xdr:cNvPr>
        <xdr:cNvSpPr/>
      </xdr:nvSpPr>
      <xdr:spPr>
        <a:xfrm>
          <a:off x="63309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3" name="Isosceles Triangle 2">
          <a:extLst>
            <a:ext uri="{FF2B5EF4-FFF2-40B4-BE49-F238E27FC236}">
              <a16:creationId xmlns:a16="http://schemas.microsoft.com/office/drawing/2014/main" id="{00000000-0008-0000-0B00-000003000000}"/>
            </a:ext>
          </a:extLst>
        </xdr:cNvPr>
        <xdr:cNvSpPr/>
      </xdr:nvSpPr>
      <xdr:spPr>
        <a:xfrm>
          <a:off x="1890395" y="332727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5" name="Isosceles Triangle 4">
          <a:extLst>
            <a:ext uri="{FF2B5EF4-FFF2-40B4-BE49-F238E27FC236}">
              <a16:creationId xmlns:a16="http://schemas.microsoft.com/office/drawing/2014/main" id="{00000000-0008-0000-0B00-000005000000}"/>
            </a:ext>
          </a:extLst>
        </xdr:cNvPr>
        <xdr:cNvSpPr/>
      </xdr:nvSpPr>
      <xdr:spPr>
        <a:xfrm>
          <a:off x="33572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168</xdr:row>
      <xdr:rowOff>1947</xdr:rowOff>
    </xdr:to>
    <xdr:sp macro="" textlink="">
      <xdr:nvSpPr>
        <xdr:cNvPr id="6" name="Isosceles Triangle 5">
          <a:extLst>
            <a:ext uri="{FF2B5EF4-FFF2-40B4-BE49-F238E27FC236}">
              <a16:creationId xmlns:a16="http://schemas.microsoft.com/office/drawing/2014/main" id="{00000000-0008-0000-0B00-000006000000}"/>
            </a:ext>
          </a:extLst>
        </xdr:cNvPr>
        <xdr:cNvSpPr/>
      </xdr:nvSpPr>
      <xdr:spPr>
        <a:xfrm>
          <a:off x="4614545" y="3327273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7" name="Isosceles Triangle 6">
          <a:extLst>
            <a:ext uri="{FF2B5EF4-FFF2-40B4-BE49-F238E27FC236}">
              <a16:creationId xmlns:a16="http://schemas.microsoft.com/office/drawing/2014/main" id="{00000000-0008-0000-0B00-000007000000}"/>
            </a:ext>
          </a:extLst>
        </xdr:cNvPr>
        <xdr:cNvSpPr/>
      </xdr:nvSpPr>
      <xdr:spPr>
        <a:xfrm>
          <a:off x="58718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8" name="Isosceles Triangle 7">
          <a:extLst>
            <a:ext uri="{FF2B5EF4-FFF2-40B4-BE49-F238E27FC236}">
              <a16:creationId xmlns:a16="http://schemas.microsoft.com/office/drawing/2014/main" id="{00000000-0008-0000-0B00-000008000000}"/>
            </a:ext>
          </a:extLst>
        </xdr:cNvPr>
        <xdr:cNvSpPr/>
      </xdr:nvSpPr>
      <xdr:spPr>
        <a:xfrm>
          <a:off x="71291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9" name="Isosceles Triangle 8">
          <a:extLst>
            <a:ext uri="{FF2B5EF4-FFF2-40B4-BE49-F238E27FC236}">
              <a16:creationId xmlns:a16="http://schemas.microsoft.com/office/drawing/2014/main" id="{00000000-0008-0000-0B00-000009000000}"/>
            </a:ext>
          </a:extLst>
        </xdr:cNvPr>
        <xdr:cNvSpPr/>
      </xdr:nvSpPr>
      <xdr:spPr>
        <a:xfrm>
          <a:off x="83864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10" name="Isosceles Triangle 9">
          <a:extLst>
            <a:ext uri="{FF2B5EF4-FFF2-40B4-BE49-F238E27FC236}">
              <a16:creationId xmlns:a16="http://schemas.microsoft.com/office/drawing/2014/main" id="{00000000-0008-0000-0B00-00000A000000}"/>
            </a:ext>
          </a:extLst>
        </xdr:cNvPr>
        <xdr:cNvSpPr/>
      </xdr:nvSpPr>
      <xdr:spPr>
        <a:xfrm>
          <a:off x="96437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11" name="Isosceles Triangle 10">
          <a:extLst>
            <a:ext uri="{FF2B5EF4-FFF2-40B4-BE49-F238E27FC236}">
              <a16:creationId xmlns:a16="http://schemas.microsoft.com/office/drawing/2014/main" id="{00000000-0008-0000-0B00-00000B000000}"/>
            </a:ext>
          </a:extLst>
        </xdr:cNvPr>
        <xdr:cNvSpPr/>
      </xdr:nvSpPr>
      <xdr:spPr>
        <a:xfrm>
          <a:off x="109010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12" name="Isosceles Triangle 11">
          <a:extLst>
            <a:ext uri="{FF2B5EF4-FFF2-40B4-BE49-F238E27FC236}">
              <a16:creationId xmlns:a16="http://schemas.microsoft.com/office/drawing/2014/main" id="{00000000-0008-0000-0B00-00000C000000}"/>
            </a:ext>
          </a:extLst>
        </xdr:cNvPr>
        <xdr:cNvSpPr/>
      </xdr:nvSpPr>
      <xdr:spPr>
        <a:xfrm>
          <a:off x="121583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166</xdr:row>
      <xdr:rowOff>78147</xdr:rowOff>
    </xdr:from>
    <xdr:to>
      <xdr:col>22</xdr:col>
      <xdr:colOff>0</xdr:colOff>
      <xdr:row>167</xdr:row>
      <xdr:rowOff>192447</xdr:rowOff>
    </xdr:to>
    <xdr:sp macro="" textlink="">
      <xdr:nvSpPr>
        <xdr:cNvPr id="13" name="Isosceles Triangle 12">
          <a:extLst>
            <a:ext uri="{FF2B5EF4-FFF2-40B4-BE49-F238E27FC236}">
              <a16:creationId xmlns:a16="http://schemas.microsoft.com/office/drawing/2014/main" id="{00000000-0008-0000-0B00-00000D000000}"/>
            </a:ext>
          </a:extLst>
        </xdr:cNvPr>
        <xdr:cNvSpPr/>
      </xdr:nvSpPr>
      <xdr:spPr>
        <a:xfrm>
          <a:off x="134156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173</xdr:row>
      <xdr:rowOff>78147</xdr:rowOff>
    </xdr:from>
    <xdr:to>
      <xdr:col>2</xdr:col>
      <xdr:colOff>0</xdr:colOff>
      <xdr:row>174</xdr:row>
      <xdr:rowOff>192447</xdr:rowOff>
    </xdr:to>
    <xdr:sp macro="" textlink="">
      <xdr:nvSpPr>
        <xdr:cNvPr id="14" name="Isosceles Triangle 13">
          <a:extLst>
            <a:ext uri="{FF2B5EF4-FFF2-40B4-BE49-F238E27FC236}">
              <a16:creationId xmlns:a16="http://schemas.microsoft.com/office/drawing/2014/main" id="{00000000-0008-0000-0B00-00000E000000}"/>
            </a:ext>
          </a:extLst>
        </xdr:cNvPr>
        <xdr:cNvSpPr/>
      </xdr:nvSpPr>
      <xdr:spPr>
        <a:xfrm>
          <a:off x="63309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173</xdr:row>
      <xdr:rowOff>78147</xdr:rowOff>
    </xdr:from>
    <xdr:to>
      <xdr:col>4</xdr:col>
      <xdr:colOff>0</xdr:colOff>
      <xdr:row>174</xdr:row>
      <xdr:rowOff>192447</xdr:rowOff>
    </xdr:to>
    <xdr:sp macro="" textlink="">
      <xdr:nvSpPr>
        <xdr:cNvPr id="2" name="Isosceles Triangle 1">
          <a:extLst>
            <a:ext uri="{FF2B5EF4-FFF2-40B4-BE49-F238E27FC236}">
              <a16:creationId xmlns:a16="http://schemas.microsoft.com/office/drawing/2014/main" id="{00000000-0008-0000-0B00-000002000000}"/>
            </a:ext>
          </a:extLst>
        </xdr:cNvPr>
        <xdr:cNvSpPr/>
      </xdr:nvSpPr>
      <xdr:spPr>
        <a:xfrm>
          <a:off x="1890395" y="344347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173</xdr:row>
      <xdr:rowOff>78147</xdr:rowOff>
    </xdr:from>
    <xdr:to>
      <xdr:col>6</xdr:col>
      <xdr:colOff>0</xdr:colOff>
      <xdr:row>174</xdr:row>
      <xdr:rowOff>192447</xdr:rowOff>
    </xdr:to>
    <xdr:sp macro="" textlink="">
      <xdr:nvSpPr>
        <xdr:cNvPr id="4" name="Isosceles Triangle 3">
          <a:extLst>
            <a:ext uri="{FF2B5EF4-FFF2-40B4-BE49-F238E27FC236}">
              <a16:creationId xmlns:a16="http://schemas.microsoft.com/office/drawing/2014/main" id="{00000000-0008-0000-0B00-000004000000}"/>
            </a:ext>
          </a:extLst>
        </xdr:cNvPr>
        <xdr:cNvSpPr/>
      </xdr:nvSpPr>
      <xdr:spPr>
        <a:xfrm>
          <a:off x="33572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173</xdr:row>
      <xdr:rowOff>78147</xdr:rowOff>
    </xdr:from>
    <xdr:to>
      <xdr:col>8</xdr:col>
      <xdr:colOff>0</xdr:colOff>
      <xdr:row>174</xdr:row>
      <xdr:rowOff>192447</xdr:rowOff>
    </xdr:to>
    <xdr:sp macro="" textlink="">
      <xdr:nvSpPr>
        <xdr:cNvPr id="15" name="Isosceles Triangle 14">
          <a:extLst>
            <a:ext uri="{FF2B5EF4-FFF2-40B4-BE49-F238E27FC236}">
              <a16:creationId xmlns:a16="http://schemas.microsoft.com/office/drawing/2014/main" id="{00000000-0008-0000-0B00-00000F000000}"/>
            </a:ext>
          </a:extLst>
        </xdr:cNvPr>
        <xdr:cNvSpPr/>
      </xdr:nvSpPr>
      <xdr:spPr>
        <a:xfrm>
          <a:off x="46145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173</xdr:row>
      <xdr:rowOff>78147</xdr:rowOff>
    </xdr:from>
    <xdr:to>
      <xdr:col>10</xdr:col>
      <xdr:colOff>0</xdr:colOff>
      <xdr:row>174</xdr:row>
      <xdr:rowOff>192447</xdr:rowOff>
    </xdr:to>
    <xdr:sp macro="" textlink="">
      <xdr:nvSpPr>
        <xdr:cNvPr id="16" name="Isosceles Triangle 15">
          <a:extLst>
            <a:ext uri="{FF2B5EF4-FFF2-40B4-BE49-F238E27FC236}">
              <a16:creationId xmlns:a16="http://schemas.microsoft.com/office/drawing/2014/main" id="{00000000-0008-0000-0B00-000010000000}"/>
            </a:ext>
          </a:extLst>
        </xdr:cNvPr>
        <xdr:cNvSpPr/>
      </xdr:nvSpPr>
      <xdr:spPr>
        <a:xfrm>
          <a:off x="58718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173</xdr:row>
      <xdr:rowOff>78147</xdr:rowOff>
    </xdr:from>
    <xdr:to>
      <xdr:col>12</xdr:col>
      <xdr:colOff>0</xdr:colOff>
      <xdr:row>174</xdr:row>
      <xdr:rowOff>192447</xdr:rowOff>
    </xdr:to>
    <xdr:sp macro="" textlink="">
      <xdr:nvSpPr>
        <xdr:cNvPr id="17" name="Isosceles Triangle 16">
          <a:extLst>
            <a:ext uri="{FF2B5EF4-FFF2-40B4-BE49-F238E27FC236}">
              <a16:creationId xmlns:a16="http://schemas.microsoft.com/office/drawing/2014/main" id="{00000000-0008-0000-0B00-000011000000}"/>
            </a:ext>
          </a:extLst>
        </xdr:cNvPr>
        <xdr:cNvSpPr/>
      </xdr:nvSpPr>
      <xdr:spPr>
        <a:xfrm>
          <a:off x="71291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173</xdr:row>
      <xdr:rowOff>78147</xdr:rowOff>
    </xdr:from>
    <xdr:to>
      <xdr:col>14</xdr:col>
      <xdr:colOff>0</xdr:colOff>
      <xdr:row>174</xdr:row>
      <xdr:rowOff>192447</xdr:rowOff>
    </xdr:to>
    <xdr:sp macro="" textlink="">
      <xdr:nvSpPr>
        <xdr:cNvPr id="18" name="Isosceles Triangle 17">
          <a:extLst>
            <a:ext uri="{FF2B5EF4-FFF2-40B4-BE49-F238E27FC236}">
              <a16:creationId xmlns:a16="http://schemas.microsoft.com/office/drawing/2014/main" id="{00000000-0008-0000-0B00-000012000000}"/>
            </a:ext>
          </a:extLst>
        </xdr:cNvPr>
        <xdr:cNvSpPr/>
      </xdr:nvSpPr>
      <xdr:spPr>
        <a:xfrm>
          <a:off x="83864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173</xdr:row>
      <xdr:rowOff>78147</xdr:rowOff>
    </xdr:from>
    <xdr:to>
      <xdr:col>16</xdr:col>
      <xdr:colOff>0</xdr:colOff>
      <xdr:row>174</xdr:row>
      <xdr:rowOff>192447</xdr:rowOff>
    </xdr:to>
    <xdr:sp macro="" textlink="">
      <xdr:nvSpPr>
        <xdr:cNvPr id="19" name="Isosceles Triangle 18">
          <a:extLst>
            <a:ext uri="{FF2B5EF4-FFF2-40B4-BE49-F238E27FC236}">
              <a16:creationId xmlns:a16="http://schemas.microsoft.com/office/drawing/2014/main" id="{00000000-0008-0000-0B00-000013000000}"/>
            </a:ext>
          </a:extLst>
        </xdr:cNvPr>
        <xdr:cNvSpPr/>
      </xdr:nvSpPr>
      <xdr:spPr>
        <a:xfrm>
          <a:off x="96437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173</xdr:row>
      <xdr:rowOff>78147</xdr:rowOff>
    </xdr:from>
    <xdr:to>
      <xdr:col>18</xdr:col>
      <xdr:colOff>0</xdr:colOff>
      <xdr:row>174</xdr:row>
      <xdr:rowOff>192447</xdr:rowOff>
    </xdr:to>
    <xdr:sp macro="" textlink="">
      <xdr:nvSpPr>
        <xdr:cNvPr id="20" name="Isosceles Triangle 19">
          <a:extLst>
            <a:ext uri="{FF2B5EF4-FFF2-40B4-BE49-F238E27FC236}">
              <a16:creationId xmlns:a16="http://schemas.microsoft.com/office/drawing/2014/main" id="{00000000-0008-0000-0B00-000014000000}"/>
            </a:ext>
          </a:extLst>
        </xdr:cNvPr>
        <xdr:cNvSpPr/>
      </xdr:nvSpPr>
      <xdr:spPr>
        <a:xfrm>
          <a:off x="109010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173</xdr:row>
      <xdr:rowOff>78147</xdr:rowOff>
    </xdr:from>
    <xdr:to>
      <xdr:col>20</xdr:col>
      <xdr:colOff>0</xdr:colOff>
      <xdr:row>174</xdr:row>
      <xdr:rowOff>192447</xdr:rowOff>
    </xdr:to>
    <xdr:sp macro="" textlink="">
      <xdr:nvSpPr>
        <xdr:cNvPr id="21" name="Isosceles Triangle 20">
          <a:extLst>
            <a:ext uri="{FF2B5EF4-FFF2-40B4-BE49-F238E27FC236}">
              <a16:creationId xmlns:a16="http://schemas.microsoft.com/office/drawing/2014/main" id="{00000000-0008-0000-0B00-000015000000}"/>
            </a:ext>
          </a:extLst>
        </xdr:cNvPr>
        <xdr:cNvSpPr/>
      </xdr:nvSpPr>
      <xdr:spPr>
        <a:xfrm>
          <a:off x="121583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173</xdr:row>
      <xdr:rowOff>78147</xdr:rowOff>
    </xdr:from>
    <xdr:to>
      <xdr:col>22</xdr:col>
      <xdr:colOff>0</xdr:colOff>
      <xdr:row>174</xdr:row>
      <xdr:rowOff>192447</xdr:rowOff>
    </xdr:to>
    <xdr:sp macro="" textlink="">
      <xdr:nvSpPr>
        <xdr:cNvPr id="22" name="Isosceles Triangle 21">
          <a:extLst>
            <a:ext uri="{FF2B5EF4-FFF2-40B4-BE49-F238E27FC236}">
              <a16:creationId xmlns:a16="http://schemas.microsoft.com/office/drawing/2014/main" id="{00000000-0008-0000-0B00-000016000000}"/>
            </a:ext>
          </a:extLst>
        </xdr:cNvPr>
        <xdr:cNvSpPr/>
      </xdr:nvSpPr>
      <xdr:spPr>
        <a:xfrm>
          <a:off x="134156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180</xdr:row>
      <xdr:rowOff>78147</xdr:rowOff>
    </xdr:from>
    <xdr:to>
      <xdr:col>2</xdr:col>
      <xdr:colOff>0</xdr:colOff>
      <xdr:row>181</xdr:row>
      <xdr:rowOff>192447</xdr:rowOff>
    </xdr:to>
    <xdr:sp macro="" textlink="">
      <xdr:nvSpPr>
        <xdr:cNvPr id="24" name="Isosceles Triangle 23">
          <a:extLst>
            <a:ext uri="{FF2B5EF4-FFF2-40B4-BE49-F238E27FC236}">
              <a16:creationId xmlns:a16="http://schemas.microsoft.com/office/drawing/2014/main" id="{00000000-0008-0000-0B00-000018000000}"/>
            </a:ext>
          </a:extLst>
        </xdr:cNvPr>
        <xdr:cNvSpPr/>
      </xdr:nvSpPr>
      <xdr:spPr>
        <a:xfrm>
          <a:off x="63309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180</xdr:row>
      <xdr:rowOff>78147</xdr:rowOff>
    </xdr:from>
    <xdr:to>
      <xdr:col>4</xdr:col>
      <xdr:colOff>0</xdr:colOff>
      <xdr:row>181</xdr:row>
      <xdr:rowOff>192447</xdr:rowOff>
    </xdr:to>
    <xdr:sp macro="" textlink="">
      <xdr:nvSpPr>
        <xdr:cNvPr id="25" name="Isosceles Triangle 24">
          <a:extLst>
            <a:ext uri="{FF2B5EF4-FFF2-40B4-BE49-F238E27FC236}">
              <a16:creationId xmlns:a16="http://schemas.microsoft.com/office/drawing/2014/main" id="{00000000-0008-0000-0B00-000019000000}"/>
            </a:ext>
          </a:extLst>
        </xdr:cNvPr>
        <xdr:cNvSpPr/>
      </xdr:nvSpPr>
      <xdr:spPr>
        <a:xfrm>
          <a:off x="1890395" y="357714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180</xdr:row>
      <xdr:rowOff>78147</xdr:rowOff>
    </xdr:from>
    <xdr:to>
      <xdr:col>6</xdr:col>
      <xdr:colOff>0</xdr:colOff>
      <xdr:row>181</xdr:row>
      <xdr:rowOff>192447</xdr:rowOff>
    </xdr:to>
    <xdr:sp macro="" textlink="">
      <xdr:nvSpPr>
        <xdr:cNvPr id="26" name="Isosceles Triangle 25">
          <a:extLst>
            <a:ext uri="{FF2B5EF4-FFF2-40B4-BE49-F238E27FC236}">
              <a16:creationId xmlns:a16="http://schemas.microsoft.com/office/drawing/2014/main" id="{00000000-0008-0000-0B00-00001A000000}"/>
            </a:ext>
          </a:extLst>
        </xdr:cNvPr>
        <xdr:cNvSpPr/>
      </xdr:nvSpPr>
      <xdr:spPr>
        <a:xfrm>
          <a:off x="33572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180</xdr:row>
      <xdr:rowOff>78147</xdr:rowOff>
    </xdr:from>
    <xdr:to>
      <xdr:col>8</xdr:col>
      <xdr:colOff>0</xdr:colOff>
      <xdr:row>181</xdr:row>
      <xdr:rowOff>192447</xdr:rowOff>
    </xdr:to>
    <xdr:sp macro="" textlink="">
      <xdr:nvSpPr>
        <xdr:cNvPr id="27" name="Isosceles Triangle 26">
          <a:extLst>
            <a:ext uri="{FF2B5EF4-FFF2-40B4-BE49-F238E27FC236}">
              <a16:creationId xmlns:a16="http://schemas.microsoft.com/office/drawing/2014/main" id="{00000000-0008-0000-0B00-00001B000000}"/>
            </a:ext>
          </a:extLst>
        </xdr:cNvPr>
        <xdr:cNvSpPr/>
      </xdr:nvSpPr>
      <xdr:spPr>
        <a:xfrm>
          <a:off x="46145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180</xdr:row>
      <xdr:rowOff>78147</xdr:rowOff>
    </xdr:from>
    <xdr:to>
      <xdr:col>10</xdr:col>
      <xdr:colOff>0</xdr:colOff>
      <xdr:row>181</xdr:row>
      <xdr:rowOff>192447</xdr:rowOff>
    </xdr:to>
    <xdr:sp macro="" textlink="">
      <xdr:nvSpPr>
        <xdr:cNvPr id="28" name="Isosceles Triangle 27">
          <a:extLst>
            <a:ext uri="{FF2B5EF4-FFF2-40B4-BE49-F238E27FC236}">
              <a16:creationId xmlns:a16="http://schemas.microsoft.com/office/drawing/2014/main" id="{00000000-0008-0000-0B00-00001C000000}"/>
            </a:ext>
          </a:extLst>
        </xdr:cNvPr>
        <xdr:cNvSpPr/>
      </xdr:nvSpPr>
      <xdr:spPr>
        <a:xfrm>
          <a:off x="58718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180</xdr:row>
      <xdr:rowOff>78147</xdr:rowOff>
    </xdr:from>
    <xdr:to>
      <xdr:col>12</xdr:col>
      <xdr:colOff>0</xdr:colOff>
      <xdr:row>181</xdr:row>
      <xdr:rowOff>192447</xdr:rowOff>
    </xdr:to>
    <xdr:sp macro="" textlink="">
      <xdr:nvSpPr>
        <xdr:cNvPr id="29" name="Isosceles Triangle 28">
          <a:extLst>
            <a:ext uri="{FF2B5EF4-FFF2-40B4-BE49-F238E27FC236}">
              <a16:creationId xmlns:a16="http://schemas.microsoft.com/office/drawing/2014/main" id="{00000000-0008-0000-0B00-00001D000000}"/>
            </a:ext>
          </a:extLst>
        </xdr:cNvPr>
        <xdr:cNvSpPr/>
      </xdr:nvSpPr>
      <xdr:spPr>
        <a:xfrm>
          <a:off x="71291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180</xdr:row>
      <xdr:rowOff>78147</xdr:rowOff>
    </xdr:from>
    <xdr:to>
      <xdr:col>14</xdr:col>
      <xdr:colOff>0</xdr:colOff>
      <xdr:row>181</xdr:row>
      <xdr:rowOff>192447</xdr:rowOff>
    </xdr:to>
    <xdr:sp macro="" textlink="">
      <xdr:nvSpPr>
        <xdr:cNvPr id="30" name="Isosceles Triangle 29">
          <a:extLst>
            <a:ext uri="{FF2B5EF4-FFF2-40B4-BE49-F238E27FC236}">
              <a16:creationId xmlns:a16="http://schemas.microsoft.com/office/drawing/2014/main" id="{00000000-0008-0000-0B00-00001E000000}"/>
            </a:ext>
          </a:extLst>
        </xdr:cNvPr>
        <xdr:cNvSpPr/>
      </xdr:nvSpPr>
      <xdr:spPr>
        <a:xfrm>
          <a:off x="83864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180</xdr:row>
      <xdr:rowOff>78147</xdr:rowOff>
    </xdr:from>
    <xdr:to>
      <xdr:col>16</xdr:col>
      <xdr:colOff>0</xdr:colOff>
      <xdr:row>181</xdr:row>
      <xdr:rowOff>192447</xdr:rowOff>
    </xdr:to>
    <xdr:sp macro="" textlink="">
      <xdr:nvSpPr>
        <xdr:cNvPr id="31" name="Isosceles Triangle 30">
          <a:extLst>
            <a:ext uri="{FF2B5EF4-FFF2-40B4-BE49-F238E27FC236}">
              <a16:creationId xmlns:a16="http://schemas.microsoft.com/office/drawing/2014/main" id="{00000000-0008-0000-0B00-00001F000000}"/>
            </a:ext>
          </a:extLst>
        </xdr:cNvPr>
        <xdr:cNvSpPr/>
      </xdr:nvSpPr>
      <xdr:spPr>
        <a:xfrm>
          <a:off x="96437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180</xdr:row>
      <xdr:rowOff>78147</xdr:rowOff>
    </xdr:from>
    <xdr:to>
      <xdr:col>18</xdr:col>
      <xdr:colOff>0</xdr:colOff>
      <xdr:row>181</xdr:row>
      <xdr:rowOff>192447</xdr:rowOff>
    </xdr:to>
    <xdr:sp macro="" textlink="">
      <xdr:nvSpPr>
        <xdr:cNvPr id="32" name="Isosceles Triangle 31">
          <a:extLst>
            <a:ext uri="{FF2B5EF4-FFF2-40B4-BE49-F238E27FC236}">
              <a16:creationId xmlns:a16="http://schemas.microsoft.com/office/drawing/2014/main" id="{00000000-0008-0000-0B00-000020000000}"/>
            </a:ext>
          </a:extLst>
        </xdr:cNvPr>
        <xdr:cNvSpPr/>
      </xdr:nvSpPr>
      <xdr:spPr>
        <a:xfrm>
          <a:off x="109010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180</xdr:row>
      <xdr:rowOff>78147</xdr:rowOff>
    </xdr:from>
    <xdr:to>
      <xdr:col>20</xdr:col>
      <xdr:colOff>0</xdr:colOff>
      <xdr:row>181</xdr:row>
      <xdr:rowOff>192447</xdr:rowOff>
    </xdr:to>
    <xdr:sp macro="" textlink="">
      <xdr:nvSpPr>
        <xdr:cNvPr id="33" name="Isosceles Triangle 32">
          <a:extLst>
            <a:ext uri="{FF2B5EF4-FFF2-40B4-BE49-F238E27FC236}">
              <a16:creationId xmlns:a16="http://schemas.microsoft.com/office/drawing/2014/main" id="{00000000-0008-0000-0B00-000021000000}"/>
            </a:ext>
          </a:extLst>
        </xdr:cNvPr>
        <xdr:cNvSpPr/>
      </xdr:nvSpPr>
      <xdr:spPr>
        <a:xfrm>
          <a:off x="121583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180</xdr:row>
      <xdr:rowOff>78147</xdr:rowOff>
    </xdr:from>
    <xdr:to>
      <xdr:col>22</xdr:col>
      <xdr:colOff>0</xdr:colOff>
      <xdr:row>181</xdr:row>
      <xdr:rowOff>192447</xdr:rowOff>
    </xdr:to>
    <xdr:sp macro="" textlink="">
      <xdr:nvSpPr>
        <xdr:cNvPr id="34" name="Isosceles Triangle 33">
          <a:extLst>
            <a:ext uri="{FF2B5EF4-FFF2-40B4-BE49-F238E27FC236}">
              <a16:creationId xmlns:a16="http://schemas.microsoft.com/office/drawing/2014/main" id="{00000000-0008-0000-0B00-000022000000}"/>
            </a:ext>
          </a:extLst>
        </xdr:cNvPr>
        <xdr:cNvSpPr/>
      </xdr:nvSpPr>
      <xdr:spPr>
        <a:xfrm>
          <a:off x="134156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187</xdr:row>
      <xdr:rowOff>78147</xdr:rowOff>
    </xdr:from>
    <xdr:to>
      <xdr:col>2</xdr:col>
      <xdr:colOff>0</xdr:colOff>
      <xdr:row>188</xdr:row>
      <xdr:rowOff>192447</xdr:rowOff>
    </xdr:to>
    <xdr:sp macro="" textlink="">
      <xdr:nvSpPr>
        <xdr:cNvPr id="38" name="Isosceles Triangle 37">
          <a:extLst>
            <a:ext uri="{FF2B5EF4-FFF2-40B4-BE49-F238E27FC236}">
              <a16:creationId xmlns:a16="http://schemas.microsoft.com/office/drawing/2014/main" id="{00000000-0008-0000-0B00-000026000000}"/>
            </a:ext>
          </a:extLst>
        </xdr:cNvPr>
        <xdr:cNvSpPr/>
      </xdr:nvSpPr>
      <xdr:spPr>
        <a:xfrm>
          <a:off x="63309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187</xdr:row>
      <xdr:rowOff>78147</xdr:rowOff>
    </xdr:from>
    <xdr:to>
      <xdr:col>4</xdr:col>
      <xdr:colOff>0</xdr:colOff>
      <xdr:row>188</xdr:row>
      <xdr:rowOff>192447</xdr:rowOff>
    </xdr:to>
    <xdr:sp macro="" textlink="">
      <xdr:nvSpPr>
        <xdr:cNvPr id="39" name="Isosceles Triangle 38">
          <a:extLst>
            <a:ext uri="{FF2B5EF4-FFF2-40B4-BE49-F238E27FC236}">
              <a16:creationId xmlns:a16="http://schemas.microsoft.com/office/drawing/2014/main" id="{00000000-0008-0000-0B00-000027000000}"/>
            </a:ext>
          </a:extLst>
        </xdr:cNvPr>
        <xdr:cNvSpPr/>
      </xdr:nvSpPr>
      <xdr:spPr>
        <a:xfrm>
          <a:off x="1890395" y="371176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187</xdr:row>
      <xdr:rowOff>78147</xdr:rowOff>
    </xdr:from>
    <xdr:to>
      <xdr:col>6</xdr:col>
      <xdr:colOff>0</xdr:colOff>
      <xdr:row>188</xdr:row>
      <xdr:rowOff>192447</xdr:rowOff>
    </xdr:to>
    <xdr:sp macro="" textlink="">
      <xdr:nvSpPr>
        <xdr:cNvPr id="40" name="Isosceles Triangle 39">
          <a:extLst>
            <a:ext uri="{FF2B5EF4-FFF2-40B4-BE49-F238E27FC236}">
              <a16:creationId xmlns:a16="http://schemas.microsoft.com/office/drawing/2014/main" id="{00000000-0008-0000-0B00-000028000000}"/>
            </a:ext>
          </a:extLst>
        </xdr:cNvPr>
        <xdr:cNvSpPr/>
      </xdr:nvSpPr>
      <xdr:spPr>
        <a:xfrm>
          <a:off x="33572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187</xdr:row>
      <xdr:rowOff>78147</xdr:rowOff>
    </xdr:from>
    <xdr:to>
      <xdr:col>8</xdr:col>
      <xdr:colOff>0</xdr:colOff>
      <xdr:row>188</xdr:row>
      <xdr:rowOff>192447</xdr:rowOff>
    </xdr:to>
    <xdr:sp macro="" textlink="">
      <xdr:nvSpPr>
        <xdr:cNvPr id="41" name="Isosceles Triangle 40">
          <a:extLst>
            <a:ext uri="{FF2B5EF4-FFF2-40B4-BE49-F238E27FC236}">
              <a16:creationId xmlns:a16="http://schemas.microsoft.com/office/drawing/2014/main" id="{00000000-0008-0000-0B00-000029000000}"/>
            </a:ext>
          </a:extLst>
        </xdr:cNvPr>
        <xdr:cNvSpPr/>
      </xdr:nvSpPr>
      <xdr:spPr>
        <a:xfrm>
          <a:off x="46145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187</xdr:row>
      <xdr:rowOff>78147</xdr:rowOff>
    </xdr:from>
    <xdr:to>
      <xdr:col>10</xdr:col>
      <xdr:colOff>0</xdr:colOff>
      <xdr:row>188</xdr:row>
      <xdr:rowOff>192447</xdr:rowOff>
    </xdr:to>
    <xdr:sp macro="" textlink="">
      <xdr:nvSpPr>
        <xdr:cNvPr id="42" name="Isosceles Triangle 41">
          <a:extLst>
            <a:ext uri="{FF2B5EF4-FFF2-40B4-BE49-F238E27FC236}">
              <a16:creationId xmlns:a16="http://schemas.microsoft.com/office/drawing/2014/main" id="{00000000-0008-0000-0B00-00002A000000}"/>
            </a:ext>
          </a:extLst>
        </xdr:cNvPr>
        <xdr:cNvSpPr/>
      </xdr:nvSpPr>
      <xdr:spPr>
        <a:xfrm>
          <a:off x="58718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187</xdr:row>
      <xdr:rowOff>78147</xdr:rowOff>
    </xdr:from>
    <xdr:to>
      <xdr:col>12</xdr:col>
      <xdr:colOff>0</xdr:colOff>
      <xdr:row>188</xdr:row>
      <xdr:rowOff>192447</xdr:rowOff>
    </xdr:to>
    <xdr:sp macro="" textlink="">
      <xdr:nvSpPr>
        <xdr:cNvPr id="43" name="Isosceles Triangle 42">
          <a:extLst>
            <a:ext uri="{FF2B5EF4-FFF2-40B4-BE49-F238E27FC236}">
              <a16:creationId xmlns:a16="http://schemas.microsoft.com/office/drawing/2014/main" id="{00000000-0008-0000-0B00-00002B000000}"/>
            </a:ext>
          </a:extLst>
        </xdr:cNvPr>
        <xdr:cNvSpPr/>
      </xdr:nvSpPr>
      <xdr:spPr>
        <a:xfrm>
          <a:off x="71291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187</xdr:row>
      <xdr:rowOff>78147</xdr:rowOff>
    </xdr:from>
    <xdr:to>
      <xdr:col>14</xdr:col>
      <xdr:colOff>0</xdr:colOff>
      <xdr:row>188</xdr:row>
      <xdr:rowOff>192447</xdr:rowOff>
    </xdr:to>
    <xdr:sp macro="" textlink="">
      <xdr:nvSpPr>
        <xdr:cNvPr id="44" name="Isosceles Triangle 43">
          <a:extLst>
            <a:ext uri="{FF2B5EF4-FFF2-40B4-BE49-F238E27FC236}">
              <a16:creationId xmlns:a16="http://schemas.microsoft.com/office/drawing/2014/main" id="{00000000-0008-0000-0B00-00002C000000}"/>
            </a:ext>
          </a:extLst>
        </xdr:cNvPr>
        <xdr:cNvSpPr/>
      </xdr:nvSpPr>
      <xdr:spPr>
        <a:xfrm>
          <a:off x="83864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187</xdr:row>
      <xdr:rowOff>78147</xdr:rowOff>
    </xdr:from>
    <xdr:to>
      <xdr:col>16</xdr:col>
      <xdr:colOff>0</xdr:colOff>
      <xdr:row>188</xdr:row>
      <xdr:rowOff>192447</xdr:rowOff>
    </xdr:to>
    <xdr:sp macro="" textlink="">
      <xdr:nvSpPr>
        <xdr:cNvPr id="45" name="Isosceles Triangle 44">
          <a:extLst>
            <a:ext uri="{FF2B5EF4-FFF2-40B4-BE49-F238E27FC236}">
              <a16:creationId xmlns:a16="http://schemas.microsoft.com/office/drawing/2014/main" id="{00000000-0008-0000-0B00-00002D000000}"/>
            </a:ext>
          </a:extLst>
        </xdr:cNvPr>
        <xdr:cNvSpPr/>
      </xdr:nvSpPr>
      <xdr:spPr>
        <a:xfrm>
          <a:off x="96437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187</xdr:row>
      <xdr:rowOff>78147</xdr:rowOff>
    </xdr:from>
    <xdr:to>
      <xdr:col>18</xdr:col>
      <xdr:colOff>0</xdr:colOff>
      <xdr:row>188</xdr:row>
      <xdr:rowOff>192447</xdr:rowOff>
    </xdr:to>
    <xdr:sp macro="" textlink="">
      <xdr:nvSpPr>
        <xdr:cNvPr id="46" name="Isosceles Triangle 45">
          <a:extLst>
            <a:ext uri="{FF2B5EF4-FFF2-40B4-BE49-F238E27FC236}">
              <a16:creationId xmlns:a16="http://schemas.microsoft.com/office/drawing/2014/main" id="{00000000-0008-0000-0B00-00002E000000}"/>
            </a:ext>
          </a:extLst>
        </xdr:cNvPr>
        <xdr:cNvSpPr/>
      </xdr:nvSpPr>
      <xdr:spPr>
        <a:xfrm>
          <a:off x="109010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187</xdr:row>
      <xdr:rowOff>78147</xdr:rowOff>
    </xdr:from>
    <xdr:to>
      <xdr:col>20</xdr:col>
      <xdr:colOff>0</xdr:colOff>
      <xdr:row>188</xdr:row>
      <xdr:rowOff>192447</xdr:rowOff>
    </xdr:to>
    <xdr:sp macro="" textlink="">
      <xdr:nvSpPr>
        <xdr:cNvPr id="47" name="Isosceles Triangle 46">
          <a:extLst>
            <a:ext uri="{FF2B5EF4-FFF2-40B4-BE49-F238E27FC236}">
              <a16:creationId xmlns:a16="http://schemas.microsoft.com/office/drawing/2014/main" id="{00000000-0008-0000-0B00-00002F000000}"/>
            </a:ext>
          </a:extLst>
        </xdr:cNvPr>
        <xdr:cNvSpPr/>
      </xdr:nvSpPr>
      <xdr:spPr>
        <a:xfrm>
          <a:off x="121583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187</xdr:row>
      <xdr:rowOff>78147</xdr:rowOff>
    </xdr:from>
    <xdr:to>
      <xdr:col>22</xdr:col>
      <xdr:colOff>0</xdr:colOff>
      <xdr:row>188</xdr:row>
      <xdr:rowOff>192447</xdr:rowOff>
    </xdr:to>
    <xdr:sp macro="" textlink="">
      <xdr:nvSpPr>
        <xdr:cNvPr id="48" name="Isosceles Triangle 47">
          <a:extLst>
            <a:ext uri="{FF2B5EF4-FFF2-40B4-BE49-F238E27FC236}">
              <a16:creationId xmlns:a16="http://schemas.microsoft.com/office/drawing/2014/main" id="{00000000-0008-0000-0B00-000030000000}"/>
            </a:ext>
          </a:extLst>
        </xdr:cNvPr>
        <xdr:cNvSpPr/>
      </xdr:nvSpPr>
      <xdr:spPr>
        <a:xfrm>
          <a:off x="134156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193</xdr:row>
      <xdr:rowOff>78147</xdr:rowOff>
    </xdr:from>
    <xdr:to>
      <xdr:col>2</xdr:col>
      <xdr:colOff>0</xdr:colOff>
      <xdr:row>194</xdr:row>
      <xdr:rowOff>192447</xdr:rowOff>
    </xdr:to>
    <xdr:sp macro="" textlink="">
      <xdr:nvSpPr>
        <xdr:cNvPr id="49" name="Isosceles Triangle 48">
          <a:extLst>
            <a:ext uri="{FF2B5EF4-FFF2-40B4-BE49-F238E27FC236}">
              <a16:creationId xmlns:a16="http://schemas.microsoft.com/office/drawing/2014/main" id="{00000000-0008-0000-0B00-000031000000}"/>
            </a:ext>
          </a:extLst>
        </xdr:cNvPr>
        <xdr:cNvSpPr/>
      </xdr:nvSpPr>
      <xdr:spPr>
        <a:xfrm>
          <a:off x="63309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193</xdr:row>
      <xdr:rowOff>78147</xdr:rowOff>
    </xdr:from>
    <xdr:to>
      <xdr:col>4</xdr:col>
      <xdr:colOff>0</xdr:colOff>
      <xdr:row>194</xdr:row>
      <xdr:rowOff>192447</xdr:rowOff>
    </xdr:to>
    <xdr:sp macro="" textlink="">
      <xdr:nvSpPr>
        <xdr:cNvPr id="50" name="Isosceles Triangle 49">
          <a:extLst>
            <a:ext uri="{FF2B5EF4-FFF2-40B4-BE49-F238E27FC236}">
              <a16:creationId xmlns:a16="http://schemas.microsoft.com/office/drawing/2014/main" id="{00000000-0008-0000-0B00-000032000000}"/>
            </a:ext>
          </a:extLst>
        </xdr:cNvPr>
        <xdr:cNvSpPr/>
      </xdr:nvSpPr>
      <xdr:spPr>
        <a:xfrm>
          <a:off x="1890395" y="38279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193</xdr:row>
      <xdr:rowOff>78147</xdr:rowOff>
    </xdr:from>
    <xdr:to>
      <xdr:col>6</xdr:col>
      <xdr:colOff>0</xdr:colOff>
      <xdr:row>194</xdr:row>
      <xdr:rowOff>192447</xdr:rowOff>
    </xdr:to>
    <xdr:sp macro="" textlink="">
      <xdr:nvSpPr>
        <xdr:cNvPr id="51" name="Isosceles Triangle 50">
          <a:extLst>
            <a:ext uri="{FF2B5EF4-FFF2-40B4-BE49-F238E27FC236}">
              <a16:creationId xmlns:a16="http://schemas.microsoft.com/office/drawing/2014/main" id="{00000000-0008-0000-0B00-000033000000}"/>
            </a:ext>
          </a:extLst>
        </xdr:cNvPr>
        <xdr:cNvSpPr/>
      </xdr:nvSpPr>
      <xdr:spPr>
        <a:xfrm>
          <a:off x="33572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193</xdr:row>
      <xdr:rowOff>78147</xdr:rowOff>
    </xdr:from>
    <xdr:to>
      <xdr:col>8</xdr:col>
      <xdr:colOff>0</xdr:colOff>
      <xdr:row>194</xdr:row>
      <xdr:rowOff>192447</xdr:rowOff>
    </xdr:to>
    <xdr:sp macro="" textlink="">
      <xdr:nvSpPr>
        <xdr:cNvPr id="52" name="Isosceles Triangle 51">
          <a:extLst>
            <a:ext uri="{FF2B5EF4-FFF2-40B4-BE49-F238E27FC236}">
              <a16:creationId xmlns:a16="http://schemas.microsoft.com/office/drawing/2014/main" id="{00000000-0008-0000-0B00-000034000000}"/>
            </a:ext>
          </a:extLst>
        </xdr:cNvPr>
        <xdr:cNvSpPr/>
      </xdr:nvSpPr>
      <xdr:spPr>
        <a:xfrm>
          <a:off x="46145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193</xdr:row>
      <xdr:rowOff>78147</xdr:rowOff>
    </xdr:from>
    <xdr:to>
      <xdr:col>10</xdr:col>
      <xdr:colOff>0</xdr:colOff>
      <xdr:row>194</xdr:row>
      <xdr:rowOff>192447</xdr:rowOff>
    </xdr:to>
    <xdr:sp macro="" textlink="">
      <xdr:nvSpPr>
        <xdr:cNvPr id="53" name="Isosceles Triangle 52">
          <a:extLst>
            <a:ext uri="{FF2B5EF4-FFF2-40B4-BE49-F238E27FC236}">
              <a16:creationId xmlns:a16="http://schemas.microsoft.com/office/drawing/2014/main" id="{00000000-0008-0000-0B00-000035000000}"/>
            </a:ext>
          </a:extLst>
        </xdr:cNvPr>
        <xdr:cNvSpPr/>
      </xdr:nvSpPr>
      <xdr:spPr>
        <a:xfrm>
          <a:off x="58718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193</xdr:row>
      <xdr:rowOff>78147</xdr:rowOff>
    </xdr:from>
    <xdr:to>
      <xdr:col>12</xdr:col>
      <xdr:colOff>0</xdr:colOff>
      <xdr:row>194</xdr:row>
      <xdr:rowOff>192447</xdr:rowOff>
    </xdr:to>
    <xdr:sp macro="" textlink="">
      <xdr:nvSpPr>
        <xdr:cNvPr id="54" name="Isosceles Triangle 53">
          <a:extLst>
            <a:ext uri="{FF2B5EF4-FFF2-40B4-BE49-F238E27FC236}">
              <a16:creationId xmlns:a16="http://schemas.microsoft.com/office/drawing/2014/main" id="{00000000-0008-0000-0B00-000036000000}"/>
            </a:ext>
          </a:extLst>
        </xdr:cNvPr>
        <xdr:cNvSpPr/>
      </xdr:nvSpPr>
      <xdr:spPr>
        <a:xfrm>
          <a:off x="71291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193</xdr:row>
      <xdr:rowOff>78147</xdr:rowOff>
    </xdr:from>
    <xdr:to>
      <xdr:col>14</xdr:col>
      <xdr:colOff>0</xdr:colOff>
      <xdr:row>194</xdr:row>
      <xdr:rowOff>192447</xdr:rowOff>
    </xdr:to>
    <xdr:sp macro="" textlink="">
      <xdr:nvSpPr>
        <xdr:cNvPr id="55" name="Isosceles Triangle 54">
          <a:extLst>
            <a:ext uri="{FF2B5EF4-FFF2-40B4-BE49-F238E27FC236}">
              <a16:creationId xmlns:a16="http://schemas.microsoft.com/office/drawing/2014/main" id="{00000000-0008-0000-0B00-000037000000}"/>
            </a:ext>
          </a:extLst>
        </xdr:cNvPr>
        <xdr:cNvSpPr/>
      </xdr:nvSpPr>
      <xdr:spPr>
        <a:xfrm>
          <a:off x="83864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193</xdr:row>
      <xdr:rowOff>78147</xdr:rowOff>
    </xdr:from>
    <xdr:to>
      <xdr:col>16</xdr:col>
      <xdr:colOff>0</xdr:colOff>
      <xdr:row>194</xdr:row>
      <xdr:rowOff>192447</xdr:rowOff>
    </xdr:to>
    <xdr:sp macro="" textlink="">
      <xdr:nvSpPr>
        <xdr:cNvPr id="56" name="Isosceles Triangle 55">
          <a:extLst>
            <a:ext uri="{FF2B5EF4-FFF2-40B4-BE49-F238E27FC236}">
              <a16:creationId xmlns:a16="http://schemas.microsoft.com/office/drawing/2014/main" id="{00000000-0008-0000-0B00-000038000000}"/>
            </a:ext>
          </a:extLst>
        </xdr:cNvPr>
        <xdr:cNvSpPr/>
      </xdr:nvSpPr>
      <xdr:spPr>
        <a:xfrm>
          <a:off x="96437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193</xdr:row>
      <xdr:rowOff>78147</xdr:rowOff>
    </xdr:from>
    <xdr:to>
      <xdr:col>18</xdr:col>
      <xdr:colOff>0</xdr:colOff>
      <xdr:row>194</xdr:row>
      <xdr:rowOff>192447</xdr:rowOff>
    </xdr:to>
    <xdr:sp macro="" textlink="">
      <xdr:nvSpPr>
        <xdr:cNvPr id="57" name="Isosceles Triangle 56">
          <a:extLst>
            <a:ext uri="{FF2B5EF4-FFF2-40B4-BE49-F238E27FC236}">
              <a16:creationId xmlns:a16="http://schemas.microsoft.com/office/drawing/2014/main" id="{00000000-0008-0000-0B00-000039000000}"/>
            </a:ext>
          </a:extLst>
        </xdr:cNvPr>
        <xdr:cNvSpPr/>
      </xdr:nvSpPr>
      <xdr:spPr>
        <a:xfrm>
          <a:off x="109010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193</xdr:row>
      <xdr:rowOff>78147</xdr:rowOff>
    </xdr:from>
    <xdr:to>
      <xdr:col>20</xdr:col>
      <xdr:colOff>0</xdr:colOff>
      <xdr:row>194</xdr:row>
      <xdr:rowOff>192447</xdr:rowOff>
    </xdr:to>
    <xdr:sp macro="" textlink="">
      <xdr:nvSpPr>
        <xdr:cNvPr id="58" name="Isosceles Triangle 57">
          <a:extLst>
            <a:ext uri="{FF2B5EF4-FFF2-40B4-BE49-F238E27FC236}">
              <a16:creationId xmlns:a16="http://schemas.microsoft.com/office/drawing/2014/main" id="{00000000-0008-0000-0B00-00003A000000}"/>
            </a:ext>
          </a:extLst>
        </xdr:cNvPr>
        <xdr:cNvSpPr/>
      </xdr:nvSpPr>
      <xdr:spPr>
        <a:xfrm>
          <a:off x="121583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193</xdr:row>
      <xdr:rowOff>78147</xdr:rowOff>
    </xdr:from>
    <xdr:to>
      <xdr:col>22</xdr:col>
      <xdr:colOff>0</xdr:colOff>
      <xdr:row>194</xdr:row>
      <xdr:rowOff>192447</xdr:rowOff>
    </xdr:to>
    <xdr:sp macro="" textlink="">
      <xdr:nvSpPr>
        <xdr:cNvPr id="59" name="Isosceles Triangle 58">
          <a:extLst>
            <a:ext uri="{FF2B5EF4-FFF2-40B4-BE49-F238E27FC236}">
              <a16:creationId xmlns:a16="http://schemas.microsoft.com/office/drawing/2014/main" id="{00000000-0008-0000-0B00-00003B000000}"/>
            </a:ext>
          </a:extLst>
        </xdr:cNvPr>
        <xdr:cNvSpPr/>
      </xdr:nvSpPr>
      <xdr:spPr>
        <a:xfrm>
          <a:off x="134156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51</xdr:row>
      <xdr:rowOff>78147</xdr:rowOff>
    </xdr:from>
    <xdr:to>
      <xdr:col>22</xdr:col>
      <xdr:colOff>0</xdr:colOff>
      <xdr:row>53</xdr:row>
      <xdr:rowOff>5057</xdr:rowOff>
    </xdr:to>
    <xdr:sp macro="" textlink="">
      <xdr:nvSpPr>
        <xdr:cNvPr id="35" name="Isosceles Triangle 34">
          <a:extLst>
            <a:ext uri="{FF2B5EF4-FFF2-40B4-BE49-F238E27FC236}">
              <a16:creationId xmlns:a16="http://schemas.microsoft.com/office/drawing/2014/main" id="{3D801060-DD33-4189-8C5B-23FEF72D4799}"/>
            </a:ext>
          </a:extLst>
        </xdr:cNvPr>
        <xdr:cNvSpPr/>
      </xdr:nvSpPr>
      <xdr:spPr>
        <a:xfrm>
          <a:off x="12133072" y="9388835"/>
          <a:ext cx="622491" cy="29203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4</xdr:col>
      <xdr:colOff>4572</xdr:colOff>
      <xdr:row>8</xdr:row>
      <xdr:rowOff>86085</xdr:rowOff>
    </xdr:from>
    <xdr:to>
      <xdr:col>5</xdr:col>
      <xdr:colOff>0</xdr:colOff>
      <xdr:row>10</xdr:row>
      <xdr:rowOff>8297</xdr:rowOff>
    </xdr:to>
    <xdr:sp macro="" textlink="">
      <xdr:nvSpPr>
        <xdr:cNvPr id="2" name="Isosceles Triangle 1">
          <a:extLst>
            <a:ext uri="{FF2B5EF4-FFF2-40B4-BE49-F238E27FC236}">
              <a16:creationId xmlns:a16="http://schemas.microsoft.com/office/drawing/2014/main" id="{879D116A-B894-42E4-A1F6-49A043F17E83}"/>
            </a:ext>
          </a:extLst>
        </xdr:cNvPr>
        <xdr:cNvSpPr/>
      </xdr:nvSpPr>
      <xdr:spPr>
        <a:xfrm>
          <a:off x="2728722" y="1559285"/>
          <a:ext cx="624078" cy="29051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3" name="Isosceles Triangle 2">
          <a:extLst>
            <a:ext uri="{FF2B5EF4-FFF2-40B4-BE49-F238E27FC236}">
              <a16:creationId xmlns:a16="http://schemas.microsoft.com/office/drawing/2014/main" id="{76347D94-687E-456C-990F-547E0CCF9E6C}"/>
            </a:ext>
          </a:extLst>
        </xdr:cNvPr>
        <xdr:cNvSpPr/>
      </xdr:nvSpPr>
      <xdr:spPr>
        <a:xfrm>
          <a:off x="39860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4" name="Isosceles Triangle 3">
          <a:extLst>
            <a:ext uri="{FF2B5EF4-FFF2-40B4-BE49-F238E27FC236}">
              <a16:creationId xmlns:a16="http://schemas.microsoft.com/office/drawing/2014/main" id="{F4A2B214-A09B-434F-A845-608721C07B63}"/>
            </a:ext>
          </a:extLst>
        </xdr:cNvPr>
        <xdr:cNvSpPr/>
      </xdr:nvSpPr>
      <xdr:spPr>
        <a:xfrm>
          <a:off x="52433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5" name="Isosceles Triangle 4">
          <a:extLst>
            <a:ext uri="{FF2B5EF4-FFF2-40B4-BE49-F238E27FC236}">
              <a16:creationId xmlns:a16="http://schemas.microsoft.com/office/drawing/2014/main" id="{E6CCDD86-C6CD-4C94-90D9-21D20EC82668}"/>
            </a:ext>
          </a:extLst>
        </xdr:cNvPr>
        <xdr:cNvSpPr/>
      </xdr:nvSpPr>
      <xdr:spPr>
        <a:xfrm>
          <a:off x="6476098" y="1561792"/>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6" name="Isosceles Triangle 5">
          <a:extLst>
            <a:ext uri="{FF2B5EF4-FFF2-40B4-BE49-F238E27FC236}">
              <a16:creationId xmlns:a16="http://schemas.microsoft.com/office/drawing/2014/main" id="{0961858B-067D-460B-9B27-2EA3C7D8E47F}"/>
            </a:ext>
          </a:extLst>
        </xdr:cNvPr>
        <xdr:cNvSpPr/>
      </xdr:nvSpPr>
      <xdr:spPr>
        <a:xfrm>
          <a:off x="7764402" y="1562783"/>
          <a:ext cx="624078"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7" name="Isosceles Triangle 6">
          <a:extLst>
            <a:ext uri="{FF2B5EF4-FFF2-40B4-BE49-F238E27FC236}">
              <a16:creationId xmlns:a16="http://schemas.microsoft.com/office/drawing/2014/main" id="{79A51F64-F949-4F0F-AABA-65020645A634}"/>
            </a:ext>
          </a:extLst>
        </xdr:cNvPr>
        <xdr:cNvSpPr/>
      </xdr:nvSpPr>
      <xdr:spPr>
        <a:xfrm>
          <a:off x="90152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8" name="Isosceles Triangle 7">
          <a:extLst>
            <a:ext uri="{FF2B5EF4-FFF2-40B4-BE49-F238E27FC236}">
              <a16:creationId xmlns:a16="http://schemas.microsoft.com/office/drawing/2014/main" id="{C66F4A1A-E5DE-4E03-8E72-E7A26F24801F}"/>
            </a:ext>
          </a:extLst>
        </xdr:cNvPr>
        <xdr:cNvSpPr/>
      </xdr:nvSpPr>
      <xdr:spPr>
        <a:xfrm>
          <a:off x="102725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9" name="Isosceles Triangle 8">
          <a:extLst>
            <a:ext uri="{FF2B5EF4-FFF2-40B4-BE49-F238E27FC236}">
              <a16:creationId xmlns:a16="http://schemas.microsoft.com/office/drawing/2014/main" id="{5F0C00E8-4B0A-465B-8D6B-30EF1E20F58F}"/>
            </a:ext>
          </a:extLst>
        </xdr:cNvPr>
        <xdr:cNvSpPr/>
      </xdr:nvSpPr>
      <xdr:spPr>
        <a:xfrm>
          <a:off x="11549261" y="155134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10" name="Isosceles Triangle 9">
          <a:extLst>
            <a:ext uri="{FF2B5EF4-FFF2-40B4-BE49-F238E27FC236}">
              <a16:creationId xmlns:a16="http://schemas.microsoft.com/office/drawing/2014/main" id="{4C709392-880D-4A15-9997-78604979994D}"/>
            </a:ext>
          </a:extLst>
        </xdr:cNvPr>
        <xdr:cNvSpPr/>
      </xdr:nvSpPr>
      <xdr:spPr>
        <a:xfrm>
          <a:off x="126187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11" name="Isosceles Triangle 10">
          <a:extLst>
            <a:ext uri="{FF2B5EF4-FFF2-40B4-BE49-F238E27FC236}">
              <a16:creationId xmlns:a16="http://schemas.microsoft.com/office/drawing/2014/main" id="{AB611E58-2CCF-485D-B534-7A9EAF575910}"/>
            </a:ext>
          </a:extLst>
        </xdr:cNvPr>
        <xdr:cNvSpPr/>
      </xdr:nvSpPr>
      <xdr:spPr>
        <a:xfrm>
          <a:off x="102725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12" name="Isosceles Triangle 11">
          <a:extLst>
            <a:ext uri="{FF2B5EF4-FFF2-40B4-BE49-F238E27FC236}">
              <a16:creationId xmlns:a16="http://schemas.microsoft.com/office/drawing/2014/main" id="{420239CE-1CF5-4033-8A3C-4FE24FE1FF52}"/>
            </a:ext>
          </a:extLst>
        </xdr:cNvPr>
        <xdr:cNvSpPr/>
      </xdr:nvSpPr>
      <xdr:spPr>
        <a:xfrm>
          <a:off x="633222" y="32086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13" name="Isosceles Triangle 12">
          <a:extLst>
            <a:ext uri="{FF2B5EF4-FFF2-40B4-BE49-F238E27FC236}">
              <a16:creationId xmlns:a16="http://schemas.microsoft.com/office/drawing/2014/main" id="{870D317D-CBBD-46C8-99AC-D70DFCE91CF0}"/>
            </a:ext>
          </a:extLst>
        </xdr:cNvPr>
        <xdr:cNvSpPr/>
      </xdr:nvSpPr>
      <xdr:spPr>
        <a:xfrm>
          <a:off x="33573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14" name="Isosceles Triangle 13">
          <a:extLst>
            <a:ext uri="{FF2B5EF4-FFF2-40B4-BE49-F238E27FC236}">
              <a16:creationId xmlns:a16="http://schemas.microsoft.com/office/drawing/2014/main" id="{DCC13499-EEBC-48BE-8D30-29AE64059A9E}"/>
            </a:ext>
          </a:extLst>
        </xdr:cNvPr>
        <xdr:cNvSpPr/>
      </xdr:nvSpPr>
      <xdr:spPr>
        <a:xfrm>
          <a:off x="46146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15" name="Isosceles Triangle 14">
          <a:extLst>
            <a:ext uri="{FF2B5EF4-FFF2-40B4-BE49-F238E27FC236}">
              <a16:creationId xmlns:a16="http://schemas.microsoft.com/office/drawing/2014/main" id="{C99FB271-44F4-448D-A4AF-9DEA0493928D}"/>
            </a:ext>
          </a:extLst>
        </xdr:cNvPr>
        <xdr:cNvSpPr/>
      </xdr:nvSpPr>
      <xdr:spPr>
        <a:xfrm>
          <a:off x="58719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16" name="Isosceles Triangle 15">
          <a:extLst>
            <a:ext uri="{FF2B5EF4-FFF2-40B4-BE49-F238E27FC236}">
              <a16:creationId xmlns:a16="http://schemas.microsoft.com/office/drawing/2014/main" id="{787FB5F1-B503-4723-A76B-635F0776A2D4}"/>
            </a:ext>
          </a:extLst>
        </xdr:cNvPr>
        <xdr:cNvSpPr/>
      </xdr:nvSpPr>
      <xdr:spPr>
        <a:xfrm>
          <a:off x="71292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17" name="Isosceles Triangle 16">
          <a:extLst>
            <a:ext uri="{FF2B5EF4-FFF2-40B4-BE49-F238E27FC236}">
              <a16:creationId xmlns:a16="http://schemas.microsoft.com/office/drawing/2014/main" id="{DF438E91-7081-492F-AAA5-00679667780D}"/>
            </a:ext>
          </a:extLst>
        </xdr:cNvPr>
        <xdr:cNvSpPr/>
      </xdr:nvSpPr>
      <xdr:spPr>
        <a:xfrm>
          <a:off x="83865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18" name="Isosceles Triangle 17">
          <a:extLst>
            <a:ext uri="{FF2B5EF4-FFF2-40B4-BE49-F238E27FC236}">
              <a16:creationId xmlns:a16="http://schemas.microsoft.com/office/drawing/2014/main" id="{7075BF4B-F007-4EA6-9300-661158D24407}"/>
            </a:ext>
          </a:extLst>
        </xdr:cNvPr>
        <xdr:cNvSpPr/>
      </xdr:nvSpPr>
      <xdr:spPr>
        <a:xfrm>
          <a:off x="96438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19" name="Isosceles Triangle 18">
          <a:extLst>
            <a:ext uri="{FF2B5EF4-FFF2-40B4-BE49-F238E27FC236}">
              <a16:creationId xmlns:a16="http://schemas.microsoft.com/office/drawing/2014/main" id="{F2C87696-1626-4436-9A4D-EEFE96222B98}"/>
            </a:ext>
          </a:extLst>
        </xdr:cNvPr>
        <xdr:cNvSpPr/>
      </xdr:nvSpPr>
      <xdr:spPr>
        <a:xfrm>
          <a:off x="109011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20" name="Isosceles Triangle 19">
          <a:extLst>
            <a:ext uri="{FF2B5EF4-FFF2-40B4-BE49-F238E27FC236}">
              <a16:creationId xmlns:a16="http://schemas.microsoft.com/office/drawing/2014/main" id="{FC4E4AC2-BE12-4E89-BD22-96ED6A1A777F}"/>
            </a:ext>
          </a:extLst>
        </xdr:cNvPr>
        <xdr:cNvSpPr/>
      </xdr:nvSpPr>
      <xdr:spPr>
        <a:xfrm>
          <a:off x="121584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21" name="Isosceles Triangle 20">
          <a:extLst>
            <a:ext uri="{FF2B5EF4-FFF2-40B4-BE49-F238E27FC236}">
              <a16:creationId xmlns:a16="http://schemas.microsoft.com/office/drawing/2014/main" id="{0D3406B4-020D-4B0F-B610-7D06852A2759}"/>
            </a:ext>
          </a:extLst>
        </xdr:cNvPr>
        <xdr:cNvSpPr/>
      </xdr:nvSpPr>
      <xdr:spPr>
        <a:xfrm>
          <a:off x="1890522" y="3208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22" name="Isosceles Triangle 21">
          <a:extLst>
            <a:ext uri="{FF2B5EF4-FFF2-40B4-BE49-F238E27FC236}">
              <a16:creationId xmlns:a16="http://schemas.microsoft.com/office/drawing/2014/main" id="{874A73A4-B02E-457A-AFA4-5EDCBD87FC28}"/>
            </a:ext>
          </a:extLst>
        </xdr:cNvPr>
        <xdr:cNvSpPr/>
      </xdr:nvSpPr>
      <xdr:spPr>
        <a:xfrm>
          <a:off x="109011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23" name="Isosceles Triangle 22">
          <a:extLst>
            <a:ext uri="{FF2B5EF4-FFF2-40B4-BE49-F238E27FC236}">
              <a16:creationId xmlns:a16="http://schemas.microsoft.com/office/drawing/2014/main" id="{20A384B0-269F-4D53-8045-DB6640B22F51}"/>
            </a:ext>
          </a:extLst>
        </xdr:cNvPr>
        <xdr:cNvSpPr/>
      </xdr:nvSpPr>
      <xdr:spPr>
        <a:xfrm>
          <a:off x="3357372" y="48660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24" name="Isosceles Triangle 23">
          <a:extLst>
            <a:ext uri="{FF2B5EF4-FFF2-40B4-BE49-F238E27FC236}">
              <a16:creationId xmlns:a16="http://schemas.microsoft.com/office/drawing/2014/main" id="{48ED3143-8647-4C63-BE2A-6761A253F183}"/>
            </a:ext>
          </a:extLst>
        </xdr:cNvPr>
        <xdr:cNvSpPr/>
      </xdr:nvSpPr>
      <xdr:spPr>
        <a:xfrm>
          <a:off x="4614672" y="48660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25" name="Isosceles Triangle 24">
          <a:extLst>
            <a:ext uri="{FF2B5EF4-FFF2-40B4-BE49-F238E27FC236}">
              <a16:creationId xmlns:a16="http://schemas.microsoft.com/office/drawing/2014/main" id="{32279952-BC36-4344-95E0-A91BD4CB1938}"/>
            </a:ext>
          </a:extLst>
        </xdr:cNvPr>
        <xdr:cNvSpPr/>
      </xdr:nvSpPr>
      <xdr:spPr>
        <a:xfrm>
          <a:off x="5871972" y="4875118"/>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26" name="Isosceles Triangle 25">
          <a:extLst>
            <a:ext uri="{FF2B5EF4-FFF2-40B4-BE49-F238E27FC236}">
              <a16:creationId xmlns:a16="http://schemas.microsoft.com/office/drawing/2014/main" id="{E78E5FC6-A708-460E-8D00-E0074D4ED62A}"/>
            </a:ext>
          </a:extLst>
        </xdr:cNvPr>
        <xdr:cNvSpPr/>
      </xdr:nvSpPr>
      <xdr:spPr>
        <a:xfrm>
          <a:off x="71292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27" name="Isosceles Triangle 26">
          <a:extLst>
            <a:ext uri="{FF2B5EF4-FFF2-40B4-BE49-F238E27FC236}">
              <a16:creationId xmlns:a16="http://schemas.microsoft.com/office/drawing/2014/main" id="{D0C6F5A1-03DE-4925-A203-516729BC6B9F}"/>
            </a:ext>
          </a:extLst>
        </xdr:cNvPr>
        <xdr:cNvSpPr/>
      </xdr:nvSpPr>
      <xdr:spPr>
        <a:xfrm>
          <a:off x="8386572" y="4866046"/>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28" name="Isosceles Triangle 27">
          <a:extLst>
            <a:ext uri="{FF2B5EF4-FFF2-40B4-BE49-F238E27FC236}">
              <a16:creationId xmlns:a16="http://schemas.microsoft.com/office/drawing/2014/main" id="{6F0D111F-5485-4CBB-8A1E-C6690641E373}"/>
            </a:ext>
          </a:extLst>
        </xdr:cNvPr>
        <xdr:cNvSpPr/>
      </xdr:nvSpPr>
      <xdr:spPr>
        <a:xfrm>
          <a:off x="96438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29" name="Isosceles Triangle 28">
          <a:extLst>
            <a:ext uri="{FF2B5EF4-FFF2-40B4-BE49-F238E27FC236}">
              <a16:creationId xmlns:a16="http://schemas.microsoft.com/office/drawing/2014/main" id="{0BEA877A-FC50-45E8-91CF-6088394DB209}"/>
            </a:ext>
          </a:extLst>
        </xdr:cNvPr>
        <xdr:cNvSpPr/>
      </xdr:nvSpPr>
      <xdr:spPr>
        <a:xfrm>
          <a:off x="121584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30" name="Isosceles Triangle 29">
          <a:extLst>
            <a:ext uri="{FF2B5EF4-FFF2-40B4-BE49-F238E27FC236}">
              <a16:creationId xmlns:a16="http://schemas.microsoft.com/office/drawing/2014/main" id="{9BEB16C7-CD8F-41E4-BE68-F316483DBEA9}"/>
            </a:ext>
          </a:extLst>
        </xdr:cNvPr>
        <xdr:cNvSpPr/>
      </xdr:nvSpPr>
      <xdr:spPr>
        <a:xfrm>
          <a:off x="1890522" y="48660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31" name="Isosceles Triangle 30">
          <a:extLst>
            <a:ext uri="{FF2B5EF4-FFF2-40B4-BE49-F238E27FC236}">
              <a16:creationId xmlns:a16="http://schemas.microsoft.com/office/drawing/2014/main" id="{A9F0D69D-95C9-4A61-B8B3-6D3C0A6DD2C9}"/>
            </a:ext>
          </a:extLst>
        </xdr:cNvPr>
        <xdr:cNvSpPr/>
      </xdr:nvSpPr>
      <xdr:spPr>
        <a:xfrm>
          <a:off x="63322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32" name="Isosceles Triangle 31">
          <a:extLst>
            <a:ext uri="{FF2B5EF4-FFF2-40B4-BE49-F238E27FC236}">
              <a16:creationId xmlns:a16="http://schemas.microsoft.com/office/drawing/2014/main" id="{41E33E80-CF4E-4E19-B754-542C5DA4B17B}"/>
            </a:ext>
          </a:extLst>
        </xdr:cNvPr>
        <xdr:cNvSpPr/>
      </xdr:nvSpPr>
      <xdr:spPr>
        <a:xfrm>
          <a:off x="109011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33" name="Isosceles Triangle 32">
          <a:extLst>
            <a:ext uri="{FF2B5EF4-FFF2-40B4-BE49-F238E27FC236}">
              <a16:creationId xmlns:a16="http://schemas.microsoft.com/office/drawing/2014/main" id="{A775C6D9-7E53-4575-8584-5F4AC1018CBD}"/>
            </a:ext>
          </a:extLst>
        </xdr:cNvPr>
        <xdr:cNvSpPr/>
      </xdr:nvSpPr>
      <xdr:spPr>
        <a:xfrm>
          <a:off x="3376811" y="6540321"/>
          <a:ext cx="624078"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34" name="Isosceles Triangle 33">
          <a:extLst>
            <a:ext uri="{FF2B5EF4-FFF2-40B4-BE49-F238E27FC236}">
              <a16:creationId xmlns:a16="http://schemas.microsoft.com/office/drawing/2014/main" id="{83B30A5A-F1C2-49D7-8A37-E0FB6D3036CA}"/>
            </a:ext>
          </a:extLst>
        </xdr:cNvPr>
        <xdr:cNvSpPr/>
      </xdr:nvSpPr>
      <xdr:spPr>
        <a:xfrm>
          <a:off x="46146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86528</xdr:rowOff>
    </xdr:from>
    <xdr:to>
      <xdr:col>10</xdr:col>
      <xdr:colOff>4407</xdr:colOff>
      <xdr:row>36</xdr:row>
      <xdr:rowOff>181778</xdr:rowOff>
    </xdr:to>
    <xdr:sp macro="" textlink="">
      <xdr:nvSpPr>
        <xdr:cNvPr id="35" name="Isosceles Triangle 34">
          <a:extLst>
            <a:ext uri="{FF2B5EF4-FFF2-40B4-BE49-F238E27FC236}">
              <a16:creationId xmlns:a16="http://schemas.microsoft.com/office/drawing/2014/main" id="{C9F17B5B-9ADA-44B7-8B2C-D5A16F409A77}"/>
            </a:ext>
          </a:extLst>
        </xdr:cNvPr>
        <xdr:cNvSpPr/>
      </xdr:nvSpPr>
      <xdr:spPr>
        <a:xfrm>
          <a:off x="5871968" y="6531778"/>
          <a:ext cx="628489"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12510</xdr:colOff>
      <xdr:row>35</xdr:row>
      <xdr:rowOff>78147</xdr:rowOff>
    </xdr:from>
    <xdr:to>
      <xdr:col>12</xdr:col>
      <xdr:colOff>7938</xdr:colOff>
      <xdr:row>37</xdr:row>
      <xdr:rowOff>5057</xdr:rowOff>
    </xdr:to>
    <xdr:sp macro="" textlink="">
      <xdr:nvSpPr>
        <xdr:cNvPr id="36" name="Isosceles Triangle 35">
          <a:extLst>
            <a:ext uri="{FF2B5EF4-FFF2-40B4-BE49-F238E27FC236}">
              <a16:creationId xmlns:a16="http://schemas.microsoft.com/office/drawing/2014/main" id="{95F03549-BE37-41D4-AA7D-7322D278F993}"/>
            </a:ext>
          </a:extLst>
        </xdr:cNvPr>
        <xdr:cNvSpPr/>
      </xdr:nvSpPr>
      <xdr:spPr>
        <a:xfrm>
          <a:off x="7137210"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37" name="Isosceles Triangle 36">
          <a:extLst>
            <a:ext uri="{FF2B5EF4-FFF2-40B4-BE49-F238E27FC236}">
              <a16:creationId xmlns:a16="http://schemas.microsoft.com/office/drawing/2014/main" id="{A7EB161B-75FC-4626-BB75-04AE876CDA79}"/>
            </a:ext>
          </a:extLst>
        </xdr:cNvPr>
        <xdr:cNvSpPr/>
      </xdr:nvSpPr>
      <xdr:spPr>
        <a:xfrm>
          <a:off x="83865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38" name="Isosceles Triangle 37">
          <a:extLst>
            <a:ext uri="{FF2B5EF4-FFF2-40B4-BE49-F238E27FC236}">
              <a16:creationId xmlns:a16="http://schemas.microsoft.com/office/drawing/2014/main" id="{0A481F6F-AAFF-4360-8062-2484EA6C9326}"/>
            </a:ext>
          </a:extLst>
        </xdr:cNvPr>
        <xdr:cNvSpPr/>
      </xdr:nvSpPr>
      <xdr:spPr>
        <a:xfrm>
          <a:off x="109011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9" name="Isosceles Triangle 38">
          <a:extLst>
            <a:ext uri="{FF2B5EF4-FFF2-40B4-BE49-F238E27FC236}">
              <a16:creationId xmlns:a16="http://schemas.microsoft.com/office/drawing/2014/main" id="{B8BDF746-12AA-4D6C-816F-1526BC44FE9D}"/>
            </a:ext>
          </a:extLst>
        </xdr:cNvPr>
        <xdr:cNvSpPr/>
      </xdr:nvSpPr>
      <xdr:spPr>
        <a:xfrm>
          <a:off x="63322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40" name="Isosceles Triangle 39">
          <a:extLst>
            <a:ext uri="{FF2B5EF4-FFF2-40B4-BE49-F238E27FC236}">
              <a16:creationId xmlns:a16="http://schemas.microsoft.com/office/drawing/2014/main" id="{F4E355A0-C3BD-41AB-ADF1-F4308B5ECACA}"/>
            </a:ext>
          </a:extLst>
        </xdr:cNvPr>
        <xdr:cNvSpPr/>
      </xdr:nvSpPr>
      <xdr:spPr>
        <a:xfrm>
          <a:off x="1890522" y="65233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41" name="Isosceles Triangle 40">
          <a:extLst>
            <a:ext uri="{FF2B5EF4-FFF2-40B4-BE49-F238E27FC236}">
              <a16:creationId xmlns:a16="http://schemas.microsoft.com/office/drawing/2014/main" id="{80D3417B-BCA6-4B11-B7CE-B6A2B058FA53}"/>
            </a:ext>
          </a:extLst>
        </xdr:cNvPr>
        <xdr:cNvSpPr/>
      </xdr:nvSpPr>
      <xdr:spPr>
        <a:xfrm>
          <a:off x="63322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42" name="Isosceles Triangle 41">
          <a:extLst>
            <a:ext uri="{FF2B5EF4-FFF2-40B4-BE49-F238E27FC236}">
              <a16:creationId xmlns:a16="http://schemas.microsoft.com/office/drawing/2014/main" id="{602BFDFF-D291-4259-8E4C-BABDA13B5828}"/>
            </a:ext>
          </a:extLst>
        </xdr:cNvPr>
        <xdr:cNvSpPr/>
      </xdr:nvSpPr>
      <xdr:spPr>
        <a:xfrm>
          <a:off x="964387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43" name="Isosceles Triangle 42">
          <a:extLst>
            <a:ext uri="{FF2B5EF4-FFF2-40B4-BE49-F238E27FC236}">
              <a16:creationId xmlns:a16="http://schemas.microsoft.com/office/drawing/2014/main" id="{8F973E63-58D8-4DCF-AFCB-1298D22C549E}"/>
            </a:ext>
          </a:extLst>
        </xdr:cNvPr>
        <xdr:cNvSpPr/>
      </xdr:nvSpPr>
      <xdr:spPr>
        <a:xfrm>
          <a:off x="63322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44" name="Isosceles Triangle 43">
          <a:extLst>
            <a:ext uri="{FF2B5EF4-FFF2-40B4-BE49-F238E27FC236}">
              <a16:creationId xmlns:a16="http://schemas.microsoft.com/office/drawing/2014/main" id="{2861734F-50B5-4816-9AF7-EA1BD5575140}"/>
            </a:ext>
          </a:extLst>
        </xdr:cNvPr>
        <xdr:cNvSpPr/>
      </xdr:nvSpPr>
      <xdr:spPr>
        <a:xfrm>
          <a:off x="1890522" y="7996597"/>
          <a:ext cx="83362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45" name="Isosceles Triangle 44">
          <a:extLst>
            <a:ext uri="{FF2B5EF4-FFF2-40B4-BE49-F238E27FC236}">
              <a16:creationId xmlns:a16="http://schemas.microsoft.com/office/drawing/2014/main" id="{9FDF0D8C-73FF-41E5-8FA2-5EFAB846A3A0}"/>
            </a:ext>
          </a:extLst>
        </xdr:cNvPr>
        <xdr:cNvSpPr/>
      </xdr:nvSpPr>
      <xdr:spPr>
        <a:xfrm>
          <a:off x="33573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46" name="Isosceles Triangle 45">
          <a:extLst>
            <a:ext uri="{FF2B5EF4-FFF2-40B4-BE49-F238E27FC236}">
              <a16:creationId xmlns:a16="http://schemas.microsoft.com/office/drawing/2014/main" id="{472321D2-0C27-44B2-A0D8-D3402659E286}"/>
            </a:ext>
          </a:extLst>
        </xdr:cNvPr>
        <xdr:cNvSpPr/>
      </xdr:nvSpPr>
      <xdr:spPr>
        <a:xfrm>
          <a:off x="46146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47" name="Isosceles Triangle 46">
          <a:extLst>
            <a:ext uri="{FF2B5EF4-FFF2-40B4-BE49-F238E27FC236}">
              <a16:creationId xmlns:a16="http://schemas.microsoft.com/office/drawing/2014/main" id="{7E361176-51C6-45AD-9E2B-6184184EF4B3}"/>
            </a:ext>
          </a:extLst>
        </xdr:cNvPr>
        <xdr:cNvSpPr/>
      </xdr:nvSpPr>
      <xdr:spPr>
        <a:xfrm>
          <a:off x="58719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48" name="Isosceles Triangle 47">
          <a:extLst>
            <a:ext uri="{FF2B5EF4-FFF2-40B4-BE49-F238E27FC236}">
              <a16:creationId xmlns:a16="http://schemas.microsoft.com/office/drawing/2014/main" id="{C9147155-64A1-46A9-8CA0-AE6C27ED9C0A}"/>
            </a:ext>
          </a:extLst>
        </xdr:cNvPr>
        <xdr:cNvSpPr/>
      </xdr:nvSpPr>
      <xdr:spPr>
        <a:xfrm>
          <a:off x="7127687" y="7996597"/>
          <a:ext cx="624079"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49" name="Isosceles Triangle 48">
          <a:extLst>
            <a:ext uri="{FF2B5EF4-FFF2-40B4-BE49-F238E27FC236}">
              <a16:creationId xmlns:a16="http://schemas.microsoft.com/office/drawing/2014/main" id="{6B6A1336-F396-4246-B2E7-68328D693ED9}"/>
            </a:ext>
          </a:extLst>
        </xdr:cNvPr>
        <xdr:cNvSpPr/>
      </xdr:nvSpPr>
      <xdr:spPr>
        <a:xfrm>
          <a:off x="83865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50" name="Isosceles Triangle 49">
          <a:extLst>
            <a:ext uri="{FF2B5EF4-FFF2-40B4-BE49-F238E27FC236}">
              <a16:creationId xmlns:a16="http://schemas.microsoft.com/office/drawing/2014/main" id="{4C2BE77D-1E5B-4607-B2B0-7C75042F3F58}"/>
            </a:ext>
          </a:extLst>
        </xdr:cNvPr>
        <xdr:cNvSpPr/>
      </xdr:nvSpPr>
      <xdr:spPr>
        <a:xfrm>
          <a:off x="96438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51" name="Isosceles Triangle 50">
          <a:extLst>
            <a:ext uri="{FF2B5EF4-FFF2-40B4-BE49-F238E27FC236}">
              <a16:creationId xmlns:a16="http://schemas.microsoft.com/office/drawing/2014/main" id="{75F853AC-0B5F-4504-A249-C469F63CCBDE}"/>
            </a:ext>
          </a:extLst>
        </xdr:cNvPr>
        <xdr:cNvSpPr/>
      </xdr:nvSpPr>
      <xdr:spPr>
        <a:xfrm>
          <a:off x="1215847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52" name="Isosceles Triangle 51">
          <a:extLst>
            <a:ext uri="{FF2B5EF4-FFF2-40B4-BE49-F238E27FC236}">
              <a16:creationId xmlns:a16="http://schemas.microsoft.com/office/drawing/2014/main" id="{DD916D3B-D983-45FB-A942-AB6AA317772C}"/>
            </a:ext>
          </a:extLst>
        </xdr:cNvPr>
        <xdr:cNvSpPr/>
      </xdr:nvSpPr>
      <xdr:spPr>
        <a:xfrm>
          <a:off x="83865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53" name="Isosceles Triangle 52">
          <a:extLst>
            <a:ext uri="{FF2B5EF4-FFF2-40B4-BE49-F238E27FC236}">
              <a16:creationId xmlns:a16="http://schemas.microsoft.com/office/drawing/2014/main" id="{43FF0DBF-5832-4597-968E-F20451023D14}"/>
            </a:ext>
          </a:extLst>
        </xdr:cNvPr>
        <xdr:cNvSpPr/>
      </xdr:nvSpPr>
      <xdr:spPr>
        <a:xfrm>
          <a:off x="96438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54" name="Isosceles Triangle 53">
          <a:extLst>
            <a:ext uri="{FF2B5EF4-FFF2-40B4-BE49-F238E27FC236}">
              <a16:creationId xmlns:a16="http://schemas.microsoft.com/office/drawing/2014/main" id="{ABF2124A-34D4-4DEB-AC13-ABB28532A8E6}"/>
            </a:ext>
          </a:extLst>
        </xdr:cNvPr>
        <xdr:cNvSpPr/>
      </xdr:nvSpPr>
      <xdr:spPr>
        <a:xfrm>
          <a:off x="12158472" y="109810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55" name="Isosceles Triangle 54">
          <a:extLst>
            <a:ext uri="{FF2B5EF4-FFF2-40B4-BE49-F238E27FC236}">
              <a16:creationId xmlns:a16="http://schemas.microsoft.com/office/drawing/2014/main" id="{DAE7FD12-7CC4-4C08-9B31-C17916B24BC1}"/>
            </a:ext>
          </a:extLst>
        </xdr:cNvPr>
        <xdr:cNvSpPr/>
      </xdr:nvSpPr>
      <xdr:spPr>
        <a:xfrm>
          <a:off x="109011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56" name="Isosceles Triangle 55">
          <a:extLst>
            <a:ext uri="{FF2B5EF4-FFF2-40B4-BE49-F238E27FC236}">
              <a16:creationId xmlns:a16="http://schemas.microsoft.com/office/drawing/2014/main" id="{1BA84884-C49C-434B-83AF-C39F125AA85B}"/>
            </a:ext>
          </a:extLst>
        </xdr:cNvPr>
        <xdr:cNvSpPr/>
      </xdr:nvSpPr>
      <xdr:spPr>
        <a:xfrm>
          <a:off x="96438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57" name="Line 327">
          <a:extLst>
            <a:ext uri="{FF2B5EF4-FFF2-40B4-BE49-F238E27FC236}">
              <a16:creationId xmlns:a16="http://schemas.microsoft.com/office/drawing/2014/main" id="{54DCF1FD-F1D6-4FCE-8683-BCDF8452F41A}"/>
            </a:ext>
          </a:extLst>
        </xdr:cNvPr>
        <xdr:cNvSpPr>
          <a:spLocks noChangeShapeType="1"/>
        </xdr:cNvSpPr>
      </xdr:nvSpPr>
      <xdr:spPr>
        <a:xfrm flipH="1">
          <a:off x="1376859" y="8334511"/>
          <a:ext cx="266700" cy="354022"/>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58" name="Line 327">
          <a:extLst>
            <a:ext uri="{FF2B5EF4-FFF2-40B4-BE49-F238E27FC236}">
              <a16:creationId xmlns:a16="http://schemas.microsoft.com/office/drawing/2014/main" id="{4D4B9018-CC5B-4732-96AA-099F840E8E74}"/>
            </a:ext>
          </a:extLst>
        </xdr:cNvPr>
        <xdr:cNvSpPr>
          <a:spLocks noChangeShapeType="1"/>
        </xdr:cNvSpPr>
      </xdr:nvSpPr>
      <xdr:spPr>
        <a:xfrm flipH="1">
          <a:off x="6564713" y="8300441"/>
          <a:ext cx="266700" cy="3288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59" name="Line 327">
          <a:extLst>
            <a:ext uri="{FF2B5EF4-FFF2-40B4-BE49-F238E27FC236}">
              <a16:creationId xmlns:a16="http://schemas.microsoft.com/office/drawing/2014/main" id="{4BDFAED3-45AE-408E-A845-9B7986EB1232}"/>
            </a:ext>
          </a:extLst>
        </xdr:cNvPr>
        <xdr:cNvSpPr>
          <a:spLocks noChangeShapeType="1"/>
        </xdr:cNvSpPr>
      </xdr:nvSpPr>
      <xdr:spPr>
        <a:xfrm flipH="1">
          <a:off x="9122998" y="8326359"/>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60" name="Line 327">
          <a:extLst>
            <a:ext uri="{FF2B5EF4-FFF2-40B4-BE49-F238E27FC236}">
              <a16:creationId xmlns:a16="http://schemas.microsoft.com/office/drawing/2014/main" id="{58D8C187-77F5-43CA-A62F-E88A7AB90C69}"/>
            </a:ext>
          </a:extLst>
        </xdr:cNvPr>
        <xdr:cNvSpPr>
          <a:spLocks noChangeShapeType="1"/>
        </xdr:cNvSpPr>
      </xdr:nvSpPr>
      <xdr:spPr>
        <a:xfrm flipH="1">
          <a:off x="11665188" y="11215021"/>
          <a:ext cx="266700" cy="35096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169700</xdr:colOff>
      <xdr:row>62</xdr:row>
      <xdr:rowOff>29109</xdr:rowOff>
    </xdr:to>
    <xdr:pic>
      <xdr:nvPicPr>
        <xdr:cNvPr id="61" name="Picture 13">
          <a:extLst>
            <a:ext uri="{FF2B5EF4-FFF2-40B4-BE49-F238E27FC236}">
              <a16:creationId xmlns:a16="http://schemas.microsoft.com/office/drawing/2014/main" id="{F85C73B7-5CCF-4450-BB3A-AFE82059CAD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0722679" y="11159939"/>
          <a:ext cx="77187" cy="5719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17990</xdr:rowOff>
    </xdr:to>
    <xdr:pic>
      <xdr:nvPicPr>
        <xdr:cNvPr id="62" name="Picture 13">
          <a:extLst>
            <a:ext uri="{FF2B5EF4-FFF2-40B4-BE49-F238E27FC236}">
              <a16:creationId xmlns:a16="http://schemas.microsoft.com/office/drawing/2014/main" id="{F2937191-337D-4958-A045-50DD6269217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4215288" y="8204235"/>
          <a:ext cx="77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110153</xdr:colOff>
      <xdr:row>45</xdr:row>
      <xdr:rowOff>25918</xdr:rowOff>
    </xdr:from>
    <xdr:to>
      <xdr:col>2</xdr:col>
      <xdr:colOff>239745</xdr:colOff>
      <xdr:row>46</xdr:row>
      <xdr:rowOff>19439</xdr:rowOff>
    </xdr:to>
    <xdr:sp macro="" textlink="">
      <xdr:nvSpPr>
        <xdr:cNvPr id="63" name="Flowchart: Magnetic Disk 62">
          <a:extLst>
            <a:ext uri="{FF2B5EF4-FFF2-40B4-BE49-F238E27FC236}">
              <a16:creationId xmlns:a16="http://schemas.microsoft.com/office/drawing/2014/main" id="{69832F65-C924-4BBC-8AC5-210AF924C84F}"/>
            </a:ext>
          </a:extLst>
        </xdr:cNvPr>
        <xdr:cNvSpPr/>
      </xdr:nvSpPr>
      <xdr:spPr>
        <a:xfrm>
          <a:off x="1367453" y="8312668"/>
          <a:ext cx="129592" cy="177671"/>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64" name="Flowchart: Magnetic Disk 63">
          <a:extLst>
            <a:ext uri="{FF2B5EF4-FFF2-40B4-BE49-F238E27FC236}">
              <a16:creationId xmlns:a16="http://schemas.microsoft.com/office/drawing/2014/main" id="{DD7B1F6B-F0F5-4898-AC1C-19BE88A08C8C}"/>
            </a:ext>
          </a:extLst>
        </xdr:cNvPr>
        <xdr:cNvSpPr/>
      </xdr:nvSpPr>
      <xdr:spPr>
        <a:xfrm>
          <a:off x="8064370" y="84838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65" name="Flowchart: Magnetic Disk 64">
          <a:extLst>
            <a:ext uri="{FF2B5EF4-FFF2-40B4-BE49-F238E27FC236}">
              <a16:creationId xmlns:a16="http://schemas.microsoft.com/office/drawing/2014/main" id="{E8C44FF7-46C9-41FD-AC32-C2DADA89FF82}"/>
            </a:ext>
          </a:extLst>
        </xdr:cNvPr>
        <xdr:cNvSpPr/>
      </xdr:nvSpPr>
      <xdr:spPr>
        <a:xfrm>
          <a:off x="9334629" y="8477380"/>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66" name="Flowchart: Predefined Process 65">
          <a:extLst>
            <a:ext uri="{FF2B5EF4-FFF2-40B4-BE49-F238E27FC236}">
              <a16:creationId xmlns:a16="http://schemas.microsoft.com/office/drawing/2014/main" id="{0864850B-EE9B-4F28-A7C0-0911C09B88E0}"/>
            </a:ext>
          </a:extLst>
        </xdr:cNvPr>
        <xdr:cNvSpPr/>
      </xdr:nvSpPr>
      <xdr:spPr>
        <a:xfrm>
          <a:off x="151648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67" name="Line 327">
          <a:extLst>
            <a:ext uri="{FF2B5EF4-FFF2-40B4-BE49-F238E27FC236}">
              <a16:creationId xmlns:a16="http://schemas.microsoft.com/office/drawing/2014/main" id="{F7021230-E15B-4D44-8AE4-5616D3A29B2C}"/>
            </a:ext>
          </a:extLst>
        </xdr:cNvPr>
        <xdr:cNvSpPr>
          <a:spLocks noChangeShapeType="1"/>
        </xdr:cNvSpPr>
      </xdr:nvSpPr>
      <xdr:spPr>
        <a:xfrm flipH="1">
          <a:off x="6613440" y="8381565"/>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68" name="Flowchart: Predefined Process 67">
          <a:extLst>
            <a:ext uri="{FF2B5EF4-FFF2-40B4-BE49-F238E27FC236}">
              <a16:creationId xmlns:a16="http://schemas.microsoft.com/office/drawing/2014/main" id="{4E530751-65E7-4D33-8F78-A4BBC6EDE1BC}"/>
            </a:ext>
          </a:extLst>
        </xdr:cNvPr>
        <xdr:cNvSpPr/>
      </xdr:nvSpPr>
      <xdr:spPr>
        <a:xfrm>
          <a:off x="7824626" y="8370985"/>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69" name="Line 327">
          <a:extLst>
            <a:ext uri="{FF2B5EF4-FFF2-40B4-BE49-F238E27FC236}">
              <a16:creationId xmlns:a16="http://schemas.microsoft.com/office/drawing/2014/main" id="{692F65CF-916A-4FE4-9ABD-306E4574BE5A}"/>
            </a:ext>
          </a:extLst>
        </xdr:cNvPr>
        <xdr:cNvSpPr>
          <a:spLocks noChangeShapeType="1"/>
        </xdr:cNvSpPr>
      </xdr:nvSpPr>
      <xdr:spPr>
        <a:xfrm flipH="1">
          <a:off x="10304946" y="11214810"/>
          <a:ext cx="266700" cy="35096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70" name="Line 327">
          <a:extLst>
            <a:ext uri="{FF2B5EF4-FFF2-40B4-BE49-F238E27FC236}">
              <a16:creationId xmlns:a16="http://schemas.microsoft.com/office/drawing/2014/main" id="{44611985-24C2-4357-AE62-BD0B182C332D}"/>
            </a:ext>
          </a:extLst>
        </xdr:cNvPr>
        <xdr:cNvSpPr>
          <a:spLocks noChangeShapeType="1"/>
        </xdr:cNvSpPr>
      </xdr:nvSpPr>
      <xdr:spPr>
        <a:xfrm flipH="1">
          <a:off x="10353672" y="11298656"/>
          <a:ext cx="266700" cy="34448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71" name="Flowchart: Decision 70">
          <a:extLst>
            <a:ext uri="{FF2B5EF4-FFF2-40B4-BE49-F238E27FC236}">
              <a16:creationId xmlns:a16="http://schemas.microsoft.com/office/drawing/2014/main" id="{7735B8B7-95BD-46B5-8515-2BCE3F3F35C3}"/>
            </a:ext>
          </a:extLst>
        </xdr:cNvPr>
        <xdr:cNvSpPr/>
      </xdr:nvSpPr>
      <xdr:spPr>
        <a:xfrm>
          <a:off x="132209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4572</xdr:colOff>
      <xdr:row>67</xdr:row>
      <xdr:rowOff>78147</xdr:rowOff>
    </xdr:from>
    <xdr:to>
      <xdr:col>6</xdr:col>
      <xdr:colOff>0</xdr:colOff>
      <xdr:row>68</xdr:row>
      <xdr:rowOff>192447</xdr:rowOff>
    </xdr:to>
    <xdr:sp macro="" textlink="">
      <xdr:nvSpPr>
        <xdr:cNvPr id="72" name="Isosceles Triangle 71">
          <a:extLst>
            <a:ext uri="{FF2B5EF4-FFF2-40B4-BE49-F238E27FC236}">
              <a16:creationId xmlns:a16="http://schemas.microsoft.com/office/drawing/2014/main" id="{C4870F94-1A6B-4DCB-A025-24081B15BF5D}"/>
            </a:ext>
          </a:extLst>
        </xdr:cNvPr>
        <xdr:cNvSpPr/>
      </xdr:nvSpPr>
      <xdr:spPr>
        <a:xfrm>
          <a:off x="33573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73" name="Isosceles Triangle 72">
          <a:extLst>
            <a:ext uri="{FF2B5EF4-FFF2-40B4-BE49-F238E27FC236}">
              <a16:creationId xmlns:a16="http://schemas.microsoft.com/office/drawing/2014/main" id="{8A1C974B-FFC5-499E-B569-8850CE847208}"/>
            </a:ext>
          </a:extLst>
        </xdr:cNvPr>
        <xdr:cNvSpPr/>
      </xdr:nvSpPr>
      <xdr:spPr>
        <a:xfrm>
          <a:off x="46146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74" name="Isosceles Triangle 73">
          <a:extLst>
            <a:ext uri="{FF2B5EF4-FFF2-40B4-BE49-F238E27FC236}">
              <a16:creationId xmlns:a16="http://schemas.microsoft.com/office/drawing/2014/main" id="{5A25EAA7-C68D-4015-92BC-347AA81625FC}"/>
            </a:ext>
          </a:extLst>
        </xdr:cNvPr>
        <xdr:cNvSpPr/>
      </xdr:nvSpPr>
      <xdr:spPr>
        <a:xfrm>
          <a:off x="5871972" y="124542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75" name="Isosceles Triangle 74">
          <a:extLst>
            <a:ext uri="{FF2B5EF4-FFF2-40B4-BE49-F238E27FC236}">
              <a16:creationId xmlns:a16="http://schemas.microsoft.com/office/drawing/2014/main" id="{930CC1C7-930E-434E-BA6F-D1BF3B1D7608}"/>
            </a:ext>
          </a:extLst>
        </xdr:cNvPr>
        <xdr:cNvSpPr/>
      </xdr:nvSpPr>
      <xdr:spPr>
        <a:xfrm>
          <a:off x="83865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76" name="Isosceles Triangle 75">
          <a:extLst>
            <a:ext uri="{FF2B5EF4-FFF2-40B4-BE49-F238E27FC236}">
              <a16:creationId xmlns:a16="http://schemas.microsoft.com/office/drawing/2014/main" id="{98C27AA5-C71E-47CD-AA14-32CFB38B2561}"/>
            </a:ext>
          </a:extLst>
        </xdr:cNvPr>
        <xdr:cNvSpPr/>
      </xdr:nvSpPr>
      <xdr:spPr>
        <a:xfrm>
          <a:off x="96438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77" name="Isosceles Triangle 76">
          <a:extLst>
            <a:ext uri="{FF2B5EF4-FFF2-40B4-BE49-F238E27FC236}">
              <a16:creationId xmlns:a16="http://schemas.microsoft.com/office/drawing/2014/main" id="{8B104DAE-8345-4493-9709-ADCBC1042683}"/>
            </a:ext>
          </a:extLst>
        </xdr:cNvPr>
        <xdr:cNvSpPr/>
      </xdr:nvSpPr>
      <xdr:spPr>
        <a:xfrm>
          <a:off x="121584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78" name="Isosceles Triangle 77">
          <a:extLst>
            <a:ext uri="{FF2B5EF4-FFF2-40B4-BE49-F238E27FC236}">
              <a16:creationId xmlns:a16="http://schemas.microsoft.com/office/drawing/2014/main" id="{D97C01EE-2A9F-4B6C-8E62-8E73BFD04311}"/>
            </a:ext>
          </a:extLst>
        </xdr:cNvPr>
        <xdr:cNvSpPr/>
      </xdr:nvSpPr>
      <xdr:spPr>
        <a:xfrm>
          <a:off x="1890522" y="124542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79" name="Isosceles Triangle 78">
          <a:extLst>
            <a:ext uri="{FF2B5EF4-FFF2-40B4-BE49-F238E27FC236}">
              <a16:creationId xmlns:a16="http://schemas.microsoft.com/office/drawing/2014/main" id="{8A445C5D-9E9A-4773-968E-D36EF95FD539}"/>
            </a:ext>
          </a:extLst>
        </xdr:cNvPr>
        <xdr:cNvSpPr/>
      </xdr:nvSpPr>
      <xdr:spPr>
        <a:xfrm>
          <a:off x="63322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80" name="Isosceles Triangle 79">
          <a:extLst>
            <a:ext uri="{FF2B5EF4-FFF2-40B4-BE49-F238E27FC236}">
              <a16:creationId xmlns:a16="http://schemas.microsoft.com/office/drawing/2014/main" id="{BAAE9941-9128-4E27-8B6A-13D71B91B31D}"/>
            </a:ext>
          </a:extLst>
        </xdr:cNvPr>
        <xdr:cNvSpPr/>
      </xdr:nvSpPr>
      <xdr:spPr>
        <a:xfrm>
          <a:off x="109011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81" name="Isosceles Triangle 80">
          <a:extLst>
            <a:ext uri="{FF2B5EF4-FFF2-40B4-BE49-F238E27FC236}">
              <a16:creationId xmlns:a16="http://schemas.microsoft.com/office/drawing/2014/main" id="{040C4E20-09D6-48C7-A93B-0ED6324B6A2C}"/>
            </a:ext>
          </a:extLst>
        </xdr:cNvPr>
        <xdr:cNvSpPr/>
      </xdr:nvSpPr>
      <xdr:spPr>
        <a:xfrm>
          <a:off x="46146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82" name="Isosceles Triangle 81">
          <a:extLst>
            <a:ext uri="{FF2B5EF4-FFF2-40B4-BE49-F238E27FC236}">
              <a16:creationId xmlns:a16="http://schemas.microsoft.com/office/drawing/2014/main" id="{A450FD80-ECE6-49D8-8DC3-76B14B103F2B}"/>
            </a:ext>
          </a:extLst>
        </xdr:cNvPr>
        <xdr:cNvSpPr/>
      </xdr:nvSpPr>
      <xdr:spPr>
        <a:xfrm>
          <a:off x="58719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83" name="Isosceles Triangle 82">
          <a:extLst>
            <a:ext uri="{FF2B5EF4-FFF2-40B4-BE49-F238E27FC236}">
              <a16:creationId xmlns:a16="http://schemas.microsoft.com/office/drawing/2014/main" id="{3AC43E44-3C31-4015-96DF-78408F0011FA}"/>
            </a:ext>
          </a:extLst>
        </xdr:cNvPr>
        <xdr:cNvSpPr/>
      </xdr:nvSpPr>
      <xdr:spPr>
        <a:xfrm>
          <a:off x="71292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84" name="Isosceles Triangle 83">
          <a:extLst>
            <a:ext uri="{FF2B5EF4-FFF2-40B4-BE49-F238E27FC236}">
              <a16:creationId xmlns:a16="http://schemas.microsoft.com/office/drawing/2014/main" id="{35EDA288-3382-4E72-9357-0F2284EA12F9}"/>
            </a:ext>
          </a:extLst>
        </xdr:cNvPr>
        <xdr:cNvSpPr/>
      </xdr:nvSpPr>
      <xdr:spPr>
        <a:xfrm>
          <a:off x="83865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85" name="Isosceles Triangle 84">
          <a:extLst>
            <a:ext uri="{FF2B5EF4-FFF2-40B4-BE49-F238E27FC236}">
              <a16:creationId xmlns:a16="http://schemas.microsoft.com/office/drawing/2014/main" id="{0C0C4C8B-81B3-4CDD-8779-3FAACFC6927E}"/>
            </a:ext>
          </a:extLst>
        </xdr:cNvPr>
        <xdr:cNvSpPr/>
      </xdr:nvSpPr>
      <xdr:spPr>
        <a:xfrm>
          <a:off x="96438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86" name="Isosceles Triangle 85">
          <a:extLst>
            <a:ext uri="{FF2B5EF4-FFF2-40B4-BE49-F238E27FC236}">
              <a16:creationId xmlns:a16="http://schemas.microsoft.com/office/drawing/2014/main" id="{604C9709-734F-4D76-923F-493DC50F84AB}"/>
            </a:ext>
          </a:extLst>
        </xdr:cNvPr>
        <xdr:cNvSpPr/>
      </xdr:nvSpPr>
      <xdr:spPr>
        <a:xfrm>
          <a:off x="121584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87" name="Isosceles Triangle 86">
          <a:extLst>
            <a:ext uri="{FF2B5EF4-FFF2-40B4-BE49-F238E27FC236}">
              <a16:creationId xmlns:a16="http://schemas.microsoft.com/office/drawing/2014/main" id="{DED2CD8C-4B31-4C02-AFBF-16F2E228F55E}"/>
            </a:ext>
          </a:extLst>
        </xdr:cNvPr>
        <xdr:cNvSpPr/>
      </xdr:nvSpPr>
      <xdr:spPr>
        <a:xfrm>
          <a:off x="63322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88" name="Isosceles Triangle 87">
          <a:extLst>
            <a:ext uri="{FF2B5EF4-FFF2-40B4-BE49-F238E27FC236}">
              <a16:creationId xmlns:a16="http://schemas.microsoft.com/office/drawing/2014/main" id="{B2709D80-5F3A-445A-9ED1-E8E6E2AC90A4}"/>
            </a:ext>
          </a:extLst>
        </xdr:cNvPr>
        <xdr:cNvSpPr/>
      </xdr:nvSpPr>
      <xdr:spPr>
        <a:xfrm>
          <a:off x="33573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89" name="Isosceles Triangle 88">
          <a:extLst>
            <a:ext uri="{FF2B5EF4-FFF2-40B4-BE49-F238E27FC236}">
              <a16:creationId xmlns:a16="http://schemas.microsoft.com/office/drawing/2014/main" id="{64922B92-E8CD-43A0-9366-85806D927437}"/>
            </a:ext>
          </a:extLst>
        </xdr:cNvPr>
        <xdr:cNvSpPr/>
      </xdr:nvSpPr>
      <xdr:spPr>
        <a:xfrm>
          <a:off x="1890522" y="139274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90" name="Isosceles Triangle 89">
          <a:extLst>
            <a:ext uri="{FF2B5EF4-FFF2-40B4-BE49-F238E27FC236}">
              <a16:creationId xmlns:a16="http://schemas.microsoft.com/office/drawing/2014/main" id="{F4975F7B-01C8-47DA-85FE-D1BC2B9F3316}"/>
            </a:ext>
          </a:extLst>
        </xdr:cNvPr>
        <xdr:cNvSpPr/>
      </xdr:nvSpPr>
      <xdr:spPr>
        <a:xfrm>
          <a:off x="109011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91" name="Isosceles Triangle 90">
          <a:extLst>
            <a:ext uri="{FF2B5EF4-FFF2-40B4-BE49-F238E27FC236}">
              <a16:creationId xmlns:a16="http://schemas.microsoft.com/office/drawing/2014/main" id="{0CCDC89C-38A0-48E0-B06E-B0E8459B7474}"/>
            </a:ext>
          </a:extLst>
        </xdr:cNvPr>
        <xdr:cNvSpPr/>
      </xdr:nvSpPr>
      <xdr:spPr>
        <a:xfrm>
          <a:off x="121584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92" name="Isosceles Triangle 91">
          <a:extLst>
            <a:ext uri="{FF2B5EF4-FFF2-40B4-BE49-F238E27FC236}">
              <a16:creationId xmlns:a16="http://schemas.microsoft.com/office/drawing/2014/main" id="{C172F4A3-7D94-4495-B62A-9F28822386DE}"/>
            </a:ext>
          </a:extLst>
        </xdr:cNvPr>
        <xdr:cNvSpPr/>
      </xdr:nvSpPr>
      <xdr:spPr>
        <a:xfrm>
          <a:off x="7131180" y="12470830"/>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93" name="Isosceles Triangle 92">
          <a:extLst>
            <a:ext uri="{FF2B5EF4-FFF2-40B4-BE49-F238E27FC236}">
              <a16:creationId xmlns:a16="http://schemas.microsoft.com/office/drawing/2014/main" id="{4289D8D2-2C44-4559-85D2-B4D7BFF79C57}"/>
            </a:ext>
          </a:extLst>
        </xdr:cNvPr>
        <xdr:cNvSpPr/>
      </xdr:nvSpPr>
      <xdr:spPr>
        <a:xfrm>
          <a:off x="46146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94" name="Isosceles Triangle 93">
          <a:extLst>
            <a:ext uri="{FF2B5EF4-FFF2-40B4-BE49-F238E27FC236}">
              <a16:creationId xmlns:a16="http://schemas.microsoft.com/office/drawing/2014/main" id="{B39BE1DB-B9BC-4CF3-BDF5-D305367D01FF}"/>
            </a:ext>
          </a:extLst>
        </xdr:cNvPr>
        <xdr:cNvSpPr/>
      </xdr:nvSpPr>
      <xdr:spPr>
        <a:xfrm>
          <a:off x="58719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95" name="Isosceles Triangle 94">
          <a:extLst>
            <a:ext uri="{FF2B5EF4-FFF2-40B4-BE49-F238E27FC236}">
              <a16:creationId xmlns:a16="http://schemas.microsoft.com/office/drawing/2014/main" id="{F3C36EBE-4BD6-4BA4-B552-95E1466B5E39}"/>
            </a:ext>
          </a:extLst>
        </xdr:cNvPr>
        <xdr:cNvSpPr/>
      </xdr:nvSpPr>
      <xdr:spPr>
        <a:xfrm>
          <a:off x="7129272" y="15375297"/>
          <a:ext cx="624078" cy="30156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96" name="Isosceles Triangle 95">
          <a:extLst>
            <a:ext uri="{FF2B5EF4-FFF2-40B4-BE49-F238E27FC236}">
              <a16:creationId xmlns:a16="http://schemas.microsoft.com/office/drawing/2014/main" id="{F18D014F-8D69-4B69-93E6-28187AB0E0A7}"/>
            </a:ext>
          </a:extLst>
        </xdr:cNvPr>
        <xdr:cNvSpPr/>
      </xdr:nvSpPr>
      <xdr:spPr>
        <a:xfrm>
          <a:off x="96438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97" name="Isosceles Triangle 96">
          <a:extLst>
            <a:ext uri="{FF2B5EF4-FFF2-40B4-BE49-F238E27FC236}">
              <a16:creationId xmlns:a16="http://schemas.microsoft.com/office/drawing/2014/main" id="{34777AD0-EE6C-4070-883F-0B1F60895DC3}"/>
            </a:ext>
          </a:extLst>
        </xdr:cNvPr>
        <xdr:cNvSpPr/>
      </xdr:nvSpPr>
      <xdr:spPr>
        <a:xfrm>
          <a:off x="109011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78147</xdr:rowOff>
    </xdr:from>
    <xdr:to>
      <xdr:col>2</xdr:col>
      <xdr:colOff>0</xdr:colOff>
      <xdr:row>92</xdr:row>
      <xdr:rowOff>192447</xdr:rowOff>
    </xdr:to>
    <xdr:sp macro="" textlink="">
      <xdr:nvSpPr>
        <xdr:cNvPr id="98" name="Isosceles Triangle 97">
          <a:extLst>
            <a:ext uri="{FF2B5EF4-FFF2-40B4-BE49-F238E27FC236}">
              <a16:creationId xmlns:a16="http://schemas.microsoft.com/office/drawing/2014/main" id="{236F4AF5-450D-4CA1-AB67-6F6DBC2D3149}"/>
            </a:ext>
          </a:extLst>
        </xdr:cNvPr>
        <xdr:cNvSpPr/>
      </xdr:nvSpPr>
      <xdr:spPr>
        <a:xfrm>
          <a:off x="63322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99" name="Isosceles Triangle 98">
          <a:extLst>
            <a:ext uri="{FF2B5EF4-FFF2-40B4-BE49-F238E27FC236}">
              <a16:creationId xmlns:a16="http://schemas.microsoft.com/office/drawing/2014/main" id="{D82EEA57-03E2-4C37-BE02-9D320BCF4872}"/>
            </a:ext>
          </a:extLst>
        </xdr:cNvPr>
        <xdr:cNvSpPr/>
      </xdr:nvSpPr>
      <xdr:spPr>
        <a:xfrm>
          <a:off x="33573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100" name="Isosceles Triangle 99">
          <a:extLst>
            <a:ext uri="{FF2B5EF4-FFF2-40B4-BE49-F238E27FC236}">
              <a16:creationId xmlns:a16="http://schemas.microsoft.com/office/drawing/2014/main" id="{3E7EB916-BA06-42A6-9300-820590F7741F}"/>
            </a:ext>
          </a:extLst>
        </xdr:cNvPr>
        <xdr:cNvSpPr/>
      </xdr:nvSpPr>
      <xdr:spPr>
        <a:xfrm>
          <a:off x="1890522" y="15400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101" name="Isosceles Triangle 100">
          <a:extLst>
            <a:ext uri="{FF2B5EF4-FFF2-40B4-BE49-F238E27FC236}">
              <a16:creationId xmlns:a16="http://schemas.microsoft.com/office/drawing/2014/main" id="{5E70B742-4E4D-47FC-BF52-A194A1CB4FC8}"/>
            </a:ext>
          </a:extLst>
        </xdr:cNvPr>
        <xdr:cNvSpPr/>
      </xdr:nvSpPr>
      <xdr:spPr>
        <a:xfrm>
          <a:off x="121584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102" name="Isosceles Triangle 101">
          <a:extLst>
            <a:ext uri="{FF2B5EF4-FFF2-40B4-BE49-F238E27FC236}">
              <a16:creationId xmlns:a16="http://schemas.microsoft.com/office/drawing/2014/main" id="{75CBF4E0-E6B1-48B7-ABC9-8FC7A820559A}"/>
            </a:ext>
          </a:extLst>
        </xdr:cNvPr>
        <xdr:cNvSpPr/>
      </xdr:nvSpPr>
      <xdr:spPr>
        <a:xfrm>
          <a:off x="46146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103" name="Isosceles Triangle 102">
          <a:extLst>
            <a:ext uri="{FF2B5EF4-FFF2-40B4-BE49-F238E27FC236}">
              <a16:creationId xmlns:a16="http://schemas.microsoft.com/office/drawing/2014/main" id="{9C98D753-A2BD-40C3-92C7-91D5FEECDCD1}"/>
            </a:ext>
          </a:extLst>
        </xdr:cNvPr>
        <xdr:cNvSpPr/>
      </xdr:nvSpPr>
      <xdr:spPr>
        <a:xfrm>
          <a:off x="58719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104" name="Isosceles Triangle 103">
          <a:extLst>
            <a:ext uri="{FF2B5EF4-FFF2-40B4-BE49-F238E27FC236}">
              <a16:creationId xmlns:a16="http://schemas.microsoft.com/office/drawing/2014/main" id="{C346A80B-4884-4A51-9D7F-BA0D361F4398}"/>
            </a:ext>
          </a:extLst>
        </xdr:cNvPr>
        <xdr:cNvSpPr/>
      </xdr:nvSpPr>
      <xdr:spPr>
        <a:xfrm>
          <a:off x="71292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105" name="Isosceles Triangle 104">
          <a:extLst>
            <a:ext uri="{FF2B5EF4-FFF2-40B4-BE49-F238E27FC236}">
              <a16:creationId xmlns:a16="http://schemas.microsoft.com/office/drawing/2014/main" id="{B20B064B-C1AA-498C-A60F-FABB2E67EDB8}"/>
            </a:ext>
          </a:extLst>
        </xdr:cNvPr>
        <xdr:cNvSpPr/>
      </xdr:nvSpPr>
      <xdr:spPr>
        <a:xfrm>
          <a:off x="83865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106" name="Isosceles Triangle 105">
          <a:extLst>
            <a:ext uri="{FF2B5EF4-FFF2-40B4-BE49-F238E27FC236}">
              <a16:creationId xmlns:a16="http://schemas.microsoft.com/office/drawing/2014/main" id="{53F73A36-2805-4A2D-8E86-5B914C69E367}"/>
            </a:ext>
          </a:extLst>
        </xdr:cNvPr>
        <xdr:cNvSpPr/>
      </xdr:nvSpPr>
      <xdr:spPr>
        <a:xfrm>
          <a:off x="96438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107" name="Isosceles Triangle 106">
          <a:extLst>
            <a:ext uri="{FF2B5EF4-FFF2-40B4-BE49-F238E27FC236}">
              <a16:creationId xmlns:a16="http://schemas.microsoft.com/office/drawing/2014/main" id="{A184CC6D-CFFB-429E-AE88-FFE5949FF411}"/>
            </a:ext>
          </a:extLst>
        </xdr:cNvPr>
        <xdr:cNvSpPr/>
      </xdr:nvSpPr>
      <xdr:spPr>
        <a:xfrm>
          <a:off x="121584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108" name="Isosceles Triangle 107">
          <a:extLst>
            <a:ext uri="{FF2B5EF4-FFF2-40B4-BE49-F238E27FC236}">
              <a16:creationId xmlns:a16="http://schemas.microsoft.com/office/drawing/2014/main" id="{A0E7C2A4-3985-4EC9-810A-E37AA4F77C28}"/>
            </a:ext>
          </a:extLst>
        </xdr:cNvPr>
        <xdr:cNvSpPr/>
      </xdr:nvSpPr>
      <xdr:spPr>
        <a:xfrm>
          <a:off x="63322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109" name="Isosceles Triangle 108">
          <a:extLst>
            <a:ext uri="{FF2B5EF4-FFF2-40B4-BE49-F238E27FC236}">
              <a16:creationId xmlns:a16="http://schemas.microsoft.com/office/drawing/2014/main" id="{EA8F94A8-EFC9-4DF0-AF39-98C615CC1E75}"/>
            </a:ext>
          </a:extLst>
        </xdr:cNvPr>
        <xdr:cNvSpPr/>
      </xdr:nvSpPr>
      <xdr:spPr>
        <a:xfrm>
          <a:off x="33573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110" name="Isosceles Triangle 109">
          <a:extLst>
            <a:ext uri="{FF2B5EF4-FFF2-40B4-BE49-F238E27FC236}">
              <a16:creationId xmlns:a16="http://schemas.microsoft.com/office/drawing/2014/main" id="{8B53EEDD-5B69-4D6E-8FB7-9343BB00D3AE}"/>
            </a:ext>
          </a:extLst>
        </xdr:cNvPr>
        <xdr:cNvSpPr/>
      </xdr:nvSpPr>
      <xdr:spPr>
        <a:xfrm>
          <a:off x="1890522" y="168738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111" name="Isosceles Triangle 110">
          <a:extLst>
            <a:ext uri="{FF2B5EF4-FFF2-40B4-BE49-F238E27FC236}">
              <a16:creationId xmlns:a16="http://schemas.microsoft.com/office/drawing/2014/main" id="{44C0B0A8-D2B9-4A9A-BA44-44C5AFCDD5B8}"/>
            </a:ext>
          </a:extLst>
        </xdr:cNvPr>
        <xdr:cNvSpPr/>
      </xdr:nvSpPr>
      <xdr:spPr>
        <a:xfrm>
          <a:off x="109011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112" name="Isosceles Triangle 111">
          <a:extLst>
            <a:ext uri="{FF2B5EF4-FFF2-40B4-BE49-F238E27FC236}">
              <a16:creationId xmlns:a16="http://schemas.microsoft.com/office/drawing/2014/main" id="{94BEC51C-B1D1-493E-9AE0-E9080ADCE9E6}"/>
            </a:ext>
          </a:extLst>
        </xdr:cNvPr>
        <xdr:cNvSpPr/>
      </xdr:nvSpPr>
      <xdr:spPr>
        <a:xfrm>
          <a:off x="8388480" y="15409759"/>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13" name="Isosceles Triangle 112">
          <a:extLst>
            <a:ext uri="{FF2B5EF4-FFF2-40B4-BE49-F238E27FC236}">
              <a16:creationId xmlns:a16="http://schemas.microsoft.com/office/drawing/2014/main" id="{58733000-50E8-4D2C-8650-4658CA19E619}"/>
            </a:ext>
          </a:extLst>
        </xdr:cNvPr>
        <xdr:cNvSpPr/>
      </xdr:nvSpPr>
      <xdr:spPr>
        <a:xfrm>
          <a:off x="33573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14" name="Isosceles Triangle 113">
          <a:extLst>
            <a:ext uri="{FF2B5EF4-FFF2-40B4-BE49-F238E27FC236}">
              <a16:creationId xmlns:a16="http://schemas.microsoft.com/office/drawing/2014/main" id="{4DB60E06-4EE5-4929-AD30-51FFE9E3EA96}"/>
            </a:ext>
          </a:extLst>
        </xdr:cNvPr>
        <xdr:cNvSpPr/>
      </xdr:nvSpPr>
      <xdr:spPr>
        <a:xfrm>
          <a:off x="46146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115" name="Isosceles Triangle 114">
          <a:extLst>
            <a:ext uri="{FF2B5EF4-FFF2-40B4-BE49-F238E27FC236}">
              <a16:creationId xmlns:a16="http://schemas.microsoft.com/office/drawing/2014/main" id="{8F7074DD-93A3-4770-A2F3-B2F27A8641F1}"/>
            </a:ext>
          </a:extLst>
        </xdr:cNvPr>
        <xdr:cNvSpPr/>
      </xdr:nvSpPr>
      <xdr:spPr>
        <a:xfrm>
          <a:off x="58719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116" name="Isosceles Triangle 115">
          <a:extLst>
            <a:ext uri="{FF2B5EF4-FFF2-40B4-BE49-F238E27FC236}">
              <a16:creationId xmlns:a16="http://schemas.microsoft.com/office/drawing/2014/main" id="{0BDCA6F6-49EB-4E61-97A5-4F948935BAAD}"/>
            </a:ext>
          </a:extLst>
        </xdr:cNvPr>
        <xdr:cNvSpPr/>
      </xdr:nvSpPr>
      <xdr:spPr>
        <a:xfrm>
          <a:off x="71292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117" name="Isosceles Triangle 116">
          <a:extLst>
            <a:ext uri="{FF2B5EF4-FFF2-40B4-BE49-F238E27FC236}">
              <a16:creationId xmlns:a16="http://schemas.microsoft.com/office/drawing/2014/main" id="{B9E91FCE-00B5-41D8-A35E-56E5A9ACB50B}"/>
            </a:ext>
          </a:extLst>
        </xdr:cNvPr>
        <xdr:cNvSpPr/>
      </xdr:nvSpPr>
      <xdr:spPr>
        <a:xfrm>
          <a:off x="8386572" y="183470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118" name="Isosceles Triangle 117">
          <a:extLst>
            <a:ext uri="{FF2B5EF4-FFF2-40B4-BE49-F238E27FC236}">
              <a16:creationId xmlns:a16="http://schemas.microsoft.com/office/drawing/2014/main" id="{F6DE5F82-3394-4091-AE80-10DC1CD2CBD9}"/>
            </a:ext>
          </a:extLst>
        </xdr:cNvPr>
        <xdr:cNvSpPr/>
      </xdr:nvSpPr>
      <xdr:spPr>
        <a:xfrm>
          <a:off x="109011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119" name="Isosceles Triangle 118">
          <a:extLst>
            <a:ext uri="{FF2B5EF4-FFF2-40B4-BE49-F238E27FC236}">
              <a16:creationId xmlns:a16="http://schemas.microsoft.com/office/drawing/2014/main" id="{73A6F20D-0681-47B7-A71F-558DF02F6298}"/>
            </a:ext>
          </a:extLst>
        </xdr:cNvPr>
        <xdr:cNvSpPr/>
      </xdr:nvSpPr>
      <xdr:spPr>
        <a:xfrm>
          <a:off x="121584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120" name="Isosceles Triangle 119">
          <a:extLst>
            <a:ext uri="{FF2B5EF4-FFF2-40B4-BE49-F238E27FC236}">
              <a16:creationId xmlns:a16="http://schemas.microsoft.com/office/drawing/2014/main" id="{5F64CFA8-A55D-482C-9710-D784ED63942A}"/>
            </a:ext>
          </a:extLst>
        </xdr:cNvPr>
        <xdr:cNvSpPr/>
      </xdr:nvSpPr>
      <xdr:spPr>
        <a:xfrm>
          <a:off x="1890522" y="200044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21" name="Isosceles Triangle 120">
          <a:extLst>
            <a:ext uri="{FF2B5EF4-FFF2-40B4-BE49-F238E27FC236}">
              <a16:creationId xmlns:a16="http://schemas.microsoft.com/office/drawing/2014/main" id="{7C854B91-33A3-4643-B4C8-9EBB42FCE155}"/>
            </a:ext>
          </a:extLst>
        </xdr:cNvPr>
        <xdr:cNvSpPr/>
      </xdr:nvSpPr>
      <xdr:spPr>
        <a:xfrm>
          <a:off x="33573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22" name="Isosceles Triangle 121">
          <a:extLst>
            <a:ext uri="{FF2B5EF4-FFF2-40B4-BE49-F238E27FC236}">
              <a16:creationId xmlns:a16="http://schemas.microsoft.com/office/drawing/2014/main" id="{71FEB387-AD81-426D-9AD2-BD416300A229}"/>
            </a:ext>
          </a:extLst>
        </xdr:cNvPr>
        <xdr:cNvSpPr/>
      </xdr:nvSpPr>
      <xdr:spPr>
        <a:xfrm>
          <a:off x="46146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23" name="Isosceles Triangle 122">
          <a:extLst>
            <a:ext uri="{FF2B5EF4-FFF2-40B4-BE49-F238E27FC236}">
              <a16:creationId xmlns:a16="http://schemas.microsoft.com/office/drawing/2014/main" id="{B57A2FB5-4A28-475D-B008-73B271FC7A19}"/>
            </a:ext>
          </a:extLst>
        </xdr:cNvPr>
        <xdr:cNvSpPr/>
      </xdr:nvSpPr>
      <xdr:spPr>
        <a:xfrm>
          <a:off x="33573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124" name="Isosceles Triangle 123">
          <a:extLst>
            <a:ext uri="{FF2B5EF4-FFF2-40B4-BE49-F238E27FC236}">
              <a16:creationId xmlns:a16="http://schemas.microsoft.com/office/drawing/2014/main" id="{1644CC4A-92F2-45CD-9590-014382D8DDED}"/>
            </a:ext>
          </a:extLst>
        </xdr:cNvPr>
        <xdr:cNvSpPr/>
      </xdr:nvSpPr>
      <xdr:spPr>
        <a:xfrm>
          <a:off x="63322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125" name="Isosceles Triangle 124">
          <a:extLst>
            <a:ext uri="{FF2B5EF4-FFF2-40B4-BE49-F238E27FC236}">
              <a16:creationId xmlns:a16="http://schemas.microsoft.com/office/drawing/2014/main" id="{AAA930E5-9C11-49A0-8FF6-FAFC572FE535}"/>
            </a:ext>
          </a:extLst>
        </xdr:cNvPr>
        <xdr:cNvSpPr/>
      </xdr:nvSpPr>
      <xdr:spPr>
        <a:xfrm>
          <a:off x="3357372" y="2000444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126" name="Isosceles Triangle 125">
          <a:extLst>
            <a:ext uri="{FF2B5EF4-FFF2-40B4-BE49-F238E27FC236}">
              <a16:creationId xmlns:a16="http://schemas.microsoft.com/office/drawing/2014/main" id="{9797DDF1-CCFA-4D10-866D-082F9B83FC7B}"/>
            </a:ext>
          </a:extLst>
        </xdr:cNvPr>
        <xdr:cNvSpPr/>
      </xdr:nvSpPr>
      <xdr:spPr>
        <a:xfrm>
          <a:off x="58719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127" name="Isosceles Triangle 126">
          <a:extLst>
            <a:ext uri="{FF2B5EF4-FFF2-40B4-BE49-F238E27FC236}">
              <a16:creationId xmlns:a16="http://schemas.microsoft.com/office/drawing/2014/main" id="{BB193242-111C-42B9-BC95-5A8998E1027C}"/>
            </a:ext>
          </a:extLst>
        </xdr:cNvPr>
        <xdr:cNvSpPr/>
      </xdr:nvSpPr>
      <xdr:spPr>
        <a:xfrm>
          <a:off x="71292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128" name="Isosceles Triangle 127">
          <a:extLst>
            <a:ext uri="{FF2B5EF4-FFF2-40B4-BE49-F238E27FC236}">
              <a16:creationId xmlns:a16="http://schemas.microsoft.com/office/drawing/2014/main" id="{EE770D63-A869-40FC-8210-6FD581C7250A}"/>
            </a:ext>
          </a:extLst>
        </xdr:cNvPr>
        <xdr:cNvSpPr/>
      </xdr:nvSpPr>
      <xdr:spPr>
        <a:xfrm>
          <a:off x="83865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129" name="Isosceles Triangle 128">
          <a:extLst>
            <a:ext uri="{FF2B5EF4-FFF2-40B4-BE49-F238E27FC236}">
              <a16:creationId xmlns:a16="http://schemas.microsoft.com/office/drawing/2014/main" id="{6DD901CD-40BA-486D-8366-972500D73224}"/>
            </a:ext>
          </a:extLst>
        </xdr:cNvPr>
        <xdr:cNvSpPr/>
      </xdr:nvSpPr>
      <xdr:spPr>
        <a:xfrm>
          <a:off x="96438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130" name="Isosceles Triangle 129">
          <a:extLst>
            <a:ext uri="{FF2B5EF4-FFF2-40B4-BE49-F238E27FC236}">
              <a16:creationId xmlns:a16="http://schemas.microsoft.com/office/drawing/2014/main" id="{A3897F33-9F52-4B3C-83F8-A57C56684716}"/>
            </a:ext>
          </a:extLst>
        </xdr:cNvPr>
        <xdr:cNvSpPr/>
      </xdr:nvSpPr>
      <xdr:spPr>
        <a:xfrm>
          <a:off x="109011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131" name="Isosceles Triangle 130">
          <a:extLst>
            <a:ext uri="{FF2B5EF4-FFF2-40B4-BE49-F238E27FC236}">
              <a16:creationId xmlns:a16="http://schemas.microsoft.com/office/drawing/2014/main" id="{FDD1C04B-208C-461A-BB4F-3216F5E5E560}"/>
            </a:ext>
          </a:extLst>
        </xdr:cNvPr>
        <xdr:cNvSpPr/>
      </xdr:nvSpPr>
      <xdr:spPr>
        <a:xfrm>
          <a:off x="12158472" y="2000444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132" name="Isosceles Triangle 131">
          <a:extLst>
            <a:ext uri="{FF2B5EF4-FFF2-40B4-BE49-F238E27FC236}">
              <a16:creationId xmlns:a16="http://schemas.microsoft.com/office/drawing/2014/main" id="{4D852480-5979-4AEE-ADFD-745A0AB48466}"/>
            </a:ext>
          </a:extLst>
        </xdr:cNvPr>
        <xdr:cNvSpPr/>
      </xdr:nvSpPr>
      <xdr:spPr>
        <a:xfrm>
          <a:off x="63322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133" name="Isosceles Triangle 132">
          <a:extLst>
            <a:ext uri="{FF2B5EF4-FFF2-40B4-BE49-F238E27FC236}">
              <a16:creationId xmlns:a16="http://schemas.microsoft.com/office/drawing/2014/main" id="{4388395D-BB20-43AC-84ED-AE5CC7C80F52}"/>
            </a:ext>
          </a:extLst>
        </xdr:cNvPr>
        <xdr:cNvSpPr/>
      </xdr:nvSpPr>
      <xdr:spPr>
        <a:xfrm>
          <a:off x="1890522" y="212934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134" name="Isosceles Triangle 133">
          <a:extLst>
            <a:ext uri="{FF2B5EF4-FFF2-40B4-BE49-F238E27FC236}">
              <a16:creationId xmlns:a16="http://schemas.microsoft.com/office/drawing/2014/main" id="{E0ED9B34-E354-49D4-9CF8-1946B6C65B97}"/>
            </a:ext>
          </a:extLst>
        </xdr:cNvPr>
        <xdr:cNvSpPr/>
      </xdr:nvSpPr>
      <xdr:spPr>
        <a:xfrm>
          <a:off x="46146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135" name="Isosceles Triangle 134">
          <a:extLst>
            <a:ext uri="{FF2B5EF4-FFF2-40B4-BE49-F238E27FC236}">
              <a16:creationId xmlns:a16="http://schemas.microsoft.com/office/drawing/2014/main" id="{043FEFC9-9758-460F-8C6A-7DADB8627F66}"/>
            </a:ext>
          </a:extLst>
        </xdr:cNvPr>
        <xdr:cNvSpPr/>
      </xdr:nvSpPr>
      <xdr:spPr>
        <a:xfrm>
          <a:off x="33573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136" name="Isosceles Triangle 135">
          <a:extLst>
            <a:ext uri="{FF2B5EF4-FFF2-40B4-BE49-F238E27FC236}">
              <a16:creationId xmlns:a16="http://schemas.microsoft.com/office/drawing/2014/main" id="{E8865281-ABD2-4733-BD71-7D61A140C69A}"/>
            </a:ext>
          </a:extLst>
        </xdr:cNvPr>
        <xdr:cNvSpPr/>
      </xdr:nvSpPr>
      <xdr:spPr>
        <a:xfrm>
          <a:off x="121584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137" name="Isosceles Triangle 136">
          <a:extLst>
            <a:ext uri="{FF2B5EF4-FFF2-40B4-BE49-F238E27FC236}">
              <a16:creationId xmlns:a16="http://schemas.microsoft.com/office/drawing/2014/main" id="{B3A8E87A-F46E-47F7-A532-B97553143650}"/>
            </a:ext>
          </a:extLst>
        </xdr:cNvPr>
        <xdr:cNvSpPr/>
      </xdr:nvSpPr>
      <xdr:spPr>
        <a:xfrm>
          <a:off x="63322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138" name="Isosceles Triangle 137">
          <a:extLst>
            <a:ext uri="{FF2B5EF4-FFF2-40B4-BE49-F238E27FC236}">
              <a16:creationId xmlns:a16="http://schemas.microsoft.com/office/drawing/2014/main" id="{435814A3-8EF6-4A9F-BE43-9F999CE1782D}"/>
            </a:ext>
          </a:extLst>
        </xdr:cNvPr>
        <xdr:cNvSpPr/>
      </xdr:nvSpPr>
      <xdr:spPr>
        <a:xfrm>
          <a:off x="9645780" y="18363630"/>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39" name="Isosceles Triangle 138">
          <a:extLst>
            <a:ext uri="{FF2B5EF4-FFF2-40B4-BE49-F238E27FC236}">
              <a16:creationId xmlns:a16="http://schemas.microsoft.com/office/drawing/2014/main" id="{8B6330CF-16A2-4462-8C30-1529E64D8DFC}"/>
            </a:ext>
          </a:extLst>
        </xdr:cNvPr>
        <xdr:cNvSpPr/>
      </xdr:nvSpPr>
      <xdr:spPr>
        <a:xfrm>
          <a:off x="33573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140" name="Isosceles Triangle 139">
          <a:extLst>
            <a:ext uri="{FF2B5EF4-FFF2-40B4-BE49-F238E27FC236}">
              <a16:creationId xmlns:a16="http://schemas.microsoft.com/office/drawing/2014/main" id="{B26A23B4-E3C0-4265-950A-4D7ACDBA8602}"/>
            </a:ext>
          </a:extLst>
        </xdr:cNvPr>
        <xdr:cNvSpPr/>
      </xdr:nvSpPr>
      <xdr:spPr>
        <a:xfrm>
          <a:off x="46146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141" name="Isosceles Triangle 140">
          <a:extLst>
            <a:ext uri="{FF2B5EF4-FFF2-40B4-BE49-F238E27FC236}">
              <a16:creationId xmlns:a16="http://schemas.microsoft.com/office/drawing/2014/main" id="{50749A8D-48E0-4837-9A93-525E4462FC1E}"/>
            </a:ext>
          </a:extLst>
        </xdr:cNvPr>
        <xdr:cNvSpPr/>
      </xdr:nvSpPr>
      <xdr:spPr>
        <a:xfrm>
          <a:off x="58719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142" name="Isosceles Triangle 141">
          <a:extLst>
            <a:ext uri="{FF2B5EF4-FFF2-40B4-BE49-F238E27FC236}">
              <a16:creationId xmlns:a16="http://schemas.microsoft.com/office/drawing/2014/main" id="{AB1A2E91-0A31-4445-83BA-523CD81CD6EA}"/>
            </a:ext>
          </a:extLst>
        </xdr:cNvPr>
        <xdr:cNvSpPr/>
      </xdr:nvSpPr>
      <xdr:spPr>
        <a:xfrm>
          <a:off x="83865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143" name="Isosceles Triangle 142">
          <a:extLst>
            <a:ext uri="{FF2B5EF4-FFF2-40B4-BE49-F238E27FC236}">
              <a16:creationId xmlns:a16="http://schemas.microsoft.com/office/drawing/2014/main" id="{360212F5-5B00-4A97-88B5-607DD7C2AC70}"/>
            </a:ext>
          </a:extLst>
        </xdr:cNvPr>
        <xdr:cNvSpPr/>
      </xdr:nvSpPr>
      <xdr:spPr>
        <a:xfrm>
          <a:off x="9643872" y="212934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144" name="Isosceles Triangle 143">
          <a:extLst>
            <a:ext uri="{FF2B5EF4-FFF2-40B4-BE49-F238E27FC236}">
              <a16:creationId xmlns:a16="http://schemas.microsoft.com/office/drawing/2014/main" id="{D182994D-CA55-4C73-BFF0-6865949EA8CB}"/>
            </a:ext>
          </a:extLst>
        </xdr:cNvPr>
        <xdr:cNvSpPr/>
      </xdr:nvSpPr>
      <xdr:spPr>
        <a:xfrm>
          <a:off x="121584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145" name="Isosceles Triangle 144">
          <a:extLst>
            <a:ext uri="{FF2B5EF4-FFF2-40B4-BE49-F238E27FC236}">
              <a16:creationId xmlns:a16="http://schemas.microsoft.com/office/drawing/2014/main" id="{57AEA033-B14D-4E79-A9F5-D19B131D7485}"/>
            </a:ext>
          </a:extLst>
        </xdr:cNvPr>
        <xdr:cNvSpPr/>
      </xdr:nvSpPr>
      <xdr:spPr>
        <a:xfrm>
          <a:off x="134157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146" name="Isosceles Triangle 145">
          <a:extLst>
            <a:ext uri="{FF2B5EF4-FFF2-40B4-BE49-F238E27FC236}">
              <a16:creationId xmlns:a16="http://schemas.microsoft.com/office/drawing/2014/main" id="{E4714C38-A210-4551-A6D7-97243B31FEF6}"/>
            </a:ext>
          </a:extLst>
        </xdr:cNvPr>
        <xdr:cNvSpPr/>
      </xdr:nvSpPr>
      <xdr:spPr>
        <a:xfrm>
          <a:off x="1890522" y="22766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47" name="Isosceles Triangle 146">
          <a:extLst>
            <a:ext uri="{FF2B5EF4-FFF2-40B4-BE49-F238E27FC236}">
              <a16:creationId xmlns:a16="http://schemas.microsoft.com/office/drawing/2014/main" id="{94E000FD-51F7-43C5-8B04-CE44BF25E1C5}"/>
            </a:ext>
          </a:extLst>
        </xdr:cNvPr>
        <xdr:cNvSpPr/>
      </xdr:nvSpPr>
      <xdr:spPr>
        <a:xfrm>
          <a:off x="33573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148" name="Isosceles Triangle 147">
          <a:extLst>
            <a:ext uri="{FF2B5EF4-FFF2-40B4-BE49-F238E27FC236}">
              <a16:creationId xmlns:a16="http://schemas.microsoft.com/office/drawing/2014/main" id="{EDEBFB41-7FDE-4EA9-BB90-125902C4AC1C}"/>
            </a:ext>
          </a:extLst>
        </xdr:cNvPr>
        <xdr:cNvSpPr/>
      </xdr:nvSpPr>
      <xdr:spPr>
        <a:xfrm>
          <a:off x="46146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49" name="Isosceles Triangle 148">
          <a:extLst>
            <a:ext uri="{FF2B5EF4-FFF2-40B4-BE49-F238E27FC236}">
              <a16:creationId xmlns:a16="http://schemas.microsoft.com/office/drawing/2014/main" id="{9BFE3B86-A0F6-466A-85F0-59F3748C0AEF}"/>
            </a:ext>
          </a:extLst>
        </xdr:cNvPr>
        <xdr:cNvSpPr/>
      </xdr:nvSpPr>
      <xdr:spPr>
        <a:xfrm>
          <a:off x="33573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150" name="Isosceles Triangle 149">
          <a:extLst>
            <a:ext uri="{FF2B5EF4-FFF2-40B4-BE49-F238E27FC236}">
              <a16:creationId xmlns:a16="http://schemas.microsoft.com/office/drawing/2014/main" id="{6F0AD030-7F7E-47DC-849B-74536122B00D}"/>
            </a:ext>
          </a:extLst>
        </xdr:cNvPr>
        <xdr:cNvSpPr/>
      </xdr:nvSpPr>
      <xdr:spPr>
        <a:xfrm>
          <a:off x="63322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151" name="Isosceles Triangle 150">
          <a:extLst>
            <a:ext uri="{FF2B5EF4-FFF2-40B4-BE49-F238E27FC236}">
              <a16:creationId xmlns:a16="http://schemas.microsoft.com/office/drawing/2014/main" id="{25FBC173-F188-4E13-A287-4DE533C97F7F}"/>
            </a:ext>
          </a:extLst>
        </xdr:cNvPr>
        <xdr:cNvSpPr/>
      </xdr:nvSpPr>
      <xdr:spPr>
        <a:xfrm>
          <a:off x="10903080" y="21280146"/>
          <a:ext cx="624079" cy="303504"/>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152" name="Flowchart: Magnetic Disk 151">
          <a:extLst>
            <a:ext uri="{FF2B5EF4-FFF2-40B4-BE49-F238E27FC236}">
              <a16:creationId xmlns:a16="http://schemas.microsoft.com/office/drawing/2014/main" id="{D3E4B7DA-AD30-4C0A-BE94-638AF8A34E14}"/>
            </a:ext>
          </a:extLst>
        </xdr:cNvPr>
        <xdr:cNvSpPr/>
      </xdr:nvSpPr>
      <xdr:spPr>
        <a:xfrm>
          <a:off x="9321670" y="84838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153" name="Flowchart: Predefined Process 152">
          <a:extLst>
            <a:ext uri="{FF2B5EF4-FFF2-40B4-BE49-F238E27FC236}">
              <a16:creationId xmlns:a16="http://schemas.microsoft.com/office/drawing/2014/main" id="{2AD0DCBE-33C8-4867-A893-C0082D70ACA0}"/>
            </a:ext>
          </a:extLst>
        </xdr:cNvPr>
        <xdr:cNvSpPr/>
      </xdr:nvSpPr>
      <xdr:spPr>
        <a:xfrm>
          <a:off x="298333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154" name="Flowchart: Decision 153">
          <a:extLst>
            <a:ext uri="{FF2B5EF4-FFF2-40B4-BE49-F238E27FC236}">
              <a16:creationId xmlns:a16="http://schemas.microsoft.com/office/drawing/2014/main" id="{6D822A77-F14A-4C84-90D6-4DABC0F5D0C6}"/>
            </a:ext>
          </a:extLst>
        </xdr:cNvPr>
        <xdr:cNvSpPr/>
      </xdr:nvSpPr>
      <xdr:spPr>
        <a:xfrm>
          <a:off x="278894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56699</xdr:rowOff>
    </xdr:from>
    <xdr:to>
      <xdr:col>3</xdr:col>
      <xdr:colOff>831371</xdr:colOff>
      <xdr:row>101</xdr:row>
      <xdr:rowOff>16542</xdr:rowOff>
    </xdr:to>
    <xdr:sp macro="" textlink="">
      <xdr:nvSpPr>
        <xdr:cNvPr id="155" name="Isosceles Triangle 154">
          <a:extLst>
            <a:ext uri="{FF2B5EF4-FFF2-40B4-BE49-F238E27FC236}">
              <a16:creationId xmlns:a16="http://schemas.microsoft.com/office/drawing/2014/main" id="{35CFAC05-DBAE-4465-9EA0-DFA8C85DDC6D}"/>
            </a:ext>
          </a:extLst>
        </xdr:cNvPr>
        <xdr:cNvSpPr/>
      </xdr:nvSpPr>
      <xdr:spPr>
        <a:xfrm>
          <a:off x="1846944" y="18325649"/>
          <a:ext cx="870377" cy="32814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156" name="Isosceles Triangle 155">
          <a:extLst>
            <a:ext uri="{FF2B5EF4-FFF2-40B4-BE49-F238E27FC236}">
              <a16:creationId xmlns:a16="http://schemas.microsoft.com/office/drawing/2014/main" id="{50808165-1542-4C23-A022-52755BEC8F43}"/>
            </a:ext>
          </a:extLst>
        </xdr:cNvPr>
        <xdr:cNvSpPr/>
      </xdr:nvSpPr>
      <xdr:spPr>
        <a:xfrm>
          <a:off x="109011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157" name="Isosceles Triangle 156">
          <a:extLst>
            <a:ext uri="{FF2B5EF4-FFF2-40B4-BE49-F238E27FC236}">
              <a16:creationId xmlns:a16="http://schemas.microsoft.com/office/drawing/2014/main" id="{928163F9-DF15-4078-B473-CE6A954CD9A7}"/>
            </a:ext>
          </a:extLst>
        </xdr:cNvPr>
        <xdr:cNvSpPr/>
      </xdr:nvSpPr>
      <xdr:spPr>
        <a:xfrm>
          <a:off x="121584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158" name="Isosceles Triangle 157">
          <a:extLst>
            <a:ext uri="{FF2B5EF4-FFF2-40B4-BE49-F238E27FC236}">
              <a16:creationId xmlns:a16="http://schemas.microsoft.com/office/drawing/2014/main" id="{40BCE2CC-4EB2-40F0-9789-C247365A971E}"/>
            </a:ext>
          </a:extLst>
        </xdr:cNvPr>
        <xdr:cNvSpPr/>
      </xdr:nvSpPr>
      <xdr:spPr>
        <a:xfrm>
          <a:off x="63322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159" name="Isosceles Triangle 158">
          <a:extLst>
            <a:ext uri="{FF2B5EF4-FFF2-40B4-BE49-F238E27FC236}">
              <a16:creationId xmlns:a16="http://schemas.microsoft.com/office/drawing/2014/main" id="{1698776C-BCED-4725-A807-DB7416E79948}"/>
            </a:ext>
          </a:extLst>
        </xdr:cNvPr>
        <xdr:cNvSpPr/>
      </xdr:nvSpPr>
      <xdr:spPr>
        <a:xfrm>
          <a:off x="1890522" y="109810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160" name="Isosceles Triangle 159">
          <a:extLst>
            <a:ext uri="{FF2B5EF4-FFF2-40B4-BE49-F238E27FC236}">
              <a16:creationId xmlns:a16="http://schemas.microsoft.com/office/drawing/2014/main" id="{B4558FC1-84C9-4BF4-B2FD-133763DF398D}"/>
            </a:ext>
          </a:extLst>
        </xdr:cNvPr>
        <xdr:cNvSpPr/>
      </xdr:nvSpPr>
      <xdr:spPr>
        <a:xfrm>
          <a:off x="3357372" y="109810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161" name="Isosceles Triangle 160">
          <a:extLst>
            <a:ext uri="{FF2B5EF4-FFF2-40B4-BE49-F238E27FC236}">
              <a16:creationId xmlns:a16="http://schemas.microsoft.com/office/drawing/2014/main" id="{B24DBC5B-BF25-4293-AC47-7D2B9566C97B}"/>
            </a:ext>
          </a:extLst>
        </xdr:cNvPr>
        <xdr:cNvSpPr/>
      </xdr:nvSpPr>
      <xdr:spPr>
        <a:xfrm>
          <a:off x="4613087" y="10981097"/>
          <a:ext cx="624079"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162" name="Isosceles Triangle 161">
          <a:extLst>
            <a:ext uri="{FF2B5EF4-FFF2-40B4-BE49-F238E27FC236}">
              <a16:creationId xmlns:a16="http://schemas.microsoft.com/office/drawing/2014/main" id="{45C0E43E-53C8-411E-BF1F-A9B27F38305A}"/>
            </a:ext>
          </a:extLst>
        </xdr:cNvPr>
        <xdr:cNvSpPr/>
      </xdr:nvSpPr>
      <xdr:spPr>
        <a:xfrm>
          <a:off x="58719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163" name="Isosceles Triangle 162">
          <a:extLst>
            <a:ext uri="{FF2B5EF4-FFF2-40B4-BE49-F238E27FC236}">
              <a16:creationId xmlns:a16="http://schemas.microsoft.com/office/drawing/2014/main" id="{2F0575A3-4947-45EE-8944-340856FC6880}"/>
            </a:ext>
          </a:extLst>
        </xdr:cNvPr>
        <xdr:cNvSpPr/>
      </xdr:nvSpPr>
      <xdr:spPr>
        <a:xfrm>
          <a:off x="71292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164" name="Isosceles Triangle 163">
          <a:extLst>
            <a:ext uri="{FF2B5EF4-FFF2-40B4-BE49-F238E27FC236}">
              <a16:creationId xmlns:a16="http://schemas.microsoft.com/office/drawing/2014/main" id="{10AA8F49-A908-4396-ADFF-A7DEB492253A}"/>
            </a:ext>
          </a:extLst>
        </xdr:cNvPr>
        <xdr:cNvSpPr/>
      </xdr:nvSpPr>
      <xdr:spPr>
        <a:xfrm>
          <a:off x="8386572" y="10981097"/>
          <a:ext cx="624078" cy="29686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165" name="Isosceles Triangle 164">
          <a:extLst>
            <a:ext uri="{FF2B5EF4-FFF2-40B4-BE49-F238E27FC236}">
              <a16:creationId xmlns:a16="http://schemas.microsoft.com/office/drawing/2014/main" id="{DEDAFA66-E043-4E6E-8499-2E3DED1C3689}"/>
            </a:ext>
          </a:extLst>
        </xdr:cNvPr>
        <xdr:cNvSpPr/>
      </xdr:nvSpPr>
      <xdr:spPr>
        <a:xfrm>
          <a:off x="58719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166" name="Isosceles Triangle 165">
          <a:extLst>
            <a:ext uri="{FF2B5EF4-FFF2-40B4-BE49-F238E27FC236}">
              <a16:creationId xmlns:a16="http://schemas.microsoft.com/office/drawing/2014/main" id="{3681505B-A62A-4C10-A6A9-BD01E24260E2}"/>
            </a:ext>
          </a:extLst>
        </xdr:cNvPr>
        <xdr:cNvSpPr/>
      </xdr:nvSpPr>
      <xdr:spPr>
        <a:xfrm>
          <a:off x="71292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167" name="Line 327">
          <a:extLst>
            <a:ext uri="{FF2B5EF4-FFF2-40B4-BE49-F238E27FC236}">
              <a16:creationId xmlns:a16="http://schemas.microsoft.com/office/drawing/2014/main" id="{9E842735-92AE-4718-9185-998EDB06A09E}"/>
            </a:ext>
          </a:extLst>
        </xdr:cNvPr>
        <xdr:cNvSpPr>
          <a:spLocks noChangeShapeType="1"/>
        </xdr:cNvSpPr>
      </xdr:nvSpPr>
      <xdr:spPr>
        <a:xfrm flipH="1">
          <a:off x="11644809" y="8334511"/>
          <a:ext cx="266700" cy="354022"/>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168" name="Line 327">
          <a:extLst>
            <a:ext uri="{FF2B5EF4-FFF2-40B4-BE49-F238E27FC236}">
              <a16:creationId xmlns:a16="http://schemas.microsoft.com/office/drawing/2014/main" id="{579D032B-7535-468B-A72C-08DC6E15A000}"/>
            </a:ext>
          </a:extLst>
        </xdr:cNvPr>
        <xdr:cNvSpPr>
          <a:spLocks noChangeShapeType="1"/>
        </xdr:cNvSpPr>
      </xdr:nvSpPr>
      <xdr:spPr>
        <a:xfrm flipH="1">
          <a:off x="4050113" y="11284941"/>
          <a:ext cx="266700" cy="3288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169" name="Line 327">
          <a:extLst>
            <a:ext uri="{FF2B5EF4-FFF2-40B4-BE49-F238E27FC236}">
              <a16:creationId xmlns:a16="http://schemas.microsoft.com/office/drawing/2014/main" id="{BB83329C-E17F-4C58-988E-E574A9CA3664}"/>
            </a:ext>
          </a:extLst>
        </xdr:cNvPr>
        <xdr:cNvSpPr>
          <a:spLocks noChangeShapeType="1"/>
        </xdr:cNvSpPr>
      </xdr:nvSpPr>
      <xdr:spPr>
        <a:xfrm flipH="1">
          <a:off x="6608398" y="11310859"/>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170" name="Line 327">
          <a:extLst>
            <a:ext uri="{FF2B5EF4-FFF2-40B4-BE49-F238E27FC236}">
              <a16:creationId xmlns:a16="http://schemas.microsoft.com/office/drawing/2014/main" id="{B852247F-2C2F-4B82-9DC1-B88F854F990A}"/>
            </a:ext>
          </a:extLst>
        </xdr:cNvPr>
        <xdr:cNvSpPr>
          <a:spLocks noChangeShapeType="1"/>
        </xdr:cNvSpPr>
      </xdr:nvSpPr>
      <xdr:spPr>
        <a:xfrm flipH="1">
          <a:off x="9148916" y="11301976"/>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171" name="Picture 13">
          <a:extLst>
            <a:ext uri="{FF2B5EF4-FFF2-40B4-BE49-F238E27FC236}">
              <a16:creationId xmlns:a16="http://schemas.microsoft.com/office/drawing/2014/main" id="{5DDD4011-E070-473D-A69B-7231801748C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495107" y="11184766"/>
          <a:ext cx="67660" cy="4905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172" name="Flowchart: Magnetic Disk 171">
          <a:extLst>
            <a:ext uri="{FF2B5EF4-FFF2-40B4-BE49-F238E27FC236}">
              <a16:creationId xmlns:a16="http://schemas.microsoft.com/office/drawing/2014/main" id="{1C266D1A-2636-492C-8669-1E5FFC65DC32}"/>
            </a:ext>
          </a:extLst>
        </xdr:cNvPr>
        <xdr:cNvSpPr/>
      </xdr:nvSpPr>
      <xdr:spPr>
        <a:xfrm>
          <a:off x="11635403" y="8312668"/>
          <a:ext cx="129592" cy="177671"/>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173" name="Flowchart: Magnetic Disk 172">
          <a:extLst>
            <a:ext uri="{FF2B5EF4-FFF2-40B4-BE49-F238E27FC236}">
              <a16:creationId xmlns:a16="http://schemas.microsoft.com/office/drawing/2014/main" id="{09B2D426-8E06-464E-99BA-2C37187191AC}"/>
            </a:ext>
          </a:extLst>
        </xdr:cNvPr>
        <xdr:cNvSpPr/>
      </xdr:nvSpPr>
      <xdr:spPr>
        <a:xfrm>
          <a:off x="5549770" y="114683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174" name="Flowchart: Magnetic Disk 173">
          <a:extLst>
            <a:ext uri="{FF2B5EF4-FFF2-40B4-BE49-F238E27FC236}">
              <a16:creationId xmlns:a16="http://schemas.microsoft.com/office/drawing/2014/main" id="{4B391A7F-54F9-4C29-8E6E-FAB7C111C95D}"/>
            </a:ext>
          </a:extLst>
        </xdr:cNvPr>
        <xdr:cNvSpPr/>
      </xdr:nvSpPr>
      <xdr:spPr>
        <a:xfrm>
          <a:off x="6820029" y="11461880"/>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175" name="Flowchart: Predefined Process 174">
          <a:extLst>
            <a:ext uri="{FF2B5EF4-FFF2-40B4-BE49-F238E27FC236}">
              <a16:creationId xmlns:a16="http://schemas.microsoft.com/office/drawing/2014/main" id="{C5701A5F-309D-4F83-A2E2-CDA69184EB7D}"/>
            </a:ext>
          </a:extLst>
        </xdr:cNvPr>
        <xdr:cNvSpPr/>
      </xdr:nvSpPr>
      <xdr:spPr>
        <a:xfrm>
          <a:off x="1178443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176" name="Line 327">
          <a:extLst>
            <a:ext uri="{FF2B5EF4-FFF2-40B4-BE49-F238E27FC236}">
              <a16:creationId xmlns:a16="http://schemas.microsoft.com/office/drawing/2014/main" id="{C59AF216-6BD8-425C-9C0D-E2ABB07D490C}"/>
            </a:ext>
          </a:extLst>
        </xdr:cNvPr>
        <xdr:cNvSpPr>
          <a:spLocks noChangeShapeType="1"/>
        </xdr:cNvSpPr>
      </xdr:nvSpPr>
      <xdr:spPr>
        <a:xfrm flipH="1">
          <a:off x="4098840" y="11366065"/>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177" name="Flowchart: Predefined Process 176">
          <a:extLst>
            <a:ext uri="{FF2B5EF4-FFF2-40B4-BE49-F238E27FC236}">
              <a16:creationId xmlns:a16="http://schemas.microsoft.com/office/drawing/2014/main" id="{F413214D-E732-4BD0-91A7-1DB890DE8949}"/>
            </a:ext>
          </a:extLst>
        </xdr:cNvPr>
        <xdr:cNvSpPr/>
      </xdr:nvSpPr>
      <xdr:spPr>
        <a:xfrm>
          <a:off x="5310026" y="11355485"/>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178" name="Flowchart: Decision 177">
          <a:extLst>
            <a:ext uri="{FF2B5EF4-FFF2-40B4-BE49-F238E27FC236}">
              <a16:creationId xmlns:a16="http://schemas.microsoft.com/office/drawing/2014/main" id="{923B3947-CCD5-4BD4-9EC0-0F2950AF2869}"/>
            </a:ext>
          </a:extLst>
        </xdr:cNvPr>
        <xdr:cNvSpPr/>
      </xdr:nvSpPr>
      <xdr:spPr>
        <a:xfrm>
          <a:off x="1159004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179" name="Flowchart: Magnetic Disk 178">
          <a:extLst>
            <a:ext uri="{FF2B5EF4-FFF2-40B4-BE49-F238E27FC236}">
              <a16:creationId xmlns:a16="http://schemas.microsoft.com/office/drawing/2014/main" id="{4E87CEE6-8B6F-4341-A467-11551F74D64D}"/>
            </a:ext>
          </a:extLst>
        </xdr:cNvPr>
        <xdr:cNvSpPr/>
      </xdr:nvSpPr>
      <xdr:spPr>
        <a:xfrm>
          <a:off x="6807070" y="114683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180" name="Flowchart: Predefined Process 179">
          <a:extLst>
            <a:ext uri="{FF2B5EF4-FFF2-40B4-BE49-F238E27FC236}">
              <a16:creationId xmlns:a16="http://schemas.microsoft.com/office/drawing/2014/main" id="{F456C52F-3C9E-4400-BC28-7468FDE3815D}"/>
            </a:ext>
          </a:extLst>
        </xdr:cNvPr>
        <xdr:cNvSpPr/>
      </xdr:nvSpPr>
      <xdr:spPr>
        <a:xfrm>
          <a:off x="1516484" y="115137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181" name="Flowchart: Decision 180">
          <a:extLst>
            <a:ext uri="{FF2B5EF4-FFF2-40B4-BE49-F238E27FC236}">
              <a16:creationId xmlns:a16="http://schemas.microsoft.com/office/drawing/2014/main" id="{6FCB28C0-6BBC-43D5-B588-A52F9F44EF2D}"/>
            </a:ext>
          </a:extLst>
        </xdr:cNvPr>
        <xdr:cNvSpPr/>
      </xdr:nvSpPr>
      <xdr:spPr>
        <a:xfrm>
          <a:off x="1322096" y="116849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182" name="Rectangle: Top Corners Snipped 181">
          <a:extLst>
            <a:ext uri="{FF2B5EF4-FFF2-40B4-BE49-F238E27FC236}">
              <a16:creationId xmlns:a16="http://schemas.microsoft.com/office/drawing/2014/main" id="{E48109E0-75B8-4E35-BCE6-57C7F85DF152}"/>
            </a:ext>
          </a:extLst>
        </xdr:cNvPr>
        <xdr:cNvSpPr/>
      </xdr:nvSpPr>
      <xdr:spPr>
        <a:xfrm>
          <a:off x="8044931" y="11507237"/>
          <a:ext cx="168469" cy="1711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183" name="Isosceles Triangle 182">
          <a:extLst>
            <a:ext uri="{FF2B5EF4-FFF2-40B4-BE49-F238E27FC236}">
              <a16:creationId xmlns:a16="http://schemas.microsoft.com/office/drawing/2014/main" id="{2C48EABC-7CF2-4183-8FE0-AFE42217202A}"/>
            </a:ext>
          </a:extLst>
        </xdr:cNvPr>
        <xdr:cNvSpPr/>
      </xdr:nvSpPr>
      <xdr:spPr>
        <a:xfrm>
          <a:off x="96438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184" name="Isosceles Triangle 183">
          <a:extLst>
            <a:ext uri="{FF2B5EF4-FFF2-40B4-BE49-F238E27FC236}">
              <a16:creationId xmlns:a16="http://schemas.microsoft.com/office/drawing/2014/main" id="{30C91332-1D6B-4BCA-B55C-C8F592A9A30C}"/>
            </a:ext>
          </a:extLst>
        </xdr:cNvPr>
        <xdr:cNvSpPr/>
      </xdr:nvSpPr>
      <xdr:spPr>
        <a:xfrm>
          <a:off x="63322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185" name="Isosceles Triangle 184">
          <a:extLst>
            <a:ext uri="{FF2B5EF4-FFF2-40B4-BE49-F238E27FC236}">
              <a16:creationId xmlns:a16="http://schemas.microsoft.com/office/drawing/2014/main" id="{923F5C2A-1B64-41BF-8100-F152E012BBE0}"/>
            </a:ext>
          </a:extLst>
        </xdr:cNvPr>
        <xdr:cNvSpPr/>
      </xdr:nvSpPr>
      <xdr:spPr>
        <a:xfrm>
          <a:off x="121584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186" name="Isosceles Triangle 185">
          <a:extLst>
            <a:ext uri="{FF2B5EF4-FFF2-40B4-BE49-F238E27FC236}">
              <a16:creationId xmlns:a16="http://schemas.microsoft.com/office/drawing/2014/main" id="{0B8C75CF-06FE-44EC-A8FF-080471DDB274}"/>
            </a:ext>
          </a:extLst>
        </xdr:cNvPr>
        <xdr:cNvSpPr/>
      </xdr:nvSpPr>
      <xdr:spPr>
        <a:xfrm>
          <a:off x="109011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187" name="Isosceles Triangle 186">
          <a:extLst>
            <a:ext uri="{FF2B5EF4-FFF2-40B4-BE49-F238E27FC236}">
              <a16:creationId xmlns:a16="http://schemas.microsoft.com/office/drawing/2014/main" id="{1FBE9B5E-D2FA-4988-904B-7FDAE856F47B}"/>
            </a:ext>
          </a:extLst>
        </xdr:cNvPr>
        <xdr:cNvSpPr/>
      </xdr:nvSpPr>
      <xdr:spPr>
        <a:xfrm>
          <a:off x="96438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188" name="Line 327">
          <a:extLst>
            <a:ext uri="{FF2B5EF4-FFF2-40B4-BE49-F238E27FC236}">
              <a16:creationId xmlns:a16="http://schemas.microsoft.com/office/drawing/2014/main" id="{EE38B1D3-B79D-4DDA-9D53-4F8CB17DFB38}"/>
            </a:ext>
          </a:extLst>
        </xdr:cNvPr>
        <xdr:cNvSpPr>
          <a:spLocks noChangeShapeType="1"/>
        </xdr:cNvSpPr>
      </xdr:nvSpPr>
      <xdr:spPr>
        <a:xfrm flipH="1">
          <a:off x="11665188" y="9703721"/>
          <a:ext cx="266700" cy="37001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189" name="Picture 13">
          <a:extLst>
            <a:ext uri="{FF2B5EF4-FFF2-40B4-BE49-F238E27FC236}">
              <a16:creationId xmlns:a16="http://schemas.microsoft.com/office/drawing/2014/main" id="{F00DB70F-BAF9-4F29-9B27-C95176F68A1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0707712" y="9669956"/>
          <a:ext cx="86258" cy="5510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190" name="Line 327">
          <a:extLst>
            <a:ext uri="{FF2B5EF4-FFF2-40B4-BE49-F238E27FC236}">
              <a16:creationId xmlns:a16="http://schemas.microsoft.com/office/drawing/2014/main" id="{E9F8D4AB-91EB-4053-A1FE-230C350CF093}"/>
            </a:ext>
          </a:extLst>
        </xdr:cNvPr>
        <xdr:cNvSpPr>
          <a:spLocks noChangeShapeType="1"/>
        </xdr:cNvSpPr>
      </xdr:nvSpPr>
      <xdr:spPr>
        <a:xfrm flipH="1">
          <a:off x="10304946" y="9703510"/>
          <a:ext cx="266700" cy="37001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191" name="Line 327">
          <a:extLst>
            <a:ext uri="{FF2B5EF4-FFF2-40B4-BE49-F238E27FC236}">
              <a16:creationId xmlns:a16="http://schemas.microsoft.com/office/drawing/2014/main" id="{8AF329EF-F6A4-4057-A708-B7A49F3F3879}"/>
            </a:ext>
          </a:extLst>
        </xdr:cNvPr>
        <xdr:cNvSpPr>
          <a:spLocks noChangeShapeType="1"/>
        </xdr:cNvSpPr>
      </xdr:nvSpPr>
      <xdr:spPr>
        <a:xfrm flipH="1">
          <a:off x="10353672" y="9793706"/>
          <a:ext cx="266700" cy="36988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192" name="Isosceles Triangle 191">
          <a:extLst>
            <a:ext uri="{FF2B5EF4-FFF2-40B4-BE49-F238E27FC236}">
              <a16:creationId xmlns:a16="http://schemas.microsoft.com/office/drawing/2014/main" id="{CCA35718-5378-4DB7-A697-5E255A18D33D}"/>
            </a:ext>
          </a:extLst>
        </xdr:cNvPr>
        <xdr:cNvSpPr/>
      </xdr:nvSpPr>
      <xdr:spPr>
        <a:xfrm>
          <a:off x="63322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193" name="Isosceles Triangle 192">
          <a:extLst>
            <a:ext uri="{FF2B5EF4-FFF2-40B4-BE49-F238E27FC236}">
              <a16:creationId xmlns:a16="http://schemas.microsoft.com/office/drawing/2014/main" id="{6CDD33B3-F54B-4073-9750-D77AFD21E239}"/>
            </a:ext>
          </a:extLst>
        </xdr:cNvPr>
        <xdr:cNvSpPr/>
      </xdr:nvSpPr>
      <xdr:spPr>
        <a:xfrm>
          <a:off x="1890522" y="9469797"/>
          <a:ext cx="83362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194" name="Isosceles Triangle 193">
          <a:extLst>
            <a:ext uri="{FF2B5EF4-FFF2-40B4-BE49-F238E27FC236}">
              <a16:creationId xmlns:a16="http://schemas.microsoft.com/office/drawing/2014/main" id="{155ADA86-5330-4288-9728-53E0705D1ADF}"/>
            </a:ext>
          </a:extLst>
        </xdr:cNvPr>
        <xdr:cNvSpPr/>
      </xdr:nvSpPr>
      <xdr:spPr>
        <a:xfrm>
          <a:off x="33573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195" name="Isosceles Triangle 194">
          <a:extLst>
            <a:ext uri="{FF2B5EF4-FFF2-40B4-BE49-F238E27FC236}">
              <a16:creationId xmlns:a16="http://schemas.microsoft.com/office/drawing/2014/main" id="{FFB47F8D-FDE8-4F07-99E7-524F10C2DC6A}"/>
            </a:ext>
          </a:extLst>
        </xdr:cNvPr>
        <xdr:cNvSpPr/>
      </xdr:nvSpPr>
      <xdr:spPr>
        <a:xfrm>
          <a:off x="4613087" y="9469797"/>
          <a:ext cx="624079" cy="30321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196" name="Isosceles Triangle 195">
          <a:extLst>
            <a:ext uri="{FF2B5EF4-FFF2-40B4-BE49-F238E27FC236}">
              <a16:creationId xmlns:a16="http://schemas.microsoft.com/office/drawing/2014/main" id="{626E1175-D41E-47E1-9130-803C346F9286}"/>
            </a:ext>
          </a:extLst>
        </xdr:cNvPr>
        <xdr:cNvSpPr/>
      </xdr:nvSpPr>
      <xdr:spPr>
        <a:xfrm>
          <a:off x="58719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197" name="Isosceles Triangle 196">
          <a:extLst>
            <a:ext uri="{FF2B5EF4-FFF2-40B4-BE49-F238E27FC236}">
              <a16:creationId xmlns:a16="http://schemas.microsoft.com/office/drawing/2014/main" id="{DD079B4E-2728-4A66-8F34-7CB477F80938}"/>
            </a:ext>
          </a:extLst>
        </xdr:cNvPr>
        <xdr:cNvSpPr/>
      </xdr:nvSpPr>
      <xdr:spPr>
        <a:xfrm>
          <a:off x="71292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198" name="Isosceles Triangle 197">
          <a:extLst>
            <a:ext uri="{FF2B5EF4-FFF2-40B4-BE49-F238E27FC236}">
              <a16:creationId xmlns:a16="http://schemas.microsoft.com/office/drawing/2014/main" id="{E9938377-0AEA-4887-9833-64481961E916}"/>
            </a:ext>
          </a:extLst>
        </xdr:cNvPr>
        <xdr:cNvSpPr/>
      </xdr:nvSpPr>
      <xdr:spPr>
        <a:xfrm>
          <a:off x="8386572" y="9469797"/>
          <a:ext cx="624078" cy="30321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199" name="Isosceles Triangle 198">
          <a:extLst>
            <a:ext uri="{FF2B5EF4-FFF2-40B4-BE49-F238E27FC236}">
              <a16:creationId xmlns:a16="http://schemas.microsoft.com/office/drawing/2014/main" id="{401C6194-FD09-4493-BE8E-0E0849DE3FD3}"/>
            </a:ext>
          </a:extLst>
        </xdr:cNvPr>
        <xdr:cNvSpPr/>
      </xdr:nvSpPr>
      <xdr:spPr>
        <a:xfrm>
          <a:off x="58719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00" name="Isosceles Triangle 199">
          <a:extLst>
            <a:ext uri="{FF2B5EF4-FFF2-40B4-BE49-F238E27FC236}">
              <a16:creationId xmlns:a16="http://schemas.microsoft.com/office/drawing/2014/main" id="{FC03265F-93F7-45DD-BF58-2987EE8D13D4}"/>
            </a:ext>
          </a:extLst>
        </xdr:cNvPr>
        <xdr:cNvSpPr/>
      </xdr:nvSpPr>
      <xdr:spPr>
        <a:xfrm>
          <a:off x="71292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201" name="Line 327">
          <a:extLst>
            <a:ext uri="{FF2B5EF4-FFF2-40B4-BE49-F238E27FC236}">
              <a16:creationId xmlns:a16="http://schemas.microsoft.com/office/drawing/2014/main" id="{3BAC807D-3225-4771-87DE-5345D515E411}"/>
            </a:ext>
          </a:extLst>
        </xdr:cNvPr>
        <xdr:cNvSpPr>
          <a:spLocks noChangeShapeType="1"/>
        </xdr:cNvSpPr>
      </xdr:nvSpPr>
      <xdr:spPr>
        <a:xfrm flipH="1">
          <a:off x="4050113" y="9779991"/>
          <a:ext cx="266700" cy="3415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202" name="Line 327">
          <a:extLst>
            <a:ext uri="{FF2B5EF4-FFF2-40B4-BE49-F238E27FC236}">
              <a16:creationId xmlns:a16="http://schemas.microsoft.com/office/drawing/2014/main" id="{FB4FE93A-9E68-4878-8060-C382EF11188B}"/>
            </a:ext>
          </a:extLst>
        </xdr:cNvPr>
        <xdr:cNvSpPr>
          <a:spLocks noChangeShapeType="1"/>
        </xdr:cNvSpPr>
      </xdr:nvSpPr>
      <xdr:spPr>
        <a:xfrm flipH="1">
          <a:off x="6608398" y="9805909"/>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203" name="Line 327">
          <a:extLst>
            <a:ext uri="{FF2B5EF4-FFF2-40B4-BE49-F238E27FC236}">
              <a16:creationId xmlns:a16="http://schemas.microsoft.com/office/drawing/2014/main" id="{69481132-12B2-4654-A10C-658587E5BD7B}"/>
            </a:ext>
          </a:extLst>
        </xdr:cNvPr>
        <xdr:cNvSpPr>
          <a:spLocks noChangeShapeType="1"/>
        </xdr:cNvSpPr>
      </xdr:nvSpPr>
      <xdr:spPr>
        <a:xfrm flipH="1">
          <a:off x="9148916" y="9797026"/>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204" name="Picture 13">
          <a:extLst>
            <a:ext uri="{FF2B5EF4-FFF2-40B4-BE49-F238E27FC236}">
              <a16:creationId xmlns:a16="http://schemas.microsoft.com/office/drawing/2014/main" id="{C34480E5-38F3-41FC-9E07-6A97600F61B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495107" y="9679816"/>
          <a:ext cx="67660" cy="4905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205" name="Flowchart: Magnetic Disk 204">
          <a:extLst>
            <a:ext uri="{FF2B5EF4-FFF2-40B4-BE49-F238E27FC236}">
              <a16:creationId xmlns:a16="http://schemas.microsoft.com/office/drawing/2014/main" id="{F45D2881-4E87-48C8-B4C6-C8B2391D52A6}"/>
            </a:ext>
          </a:extLst>
        </xdr:cNvPr>
        <xdr:cNvSpPr/>
      </xdr:nvSpPr>
      <xdr:spPr>
        <a:xfrm>
          <a:off x="55497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206" name="Flowchart: Magnetic Disk 205">
          <a:extLst>
            <a:ext uri="{FF2B5EF4-FFF2-40B4-BE49-F238E27FC236}">
              <a16:creationId xmlns:a16="http://schemas.microsoft.com/office/drawing/2014/main" id="{AB827916-A144-494B-B4D6-3D613AFB6605}"/>
            </a:ext>
          </a:extLst>
        </xdr:cNvPr>
        <xdr:cNvSpPr/>
      </xdr:nvSpPr>
      <xdr:spPr>
        <a:xfrm>
          <a:off x="6820029" y="9969630"/>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207" name="Line 327">
          <a:extLst>
            <a:ext uri="{FF2B5EF4-FFF2-40B4-BE49-F238E27FC236}">
              <a16:creationId xmlns:a16="http://schemas.microsoft.com/office/drawing/2014/main" id="{C1DE2CE1-DA0C-48DD-A83C-9D16B1CE7408}"/>
            </a:ext>
          </a:extLst>
        </xdr:cNvPr>
        <xdr:cNvSpPr>
          <a:spLocks noChangeShapeType="1"/>
        </xdr:cNvSpPr>
      </xdr:nvSpPr>
      <xdr:spPr>
        <a:xfrm flipH="1">
          <a:off x="4098840" y="9861115"/>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208" name="Flowchart: Predefined Process 207">
          <a:extLst>
            <a:ext uri="{FF2B5EF4-FFF2-40B4-BE49-F238E27FC236}">
              <a16:creationId xmlns:a16="http://schemas.microsoft.com/office/drawing/2014/main" id="{52024415-6CA6-4EE7-A077-580F07DEED53}"/>
            </a:ext>
          </a:extLst>
        </xdr:cNvPr>
        <xdr:cNvSpPr/>
      </xdr:nvSpPr>
      <xdr:spPr>
        <a:xfrm>
          <a:off x="5310026" y="9850535"/>
          <a:ext cx="213826" cy="3418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209" name="Flowchart: Magnetic Disk 208">
          <a:extLst>
            <a:ext uri="{FF2B5EF4-FFF2-40B4-BE49-F238E27FC236}">
              <a16:creationId xmlns:a16="http://schemas.microsoft.com/office/drawing/2014/main" id="{E388051D-0561-4F42-BB9F-BFAFDE6C8F3F}"/>
            </a:ext>
          </a:extLst>
        </xdr:cNvPr>
        <xdr:cNvSpPr/>
      </xdr:nvSpPr>
      <xdr:spPr>
        <a:xfrm>
          <a:off x="68070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10" name="Flowchart: Predefined Process 209">
          <a:extLst>
            <a:ext uri="{FF2B5EF4-FFF2-40B4-BE49-F238E27FC236}">
              <a16:creationId xmlns:a16="http://schemas.microsoft.com/office/drawing/2014/main" id="{CCF5DF6C-07F9-41BF-84FC-6F1A41965C2C}"/>
            </a:ext>
          </a:extLst>
        </xdr:cNvPr>
        <xdr:cNvSpPr/>
      </xdr:nvSpPr>
      <xdr:spPr>
        <a:xfrm>
          <a:off x="151648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11" name="Flowchart: Decision 210">
          <a:extLst>
            <a:ext uri="{FF2B5EF4-FFF2-40B4-BE49-F238E27FC236}">
              <a16:creationId xmlns:a16="http://schemas.microsoft.com/office/drawing/2014/main" id="{85FE58D2-6645-4F8F-9684-5CA7401FBE97}"/>
            </a:ext>
          </a:extLst>
        </xdr:cNvPr>
        <xdr:cNvSpPr/>
      </xdr:nvSpPr>
      <xdr:spPr>
        <a:xfrm>
          <a:off x="132209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212" name="Rectangle: Top Corners Snipped 211">
          <a:extLst>
            <a:ext uri="{FF2B5EF4-FFF2-40B4-BE49-F238E27FC236}">
              <a16:creationId xmlns:a16="http://schemas.microsoft.com/office/drawing/2014/main" id="{23C4258E-AB15-43A8-B6EC-40971C70476D}"/>
            </a:ext>
          </a:extLst>
        </xdr:cNvPr>
        <xdr:cNvSpPr/>
      </xdr:nvSpPr>
      <xdr:spPr>
        <a:xfrm>
          <a:off x="8044931" y="10014987"/>
          <a:ext cx="168469" cy="1838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213" name="Isosceles Triangle 212">
          <a:extLst>
            <a:ext uri="{FF2B5EF4-FFF2-40B4-BE49-F238E27FC236}">
              <a16:creationId xmlns:a16="http://schemas.microsoft.com/office/drawing/2014/main" id="{E5005D2B-2D3F-47D9-A6F3-8474F4BFFFEF}"/>
            </a:ext>
          </a:extLst>
        </xdr:cNvPr>
        <xdr:cNvSpPr/>
      </xdr:nvSpPr>
      <xdr:spPr>
        <a:xfrm>
          <a:off x="96438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14" name="Flowchart: Predefined Process 213">
          <a:extLst>
            <a:ext uri="{FF2B5EF4-FFF2-40B4-BE49-F238E27FC236}">
              <a16:creationId xmlns:a16="http://schemas.microsoft.com/office/drawing/2014/main" id="{F4924006-6B41-43F0-B2AD-CF6D7D732EEA}"/>
            </a:ext>
          </a:extLst>
        </xdr:cNvPr>
        <xdr:cNvSpPr/>
      </xdr:nvSpPr>
      <xdr:spPr>
        <a:xfrm>
          <a:off x="151648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15" name="Flowchart: Decision 214">
          <a:extLst>
            <a:ext uri="{FF2B5EF4-FFF2-40B4-BE49-F238E27FC236}">
              <a16:creationId xmlns:a16="http://schemas.microsoft.com/office/drawing/2014/main" id="{B520601F-069E-46E2-8AFE-58BF24E3896C}"/>
            </a:ext>
          </a:extLst>
        </xdr:cNvPr>
        <xdr:cNvSpPr/>
      </xdr:nvSpPr>
      <xdr:spPr>
        <a:xfrm>
          <a:off x="132209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216" name="Flowchart: Magnetic Disk 215">
          <a:extLst>
            <a:ext uri="{FF2B5EF4-FFF2-40B4-BE49-F238E27FC236}">
              <a16:creationId xmlns:a16="http://schemas.microsoft.com/office/drawing/2014/main" id="{603CBBB9-6A95-4FED-87CD-BA6DDCBBB6A3}"/>
            </a:ext>
          </a:extLst>
        </xdr:cNvPr>
        <xdr:cNvSpPr/>
      </xdr:nvSpPr>
      <xdr:spPr>
        <a:xfrm>
          <a:off x="80643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217" name="Flowchart: Magnetic Disk 216">
          <a:extLst>
            <a:ext uri="{FF2B5EF4-FFF2-40B4-BE49-F238E27FC236}">
              <a16:creationId xmlns:a16="http://schemas.microsoft.com/office/drawing/2014/main" id="{585480E8-957E-49D6-B8F1-C3B836D7DC8E}"/>
            </a:ext>
          </a:extLst>
        </xdr:cNvPr>
        <xdr:cNvSpPr/>
      </xdr:nvSpPr>
      <xdr:spPr>
        <a:xfrm>
          <a:off x="93216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218" name="Flowchart: Predefined Process 217">
          <a:extLst>
            <a:ext uri="{FF2B5EF4-FFF2-40B4-BE49-F238E27FC236}">
              <a16:creationId xmlns:a16="http://schemas.microsoft.com/office/drawing/2014/main" id="{0A4E4691-58B8-4223-9F55-74C459A3CC1F}"/>
            </a:ext>
          </a:extLst>
        </xdr:cNvPr>
        <xdr:cNvSpPr/>
      </xdr:nvSpPr>
      <xdr:spPr>
        <a:xfrm>
          <a:off x="424063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219" name="Flowchart: Decision 218">
          <a:extLst>
            <a:ext uri="{FF2B5EF4-FFF2-40B4-BE49-F238E27FC236}">
              <a16:creationId xmlns:a16="http://schemas.microsoft.com/office/drawing/2014/main" id="{014ABE62-6187-4F16-AB0D-690E5E9DC7EF}"/>
            </a:ext>
          </a:extLst>
        </xdr:cNvPr>
        <xdr:cNvSpPr/>
      </xdr:nvSpPr>
      <xdr:spPr>
        <a:xfrm>
          <a:off x="404624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220" name="Rectangle: Top Corners Snipped 219">
          <a:extLst>
            <a:ext uri="{FF2B5EF4-FFF2-40B4-BE49-F238E27FC236}">
              <a16:creationId xmlns:a16="http://schemas.microsoft.com/office/drawing/2014/main" id="{AFD8C29F-3706-4578-87E0-FA7C5333C4DC}"/>
            </a:ext>
          </a:extLst>
        </xdr:cNvPr>
        <xdr:cNvSpPr/>
      </xdr:nvSpPr>
      <xdr:spPr>
        <a:xfrm>
          <a:off x="10559531" y="10014987"/>
          <a:ext cx="168469" cy="1838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221" name="Flowchart: Predefined Process 220">
          <a:extLst>
            <a:ext uri="{FF2B5EF4-FFF2-40B4-BE49-F238E27FC236}">
              <a16:creationId xmlns:a16="http://schemas.microsoft.com/office/drawing/2014/main" id="{104AC4D8-73BC-4D08-84F7-2E0EAA964EE9}"/>
            </a:ext>
          </a:extLst>
        </xdr:cNvPr>
        <xdr:cNvSpPr/>
      </xdr:nvSpPr>
      <xdr:spPr>
        <a:xfrm>
          <a:off x="9205038" y="11500757"/>
          <a:ext cx="213826" cy="30078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222" name="Rectangle: Top Corners Snipped 221">
          <a:extLst>
            <a:ext uri="{FF2B5EF4-FFF2-40B4-BE49-F238E27FC236}">
              <a16:creationId xmlns:a16="http://schemas.microsoft.com/office/drawing/2014/main" id="{6E52A656-C436-44EE-9875-3E61E93E9D2B}"/>
            </a:ext>
          </a:extLst>
        </xdr:cNvPr>
        <xdr:cNvSpPr/>
      </xdr:nvSpPr>
      <xdr:spPr>
        <a:xfrm>
          <a:off x="11836271" y="11565553"/>
          <a:ext cx="168469" cy="17119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223" name="Flowchart: Predefined Process 222">
          <a:extLst>
            <a:ext uri="{FF2B5EF4-FFF2-40B4-BE49-F238E27FC236}">
              <a16:creationId xmlns:a16="http://schemas.microsoft.com/office/drawing/2014/main" id="{A59C6CFD-8142-44D2-837E-A848D1C55C25}"/>
            </a:ext>
          </a:extLst>
        </xdr:cNvPr>
        <xdr:cNvSpPr/>
      </xdr:nvSpPr>
      <xdr:spPr>
        <a:xfrm>
          <a:off x="10462338" y="11500757"/>
          <a:ext cx="213826" cy="30078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224" name="Isosceles Triangle 223">
          <a:extLst>
            <a:ext uri="{FF2B5EF4-FFF2-40B4-BE49-F238E27FC236}">
              <a16:creationId xmlns:a16="http://schemas.microsoft.com/office/drawing/2014/main" id="{DE9D0A69-1BD0-4594-A79A-640E52629064}"/>
            </a:ext>
          </a:extLst>
        </xdr:cNvPr>
        <xdr:cNvSpPr/>
      </xdr:nvSpPr>
      <xdr:spPr>
        <a:xfrm>
          <a:off x="71292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225" name="Isosceles Triangle 224">
          <a:extLst>
            <a:ext uri="{FF2B5EF4-FFF2-40B4-BE49-F238E27FC236}">
              <a16:creationId xmlns:a16="http://schemas.microsoft.com/office/drawing/2014/main" id="{AE24873B-4BA9-45ED-8E72-8A1C3427636E}"/>
            </a:ext>
          </a:extLst>
        </xdr:cNvPr>
        <xdr:cNvSpPr/>
      </xdr:nvSpPr>
      <xdr:spPr>
        <a:xfrm>
          <a:off x="33573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226" name="Isosceles Triangle 225">
          <a:extLst>
            <a:ext uri="{FF2B5EF4-FFF2-40B4-BE49-F238E27FC236}">
              <a16:creationId xmlns:a16="http://schemas.microsoft.com/office/drawing/2014/main" id="{61974846-735A-40E3-80B8-18AA67B3C3A0}"/>
            </a:ext>
          </a:extLst>
        </xdr:cNvPr>
        <xdr:cNvSpPr/>
      </xdr:nvSpPr>
      <xdr:spPr>
        <a:xfrm>
          <a:off x="46146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227" name="Isosceles Triangle 226">
          <a:extLst>
            <a:ext uri="{FF2B5EF4-FFF2-40B4-BE49-F238E27FC236}">
              <a16:creationId xmlns:a16="http://schemas.microsoft.com/office/drawing/2014/main" id="{0A1B6E6C-956F-4840-87C8-99EDFCDDE338}"/>
            </a:ext>
          </a:extLst>
        </xdr:cNvPr>
        <xdr:cNvSpPr/>
      </xdr:nvSpPr>
      <xdr:spPr>
        <a:xfrm>
          <a:off x="58719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228" name="Isosceles Triangle 227">
          <a:extLst>
            <a:ext uri="{FF2B5EF4-FFF2-40B4-BE49-F238E27FC236}">
              <a16:creationId xmlns:a16="http://schemas.microsoft.com/office/drawing/2014/main" id="{1A09D2D0-1272-40A6-BEF9-BFD4DA174502}"/>
            </a:ext>
          </a:extLst>
        </xdr:cNvPr>
        <xdr:cNvSpPr/>
      </xdr:nvSpPr>
      <xdr:spPr>
        <a:xfrm>
          <a:off x="71292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229" name="Isosceles Triangle 228">
          <a:extLst>
            <a:ext uri="{FF2B5EF4-FFF2-40B4-BE49-F238E27FC236}">
              <a16:creationId xmlns:a16="http://schemas.microsoft.com/office/drawing/2014/main" id="{7D038C97-4FD3-428F-B93F-39689AB18450}"/>
            </a:ext>
          </a:extLst>
        </xdr:cNvPr>
        <xdr:cNvSpPr/>
      </xdr:nvSpPr>
      <xdr:spPr>
        <a:xfrm>
          <a:off x="83865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230" name="Isosceles Triangle 229">
          <a:extLst>
            <a:ext uri="{FF2B5EF4-FFF2-40B4-BE49-F238E27FC236}">
              <a16:creationId xmlns:a16="http://schemas.microsoft.com/office/drawing/2014/main" id="{913288BA-2135-4B2E-A83E-5C33C6FCCB44}"/>
            </a:ext>
          </a:extLst>
        </xdr:cNvPr>
        <xdr:cNvSpPr/>
      </xdr:nvSpPr>
      <xdr:spPr>
        <a:xfrm>
          <a:off x="96438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231" name="Isosceles Triangle 230">
          <a:extLst>
            <a:ext uri="{FF2B5EF4-FFF2-40B4-BE49-F238E27FC236}">
              <a16:creationId xmlns:a16="http://schemas.microsoft.com/office/drawing/2014/main" id="{4D3BA34B-993E-45DA-B044-F8EF4242D102}"/>
            </a:ext>
          </a:extLst>
        </xdr:cNvPr>
        <xdr:cNvSpPr/>
      </xdr:nvSpPr>
      <xdr:spPr>
        <a:xfrm>
          <a:off x="109011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232" name="Isosceles Triangle 231">
          <a:extLst>
            <a:ext uri="{FF2B5EF4-FFF2-40B4-BE49-F238E27FC236}">
              <a16:creationId xmlns:a16="http://schemas.microsoft.com/office/drawing/2014/main" id="{028D2263-A1A6-4A5A-BC59-173872B95E2C}"/>
            </a:ext>
          </a:extLst>
        </xdr:cNvPr>
        <xdr:cNvSpPr/>
      </xdr:nvSpPr>
      <xdr:spPr>
        <a:xfrm>
          <a:off x="121584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233" name="Isosceles Triangle 232">
          <a:extLst>
            <a:ext uri="{FF2B5EF4-FFF2-40B4-BE49-F238E27FC236}">
              <a16:creationId xmlns:a16="http://schemas.microsoft.com/office/drawing/2014/main" id="{4F4FF646-D196-4EB5-BE0B-4AE3A216319F}"/>
            </a:ext>
          </a:extLst>
        </xdr:cNvPr>
        <xdr:cNvSpPr/>
      </xdr:nvSpPr>
      <xdr:spPr>
        <a:xfrm>
          <a:off x="134157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234" name="Isosceles Triangle 233">
          <a:extLst>
            <a:ext uri="{FF2B5EF4-FFF2-40B4-BE49-F238E27FC236}">
              <a16:creationId xmlns:a16="http://schemas.microsoft.com/office/drawing/2014/main" id="{245D7E4C-3A27-414E-B4A5-7E46D9F2BF43}"/>
            </a:ext>
          </a:extLst>
        </xdr:cNvPr>
        <xdr:cNvSpPr/>
      </xdr:nvSpPr>
      <xdr:spPr>
        <a:xfrm>
          <a:off x="1890522" y="244240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235" name="Isosceles Triangle 234">
          <a:extLst>
            <a:ext uri="{FF2B5EF4-FFF2-40B4-BE49-F238E27FC236}">
              <a16:creationId xmlns:a16="http://schemas.microsoft.com/office/drawing/2014/main" id="{4A790593-3B77-4E2F-B7D9-4F9D4EB0D157}"/>
            </a:ext>
          </a:extLst>
        </xdr:cNvPr>
        <xdr:cNvSpPr/>
      </xdr:nvSpPr>
      <xdr:spPr>
        <a:xfrm>
          <a:off x="63322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236" name="Isosceles Triangle 235">
          <a:extLst>
            <a:ext uri="{FF2B5EF4-FFF2-40B4-BE49-F238E27FC236}">
              <a16:creationId xmlns:a16="http://schemas.microsoft.com/office/drawing/2014/main" id="{1312D8CD-C0A6-4ACD-A336-580B8AEAB23A}"/>
            </a:ext>
          </a:extLst>
        </xdr:cNvPr>
        <xdr:cNvSpPr/>
      </xdr:nvSpPr>
      <xdr:spPr>
        <a:xfrm>
          <a:off x="33573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237" name="Isosceles Triangle 236">
          <a:extLst>
            <a:ext uri="{FF2B5EF4-FFF2-40B4-BE49-F238E27FC236}">
              <a16:creationId xmlns:a16="http://schemas.microsoft.com/office/drawing/2014/main" id="{B4F25D2F-6643-4E10-BDD2-2987B4C2FA0D}"/>
            </a:ext>
          </a:extLst>
        </xdr:cNvPr>
        <xdr:cNvSpPr/>
      </xdr:nvSpPr>
      <xdr:spPr>
        <a:xfrm>
          <a:off x="46146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238" name="Isosceles Triangle 237">
          <a:extLst>
            <a:ext uri="{FF2B5EF4-FFF2-40B4-BE49-F238E27FC236}">
              <a16:creationId xmlns:a16="http://schemas.microsoft.com/office/drawing/2014/main" id="{DA317BCF-36D8-49D3-AC38-5F515D1DC9C9}"/>
            </a:ext>
          </a:extLst>
        </xdr:cNvPr>
        <xdr:cNvSpPr/>
      </xdr:nvSpPr>
      <xdr:spPr>
        <a:xfrm>
          <a:off x="58719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239" name="Isosceles Triangle 238">
          <a:extLst>
            <a:ext uri="{FF2B5EF4-FFF2-40B4-BE49-F238E27FC236}">
              <a16:creationId xmlns:a16="http://schemas.microsoft.com/office/drawing/2014/main" id="{75365B12-DA3E-4F43-B361-FC9A6E05B4AE}"/>
            </a:ext>
          </a:extLst>
        </xdr:cNvPr>
        <xdr:cNvSpPr/>
      </xdr:nvSpPr>
      <xdr:spPr>
        <a:xfrm>
          <a:off x="71292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240" name="Isosceles Triangle 239">
          <a:extLst>
            <a:ext uri="{FF2B5EF4-FFF2-40B4-BE49-F238E27FC236}">
              <a16:creationId xmlns:a16="http://schemas.microsoft.com/office/drawing/2014/main" id="{E0F41CF4-C222-4B29-90AA-464C1D169B98}"/>
            </a:ext>
          </a:extLst>
        </xdr:cNvPr>
        <xdr:cNvSpPr/>
      </xdr:nvSpPr>
      <xdr:spPr>
        <a:xfrm>
          <a:off x="83865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241" name="Isosceles Triangle 240">
          <a:extLst>
            <a:ext uri="{FF2B5EF4-FFF2-40B4-BE49-F238E27FC236}">
              <a16:creationId xmlns:a16="http://schemas.microsoft.com/office/drawing/2014/main" id="{38AAEB1A-0452-4C94-A80D-CD2A5D48667E}"/>
            </a:ext>
          </a:extLst>
        </xdr:cNvPr>
        <xdr:cNvSpPr/>
      </xdr:nvSpPr>
      <xdr:spPr>
        <a:xfrm>
          <a:off x="96438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242" name="Isosceles Triangle 241">
          <a:extLst>
            <a:ext uri="{FF2B5EF4-FFF2-40B4-BE49-F238E27FC236}">
              <a16:creationId xmlns:a16="http://schemas.microsoft.com/office/drawing/2014/main" id="{5471BE4D-E163-4D85-89FD-1A43C7EF1064}"/>
            </a:ext>
          </a:extLst>
        </xdr:cNvPr>
        <xdr:cNvSpPr/>
      </xdr:nvSpPr>
      <xdr:spPr>
        <a:xfrm>
          <a:off x="109011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243" name="Isosceles Triangle 242">
          <a:extLst>
            <a:ext uri="{FF2B5EF4-FFF2-40B4-BE49-F238E27FC236}">
              <a16:creationId xmlns:a16="http://schemas.microsoft.com/office/drawing/2014/main" id="{FD573A00-402A-4EBF-AA15-4B796F7C4C8F}"/>
            </a:ext>
          </a:extLst>
        </xdr:cNvPr>
        <xdr:cNvSpPr/>
      </xdr:nvSpPr>
      <xdr:spPr>
        <a:xfrm>
          <a:off x="121584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244" name="Isosceles Triangle 243">
          <a:extLst>
            <a:ext uri="{FF2B5EF4-FFF2-40B4-BE49-F238E27FC236}">
              <a16:creationId xmlns:a16="http://schemas.microsoft.com/office/drawing/2014/main" id="{CF13551F-94E1-48B8-A166-16959C61FA4F}"/>
            </a:ext>
          </a:extLst>
        </xdr:cNvPr>
        <xdr:cNvSpPr/>
      </xdr:nvSpPr>
      <xdr:spPr>
        <a:xfrm>
          <a:off x="134157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245" name="Isosceles Triangle 244">
          <a:extLst>
            <a:ext uri="{FF2B5EF4-FFF2-40B4-BE49-F238E27FC236}">
              <a16:creationId xmlns:a16="http://schemas.microsoft.com/office/drawing/2014/main" id="{FE50092B-A45D-44D5-AA46-F661E63BEF55}"/>
            </a:ext>
          </a:extLst>
        </xdr:cNvPr>
        <xdr:cNvSpPr/>
      </xdr:nvSpPr>
      <xdr:spPr>
        <a:xfrm>
          <a:off x="1890522" y="260813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246" name="Isosceles Triangle 245">
          <a:extLst>
            <a:ext uri="{FF2B5EF4-FFF2-40B4-BE49-F238E27FC236}">
              <a16:creationId xmlns:a16="http://schemas.microsoft.com/office/drawing/2014/main" id="{B67E5761-ADD1-4687-B2AA-90F285F4424C}"/>
            </a:ext>
          </a:extLst>
        </xdr:cNvPr>
        <xdr:cNvSpPr/>
      </xdr:nvSpPr>
      <xdr:spPr>
        <a:xfrm>
          <a:off x="63322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247" name="Isosceles Triangle 246">
          <a:extLst>
            <a:ext uri="{FF2B5EF4-FFF2-40B4-BE49-F238E27FC236}">
              <a16:creationId xmlns:a16="http://schemas.microsoft.com/office/drawing/2014/main" id="{90B73876-3FDA-47E7-BD10-A496B1783763}"/>
            </a:ext>
          </a:extLst>
        </xdr:cNvPr>
        <xdr:cNvSpPr/>
      </xdr:nvSpPr>
      <xdr:spPr>
        <a:xfrm>
          <a:off x="33573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248" name="Isosceles Triangle 247">
          <a:extLst>
            <a:ext uri="{FF2B5EF4-FFF2-40B4-BE49-F238E27FC236}">
              <a16:creationId xmlns:a16="http://schemas.microsoft.com/office/drawing/2014/main" id="{DC883696-C055-421D-962F-4CDBE534BF06}"/>
            </a:ext>
          </a:extLst>
        </xdr:cNvPr>
        <xdr:cNvSpPr/>
      </xdr:nvSpPr>
      <xdr:spPr>
        <a:xfrm>
          <a:off x="46146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249" name="Isosceles Triangle 248">
          <a:extLst>
            <a:ext uri="{FF2B5EF4-FFF2-40B4-BE49-F238E27FC236}">
              <a16:creationId xmlns:a16="http://schemas.microsoft.com/office/drawing/2014/main" id="{788D26B8-746D-4173-AFEB-0A6F1E365289}"/>
            </a:ext>
          </a:extLst>
        </xdr:cNvPr>
        <xdr:cNvSpPr/>
      </xdr:nvSpPr>
      <xdr:spPr>
        <a:xfrm>
          <a:off x="58719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250" name="Isosceles Triangle 249">
          <a:extLst>
            <a:ext uri="{FF2B5EF4-FFF2-40B4-BE49-F238E27FC236}">
              <a16:creationId xmlns:a16="http://schemas.microsoft.com/office/drawing/2014/main" id="{437FA8D1-27AD-492A-BE2F-5CB49350C2DE}"/>
            </a:ext>
          </a:extLst>
        </xdr:cNvPr>
        <xdr:cNvSpPr/>
      </xdr:nvSpPr>
      <xdr:spPr>
        <a:xfrm>
          <a:off x="71292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251" name="Isosceles Triangle 250">
          <a:extLst>
            <a:ext uri="{FF2B5EF4-FFF2-40B4-BE49-F238E27FC236}">
              <a16:creationId xmlns:a16="http://schemas.microsoft.com/office/drawing/2014/main" id="{E46785ED-88BB-4CB8-B4C8-9BE5D0A1E76C}"/>
            </a:ext>
          </a:extLst>
        </xdr:cNvPr>
        <xdr:cNvSpPr/>
      </xdr:nvSpPr>
      <xdr:spPr>
        <a:xfrm>
          <a:off x="83865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252" name="Isosceles Triangle 251">
          <a:extLst>
            <a:ext uri="{FF2B5EF4-FFF2-40B4-BE49-F238E27FC236}">
              <a16:creationId xmlns:a16="http://schemas.microsoft.com/office/drawing/2014/main" id="{E5D24860-B96B-4693-A097-AB76164DD216}"/>
            </a:ext>
          </a:extLst>
        </xdr:cNvPr>
        <xdr:cNvSpPr/>
      </xdr:nvSpPr>
      <xdr:spPr>
        <a:xfrm>
          <a:off x="96438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253" name="Isosceles Triangle 252">
          <a:extLst>
            <a:ext uri="{FF2B5EF4-FFF2-40B4-BE49-F238E27FC236}">
              <a16:creationId xmlns:a16="http://schemas.microsoft.com/office/drawing/2014/main" id="{C37FC62D-80C6-4630-BDBC-7CF4F44E5B7D}"/>
            </a:ext>
          </a:extLst>
        </xdr:cNvPr>
        <xdr:cNvSpPr/>
      </xdr:nvSpPr>
      <xdr:spPr>
        <a:xfrm>
          <a:off x="109011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254" name="Isosceles Triangle 253">
          <a:extLst>
            <a:ext uri="{FF2B5EF4-FFF2-40B4-BE49-F238E27FC236}">
              <a16:creationId xmlns:a16="http://schemas.microsoft.com/office/drawing/2014/main" id="{B5799C4F-04AA-43C1-A66A-060A02685BFD}"/>
            </a:ext>
          </a:extLst>
        </xdr:cNvPr>
        <xdr:cNvSpPr/>
      </xdr:nvSpPr>
      <xdr:spPr>
        <a:xfrm>
          <a:off x="121584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255" name="Isosceles Triangle 254">
          <a:extLst>
            <a:ext uri="{FF2B5EF4-FFF2-40B4-BE49-F238E27FC236}">
              <a16:creationId xmlns:a16="http://schemas.microsoft.com/office/drawing/2014/main" id="{3A36F5D2-28C7-419D-AE52-911F7D5D4300}"/>
            </a:ext>
          </a:extLst>
        </xdr:cNvPr>
        <xdr:cNvSpPr/>
      </xdr:nvSpPr>
      <xdr:spPr>
        <a:xfrm>
          <a:off x="134157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256" name="Isosceles Triangle 255">
          <a:extLst>
            <a:ext uri="{FF2B5EF4-FFF2-40B4-BE49-F238E27FC236}">
              <a16:creationId xmlns:a16="http://schemas.microsoft.com/office/drawing/2014/main" id="{B85EF46E-1D1B-4EC0-946F-D221982287C0}"/>
            </a:ext>
          </a:extLst>
        </xdr:cNvPr>
        <xdr:cNvSpPr/>
      </xdr:nvSpPr>
      <xdr:spPr>
        <a:xfrm>
          <a:off x="1890522" y="277387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257" name="Isosceles Triangle 256">
          <a:extLst>
            <a:ext uri="{FF2B5EF4-FFF2-40B4-BE49-F238E27FC236}">
              <a16:creationId xmlns:a16="http://schemas.microsoft.com/office/drawing/2014/main" id="{2C1BC804-7706-4BCD-94AB-62D5CF1EE36F}"/>
            </a:ext>
          </a:extLst>
        </xdr:cNvPr>
        <xdr:cNvSpPr/>
      </xdr:nvSpPr>
      <xdr:spPr>
        <a:xfrm>
          <a:off x="63322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258" name="Isosceles Triangle 257">
          <a:extLst>
            <a:ext uri="{FF2B5EF4-FFF2-40B4-BE49-F238E27FC236}">
              <a16:creationId xmlns:a16="http://schemas.microsoft.com/office/drawing/2014/main" id="{9258C6EA-8992-4D17-B560-C0DEED9966A0}"/>
            </a:ext>
          </a:extLst>
        </xdr:cNvPr>
        <xdr:cNvSpPr/>
      </xdr:nvSpPr>
      <xdr:spPr>
        <a:xfrm>
          <a:off x="33573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259" name="Isosceles Triangle 258">
          <a:extLst>
            <a:ext uri="{FF2B5EF4-FFF2-40B4-BE49-F238E27FC236}">
              <a16:creationId xmlns:a16="http://schemas.microsoft.com/office/drawing/2014/main" id="{46A22567-AD6B-4003-ADCD-51BC8982F3A3}"/>
            </a:ext>
          </a:extLst>
        </xdr:cNvPr>
        <xdr:cNvSpPr/>
      </xdr:nvSpPr>
      <xdr:spPr>
        <a:xfrm>
          <a:off x="46146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260" name="Isosceles Triangle 259">
          <a:extLst>
            <a:ext uri="{FF2B5EF4-FFF2-40B4-BE49-F238E27FC236}">
              <a16:creationId xmlns:a16="http://schemas.microsoft.com/office/drawing/2014/main" id="{B839F974-9AAD-444E-8309-00D2C98B335E}"/>
            </a:ext>
          </a:extLst>
        </xdr:cNvPr>
        <xdr:cNvSpPr/>
      </xdr:nvSpPr>
      <xdr:spPr>
        <a:xfrm>
          <a:off x="58719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261" name="Isosceles Triangle 260">
          <a:extLst>
            <a:ext uri="{FF2B5EF4-FFF2-40B4-BE49-F238E27FC236}">
              <a16:creationId xmlns:a16="http://schemas.microsoft.com/office/drawing/2014/main" id="{BD34E08B-E810-4F8E-A7BA-13B7F664148D}"/>
            </a:ext>
          </a:extLst>
        </xdr:cNvPr>
        <xdr:cNvSpPr/>
      </xdr:nvSpPr>
      <xdr:spPr>
        <a:xfrm>
          <a:off x="71292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262" name="Isosceles Triangle 261">
          <a:extLst>
            <a:ext uri="{FF2B5EF4-FFF2-40B4-BE49-F238E27FC236}">
              <a16:creationId xmlns:a16="http://schemas.microsoft.com/office/drawing/2014/main" id="{F05D13F9-17ED-4F28-9F16-EB597E16E319}"/>
            </a:ext>
          </a:extLst>
        </xdr:cNvPr>
        <xdr:cNvSpPr/>
      </xdr:nvSpPr>
      <xdr:spPr>
        <a:xfrm>
          <a:off x="83865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263" name="Isosceles Triangle 262">
          <a:extLst>
            <a:ext uri="{FF2B5EF4-FFF2-40B4-BE49-F238E27FC236}">
              <a16:creationId xmlns:a16="http://schemas.microsoft.com/office/drawing/2014/main" id="{8AF3BED2-3BDE-4CF1-A142-1F86E7E8EAE2}"/>
            </a:ext>
          </a:extLst>
        </xdr:cNvPr>
        <xdr:cNvSpPr/>
      </xdr:nvSpPr>
      <xdr:spPr>
        <a:xfrm>
          <a:off x="96438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264" name="Isosceles Triangle 263">
          <a:extLst>
            <a:ext uri="{FF2B5EF4-FFF2-40B4-BE49-F238E27FC236}">
              <a16:creationId xmlns:a16="http://schemas.microsoft.com/office/drawing/2014/main" id="{D6613A06-7800-4336-A5DE-612858CB35D5}"/>
            </a:ext>
          </a:extLst>
        </xdr:cNvPr>
        <xdr:cNvSpPr/>
      </xdr:nvSpPr>
      <xdr:spPr>
        <a:xfrm>
          <a:off x="109011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265" name="Isosceles Triangle 264">
          <a:extLst>
            <a:ext uri="{FF2B5EF4-FFF2-40B4-BE49-F238E27FC236}">
              <a16:creationId xmlns:a16="http://schemas.microsoft.com/office/drawing/2014/main" id="{68D17A5A-5792-4D87-AAB8-82945B1DB692}"/>
            </a:ext>
          </a:extLst>
        </xdr:cNvPr>
        <xdr:cNvSpPr/>
      </xdr:nvSpPr>
      <xdr:spPr>
        <a:xfrm>
          <a:off x="121584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266" name="Isosceles Triangle 265">
          <a:extLst>
            <a:ext uri="{FF2B5EF4-FFF2-40B4-BE49-F238E27FC236}">
              <a16:creationId xmlns:a16="http://schemas.microsoft.com/office/drawing/2014/main" id="{8B819857-E042-4B17-988E-41F262393E15}"/>
            </a:ext>
          </a:extLst>
        </xdr:cNvPr>
        <xdr:cNvSpPr/>
      </xdr:nvSpPr>
      <xdr:spPr>
        <a:xfrm>
          <a:off x="134157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267" name="Isosceles Triangle 266">
          <a:extLst>
            <a:ext uri="{FF2B5EF4-FFF2-40B4-BE49-F238E27FC236}">
              <a16:creationId xmlns:a16="http://schemas.microsoft.com/office/drawing/2014/main" id="{6242DA95-18D5-4C00-9C81-5F4896E9234D}"/>
            </a:ext>
          </a:extLst>
        </xdr:cNvPr>
        <xdr:cNvSpPr/>
      </xdr:nvSpPr>
      <xdr:spPr>
        <a:xfrm>
          <a:off x="1890522" y="292119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268" name="Isosceles Triangle 267">
          <a:extLst>
            <a:ext uri="{FF2B5EF4-FFF2-40B4-BE49-F238E27FC236}">
              <a16:creationId xmlns:a16="http://schemas.microsoft.com/office/drawing/2014/main" id="{ADBC2FFC-40C2-44B5-9E45-D64F88037DD4}"/>
            </a:ext>
          </a:extLst>
        </xdr:cNvPr>
        <xdr:cNvSpPr/>
      </xdr:nvSpPr>
      <xdr:spPr>
        <a:xfrm>
          <a:off x="63322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269" name="Isosceles Triangle 268">
          <a:extLst>
            <a:ext uri="{FF2B5EF4-FFF2-40B4-BE49-F238E27FC236}">
              <a16:creationId xmlns:a16="http://schemas.microsoft.com/office/drawing/2014/main" id="{D117FD25-C4E5-4A02-AB70-D2468C3D6F7A}"/>
            </a:ext>
          </a:extLst>
        </xdr:cNvPr>
        <xdr:cNvSpPr/>
      </xdr:nvSpPr>
      <xdr:spPr>
        <a:xfrm>
          <a:off x="33573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270" name="Isosceles Triangle 269">
          <a:extLst>
            <a:ext uri="{FF2B5EF4-FFF2-40B4-BE49-F238E27FC236}">
              <a16:creationId xmlns:a16="http://schemas.microsoft.com/office/drawing/2014/main" id="{78A024EF-C642-43C3-8AF7-C42EC8320C49}"/>
            </a:ext>
          </a:extLst>
        </xdr:cNvPr>
        <xdr:cNvSpPr/>
      </xdr:nvSpPr>
      <xdr:spPr>
        <a:xfrm>
          <a:off x="46146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271" name="Isosceles Triangle 270">
          <a:extLst>
            <a:ext uri="{FF2B5EF4-FFF2-40B4-BE49-F238E27FC236}">
              <a16:creationId xmlns:a16="http://schemas.microsoft.com/office/drawing/2014/main" id="{A5DC233D-CFFF-40E3-BFF9-44AB6BF13307}"/>
            </a:ext>
          </a:extLst>
        </xdr:cNvPr>
        <xdr:cNvSpPr/>
      </xdr:nvSpPr>
      <xdr:spPr>
        <a:xfrm>
          <a:off x="58719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272" name="Isosceles Triangle 271">
          <a:extLst>
            <a:ext uri="{FF2B5EF4-FFF2-40B4-BE49-F238E27FC236}">
              <a16:creationId xmlns:a16="http://schemas.microsoft.com/office/drawing/2014/main" id="{5F08F2A0-3D0E-45B0-81CF-8A3958C7B97E}"/>
            </a:ext>
          </a:extLst>
        </xdr:cNvPr>
        <xdr:cNvSpPr/>
      </xdr:nvSpPr>
      <xdr:spPr>
        <a:xfrm>
          <a:off x="71292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273" name="Isosceles Triangle 272">
          <a:extLst>
            <a:ext uri="{FF2B5EF4-FFF2-40B4-BE49-F238E27FC236}">
              <a16:creationId xmlns:a16="http://schemas.microsoft.com/office/drawing/2014/main" id="{7D292C9F-C950-4291-91B9-FBD4D710B8D3}"/>
            </a:ext>
          </a:extLst>
        </xdr:cNvPr>
        <xdr:cNvSpPr/>
      </xdr:nvSpPr>
      <xdr:spPr>
        <a:xfrm>
          <a:off x="83865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274" name="Isosceles Triangle 273">
          <a:extLst>
            <a:ext uri="{FF2B5EF4-FFF2-40B4-BE49-F238E27FC236}">
              <a16:creationId xmlns:a16="http://schemas.microsoft.com/office/drawing/2014/main" id="{AF675C0E-9E26-4831-A070-55F3E54D8DE5}"/>
            </a:ext>
          </a:extLst>
        </xdr:cNvPr>
        <xdr:cNvSpPr/>
      </xdr:nvSpPr>
      <xdr:spPr>
        <a:xfrm>
          <a:off x="96438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275" name="Isosceles Triangle 274">
          <a:extLst>
            <a:ext uri="{FF2B5EF4-FFF2-40B4-BE49-F238E27FC236}">
              <a16:creationId xmlns:a16="http://schemas.microsoft.com/office/drawing/2014/main" id="{6611A899-61C7-4C15-A03A-17E7F716F52C}"/>
            </a:ext>
          </a:extLst>
        </xdr:cNvPr>
        <xdr:cNvSpPr/>
      </xdr:nvSpPr>
      <xdr:spPr>
        <a:xfrm>
          <a:off x="109011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276" name="Isosceles Triangle 275">
          <a:extLst>
            <a:ext uri="{FF2B5EF4-FFF2-40B4-BE49-F238E27FC236}">
              <a16:creationId xmlns:a16="http://schemas.microsoft.com/office/drawing/2014/main" id="{55EE0324-A1E3-4C41-9646-FEF1B74FC07C}"/>
            </a:ext>
          </a:extLst>
        </xdr:cNvPr>
        <xdr:cNvSpPr/>
      </xdr:nvSpPr>
      <xdr:spPr>
        <a:xfrm>
          <a:off x="121584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158</xdr:row>
      <xdr:rowOff>60004</xdr:rowOff>
    </xdr:from>
    <xdr:to>
      <xdr:col>21</xdr:col>
      <xdr:colOff>580571</xdr:colOff>
      <xdr:row>159</xdr:row>
      <xdr:rowOff>174304</xdr:rowOff>
    </xdr:to>
    <xdr:sp macro="" textlink="">
      <xdr:nvSpPr>
        <xdr:cNvPr id="277" name="Isosceles Triangle 276">
          <a:extLst>
            <a:ext uri="{FF2B5EF4-FFF2-40B4-BE49-F238E27FC236}">
              <a16:creationId xmlns:a16="http://schemas.microsoft.com/office/drawing/2014/main" id="{78790A66-95A9-4026-B0BC-114CFE2720D9}"/>
            </a:ext>
          </a:extLst>
        </xdr:cNvPr>
        <xdr:cNvSpPr/>
      </xdr:nvSpPr>
      <xdr:spPr>
        <a:xfrm>
          <a:off x="13367694" y="29193804"/>
          <a:ext cx="624077"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278" name="Isosceles Triangle 277">
          <a:extLst>
            <a:ext uri="{FF2B5EF4-FFF2-40B4-BE49-F238E27FC236}">
              <a16:creationId xmlns:a16="http://schemas.microsoft.com/office/drawing/2014/main" id="{8A3BBBAF-3933-4C83-8DE9-7140AB676B7B}"/>
            </a:ext>
          </a:extLst>
        </xdr:cNvPr>
        <xdr:cNvSpPr/>
      </xdr:nvSpPr>
      <xdr:spPr>
        <a:xfrm>
          <a:off x="63322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279" name="Isosceles Triangle 278">
          <a:extLst>
            <a:ext uri="{FF2B5EF4-FFF2-40B4-BE49-F238E27FC236}">
              <a16:creationId xmlns:a16="http://schemas.microsoft.com/office/drawing/2014/main" id="{3DE39139-4BC5-4414-AE62-8FF31D03444D}"/>
            </a:ext>
          </a:extLst>
        </xdr:cNvPr>
        <xdr:cNvSpPr/>
      </xdr:nvSpPr>
      <xdr:spPr>
        <a:xfrm>
          <a:off x="1890522" y="306851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280" name="Isosceles Triangle 279">
          <a:extLst>
            <a:ext uri="{FF2B5EF4-FFF2-40B4-BE49-F238E27FC236}">
              <a16:creationId xmlns:a16="http://schemas.microsoft.com/office/drawing/2014/main" id="{41E3F102-0DE0-4480-AA97-E0B7A54AE3FB}"/>
            </a:ext>
          </a:extLst>
        </xdr:cNvPr>
        <xdr:cNvSpPr/>
      </xdr:nvSpPr>
      <xdr:spPr>
        <a:xfrm>
          <a:off x="33573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168</xdr:row>
      <xdr:rowOff>1947</xdr:rowOff>
    </xdr:to>
    <xdr:sp macro="" textlink="">
      <xdr:nvSpPr>
        <xdr:cNvPr id="281" name="Isosceles Triangle 280">
          <a:extLst>
            <a:ext uri="{FF2B5EF4-FFF2-40B4-BE49-F238E27FC236}">
              <a16:creationId xmlns:a16="http://schemas.microsoft.com/office/drawing/2014/main" id="{E1ACADF6-6563-4CDD-8B93-BBCE4D1793FD}"/>
            </a:ext>
          </a:extLst>
        </xdr:cNvPr>
        <xdr:cNvSpPr/>
      </xdr:nvSpPr>
      <xdr:spPr>
        <a:xfrm>
          <a:off x="46146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282" name="Isosceles Triangle 281">
          <a:extLst>
            <a:ext uri="{FF2B5EF4-FFF2-40B4-BE49-F238E27FC236}">
              <a16:creationId xmlns:a16="http://schemas.microsoft.com/office/drawing/2014/main" id="{1F617D11-300B-43F5-AADC-0ED098D617E3}"/>
            </a:ext>
          </a:extLst>
        </xdr:cNvPr>
        <xdr:cNvSpPr/>
      </xdr:nvSpPr>
      <xdr:spPr>
        <a:xfrm>
          <a:off x="58719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283" name="Isosceles Triangle 282">
          <a:extLst>
            <a:ext uri="{FF2B5EF4-FFF2-40B4-BE49-F238E27FC236}">
              <a16:creationId xmlns:a16="http://schemas.microsoft.com/office/drawing/2014/main" id="{92E7B47B-DB02-4755-AEE0-8E7FB99C0275}"/>
            </a:ext>
          </a:extLst>
        </xdr:cNvPr>
        <xdr:cNvSpPr/>
      </xdr:nvSpPr>
      <xdr:spPr>
        <a:xfrm>
          <a:off x="71292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284" name="Isosceles Triangle 283">
          <a:extLst>
            <a:ext uri="{FF2B5EF4-FFF2-40B4-BE49-F238E27FC236}">
              <a16:creationId xmlns:a16="http://schemas.microsoft.com/office/drawing/2014/main" id="{7D53002B-EED7-4418-8C4E-A8A89AB732AF}"/>
            </a:ext>
          </a:extLst>
        </xdr:cNvPr>
        <xdr:cNvSpPr/>
      </xdr:nvSpPr>
      <xdr:spPr>
        <a:xfrm>
          <a:off x="83865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285" name="Isosceles Triangle 284">
          <a:extLst>
            <a:ext uri="{FF2B5EF4-FFF2-40B4-BE49-F238E27FC236}">
              <a16:creationId xmlns:a16="http://schemas.microsoft.com/office/drawing/2014/main" id="{B20272EF-69D8-4E38-A179-82DB2FE0D35C}"/>
            </a:ext>
          </a:extLst>
        </xdr:cNvPr>
        <xdr:cNvSpPr/>
      </xdr:nvSpPr>
      <xdr:spPr>
        <a:xfrm>
          <a:off x="96438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286" name="Isosceles Triangle 285">
          <a:extLst>
            <a:ext uri="{FF2B5EF4-FFF2-40B4-BE49-F238E27FC236}">
              <a16:creationId xmlns:a16="http://schemas.microsoft.com/office/drawing/2014/main" id="{CF60179F-02C9-4692-9A01-16F2207C55D4}"/>
            </a:ext>
          </a:extLst>
        </xdr:cNvPr>
        <xdr:cNvSpPr/>
      </xdr:nvSpPr>
      <xdr:spPr>
        <a:xfrm>
          <a:off x="109011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287" name="Isosceles Triangle 286">
          <a:extLst>
            <a:ext uri="{FF2B5EF4-FFF2-40B4-BE49-F238E27FC236}">
              <a16:creationId xmlns:a16="http://schemas.microsoft.com/office/drawing/2014/main" id="{53A7600A-545C-4EA7-ACBB-F4B235FED967}"/>
            </a:ext>
          </a:extLst>
        </xdr:cNvPr>
        <xdr:cNvSpPr/>
      </xdr:nvSpPr>
      <xdr:spPr>
        <a:xfrm>
          <a:off x="121584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166</xdr:row>
      <xdr:rowOff>78147</xdr:rowOff>
    </xdr:from>
    <xdr:to>
      <xdr:col>22</xdr:col>
      <xdr:colOff>0</xdr:colOff>
      <xdr:row>167</xdr:row>
      <xdr:rowOff>192447</xdr:rowOff>
    </xdr:to>
    <xdr:sp macro="" textlink="">
      <xdr:nvSpPr>
        <xdr:cNvPr id="288" name="Isosceles Triangle 287">
          <a:extLst>
            <a:ext uri="{FF2B5EF4-FFF2-40B4-BE49-F238E27FC236}">
              <a16:creationId xmlns:a16="http://schemas.microsoft.com/office/drawing/2014/main" id="{1BC58809-4F4B-4EFA-A195-FCAAFEE938B5}"/>
            </a:ext>
          </a:extLst>
        </xdr:cNvPr>
        <xdr:cNvSpPr/>
      </xdr:nvSpPr>
      <xdr:spPr>
        <a:xfrm>
          <a:off x="134157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173</xdr:row>
      <xdr:rowOff>78147</xdr:rowOff>
    </xdr:from>
    <xdr:to>
      <xdr:col>2</xdr:col>
      <xdr:colOff>0</xdr:colOff>
      <xdr:row>174</xdr:row>
      <xdr:rowOff>192447</xdr:rowOff>
    </xdr:to>
    <xdr:sp macro="" textlink="">
      <xdr:nvSpPr>
        <xdr:cNvPr id="289" name="Isosceles Triangle 288">
          <a:extLst>
            <a:ext uri="{FF2B5EF4-FFF2-40B4-BE49-F238E27FC236}">
              <a16:creationId xmlns:a16="http://schemas.microsoft.com/office/drawing/2014/main" id="{284AEF02-2B3A-40E1-A220-10C9B3CAED98}"/>
            </a:ext>
          </a:extLst>
        </xdr:cNvPr>
        <xdr:cNvSpPr/>
      </xdr:nvSpPr>
      <xdr:spPr>
        <a:xfrm>
          <a:off x="63322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173</xdr:row>
      <xdr:rowOff>78147</xdr:rowOff>
    </xdr:from>
    <xdr:to>
      <xdr:col>4</xdr:col>
      <xdr:colOff>0</xdr:colOff>
      <xdr:row>174</xdr:row>
      <xdr:rowOff>192447</xdr:rowOff>
    </xdr:to>
    <xdr:sp macro="" textlink="">
      <xdr:nvSpPr>
        <xdr:cNvPr id="290" name="Isosceles Triangle 289">
          <a:extLst>
            <a:ext uri="{FF2B5EF4-FFF2-40B4-BE49-F238E27FC236}">
              <a16:creationId xmlns:a16="http://schemas.microsoft.com/office/drawing/2014/main" id="{C9960961-96E4-4FB6-9670-07C3D1E9E7C6}"/>
            </a:ext>
          </a:extLst>
        </xdr:cNvPr>
        <xdr:cNvSpPr/>
      </xdr:nvSpPr>
      <xdr:spPr>
        <a:xfrm>
          <a:off x="1890522" y="319741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173</xdr:row>
      <xdr:rowOff>78147</xdr:rowOff>
    </xdr:from>
    <xdr:to>
      <xdr:col>6</xdr:col>
      <xdr:colOff>0</xdr:colOff>
      <xdr:row>174</xdr:row>
      <xdr:rowOff>192447</xdr:rowOff>
    </xdr:to>
    <xdr:sp macro="" textlink="">
      <xdr:nvSpPr>
        <xdr:cNvPr id="291" name="Isosceles Triangle 290">
          <a:extLst>
            <a:ext uri="{FF2B5EF4-FFF2-40B4-BE49-F238E27FC236}">
              <a16:creationId xmlns:a16="http://schemas.microsoft.com/office/drawing/2014/main" id="{73D5BA1E-17F9-4AF6-98CB-13480683F68E}"/>
            </a:ext>
          </a:extLst>
        </xdr:cNvPr>
        <xdr:cNvSpPr/>
      </xdr:nvSpPr>
      <xdr:spPr>
        <a:xfrm>
          <a:off x="33573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173</xdr:row>
      <xdr:rowOff>78147</xdr:rowOff>
    </xdr:from>
    <xdr:to>
      <xdr:col>8</xdr:col>
      <xdr:colOff>0</xdr:colOff>
      <xdr:row>174</xdr:row>
      <xdr:rowOff>192447</xdr:rowOff>
    </xdr:to>
    <xdr:sp macro="" textlink="">
      <xdr:nvSpPr>
        <xdr:cNvPr id="292" name="Isosceles Triangle 291">
          <a:extLst>
            <a:ext uri="{FF2B5EF4-FFF2-40B4-BE49-F238E27FC236}">
              <a16:creationId xmlns:a16="http://schemas.microsoft.com/office/drawing/2014/main" id="{B353F3E9-4F9C-4239-A1A2-218D691AF693}"/>
            </a:ext>
          </a:extLst>
        </xdr:cNvPr>
        <xdr:cNvSpPr/>
      </xdr:nvSpPr>
      <xdr:spPr>
        <a:xfrm>
          <a:off x="46146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173</xdr:row>
      <xdr:rowOff>78147</xdr:rowOff>
    </xdr:from>
    <xdr:to>
      <xdr:col>10</xdr:col>
      <xdr:colOff>0</xdr:colOff>
      <xdr:row>174</xdr:row>
      <xdr:rowOff>192447</xdr:rowOff>
    </xdr:to>
    <xdr:sp macro="" textlink="">
      <xdr:nvSpPr>
        <xdr:cNvPr id="293" name="Isosceles Triangle 292">
          <a:extLst>
            <a:ext uri="{FF2B5EF4-FFF2-40B4-BE49-F238E27FC236}">
              <a16:creationId xmlns:a16="http://schemas.microsoft.com/office/drawing/2014/main" id="{0FE8DF60-2A25-4364-AB2F-D4D0F03F8B84}"/>
            </a:ext>
          </a:extLst>
        </xdr:cNvPr>
        <xdr:cNvSpPr/>
      </xdr:nvSpPr>
      <xdr:spPr>
        <a:xfrm>
          <a:off x="58719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173</xdr:row>
      <xdr:rowOff>78147</xdr:rowOff>
    </xdr:from>
    <xdr:to>
      <xdr:col>12</xdr:col>
      <xdr:colOff>0</xdr:colOff>
      <xdr:row>174</xdr:row>
      <xdr:rowOff>192447</xdr:rowOff>
    </xdr:to>
    <xdr:sp macro="" textlink="">
      <xdr:nvSpPr>
        <xdr:cNvPr id="294" name="Isosceles Triangle 293">
          <a:extLst>
            <a:ext uri="{FF2B5EF4-FFF2-40B4-BE49-F238E27FC236}">
              <a16:creationId xmlns:a16="http://schemas.microsoft.com/office/drawing/2014/main" id="{48D4B5FA-6BF5-4B89-83B6-B0A87B023505}"/>
            </a:ext>
          </a:extLst>
        </xdr:cNvPr>
        <xdr:cNvSpPr/>
      </xdr:nvSpPr>
      <xdr:spPr>
        <a:xfrm>
          <a:off x="71292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173</xdr:row>
      <xdr:rowOff>78147</xdr:rowOff>
    </xdr:from>
    <xdr:to>
      <xdr:col>14</xdr:col>
      <xdr:colOff>0</xdr:colOff>
      <xdr:row>174</xdr:row>
      <xdr:rowOff>192447</xdr:rowOff>
    </xdr:to>
    <xdr:sp macro="" textlink="">
      <xdr:nvSpPr>
        <xdr:cNvPr id="295" name="Isosceles Triangle 294">
          <a:extLst>
            <a:ext uri="{FF2B5EF4-FFF2-40B4-BE49-F238E27FC236}">
              <a16:creationId xmlns:a16="http://schemas.microsoft.com/office/drawing/2014/main" id="{1CD9E35E-CB1B-4C5D-9F4D-B6F907D8DB6C}"/>
            </a:ext>
          </a:extLst>
        </xdr:cNvPr>
        <xdr:cNvSpPr/>
      </xdr:nvSpPr>
      <xdr:spPr>
        <a:xfrm>
          <a:off x="83865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173</xdr:row>
      <xdr:rowOff>78147</xdr:rowOff>
    </xdr:from>
    <xdr:to>
      <xdr:col>16</xdr:col>
      <xdr:colOff>0</xdr:colOff>
      <xdr:row>174</xdr:row>
      <xdr:rowOff>192447</xdr:rowOff>
    </xdr:to>
    <xdr:sp macro="" textlink="">
      <xdr:nvSpPr>
        <xdr:cNvPr id="296" name="Isosceles Triangle 295">
          <a:extLst>
            <a:ext uri="{FF2B5EF4-FFF2-40B4-BE49-F238E27FC236}">
              <a16:creationId xmlns:a16="http://schemas.microsoft.com/office/drawing/2014/main" id="{47144911-CE9F-4DBE-A7F5-916734BBB843}"/>
            </a:ext>
          </a:extLst>
        </xdr:cNvPr>
        <xdr:cNvSpPr/>
      </xdr:nvSpPr>
      <xdr:spPr>
        <a:xfrm>
          <a:off x="96438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173</xdr:row>
      <xdr:rowOff>78147</xdr:rowOff>
    </xdr:from>
    <xdr:to>
      <xdr:col>18</xdr:col>
      <xdr:colOff>0</xdr:colOff>
      <xdr:row>174</xdr:row>
      <xdr:rowOff>192447</xdr:rowOff>
    </xdr:to>
    <xdr:sp macro="" textlink="">
      <xdr:nvSpPr>
        <xdr:cNvPr id="297" name="Isosceles Triangle 296">
          <a:extLst>
            <a:ext uri="{FF2B5EF4-FFF2-40B4-BE49-F238E27FC236}">
              <a16:creationId xmlns:a16="http://schemas.microsoft.com/office/drawing/2014/main" id="{EF996CF8-0059-4A55-AD5A-BAD13130C7F1}"/>
            </a:ext>
          </a:extLst>
        </xdr:cNvPr>
        <xdr:cNvSpPr/>
      </xdr:nvSpPr>
      <xdr:spPr>
        <a:xfrm>
          <a:off x="109011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173</xdr:row>
      <xdr:rowOff>78147</xdr:rowOff>
    </xdr:from>
    <xdr:to>
      <xdr:col>20</xdr:col>
      <xdr:colOff>0</xdr:colOff>
      <xdr:row>174</xdr:row>
      <xdr:rowOff>192447</xdr:rowOff>
    </xdr:to>
    <xdr:sp macro="" textlink="">
      <xdr:nvSpPr>
        <xdr:cNvPr id="298" name="Isosceles Triangle 297">
          <a:extLst>
            <a:ext uri="{FF2B5EF4-FFF2-40B4-BE49-F238E27FC236}">
              <a16:creationId xmlns:a16="http://schemas.microsoft.com/office/drawing/2014/main" id="{F1C9625E-1F55-4C7A-B420-B65C9441B21C}"/>
            </a:ext>
          </a:extLst>
        </xdr:cNvPr>
        <xdr:cNvSpPr/>
      </xdr:nvSpPr>
      <xdr:spPr>
        <a:xfrm>
          <a:off x="121584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173</xdr:row>
      <xdr:rowOff>78147</xdr:rowOff>
    </xdr:from>
    <xdr:to>
      <xdr:col>22</xdr:col>
      <xdr:colOff>0</xdr:colOff>
      <xdr:row>174</xdr:row>
      <xdr:rowOff>192447</xdr:rowOff>
    </xdr:to>
    <xdr:sp macro="" textlink="">
      <xdr:nvSpPr>
        <xdr:cNvPr id="299" name="Isosceles Triangle 298">
          <a:extLst>
            <a:ext uri="{FF2B5EF4-FFF2-40B4-BE49-F238E27FC236}">
              <a16:creationId xmlns:a16="http://schemas.microsoft.com/office/drawing/2014/main" id="{96BA09C1-65DB-48F3-9A99-AD5C8DFCA03B}"/>
            </a:ext>
          </a:extLst>
        </xdr:cNvPr>
        <xdr:cNvSpPr/>
      </xdr:nvSpPr>
      <xdr:spPr>
        <a:xfrm>
          <a:off x="134157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180</xdr:row>
      <xdr:rowOff>78147</xdr:rowOff>
    </xdr:from>
    <xdr:to>
      <xdr:col>2</xdr:col>
      <xdr:colOff>0</xdr:colOff>
      <xdr:row>181</xdr:row>
      <xdr:rowOff>192447</xdr:rowOff>
    </xdr:to>
    <xdr:sp macro="" textlink="">
      <xdr:nvSpPr>
        <xdr:cNvPr id="300" name="Isosceles Triangle 299">
          <a:extLst>
            <a:ext uri="{FF2B5EF4-FFF2-40B4-BE49-F238E27FC236}">
              <a16:creationId xmlns:a16="http://schemas.microsoft.com/office/drawing/2014/main" id="{5B24DBE5-3997-4576-91B4-B3C65C5C3103}"/>
            </a:ext>
          </a:extLst>
        </xdr:cNvPr>
        <xdr:cNvSpPr/>
      </xdr:nvSpPr>
      <xdr:spPr>
        <a:xfrm>
          <a:off x="63322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180</xdr:row>
      <xdr:rowOff>78147</xdr:rowOff>
    </xdr:from>
    <xdr:to>
      <xdr:col>4</xdr:col>
      <xdr:colOff>0</xdr:colOff>
      <xdr:row>181</xdr:row>
      <xdr:rowOff>192447</xdr:rowOff>
    </xdr:to>
    <xdr:sp macro="" textlink="">
      <xdr:nvSpPr>
        <xdr:cNvPr id="301" name="Isosceles Triangle 300">
          <a:extLst>
            <a:ext uri="{FF2B5EF4-FFF2-40B4-BE49-F238E27FC236}">
              <a16:creationId xmlns:a16="http://schemas.microsoft.com/office/drawing/2014/main" id="{7820328B-A90F-4DC5-AC7F-CAB873DCDA2B}"/>
            </a:ext>
          </a:extLst>
        </xdr:cNvPr>
        <xdr:cNvSpPr/>
      </xdr:nvSpPr>
      <xdr:spPr>
        <a:xfrm>
          <a:off x="1890522" y="332632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180</xdr:row>
      <xdr:rowOff>78147</xdr:rowOff>
    </xdr:from>
    <xdr:to>
      <xdr:col>6</xdr:col>
      <xdr:colOff>0</xdr:colOff>
      <xdr:row>181</xdr:row>
      <xdr:rowOff>192447</xdr:rowOff>
    </xdr:to>
    <xdr:sp macro="" textlink="">
      <xdr:nvSpPr>
        <xdr:cNvPr id="302" name="Isosceles Triangle 301">
          <a:extLst>
            <a:ext uri="{FF2B5EF4-FFF2-40B4-BE49-F238E27FC236}">
              <a16:creationId xmlns:a16="http://schemas.microsoft.com/office/drawing/2014/main" id="{D267710B-7FA9-4A6B-BAF3-7A7D535FF08C}"/>
            </a:ext>
          </a:extLst>
        </xdr:cNvPr>
        <xdr:cNvSpPr/>
      </xdr:nvSpPr>
      <xdr:spPr>
        <a:xfrm>
          <a:off x="33573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180</xdr:row>
      <xdr:rowOff>78147</xdr:rowOff>
    </xdr:from>
    <xdr:to>
      <xdr:col>8</xdr:col>
      <xdr:colOff>0</xdr:colOff>
      <xdr:row>181</xdr:row>
      <xdr:rowOff>192447</xdr:rowOff>
    </xdr:to>
    <xdr:sp macro="" textlink="">
      <xdr:nvSpPr>
        <xdr:cNvPr id="303" name="Isosceles Triangle 302">
          <a:extLst>
            <a:ext uri="{FF2B5EF4-FFF2-40B4-BE49-F238E27FC236}">
              <a16:creationId xmlns:a16="http://schemas.microsoft.com/office/drawing/2014/main" id="{9AF5837E-196C-4B9C-BCB3-DFED79E8EFCD}"/>
            </a:ext>
          </a:extLst>
        </xdr:cNvPr>
        <xdr:cNvSpPr/>
      </xdr:nvSpPr>
      <xdr:spPr>
        <a:xfrm>
          <a:off x="46146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180</xdr:row>
      <xdr:rowOff>78147</xdr:rowOff>
    </xdr:from>
    <xdr:to>
      <xdr:col>10</xdr:col>
      <xdr:colOff>0</xdr:colOff>
      <xdr:row>181</xdr:row>
      <xdr:rowOff>192447</xdr:rowOff>
    </xdr:to>
    <xdr:sp macro="" textlink="">
      <xdr:nvSpPr>
        <xdr:cNvPr id="304" name="Isosceles Triangle 303">
          <a:extLst>
            <a:ext uri="{FF2B5EF4-FFF2-40B4-BE49-F238E27FC236}">
              <a16:creationId xmlns:a16="http://schemas.microsoft.com/office/drawing/2014/main" id="{313E6D8D-66E7-4401-B9CC-9CCA97ED86D2}"/>
            </a:ext>
          </a:extLst>
        </xdr:cNvPr>
        <xdr:cNvSpPr/>
      </xdr:nvSpPr>
      <xdr:spPr>
        <a:xfrm>
          <a:off x="58719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180</xdr:row>
      <xdr:rowOff>78147</xdr:rowOff>
    </xdr:from>
    <xdr:to>
      <xdr:col>12</xdr:col>
      <xdr:colOff>0</xdr:colOff>
      <xdr:row>181</xdr:row>
      <xdr:rowOff>192447</xdr:rowOff>
    </xdr:to>
    <xdr:sp macro="" textlink="">
      <xdr:nvSpPr>
        <xdr:cNvPr id="305" name="Isosceles Triangle 304">
          <a:extLst>
            <a:ext uri="{FF2B5EF4-FFF2-40B4-BE49-F238E27FC236}">
              <a16:creationId xmlns:a16="http://schemas.microsoft.com/office/drawing/2014/main" id="{CE4EA4F4-45FE-4DF1-9A41-4295C20449E8}"/>
            </a:ext>
          </a:extLst>
        </xdr:cNvPr>
        <xdr:cNvSpPr/>
      </xdr:nvSpPr>
      <xdr:spPr>
        <a:xfrm>
          <a:off x="71292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180</xdr:row>
      <xdr:rowOff>78147</xdr:rowOff>
    </xdr:from>
    <xdr:to>
      <xdr:col>14</xdr:col>
      <xdr:colOff>0</xdr:colOff>
      <xdr:row>181</xdr:row>
      <xdr:rowOff>192447</xdr:rowOff>
    </xdr:to>
    <xdr:sp macro="" textlink="">
      <xdr:nvSpPr>
        <xdr:cNvPr id="306" name="Isosceles Triangle 305">
          <a:extLst>
            <a:ext uri="{FF2B5EF4-FFF2-40B4-BE49-F238E27FC236}">
              <a16:creationId xmlns:a16="http://schemas.microsoft.com/office/drawing/2014/main" id="{640EA19E-A469-48F1-AA43-5825B4448BB1}"/>
            </a:ext>
          </a:extLst>
        </xdr:cNvPr>
        <xdr:cNvSpPr/>
      </xdr:nvSpPr>
      <xdr:spPr>
        <a:xfrm>
          <a:off x="83865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180</xdr:row>
      <xdr:rowOff>78147</xdr:rowOff>
    </xdr:from>
    <xdr:to>
      <xdr:col>16</xdr:col>
      <xdr:colOff>0</xdr:colOff>
      <xdr:row>181</xdr:row>
      <xdr:rowOff>192447</xdr:rowOff>
    </xdr:to>
    <xdr:sp macro="" textlink="">
      <xdr:nvSpPr>
        <xdr:cNvPr id="307" name="Isosceles Triangle 306">
          <a:extLst>
            <a:ext uri="{FF2B5EF4-FFF2-40B4-BE49-F238E27FC236}">
              <a16:creationId xmlns:a16="http://schemas.microsoft.com/office/drawing/2014/main" id="{E42665CE-EBFE-4C1D-917C-6CEAD34B8E79}"/>
            </a:ext>
          </a:extLst>
        </xdr:cNvPr>
        <xdr:cNvSpPr/>
      </xdr:nvSpPr>
      <xdr:spPr>
        <a:xfrm>
          <a:off x="96438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180</xdr:row>
      <xdr:rowOff>78147</xdr:rowOff>
    </xdr:from>
    <xdr:to>
      <xdr:col>18</xdr:col>
      <xdr:colOff>0</xdr:colOff>
      <xdr:row>181</xdr:row>
      <xdr:rowOff>192447</xdr:rowOff>
    </xdr:to>
    <xdr:sp macro="" textlink="">
      <xdr:nvSpPr>
        <xdr:cNvPr id="308" name="Isosceles Triangle 307">
          <a:extLst>
            <a:ext uri="{FF2B5EF4-FFF2-40B4-BE49-F238E27FC236}">
              <a16:creationId xmlns:a16="http://schemas.microsoft.com/office/drawing/2014/main" id="{D06B8F3E-2577-4BF1-8575-B5A3080AE4B2}"/>
            </a:ext>
          </a:extLst>
        </xdr:cNvPr>
        <xdr:cNvSpPr/>
      </xdr:nvSpPr>
      <xdr:spPr>
        <a:xfrm>
          <a:off x="109011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180</xdr:row>
      <xdr:rowOff>78147</xdr:rowOff>
    </xdr:from>
    <xdr:to>
      <xdr:col>20</xdr:col>
      <xdr:colOff>0</xdr:colOff>
      <xdr:row>181</xdr:row>
      <xdr:rowOff>192447</xdr:rowOff>
    </xdr:to>
    <xdr:sp macro="" textlink="">
      <xdr:nvSpPr>
        <xdr:cNvPr id="309" name="Isosceles Triangle 308">
          <a:extLst>
            <a:ext uri="{FF2B5EF4-FFF2-40B4-BE49-F238E27FC236}">
              <a16:creationId xmlns:a16="http://schemas.microsoft.com/office/drawing/2014/main" id="{1DFFBDDE-A659-42EA-AE99-9C3D7D7C9546}"/>
            </a:ext>
          </a:extLst>
        </xdr:cNvPr>
        <xdr:cNvSpPr/>
      </xdr:nvSpPr>
      <xdr:spPr>
        <a:xfrm>
          <a:off x="121584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180</xdr:row>
      <xdr:rowOff>78147</xdr:rowOff>
    </xdr:from>
    <xdr:to>
      <xdr:col>22</xdr:col>
      <xdr:colOff>0</xdr:colOff>
      <xdr:row>181</xdr:row>
      <xdr:rowOff>192447</xdr:rowOff>
    </xdr:to>
    <xdr:sp macro="" textlink="">
      <xdr:nvSpPr>
        <xdr:cNvPr id="310" name="Isosceles Triangle 309">
          <a:extLst>
            <a:ext uri="{FF2B5EF4-FFF2-40B4-BE49-F238E27FC236}">
              <a16:creationId xmlns:a16="http://schemas.microsoft.com/office/drawing/2014/main" id="{32CDA66B-C117-4DEB-9BE7-4894B2CE5EED}"/>
            </a:ext>
          </a:extLst>
        </xdr:cNvPr>
        <xdr:cNvSpPr/>
      </xdr:nvSpPr>
      <xdr:spPr>
        <a:xfrm>
          <a:off x="134157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187</xdr:row>
      <xdr:rowOff>78147</xdr:rowOff>
    </xdr:from>
    <xdr:to>
      <xdr:col>2</xdr:col>
      <xdr:colOff>0</xdr:colOff>
      <xdr:row>188</xdr:row>
      <xdr:rowOff>192447</xdr:rowOff>
    </xdr:to>
    <xdr:sp macro="" textlink="">
      <xdr:nvSpPr>
        <xdr:cNvPr id="311" name="Isosceles Triangle 310">
          <a:extLst>
            <a:ext uri="{FF2B5EF4-FFF2-40B4-BE49-F238E27FC236}">
              <a16:creationId xmlns:a16="http://schemas.microsoft.com/office/drawing/2014/main" id="{5090286A-4533-44A8-A073-4DDC6B6B328A}"/>
            </a:ext>
          </a:extLst>
        </xdr:cNvPr>
        <xdr:cNvSpPr/>
      </xdr:nvSpPr>
      <xdr:spPr>
        <a:xfrm>
          <a:off x="63322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187</xdr:row>
      <xdr:rowOff>78147</xdr:rowOff>
    </xdr:from>
    <xdr:to>
      <xdr:col>4</xdr:col>
      <xdr:colOff>0</xdr:colOff>
      <xdr:row>188</xdr:row>
      <xdr:rowOff>192447</xdr:rowOff>
    </xdr:to>
    <xdr:sp macro="" textlink="">
      <xdr:nvSpPr>
        <xdr:cNvPr id="312" name="Isosceles Triangle 311">
          <a:extLst>
            <a:ext uri="{FF2B5EF4-FFF2-40B4-BE49-F238E27FC236}">
              <a16:creationId xmlns:a16="http://schemas.microsoft.com/office/drawing/2014/main" id="{5F09029C-3647-4A93-9BBF-804421A64BE7}"/>
            </a:ext>
          </a:extLst>
        </xdr:cNvPr>
        <xdr:cNvSpPr/>
      </xdr:nvSpPr>
      <xdr:spPr>
        <a:xfrm>
          <a:off x="1890522" y="345713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187</xdr:row>
      <xdr:rowOff>78147</xdr:rowOff>
    </xdr:from>
    <xdr:to>
      <xdr:col>6</xdr:col>
      <xdr:colOff>0</xdr:colOff>
      <xdr:row>188</xdr:row>
      <xdr:rowOff>192447</xdr:rowOff>
    </xdr:to>
    <xdr:sp macro="" textlink="">
      <xdr:nvSpPr>
        <xdr:cNvPr id="313" name="Isosceles Triangle 312">
          <a:extLst>
            <a:ext uri="{FF2B5EF4-FFF2-40B4-BE49-F238E27FC236}">
              <a16:creationId xmlns:a16="http://schemas.microsoft.com/office/drawing/2014/main" id="{EC981577-6D8E-4F83-933A-3B408A1AF90E}"/>
            </a:ext>
          </a:extLst>
        </xdr:cNvPr>
        <xdr:cNvSpPr/>
      </xdr:nvSpPr>
      <xdr:spPr>
        <a:xfrm>
          <a:off x="33573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187</xdr:row>
      <xdr:rowOff>78147</xdr:rowOff>
    </xdr:from>
    <xdr:to>
      <xdr:col>8</xdr:col>
      <xdr:colOff>0</xdr:colOff>
      <xdr:row>188</xdr:row>
      <xdr:rowOff>192447</xdr:rowOff>
    </xdr:to>
    <xdr:sp macro="" textlink="">
      <xdr:nvSpPr>
        <xdr:cNvPr id="314" name="Isosceles Triangle 313">
          <a:extLst>
            <a:ext uri="{FF2B5EF4-FFF2-40B4-BE49-F238E27FC236}">
              <a16:creationId xmlns:a16="http://schemas.microsoft.com/office/drawing/2014/main" id="{9244CDDF-08EC-4C5C-8638-E40655899A5E}"/>
            </a:ext>
          </a:extLst>
        </xdr:cNvPr>
        <xdr:cNvSpPr/>
      </xdr:nvSpPr>
      <xdr:spPr>
        <a:xfrm>
          <a:off x="46146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187</xdr:row>
      <xdr:rowOff>78147</xdr:rowOff>
    </xdr:from>
    <xdr:to>
      <xdr:col>10</xdr:col>
      <xdr:colOff>0</xdr:colOff>
      <xdr:row>188</xdr:row>
      <xdr:rowOff>192447</xdr:rowOff>
    </xdr:to>
    <xdr:sp macro="" textlink="">
      <xdr:nvSpPr>
        <xdr:cNvPr id="315" name="Isosceles Triangle 314">
          <a:extLst>
            <a:ext uri="{FF2B5EF4-FFF2-40B4-BE49-F238E27FC236}">
              <a16:creationId xmlns:a16="http://schemas.microsoft.com/office/drawing/2014/main" id="{C5648266-AF99-433D-95DD-8404A60C63C8}"/>
            </a:ext>
          </a:extLst>
        </xdr:cNvPr>
        <xdr:cNvSpPr/>
      </xdr:nvSpPr>
      <xdr:spPr>
        <a:xfrm>
          <a:off x="58719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187</xdr:row>
      <xdr:rowOff>78147</xdr:rowOff>
    </xdr:from>
    <xdr:to>
      <xdr:col>12</xdr:col>
      <xdr:colOff>0</xdr:colOff>
      <xdr:row>188</xdr:row>
      <xdr:rowOff>192447</xdr:rowOff>
    </xdr:to>
    <xdr:sp macro="" textlink="">
      <xdr:nvSpPr>
        <xdr:cNvPr id="316" name="Isosceles Triangle 315">
          <a:extLst>
            <a:ext uri="{FF2B5EF4-FFF2-40B4-BE49-F238E27FC236}">
              <a16:creationId xmlns:a16="http://schemas.microsoft.com/office/drawing/2014/main" id="{8DFE3363-7428-4341-82F3-949F29926F50}"/>
            </a:ext>
          </a:extLst>
        </xdr:cNvPr>
        <xdr:cNvSpPr/>
      </xdr:nvSpPr>
      <xdr:spPr>
        <a:xfrm>
          <a:off x="71292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187</xdr:row>
      <xdr:rowOff>78147</xdr:rowOff>
    </xdr:from>
    <xdr:to>
      <xdr:col>14</xdr:col>
      <xdr:colOff>0</xdr:colOff>
      <xdr:row>188</xdr:row>
      <xdr:rowOff>192447</xdr:rowOff>
    </xdr:to>
    <xdr:sp macro="" textlink="">
      <xdr:nvSpPr>
        <xdr:cNvPr id="317" name="Isosceles Triangle 316">
          <a:extLst>
            <a:ext uri="{FF2B5EF4-FFF2-40B4-BE49-F238E27FC236}">
              <a16:creationId xmlns:a16="http://schemas.microsoft.com/office/drawing/2014/main" id="{59658239-C7FC-4DBE-B3EA-DDF5088F45CD}"/>
            </a:ext>
          </a:extLst>
        </xdr:cNvPr>
        <xdr:cNvSpPr/>
      </xdr:nvSpPr>
      <xdr:spPr>
        <a:xfrm>
          <a:off x="83865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187</xdr:row>
      <xdr:rowOff>78147</xdr:rowOff>
    </xdr:from>
    <xdr:to>
      <xdr:col>16</xdr:col>
      <xdr:colOff>0</xdr:colOff>
      <xdr:row>188</xdr:row>
      <xdr:rowOff>192447</xdr:rowOff>
    </xdr:to>
    <xdr:sp macro="" textlink="">
      <xdr:nvSpPr>
        <xdr:cNvPr id="318" name="Isosceles Triangle 317">
          <a:extLst>
            <a:ext uri="{FF2B5EF4-FFF2-40B4-BE49-F238E27FC236}">
              <a16:creationId xmlns:a16="http://schemas.microsoft.com/office/drawing/2014/main" id="{82CA1AB6-1206-45EB-8C0F-3DA25D855E7E}"/>
            </a:ext>
          </a:extLst>
        </xdr:cNvPr>
        <xdr:cNvSpPr/>
      </xdr:nvSpPr>
      <xdr:spPr>
        <a:xfrm>
          <a:off x="96438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187</xdr:row>
      <xdr:rowOff>78147</xdr:rowOff>
    </xdr:from>
    <xdr:to>
      <xdr:col>18</xdr:col>
      <xdr:colOff>0</xdr:colOff>
      <xdr:row>188</xdr:row>
      <xdr:rowOff>192447</xdr:rowOff>
    </xdr:to>
    <xdr:sp macro="" textlink="">
      <xdr:nvSpPr>
        <xdr:cNvPr id="319" name="Isosceles Triangle 318">
          <a:extLst>
            <a:ext uri="{FF2B5EF4-FFF2-40B4-BE49-F238E27FC236}">
              <a16:creationId xmlns:a16="http://schemas.microsoft.com/office/drawing/2014/main" id="{7E7F0106-43CF-49E7-93F7-9BCA7851E83B}"/>
            </a:ext>
          </a:extLst>
        </xdr:cNvPr>
        <xdr:cNvSpPr/>
      </xdr:nvSpPr>
      <xdr:spPr>
        <a:xfrm>
          <a:off x="109011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187</xdr:row>
      <xdr:rowOff>78147</xdr:rowOff>
    </xdr:from>
    <xdr:to>
      <xdr:col>20</xdr:col>
      <xdr:colOff>0</xdr:colOff>
      <xdr:row>188</xdr:row>
      <xdr:rowOff>192447</xdr:rowOff>
    </xdr:to>
    <xdr:sp macro="" textlink="">
      <xdr:nvSpPr>
        <xdr:cNvPr id="320" name="Isosceles Triangle 319">
          <a:extLst>
            <a:ext uri="{FF2B5EF4-FFF2-40B4-BE49-F238E27FC236}">
              <a16:creationId xmlns:a16="http://schemas.microsoft.com/office/drawing/2014/main" id="{9B3A0F27-ED54-426A-B6EF-A6013F25A211}"/>
            </a:ext>
          </a:extLst>
        </xdr:cNvPr>
        <xdr:cNvSpPr/>
      </xdr:nvSpPr>
      <xdr:spPr>
        <a:xfrm>
          <a:off x="121584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187</xdr:row>
      <xdr:rowOff>78147</xdr:rowOff>
    </xdr:from>
    <xdr:to>
      <xdr:col>22</xdr:col>
      <xdr:colOff>0</xdr:colOff>
      <xdr:row>188</xdr:row>
      <xdr:rowOff>192447</xdr:rowOff>
    </xdr:to>
    <xdr:sp macro="" textlink="">
      <xdr:nvSpPr>
        <xdr:cNvPr id="321" name="Isosceles Triangle 320">
          <a:extLst>
            <a:ext uri="{FF2B5EF4-FFF2-40B4-BE49-F238E27FC236}">
              <a16:creationId xmlns:a16="http://schemas.microsoft.com/office/drawing/2014/main" id="{07D9202D-EBBA-459F-A7CF-D96D5AC89358}"/>
            </a:ext>
          </a:extLst>
        </xdr:cNvPr>
        <xdr:cNvSpPr/>
      </xdr:nvSpPr>
      <xdr:spPr>
        <a:xfrm>
          <a:off x="134157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193</xdr:row>
      <xdr:rowOff>78147</xdr:rowOff>
    </xdr:from>
    <xdr:to>
      <xdr:col>2</xdr:col>
      <xdr:colOff>0</xdr:colOff>
      <xdr:row>194</xdr:row>
      <xdr:rowOff>192447</xdr:rowOff>
    </xdr:to>
    <xdr:sp macro="" textlink="">
      <xdr:nvSpPr>
        <xdr:cNvPr id="322" name="Isosceles Triangle 321">
          <a:extLst>
            <a:ext uri="{FF2B5EF4-FFF2-40B4-BE49-F238E27FC236}">
              <a16:creationId xmlns:a16="http://schemas.microsoft.com/office/drawing/2014/main" id="{9FF3734F-DCB9-4595-8C21-01E1BDA8D6A4}"/>
            </a:ext>
          </a:extLst>
        </xdr:cNvPr>
        <xdr:cNvSpPr/>
      </xdr:nvSpPr>
      <xdr:spPr>
        <a:xfrm>
          <a:off x="63322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193</xdr:row>
      <xdr:rowOff>78147</xdr:rowOff>
    </xdr:from>
    <xdr:to>
      <xdr:col>4</xdr:col>
      <xdr:colOff>0</xdr:colOff>
      <xdr:row>194</xdr:row>
      <xdr:rowOff>192447</xdr:rowOff>
    </xdr:to>
    <xdr:sp macro="" textlink="">
      <xdr:nvSpPr>
        <xdr:cNvPr id="323" name="Isosceles Triangle 322">
          <a:extLst>
            <a:ext uri="{FF2B5EF4-FFF2-40B4-BE49-F238E27FC236}">
              <a16:creationId xmlns:a16="http://schemas.microsoft.com/office/drawing/2014/main" id="{07E16859-51B1-4AA9-A77A-B266E157CD0F}"/>
            </a:ext>
          </a:extLst>
        </xdr:cNvPr>
        <xdr:cNvSpPr/>
      </xdr:nvSpPr>
      <xdr:spPr>
        <a:xfrm>
          <a:off x="1890522" y="356762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193</xdr:row>
      <xdr:rowOff>78147</xdr:rowOff>
    </xdr:from>
    <xdr:to>
      <xdr:col>6</xdr:col>
      <xdr:colOff>0</xdr:colOff>
      <xdr:row>194</xdr:row>
      <xdr:rowOff>192447</xdr:rowOff>
    </xdr:to>
    <xdr:sp macro="" textlink="">
      <xdr:nvSpPr>
        <xdr:cNvPr id="324" name="Isosceles Triangle 323">
          <a:extLst>
            <a:ext uri="{FF2B5EF4-FFF2-40B4-BE49-F238E27FC236}">
              <a16:creationId xmlns:a16="http://schemas.microsoft.com/office/drawing/2014/main" id="{8BB1C28F-730C-4BE1-81BF-60FDABE1CC32}"/>
            </a:ext>
          </a:extLst>
        </xdr:cNvPr>
        <xdr:cNvSpPr/>
      </xdr:nvSpPr>
      <xdr:spPr>
        <a:xfrm>
          <a:off x="33573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193</xdr:row>
      <xdr:rowOff>78147</xdr:rowOff>
    </xdr:from>
    <xdr:to>
      <xdr:col>8</xdr:col>
      <xdr:colOff>0</xdr:colOff>
      <xdr:row>194</xdr:row>
      <xdr:rowOff>192447</xdr:rowOff>
    </xdr:to>
    <xdr:sp macro="" textlink="">
      <xdr:nvSpPr>
        <xdr:cNvPr id="325" name="Isosceles Triangle 324">
          <a:extLst>
            <a:ext uri="{FF2B5EF4-FFF2-40B4-BE49-F238E27FC236}">
              <a16:creationId xmlns:a16="http://schemas.microsoft.com/office/drawing/2014/main" id="{6DF12FBA-3C69-4C0B-A077-CE8119565122}"/>
            </a:ext>
          </a:extLst>
        </xdr:cNvPr>
        <xdr:cNvSpPr/>
      </xdr:nvSpPr>
      <xdr:spPr>
        <a:xfrm>
          <a:off x="46146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193</xdr:row>
      <xdr:rowOff>78147</xdr:rowOff>
    </xdr:from>
    <xdr:to>
      <xdr:col>10</xdr:col>
      <xdr:colOff>0</xdr:colOff>
      <xdr:row>194</xdr:row>
      <xdr:rowOff>192447</xdr:rowOff>
    </xdr:to>
    <xdr:sp macro="" textlink="">
      <xdr:nvSpPr>
        <xdr:cNvPr id="326" name="Isosceles Triangle 325">
          <a:extLst>
            <a:ext uri="{FF2B5EF4-FFF2-40B4-BE49-F238E27FC236}">
              <a16:creationId xmlns:a16="http://schemas.microsoft.com/office/drawing/2014/main" id="{C975D126-4079-4AD9-8262-AC47ED4CADBF}"/>
            </a:ext>
          </a:extLst>
        </xdr:cNvPr>
        <xdr:cNvSpPr/>
      </xdr:nvSpPr>
      <xdr:spPr>
        <a:xfrm>
          <a:off x="58719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193</xdr:row>
      <xdr:rowOff>78147</xdr:rowOff>
    </xdr:from>
    <xdr:to>
      <xdr:col>12</xdr:col>
      <xdr:colOff>0</xdr:colOff>
      <xdr:row>194</xdr:row>
      <xdr:rowOff>192447</xdr:rowOff>
    </xdr:to>
    <xdr:sp macro="" textlink="">
      <xdr:nvSpPr>
        <xdr:cNvPr id="327" name="Isosceles Triangle 326">
          <a:extLst>
            <a:ext uri="{FF2B5EF4-FFF2-40B4-BE49-F238E27FC236}">
              <a16:creationId xmlns:a16="http://schemas.microsoft.com/office/drawing/2014/main" id="{0F4A7903-22A8-4F2C-93EE-1AEE451C9116}"/>
            </a:ext>
          </a:extLst>
        </xdr:cNvPr>
        <xdr:cNvSpPr/>
      </xdr:nvSpPr>
      <xdr:spPr>
        <a:xfrm>
          <a:off x="71292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193</xdr:row>
      <xdr:rowOff>78147</xdr:rowOff>
    </xdr:from>
    <xdr:to>
      <xdr:col>14</xdr:col>
      <xdr:colOff>0</xdr:colOff>
      <xdr:row>194</xdr:row>
      <xdr:rowOff>192447</xdr:rowOff>
    </xdr:to>
    <xdr:sp macro="" textlink="">
      <xdr:nvSpPr>
        <xdr:cNvPr id="328" name="Isosceles Triangle 327">
          <a:extLst>
            <a:ext uri="{FF2B5EF4-FFF2-40B4-BE49-F238E27FC236}">
              <a16:creationId xmlns:a16="http://schemas.microsoft.com/office/drawing/2014/main" id="{2DC15218-207A-47BE-BA7E-9FBE4B282D35}"/>
            </a:ext>
          </a:extLst>
        </xdr:cNvPr>
        <xdr:cNvSpPr/>
      </xdr:nvSpPr>
      <xdr:spPr>
        <a:xfrm>
          <a:off x="83865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193</xdr:row>
      <xdr:rowOff>78147</xdr:rowOff>
    </xdr:from>
    <xdr:to>
      <xdr:col>16</xdr:col>
      <xdr:colOff>0</xdr:colOff>
      <xdr:row>194</xdr:row>
      <xdr:rowOff>192447</xdr:rowOff>
    </xdr:to>
    <xdr:sp macro="" textlink="">
      <xdr:nvSpPr>
        <xdr:cNvPr id="329" name="Isosceles Triangle 328">
          <a:extLst>
            <a:ext uri="{FF2B5EF4-FFF2-40B4-BE49-F238E27FC236}">
              <a16:creationId xmlns:a16="http://schemas.microsoft.com/office/drawing/2014/main" id="{5AE74F0F-3273-4C81-91C3-8DB32F1DEBC2}"/>
            </a:ext>
          </a:extLst>
        </xdr:cNvPr>
        <xdr:cNvSpPr/>
      </xdr:nvSpPr>
      <xdr:spPr>
        <a:xfrm>
          <a:off x="96438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193</xdr:row>
      <xdr:rowOff>78147</xdr:rowOff>
    </xdr:from>
    <xdr:to>
      <xdr:col>18</xdr:col>
      <xdr:colOff>0</xdr:colOff>
      <xdr:row>194</xdr:row>
      <xdr:rowOff>192447</xdr:rowOff>
    </xdr:to>
    <xdr:sp macro="" textlink="">
      <xdr:nvSpPr>
        <xdr:cNvPr id="330" name="Isosceles Triangle 329">
          <a:extLst>
            <a:ext uri="{FF2B5EF4-FFF2-40B4-BE49-F238E27FC236}">
              <a16:creationId xmlns:a16="http://schemas.microsoft.com/office/drawing/2014/main" id="{FAC6ABCB-1F50-48C1-889E-33140648FDDD}"/>
            </a:ext>
          </a:extLst>
        </xdr:cNvPr>
        <xdr:cNvSpPr/>
      </xdr:nvSpPr>
      <xdr:spPr>
        <a:xfrm>
          <a:off x="109011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193</xdr:row>
      <xdr:rowOff>78147</xdr:rowOff>
    </xdr:from>
    <xdr:to>
      <xdr:col>20</xdr:col>
      <xdr:colOff>0</xdr:colOff>
      <xdr:row>194</xdr:row>
      <xdr:rowOff>192447</xdr:rowOff>
    </xdr:to>
    <xdr:sp macro="" textlink="">
      <xdr:nvSpPr>
        <xdr:cNvPr id="331" name="Isosceles Triangle 330">
          <a:extLst>
            <a:ext uri="{FF2B5EF4-FFF2-40B4-BE49-F238E27FC236}">
              <a16:creationId xmlns:a16="http://schemas.microsoft.com/office/drawing/2014/main" id="{ED7ED289-9D8F-4139-8CFA-95FF0767105F}"/>
            </a:ext>
          </a:extLst>
        </xdr:cNvPr>
        <xdr:cNvSpPr/>
      </xdr:nvSpPr>
      <xdr:spPr>
        <a:xfrm>
          <a:off x="121584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193</xdr:row>
      <xdr:rowOff>78147</xdr:rowOff>
    </xdr:from>
    <xdr:to>
      <xdr:col>22</xdr:col>
      <xdr:colOff>0</xdr:colOff>
      <xdr:row>194</xdr:row>
      <xdr:rowOff>192447</xdr:rowOff>
    </xdr:to>
    <xdr:sp macro="" textlink="">
      <xdr:nvSpPr>
        <xdr:cNvPr id="332" name="Isosceles Triangle 331">
          <a:extLst>
            <a:ext uri="{FF2B5EF4-FFF2-40B4-BE49-F238E27FC236}">
              <a16:creationId xmlns:a16="http://schemas.microsoft.com/office/drawing/2014/main" id="{C033CE9D-B931-4921-9364-0F010E744F11}"/>
            </a:ext>
          </a:extLst>
        </xdr:cNvPr>
        <xdr:cNvSpPr/>
      </xdr:nvSpPr>
      <xdr:spPr>
        <a:xfrm>
          <a:off x="134157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51</xdr:row>
      <xdr:rowOff>78147</xdr:rowOff>
    </xdr:from>
    <xdr:to>
      <xdr:col>22</xdr:col>
      <xdr:colOff>0</xdr:colOff>
      <xdr:row>53</xdr:row>
      <xdr:rowOff>5057</xdr:rowOff>
    </xdr:to>
    <xdr:sp macro="" textlink="">
      <xdr:nvSpPr>
        <xdr:cNvPr id="333" name="Isosceles Triangle 332">
          <a:extLst>
            <a:ext uri="{FF2B5EF4-FFF2-40B4-BE49-F238E27FC236}">
              <a16:creationId xmlns:a16="http://schemas.microsoft.com/office/drawing/2014/main" id="{65E01F55-3ED5-410F-B749-929AE33080C5}"/>
            </a:ext>
          </a:extLst>
        </xdr:cNvPr>
        <xdr:cNvSpPr/>
      </xdr:nvSpPr>
      <xdr:spPr>
        <a:xfrm>
          <a:off x="134157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17</xdr:row>
      <xdr:rowOff>0</xdr:rowOff>
    </xdr:from>
    <xdr:to>
      <xdr:col>3</xdr:col>
      <xdr:colOff>0</xdr:colOff>
      <xdr:row>19</xdr:row>
      <xdr:rowOff>195613</xdr:rowOff>
    </xdr:to>
    <xdr:sp macro="" textlink="">
      <xdr:nvSpPr>
        <xdr:cNvPr id="2" name="Isosceles Triangle 1">
          <a:extLst>
            <a:ext uri="{FF2B5EF4-FFF2-40B4-BE49-F238E27FC236}">
              <a16:creationId xmlns:a16="http://schemas.microsoft.com/office/drawing/2014/main" id="{FA058D45-6397-4579-9DE8-9DC054931A94}"/>
            </a:ext>
          </a:extLst>
        </xdr:cNvPr>
        <xdr:cNvSpPr/>
      </xdr:nvSpPr>
      <xdr:spPr>
        <a:xfrm>
          <a:off x="2011680" y="3916680"/>
          <a:ext cx="1021080" cy="75949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17</xdr:row>
      <xdr:rowOff>0</xdr:rowOff>
    </xdr:from>
    <xdr:to>
      <xdr:col>5</xdr:col>
      <xdr:colOff>0</xdr:colOff>
      <xdr:row>19</xdr:row>
      <xdr:rowOff>195613</xdr:rowOff>
    </xdr:to>
    <xdr:sp macro="" textlink="">
      <xdr:nvSpPr>
        <xdr:cNvPr id="3" name="Isosceles Triangle 2">
          <a:extLst>
            <a:ext uri="{FF2B5EF4-FFF2-40B4-BE49-F238E27FC236}">
              <a16:creationId xmlns:a16="http://schemas.microsoft.com/office/drawing/2014/main" id="{C640057D-2FD2-464B-B964-A75871776413}"/>
            </a:ext>
          </a:extLst>
        </xdr:cNvPr>
        <xdr:cNvSpPr/>
      </xdr:nvSpPr>
      <xdr:spPr>
        <a:xfrm>
          <a:off x="4076700" y="3916680"/>
          <a:ext cx="1196340" cy="75949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17</xdr:row>
      <xdr:rowOff>0</xdr:rowOff>
    </xdr:from>
    <xdr:to>
      <xdr:col>7</xdr:col>
      <xdr:colOff>0</xdr:colOff>
      <xdr:row>19</xdr:row>
      <xdr:rowOff>195613</xdr:rowOff>
    </xdr:to>
    <xdr:sp macro="" textlink="">
      <xdr:nvSpPr>
        <xdr:cNvPr id="4" name="Isosceles Triangle 3">
          <a:extLst>
            <a:ext uri="{FF2B5EF4-FFF2-40B4-BE49-F238E27FC236}">
              <a16:creationId xmlns:a16="http://schemas.microsoft.com/office/drawing/2014/main" id="{81551741-F70B-4BEA-AE43-74E7053DD71F}"/>
            </a:ext>
          </a:extLst>
        </xdr:cNvPr>
        <xdr:cNvSpPr/>
      </xdr:nvSpPr>
      <xdr:spPr>
        <a:xfrm>
          <a:off x="6309360" y="3916680"/>
          <a:ext cx="1112520" cy="75949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17</xdr:row>
      <xdr:rowOff>0</xdr:rowOff>
    </xdr:from>
    <xdr:to>
      <xdr:col>9</xdr:col>
      <xdr:colOff>0</xdr:colOff>
      <xdr:row>19</xdr:row>
      <xdr:rowOff>195613</xdr:rowOff>
    </xdr:to>
    <xdr:sp macro="" textlink="">
      <xdr:nvSpPr>
        <xdr:cNvPr id="5" name="Isosceles Triangle 4">
          <a:extLst>
            <a:ext uri="{FF2B5EF4-FFF2-40B4-BE49-F238E27FC236}">
              <a16:creationId xmlns:a16="http://schemas.microsoft.com/office/drawing/2014/main" id="{56AD6E1F-BE37-48F1-A14B-D0E068F7B99B}"/>
            </a:ext>
          </a:extLst>
        </xdr:cNvPr>
        <xdr:cNvSpPr/>
      </xdr:nvSpPr>
      <xdr:spPr>
        <a:xfrm>
          <a:off x="8298180" y="3916680"/>
          <a:ext cx="1272540" cy="75949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17</xdr:row>
      <xdr:rowOff>0</xdr:rowOff>
    </xdr:from>
    <xdr:to>
      <xdr:col>11</xdr:col>
      <xdr:colOff>0</xdr:colOff>
      <xdr:row>19</xdr:row>
      <xdr:rowOff>195613</xdr:rowOff>
    </xdr:to>
    <xdr:sp macro="" textlink="">
      <xdr:nvSpPr>
        <xdr:cNvPr id="6" name="Isosceles Triangle 5">
          <a:extLst>
            <a:ext uri="{FF2B5EF4-FFF2-40B4-BE49-F238E27FC236}">
              <a16:creationId xmlns:a16="http://schemas.microsoft.com/office/drawing/2014/main" id="{CFBEFBDE-B7F4-4FFC-822A-D530F790F31A}"/>
            </a:ext>
          </a:extLst>
        </xdr:cNvPr>
        <xdr:cNvSpPr/>
      </xdr:nvSpPr>
      <xdr:spPr>
        <a:xfrm>
          <a:off x="10195560" y="3916680"/>
          <a:ext cx="944880" cy="75949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17</xdr:row>
      <xdr:rowOff>0</xdr:rowOff>
    </xdr:from>
    <xdr:to>
      <xdr:col>13</xdr:col>
      <xdr:colOff>0</xdr:colOff>
      <xdr:row>19</xdr:row>
      <xdr:rowOff>195613</xdr:rowOff>
    </xdr:to>
    <xdr:sp macro="" textlink="">
      <xdr:nvSpPr>
        <xdr:cNvPr id="7" name="Isosceles Triangle 6">
          <a:extLst>
            <a:ext uri="{FF2B5EF4-FFF2-40B4-BE49-F238E27FC236}">
              <a16:creationId xmlns:a16="http://schemas.microsoft.com/office/drawing/2014/main" id="{ECB0B31E-CDBF-4A06-B0C4-6C4678402341}"/>
            </a:ext>
          </a:extLst>
        </xdr:cNvPr>
        <xdr:cNvSpPr/>
      </xdr:nvSpPr>
      <xdr:spPr>
        <a:xfrm>
          <a:off x="11765280" y="3916680"/>
          <a:ext cx="1013460" cy="75949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17</xdr:row>
      <xdr:rowOff>0</xdr:rowOff>
    </xdr:from>
    <xdr:to>
      <xdr:col>17</xdr:col>
      <xdr:colOff>0</xdr:colOff>
      <xdr:row>19</xdr:row>
      <xdr:rowOff>195613</xdr:rowOff>
    </xdr:to>
    <xdr:sp macro="" textlink="">
      <xdr:nvSpPr>
        <xdr:cNvPr id="8" name="Isosceles Triangle 7">
          <a:extLst>
            <a:ext uri="{FF2B5EF4-FFF2-40B4-BE49-F238E27FC236}">
              <a16:creationId xmlns:a16="http://schemas.microsoft.com/office/drawing/2014/main" id="{F073AB90-8870-4215-A762-62B3D0EC088C}"/>
            </a:ext>
          </a:extLst>
        </xdr:cNvPr>
        <xdr:cNvSpPr/>
      </xdr:nvSpPr>
      <xdr:spPr>
        <a:xfrm>
          <a:off x="15240000" y="3916680"/>
          <a:ext cx="1143000" cy="75949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17</xdr:row>
      <xdr:rowOff>0</xdr:rowOff>
    </xdr:from>
    <xdr:to>
      <xdr:col>19</xdr:col>
      <xdr:colOff>0</xdr:colOff>
      <xdr:row>19</xdr:row>
      <xdr:rowOff>195613</xdr:rowOff>
    </xdr:to>
    <xdr:sp macro="" textlink="">
      <xdr:nvSpPr>
        <xdr:cNvPr id="9" name="Isosceles Triangle 8">
          <a:extLst>
            <a:ext uri="{FF2B5EF4-FFF2-40B4-BE49-F238E27FC236}">
              <a16:creationId xmlns:a16="http://schemas.microsoft.com/office/drawing/2014/main" id="{FC2EFE3A-8C89-408B-82D4-89E0ECE1B3EC}"/>
            </a:ext>
          </a:extLst>
        </xdr:cNvPr>
        <xdr:cNvSpPr/>
      </xdr:nvSpPr>
      <xdr:spPr>
        <a:xfrm>
          <a:off x="17007840" y="3916680"/>
          <a:ext cx="998220" cy="75949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0</xdr:col>
      <xdr:colOff>208646</xdr:colOff>
      <xdr:row>17</xdr:row>
      <xdr:rowOff>0</xdr:rowOff>
    </xdr:from>
    <xdr:to>
      <xdr:col>0</xdr:col>
      <xdr:colOff>417288</xdr:colOff>
      <xdr:row>21</xdr:row>
      <xdr:rowOff>0</xdr:rowOff>
    </xdr:to>
    <xdr:sp macro="" textlink="">
      <xdr:nvSpPr>
        <xdr:cNvPr id="10" name="Rectangle 1063">
          <a:extLst>
            <a:ext uri="{FF2B5EF4-FFF2-40B4-BE49-F238E27FC236}">
              <a16:creationId xmlns:a16="http://schemas.microsoft.com/office/drawing/2014/main" id="{8C9656C5-4C74-4254-A675-752F59AED751}"/>
            </a:ext>
          </a:extLst>
        </xdr:cNvPr>
        <xdr:cNvSpPr>
          <a:spLocks noChangeArrowheads="1"/>
        </xdr:cNvSpPr>
      </xdr:nvSpPr>
      <xdr:spPr bwMode="auto">
        <a:xfrm>
          <a:off x="208646" y="3916680"/>
          <a:ext cx="208642" cy="1272540"/>
        </a:xfrm>
        <a:prstGeom prst="rect">
          <a:avLst/>
        </a:prstGeom>
        <a:solidFill>
          <a:srgbClr val="FFFFFF"/>
        </a:solidFill>
        <a:ln w="9525">
          <a:solidFill>
            <a:srgbClr val="000000"/>
          </a:solidFill>
          <a:miter lim="800000"/>
          <a:headEnd/>
          <a:tailEnd/>
        </a:ln>
      </xdr:spPr>
    </xdr:sp>
    <xdr:clientData/>
  </xdr:twoCellAnchor>
  <xdr:twoCellAnchor>
    <xdr:from>
      <xdr:col>0</xdr:col>
      <xdr:colOff>199572</xdr:colOff>
      <xdr:row>17</xdr:row>
      <xdr:rowOff>0</xdr:rowOff>
    </xdr:from>
    <xdr:to>
      <xdr:col>0</xdr:col>
      <xdr:colOff>411390</xdr:colOff>
      <xdr:row>18</xdr:row>
      <xdr:rowOff>172357</xdr:rowOff>
    </xdr:to>
    <xdr:sp macro="" textlink="">
      <xdr:nvSpPr>
        <xdr:cNvPr id="11" name="Line 1066">
          <a:extLst>
            <a:ext uri="{FF2B5EF4-FFF2-40B4-BE49-F238E27FC236}">
              <a16:creationId xmlns:a16="http://schemas.microsoft.com/office/drawing/2014/main" id="{BE1AE5A0-9B46-416D-92DC-A11784264357}"/>
            </a:ext>
          </a:extLst>
        </xdr:cNvPr>
        <xdr:cNvSpPr>
          <a:spLocks noChangeShapeType="1"/>
        </xdr:cNvSpPr>
      </xdr:nvSpPr>
      <xdr:spPr bwMode="auto">
        <a:xfrm flipH="1">
          <a:off x="199572" y="3916680"/>
          <a:ext cx="211818" cy="370477"/>
        </a:xfrm>
        <a:prstGeom prst="line">
          <a:avLst/>
        </a:prstGeom>
        <a:noFill/>
        <a:ln w="9525">
          <a:solidFill>
            <a:srgbClr val="000000"/>
          </a:solidFill>
          <a:round/>
          <a:headEnd/>
          <a:tailEnd/>
        </a:ln>
      </xdr:spPr>
    </xdr:sp>
    <xdr:clientData/>
  </xdr:twoCellAnchor>
  <xdr:twoCellAnchor>
    <xdr:from>
      <xdr:col>0</xdr:col>
      <xdr:colOff>217714</xdr:colOff>
      <xdr:row>17</xdr:row>
      <xdr:rowOff>0</xdr:rowOff>
    </xdr:from>
    <xdr:to>
      <xdr:col>0</xdr:col>
      <xdr:colOff>417285</xdr:colOff>
      <xdr:row>19</xdr:row>
      <xdr:rowOff>18142</xdr:rowOff>
    </xdr:to>
    <xdr:sp macro="" textlink="">
      <xdr:nvSpPr>
        <xdr:cNvPr id="12" name="Line 1067">
          <a:extLst>
            <a:ext uri="{FF2B5EF4-FFF2-40B4-BE49-F238E27FC236}">
              <a16:creationId xmlns:a16="http://schemas.microsoft.com/office/drawing/2014/main" id="{619350C5-573B-4BC2-81C9-B4F74B1D2450}"/>
            </a:ext>
          </a:extLst>
        </xdr:cNvPr>
        <xdr:cNvSpPr>
          <a:spLocks noChangeShapeType="1"/>
        </xdr:cNvSpPr>
      </xdr:nvSpPr>
      <xdr:spPr bwMode="auto">
        <a:xfrm>
          <a:off x="217714" y="3916680"/>
          <a:ext cx="199571" cy="582022"/>
        </a:xfrm>
        <a:prstGeom prst="line">
          <a:avLst/>
        </a:prstGeom>
        <a:noFill/>
        <a:ln w="9525">
          <a:solidFill>
            <a:srgbClr val="000000"/>
          </a:solidFill>
          <a:round/>
          <a:headEnd/>
          <a:tailEnd/>
        </a:ln>
      </xdr:spPr>
    </xdr:sp>
    <xdr:clientData/>
  </xdr:twoCellAnchor>
  <xdr:twoCellAnchor>
    <xdr:from>
      <xdr:col>0</xdr:col>
      <xdr:colOff>217715</xdr:colOff>
      <xdr:row>18</xdr:row>
      <xdr:rowOff>154216</xdr:rowOff>
    </xdr:from>
    <xdr:to>
      <xdr:col>0</xdr:col>
      <xdr:colOff>408215</xdr:colOff>
      <xdr:row>20</xdr:row>
      <xdr:rowOff>145145</xdr:rowOff>
    </xdr:to>
    <xdr:sp macro="" textlink="">
      <xdr:nvSpPr>
        <xdr:cNvPr id="13" name="Line 1067">
          <a:extLst>
            <a:ext uri="{FF2B5EF4-FFF2-40B4-BE49-F238E27FC236}">
              <a16:creationId xmlns:a16="http://schemas.microsoft.com/office/drawing/2014/main" id="{009B07C2-3F41-405A-A2BE-D0F795828C5F}"/>
            </a:ext>
          </a:extLst>
        </xdr:cNvPr>
        <xdr:cNvSpPr>
          <a:spLocks noChangeShapeType="1"/>
        </xdr:cNvSpPr>
      </xdr:nvSpPr>
      <xdr:spPr bwMode="auto">
        <a:xfrm>
          <a:off x="217715" y="4269016"/>
          <a:ext cx="190500" cy="562429"/>
        </a:xfrm>
        <a:prstGeom prst="line">
          <a:avLst/>
        </a:prstGeom>
        <a:noFill/>
        <a:ln w="9525">
          <a:solidFill>
            <a:srgbClr val="000000"/>
          </a:solidFill>
          <a:round/>
          <a:headEnd/>
          <a:tailEnd/>
        </a:ln>
      </xdr:spPr>
    </xdr:sp>
    <xdr:clientData/>
  </xdr:twoCellAnchor>
  <xdr:twoCellAnchor>
    <xdr:from>
      <xdr:col>0</xdr:col>
      <xdr:colOff>217714</xdr:colOff>
      <xdr:row>18</xdr:row>
      <xdr:rowOff>190500</xdr:rowOff>
    </xdr:from>
    <xdr:to>
      <xdr:col>0</xdr:col>
      <xdr:colOff>424089</xdr:colOff>
      <xdr:row>20</xdr:row>
      <xdr:rowOff>181429</xdr:rowOff>
    </xdr:to>
    <xdr:sp macro="" textlink="">
      <xdr:nvSpPr>
        <xdr:cNvPr id="14" name="Line 1066">
          <a:extLst>
            <a:ext uri="{FF2B5EF4-FFF2-40B4-BE49-F238E27FC236}">
              <a16:creationId xmlns:a16="http://schemas.microsoft.com/office/drawing/2014/main" id="{06D40DCA-BE9E-4895-BEE5-B022C7B145BC}"/>
            </a:ext>
          </a:extLst>
        </xdr:cNvPr>
        <xdr:cNvSpPr>
          <a:spLocks noChangeShapeType="1"/>
        </xdr:cNvSpPr>
      </xdr:nvSpPr>
      <xdr:spPr bwMode="auto">
        <a:xfrm flipH="1">
          <a:off x="217714" y="4305300"/>
          <a:ext cx="206375" cy="562429"/>
        </a:xfrm>
        <a:prstGeom prst="line">
          <a:avLst/>
        </a:prstGeom>
        <a:noFill/>
        <a:ln w="9525">
          <a:solidFill>
            <a:srgbClr val="000000"/>
          </a:solidFill>
          <a:round/>
          <a:headEnd/>
          <a:tailEnd/>
        </a:ln>
      </xdr:spPr>
    </xdr:sp>
    <xdr:clientData/>
  </xdr:twoCellAnchor>
  <xdr:twoCellAnchor>
    <xdr:from>
      <xdr:col>0</xdr:col>
      <xdr:colOff>217714</xdr:colOff>
      <xdr:row>20</xdr:row>
      <xdr:rowOff>181428</xdr:rowOff>
    </xdr:from>
    <xdr:to>
      <xdr:col>0</xdr:col>
      <xdr:colOff>426357</xdr:colOff>
      <xdr:row>21</xdr:row>
      <xdr:rowOff>0</xdr:rowOff>
    </xdr:to>
    <xdr:sp macro="" textlink="">
      <xdr:nvSpPr>
        <xdr:cNvPr id="15" name="Line 1067">
          <a:extLst>
            <a:ext uri="{FF2B5EF4-FFF2-40B4-BE49-F238E27FC236}">
              <a16:creationId xmlns:a16="http://schemas.microsoft.com/office/drawing/2014/main" id="{13B9879F-3B22-43B9-B670-50884874EA04}"/>
            </a:ext>
          </a:extLst>
        </xdr:cNvPr>
        <xdr:cNvSpPr>
          <a:spLocks noChangeShapeType="1"/>
        </xdr:cNvSpPr>
      </xdr:nvSpPr>
      <xdr:spPr bwMode="auto">
        <a:xfrm>
          <a:off x="217714" y="4867728"/>
          <a:ext cx="208643" cy="321492"/>
        </a:xfrm>
        <a:prstGeom prst="line">
          <a:avLst/>
        </a:prstGeom>
        <a:noFill/>
        <a:ln w="9525">
          <a:solidFill>
            <a:srgbClr val="000000"/>
          </a:solidFill>
          <a:round/>
          <a:headEnd/>
          <a:tailEnd/>
        </a:ln>
      </xdr:spPr>
    </xdr:sp>
    <xdr:clientData/>
  </xdr:twoCellAnchor>
  <xdr:twoCellAnchor>
    <xdr:from>
      <xdr:col>0</xdr:col>
      <xdr:colOff>226785</xdr:colOff>
      <xdr:row>20</xdr:row>
      <xdr:rowOff>154214</xdr:rowOff>
    </xdr:from>
    <xdr:to>
      <xdr:col>0</xdr:col>
      <xdr:colOff>420459</xdr:colOff>
      <xdr:row>21</xdr:row>
      <xdr:rowOff>0</xdr:rowOff>
    </xdr:to>
    <xdr:sp macro="" textlink="">
      <xdr:nvSpPr>
        <xdr:cNvPr id="16" name="Line 1066">
          <a:extLst>
            <a:ext uri="{FF2B5EF4-FFF2-40B4-BE49-F238E27FC236}">
              <a16:creationId xmlns:a16="http://schemas.microsoft.com/office/drawing/2014/main" id="{20569BEB-FC73-46C5-A5FC-0843800F5C28}"/>
            </a:ext>
          </a:extLst>
        </xdr:cNvPr>
        <xdr:cNvSpPr>
          <a:spLocks noChangeShapeType="1"/>
        </xdr:cNvSpPr>
      </xdr:nvSpPr>
      <xdr:spPr bwMode="auto">
        <a:xfrm flipH="1">
          <a:off x="226785" y="4840514"/>
          <a:ext cx="193674" cy="348706"/>
        </a:xfrm>
        <a:prstGeom prst="line">
          <a:avLst/>
        </a:prstGeom>
        <a:noFill/>
        <a:ln w="9525">
          <a:solidFill>
            <a:srgbClr val="000000"/>
          </a:solidFill>
          <a:round/>
          <a:headEnd/>
          <a:tailEnd/>
        </a:ln>
      </xdr:spPr>
    </xdr:sp>
    <xdr:clientData/>
  </xdr:twoCellAnchor>
  <xdr:twoCellAnchor>
    <xdr:from>
      <xdr:col>14</xdr:col>
      <xdr:colOff>0</xdr:colOff>
      <xdr:row>17</xdr:row>
      <xdr:rowOff>0</xdr:rowOff>
    </xdr:from>
    <xdr:to>
      <xdr:col>15</xdr:col>
      <xdr:colOff>9072</xdr:colOff>
      <xdr:row>19</xdr:row>
      <xdr:rowOff>196584</xdr:rowOff>
    </xdr:to>
    <xdr:sp macro="" textlink="">
      <xdr:nvSpPr>
        <xdr:cNvPr id="17" name="Isosceles Triangle 16">
          <a:extLst>
            <a:ext uri="{FF2B5EF4-FFF2-40B4-BE49-F238E27FC236}">
              <a16:creationId xmlns:a16="http://schemas.microsoft.com/office/drawing/2014/main" id="{3BB4670C-E922-4F83-858D-9293BDB001C6}"/>
            </a:ext>
          </a:extLst>
        </xdr:cNvPr>
        <xdr:cNvSpPr/>
      </xdr:nvSpPr>
      <xdr:spPr>
        <a:xfrm>
          <a:off x="13555980" y="3916680"/>
          <a:ext cx="1053012" cy="7604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17</xdr:row>
      <xdr:rowOff>0</xdr:rowOff>
    </xdr:from>
    <xdr:to>
      <xdr:col>21</xdr:col>
      <xdr:colOff>0</xdr:colOff>
      <xdr:row>19</xdr:row>
      <xdr:rowOff>195613</xdr:rowOff>
    </xdr:to>
    <xdr:sp macro="" textlink="">
      <xdr:nvSpPr>
        <xdr:cNvPr id="18" name="Isosceles Triangle 17">
          <a:extLst>
            <a:ext uri="{FF2B5EF4-FFF2-40B4-BE49-F238E27FC236}">
              <a16:creationId xmlns:a16="http://schemas.microsoft.com/office/drawing/2014/main" id="{01CB2876-00D9-4893-B9D9-EEBDF1731B7C}"/>
            </a:ext>
          </a:extLst>
        </xdr:cNvPr>
        <xdr:cNvSpPr/>
      </xdr:nvSpPr>
      <xdr:spPr>
        <a:xfrm>
          <a:off x="18630900" y="3916680"/>
          <a:ext cx="1051560" cy="75949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17</xdr:row>
      <xdr:rowOff>0</xdr:rowOff>
    </xdr:from>
    <xdr:to>
      <xdr:col>23</xdr:col>
      <xdr:colOff>0</xdr:colOff>
      <xdr:row>19</xdr:row>
      <xdr:rowOff>195613</xdr:rowOff>
    </xdr:to>
    <xdr:sp macro="" textlink="">
      <xdr:nvSpPr>
        <xdr:cNvPr id="19" name="Isosceles Triangle 18">
          <a:extLst>
            <a:ext uri="{FF2B5EF4-FFF2-40B4-BE49-F238E27FC236}">
              <a16:creationId xmlns:a16="http://schemas.microsoft.com/office/drawing/2014/main" id="{97512795-F3C4-45AE-9631-08034A85C845}"/>
            </a:ext>
          </a:extLst>
        </xdr:cNvPr>
        <xdr:cNvSpPr/>
      </xdr:nvSpPr>
      <xdr:spPr>
        <a:xfrm>
          <a:off x="20589240" y="3916680"/>
          <a:ext cx="1013460" cy="75949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153</xdr:row>
      <xdr:rowOff>126029</xdr:rowOff>
    </xdr:from>
    <xdr:to>
      <xdr:col>3</xdr:col>
      <xdr:colOff>0</xdr:colOff>
      <xdr:row>156</xdr:row>
      <xdr:rowOff>180373</xdr:rowOff>
    </xdr:to>
    <xdr:sp macro="" textlink="">
      <xdr:nvSpPr>
        <xdr:cNvPr id="20" name="Isosceles Triangle 19">
          <a:extLst>
            <a:ext uri="{FF2B5EF4-FFF2-40B4-BE49-F238E27FC236}">
              <a16:creationId xmlns:a16="http://schemas.microsoft.com/office/drawing/2014/main" id="{81096244-7730-4D32-BBF6-05003A282783}"/>
            </a:ext>
          </a:extLst>
        </xdr:cNvPr>
        <xdr:cNvSpPr/>
      </xdr:nvSpPr>
      <xdr:spPr>
        <a:xfrm>
          <a:off x="2011680" y="52627829"/>
          <a:ext cx="102108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153</xdr:row>
      <xdr:rowOff>126029</xdr:rowOff>
    </xdr:from>
    <xdr:to>
      <xdr:col>5</xdr:col>
      <xdr:colOff>0</xdr:colOff>
      <xdr:row>156</xdr:row>
      <xdr:rowOff>180373</xdr:rowOff>
    </xdr:to>
    <xdr:sp macro="" textlink="">
      <xdr:nvSpPr>
        <xdr:cNvPr id="21" name="Isosceles Triangle 20">
          <a:extLst>
            <a:ext uri="{FF2B5EF4-FFF2-40B4-BE49-F238E27FC236}">
              <a16:creationId xmlns:a16="http://schemas.microsoft.com/office/drawing/2014/main" id="{14B5A5D9-62A0-4EDD-AF8E-EFC2870AA95A}"/>
            </a:ext>
          </a:extLst>
        </xdr:cNvPr>
        <xdr:cNvSpPr/>
      </xdr:nvSpPr>
      <xdr:spPr>
        <a:xfrm>
          <a:off x="4076700" y="52627829"/>
          <a:ext cx="119634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153</xdr:row>
      <xdr:rowOff>126029</xdr:rowOff>
    </xdr:from>
    <xdr:to>
      <xdr:col>7</xdr:col>
      <xdr:colOff>0</xdr:colOff>
      <xdr:row>156</xdr:row>
      <xdr:rowOff>180373</xdr:rowOff>
    </xdr:to>
    <xdr:sp macro="" textlink="">
      <xdr:nvSpPr>
        <xdr:cNvPr id="22" name="Isosceles Triangle 21">
          <a:extLst>
            <a:ext uri="{FF2B5EF4-FFF2-40B4-BE49-F238E27FC236}">
              <a16:creationId xmlns:a16="http://schemas.microsoft.com/office/drawing/2014/main" id="{DD6813BF-40CD-4880-962E-6C3903F5C6E2}"/>
            </a:ext>
          </a:extLst>
        </xdr:cNvPr>
        <xdr:cNvSpPr/>
      </xdr:nvSpPr>
      <xdr:spPr>
        <a:xfrm>
          <a:off x="6309360" y="52627829"/>
          <a:ext cx="111252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153</xdr:row>
      <xdr:rowOff>126029</xdr:rowOff>
    </xdr:from>
    <xdr:to>
      <xdr:col>9</xdr:col>
      <xdr:colOff>0</xdr:colOff>
      <xdr:row>156</xdr:row>
      <xdr:rowOff>180373</xdr:rowOff>
    </xdr:to>
    <xdr:sp macro="" textlink="">
      <xdr:nvSpPr>
        <xdr:cNvPr id="23" name="Isosceles Triangle 22">
          <a:extLst>
            <a:ext uri="{FF2B5EF4-FFF2-40B4-BE49-F238E27FC236}">
              <a16:creationId xmlns:a16="http://schemas.microsoft.com/office/drawing/2014/main" id="{4D5FF8A7-158D-47CA-982F-28AB748AECC6}"/>
            </a:ext>
          </a:extLst>
        </xdr:cNvPr>
        <xdr:cNvSpPr/>
      </xdr:nvSpPr>
      <xdr:spPr>
        <a:xfrm>
          <a:off x="8298180" y="52627829"/>
          <a:ext cx="127254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153</xdr:row>
      <xdr:rowOff>126029</xdr:rowOff>
    </xdr:from>
    <xdr:to>
      <xdr:col>11</xdr:col>
      <xdr:colOff>0</xdr:colOff>
      <xdr:row>156</xdr:row>
      <xdr:rowOff>180373</xdr:rowOff>
    </xdr:to>
    <xdr:sp macro="" textlink="">
      <xdr:nvSpPr>
        <xdr:cNvPr id="24" name="Isosceles Triangle 23">
          <a:extLst>
            <a:ext uri="{FF2B5EF4-FFF2-40B4-BE49-F238E27FC236}">
              <a16:creationId xmlns:a16="http://schemas.microsoft.com/office/drawing/2014/main" id="{BEC042A9-FE1B-4DC7-B8BD-1FB780E48385}"/>
            </a:ext>
          </a:extLst>
        </xdr:cNvPr>
        <xdr:cNvSpPr/>
      </xdr:nvSpPr>
      <xdr:spPr>
        <a:xfrm>
          <a:off x="10195560" y="52627829"/>
          <a:ext cx="94488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153</xdr:row>
      <xdr:rowOff>126029</xdr:rowOff>
    </xdr:from>
    <xdr:to>
      <xdr:col>13</xdr:col>
      <xdr:colOff>0</xdr:colOff>
      <xdr:row>156</xdr:row>
      <xdr:rowOff>180373</xdr:rowOff>
    </xdr:to>
    <xdr:sp macro="" textlink="">
      <xdr:nvSpPr>
        <xdr:cNvPr id="25" name="Isosceles Triangle 24">
          <a:extLst>
            <a:ext uri="{FF2B5EF4-FFF2-40B4-BE49-F238E27FC236}">
              <a16:creationId xmlns:a16="http://schemas.microsoft.com/office/drawing/2014/main" id="{E40E376F-9F87-4CBB-AD57-A735088F9F73}"/>
            </a:ext>
          </a:extLst>
        </xdr:cNvPr>
        <xdr:cNvSpPr/>
      </xdr:nvSpPr>
      <xdr:spPr>
        <a:xfrm>
          <a:off x="11765280" y="52627829"/>
          <a:ext cx="101346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153</xdr:row>
      <xdr:rowOff>126029</xdr:rowOff>
    </xdr:from>
    <xdr:to>
      <xdr:col>17</xdr:col>
      <xdr:colOff>0</xdr:colOff>
      <xdr:row>156</xdr:row>
      <xdr:rowOff>180373</xdr:rowOff>
    </xdr:to>
    <xdr:sp macro="" textlink="">
      <xdr:nvSpPr>
        <xdr:cNvPr id="26" name="Isosceles Triangle 25">
          <a:extLst>
            <a:ext uri="{FF2B5EF4-FFF2-40B4-BE49-F238E27FC236}">
              <a16:creationId xmlns:a16="http://schemas.microsoft.com/office/drawing/2014/main" id="{4085FFB0-9637-4DF4-9754-5E57D0E72DBF}"/>
            </a:ext>
          </a:extLst>
        </xdr:cNvPr>
        <xdr:cNvSpPr/>
      </xdr:nvSpPr>
      <xdr:spPr>
        <a:xfrm>
          <a:off x="15240000" y="52627829"/>
          <a:ext cx="114300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153</xdr:row>
      <xdr:rowOff>126029</xdr:rowOff>
    </xdr:from>
    <xdr:to>
      <xdr:col>19</xdr:col>
      <xdr:colOff>0</xdr:colOff>
      <xdr:row>156</xdr:row>
      <xdr:rowOff>180373</xdr:rowOff>
    </xdr:to>
    <xdr:sp macro="" textlink="">
      <xdr:nvSpPr>
        <xdr:cNvPr id="27" name="Isosceles Triangle 26">
          <a:extLst>
            <a:ext uri="{FF2B5EF4-FFF2-40B4-BE49-F238E27FC236}">
              <a16:creationId xmlns:a16="http://schemas.microsoft.com/office/drawing/2014/main" id="{D23CDCFD-66FF-44A5-B402-54B2111FA22D}"/>
            </a:ext>
          </a:extLst>
        </xdr:cNvPr>
        <xdr:cNvSpPr/>
      </xdr:nvSpPr>
      <xdr:spPr>
        <a:xfrm>
          <a:off x="17007840" y="52627829"/>
          <a:ext cx="99822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153</xdr:row>
      <xdr:rowOff>127000</xdr:rowOff>
    </xdr:from>
    <xdr:to>
      <xdr:col>15</xdr:col>
      <xdr:colOff>9072</xdr:colOff>
      <xdr:row>156</xdr:row>
      <xdr:rowOff>181344</xdr:rowOff>
    </xdr:to>
    <xdr:sp macro="" textlink="">
      <xdr:nvSpPr>
        <xdr:cNvPr id="28" name="Isosceles Triangle 27">
          <a:extLst>
            <a:ext uri="{FF2B5EF4-FFF2-40B4-BE49-F238E27FC236}">
              <a16:creationId xmlns:a16="http://schemas.microsoft.com/office/drawing/2014/main" id="{012AB8A3-2D66-4817-8372-974A23A304B9}"/>
            </a:ext>
          </a:extLst>
        </xdr:cNvPr>
        <xdr:cNvSpPr/>
      </xdr:nvSpPr>
      <xdr:spPr>
        <a:xfrm>
          <a:off x="13555980" y="52628800"/>
          <a:ext cx="1053012"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153</xdr:row>
      <xdr:rowOff>126029</xdr:rowOff>
    </xdr:from>
    <xdr:to>
      <xdr:col>21</xdr:col>
      <xdr:colOff>0</xdr:colOff>
      <xdr:row>156</xdr:row>
      <xdr:rowOff>180373</xdr:rowOff>
    </xdr:to>
    <xdr:sp macro="" textlink="">
      <xdr:nvSpPr>
        <xdr:cNvPr id="29" name="Isosceles Triangle 28">
          <a:extLst>
            <a:ext uri="{FF2B5EF4-FFF2-40B4-BE49-F238E27FC236}">
              <a16:creationId xmlns:a16="http://schemas.microsoft.com/office/drawing/2014/main" id="{95321B3E-D3A2-47F2-B9F9-0D680DB20941}"/>
            </a:ext>
          </a:extLst>
        </xdr:cNvPr>
        <xdr:cNvSpPr/>
      </xdr:nvSpPr>
      <xdr:spPr>
        <a:xfrm>
          <a:off x="18630900" y="52627829"/>
          <a:ext cx="105156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153</xdr:row>
      <xdr:rowOff>126029</xdr:rowOff>
    </xdr:from>
    <xdr:to>
      <xdr:col>23</xdr:col>
      <xdr:colOff>0</xdr:colOff>
      <xdr:row>156</xdr:row>
      <xdr:rowOff>180373</xdr:rowOff>
    </xdr:to>
    <xdr:sp macro="" textlink="">
      <xdr:nvSpPr>
        <xdr:cNvPr id="30" name="Isosceles Triangle 29">
          <a:extLst>
            <a:ext uri="{FF2B5EF4-FFF2-40B4-BE49-F238E27FC236}">
              <a16:creationId xmlns:a16="http://schemas.microsoft.com/office/drawing/2014/main" id="{4D0F21EC-C907-440B-B3FE-5AE13633103C}"/>
            </a:ext>
          </a:extLst>
        </xdr:cNvPr>
        <xdr:cNvSpPr/>
      </xdr:nvSpPr>
      <xdr:spPr>
        <a:xfrm>
          <a:off x="20589240" y="52627829"/>
          <a:ext cx="101346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0</xdr:col>
      <xdr:colOff>0</xdr:colOff>
      <xdr:row>153</xdr:row>
      <xdr:rowOff>126029</xdr:rowOff>
    </xdr:from>
    <xdr:to>
      <xdr:col>1</xdr:col>
      <xdr:colOff>0</xdr:colOff>
      <xdr:row>156</xdr:row>
      <xdr:rowOff>180373</xdr:rowOff>
    </xdr:to>
    <xdr:sp macro="" textlink="">
      <xdr:nvSpPr>
        <xdr:cNvPr id="31" name="Isosceles Triangle 30">
          <a:extLst>
            <a:ext uri="{FF2B5EF4-FFF2-40B4-BE49-F238E27FC236}">
              <a16:creationId xmlns:a16="http://schemas.microsoft.com/office/drawing/2014/main" id="{51FA95CE-512E-4C7F-8D5F-A49C4C517AC9}"/>
            </a:ext>
          </a:extLst>
        </xdr:cNvPr>
        <xdr:cNvSpPr/>
      </xdr:nvSpPr>
      <xdr:spPr>
        <a:xfrm>
          <a:off x="0" y="52627829"/>
          <a:ext cx="126492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161</xdr:row>
      <xdr:rowOff>126029</xdr:rowOff>
    </xdr:from>
    <xdr:to>
      <xdr:col>3</xdr:col>
      <xdr:colOff>0</xdr:colOff>
      <xdr:row>164</xdr:row>
      <xdr:rowOff>195613</xdr:rowOff>
    </xdr:to>
    <xdr:sp macro="" textlink="">
      <xdr:nvSpPr>
        <xdr:cNvPr id="32" name="Isosceles Triangle 31">
          <a:extLst>
            <a:ext uri="{FF2B5EF4-FFF2-40B4-BE49-F238E27FC236}">
              <a16:creationId xmlns:a16="http://schemas.microsoft.com/office/drawing/2014/main" id="{C9B5A039-9AD7-4EA1-8755-1D26DEE9EBC1}"/>
            </a:ext>
          </a:extLst>
        </xdr:cNvPr>
        <xdr:cNvSpPr/>
      </xdr:nvSpPr>
      <xdr:spPr>
        <a:xfrm>
          <a:off x="2011680" y="55378649"/>
          <a:ext cx="1021080" cy="10449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161</xdr:row>
      <xdr:rowOff>126029</xdr:rowOff>
    </xdr:from>
    <xdr:to>
      <xdr:col>5</xdr:col>
      <xdr:colOff>0</xdr:colOff>
      <xdr:row>164</xdr:row>
      <xdr:rowOff>195613</xdr:rowOff>
    </xdr:to>
    <xdr:sp macro="" textlink="">
      <xdr:nvSpPr>
        <xdr:cNvPr id="33" name="Isosceles Triangle 32">
          <a:extLst>
            <a:ext uri="{FF2B5EF4-FFF2-40B4-BE49-F238E27FC236}">
              <a16:creationId xmlns:a16="http://schemas.microsoft.com/office/drawing/2014/main" id="{46F89218-292F-4A6A-A48F-06EB3A43B769}"/>
            </a:ext>
          </a:extLst>
        </xdr:cNvPr>
        <xdr:cNvSpPr/>
      </xdr:nvSpPr>
      <xdr:spPr>
        <a:xfrm>
          <a:off x="4076700" y="55378649"/>
          <a:ext cx="1196340" cy="10449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161</xdr:row>
      <xdr:rowOff>126029</xdr:rowOff>
    </xdr:from>
    <xdr:to>
      <xdr:col>7</xdr:col>
      <xdr:colOff>0</xdr:colOff>
      <xdr:row>164</xdr:row>
      <xdr:rowOff>195613</xdr:rowOff>
    </xdr:to>
    <xdr:sp macro="" textlink="">
      <xdr:nvSpPr>
        <xdr:cNvPr id="34" name="Isosceles Triangle 33">
          <a:extLst>
            <a:ext uri="{FF2B5EF4-FFF2-40B4-BE49-F238E27FC236}">
              <a16:creationId xmlns:a16="http://schemas.microsoft.com/office/drawing/2014/main" id="{8725CAE7-0768-4883-B62A-766E3A129591}"/>
            </a:ext>
          </a:extLst>
        </xdr:cNvPr>
        <xdr:cNvSpPr/>
      </xdr:nvSpPr>
      <xdr:spPr>
        <a:xfrm>
          <a:off x="6309360" y="55378649"/>
          <a:ext cx="1112520" cy="10449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161</xdr:row>
      <xdr:rowOff>126029</xdr:rowOff>
    </xdr:from>
    <xdr:to>
      <xdr:col>9</xdr:col>
      <xdr:colOff>0</xdr:colOff>
      <xdr:row>164</xdr:row>
      <xdr:rowOff>195613</xdr:rowOff>
    </xdr:to>
    <xdr:sp macro="" textlink="">
      <xdr:nvSpPr>
        <xdr:cNvPr id="35" name="Isosceles Triangle 34">
          <a:extLst>
            <a:ext uri="{FF2B5EF4-FFF2-40B4-BE49-F238E27FC236}">
              <a16:creationId xmlns:a16="http://schemas.microsoft.com/office/drawing/2014/main" id="{AF24AB43-9F67-4FA8-903C-4F78794F907A}"/>
            </a:ext>
          </a:extLst>
        </xdr:cNvPr>
        <xdr:cNvSpPr/>
      </xdr:nvSpPr>
      <xdr:spPr>
        <a:xfrm>
          <a:off x="8298180" y="55378649"/>
          <a:ext cx="1272540" cy="10449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161</xdr:row>
      <xdr:rowOff>126029</xdr:rowOff>
    </xdr:from>
    <xdr:to>
      <xdr:col>11</xdr:col>
      <xdr:colOff>0</xdr:colOff>
      <xdr:row>164</xdr:row>
      <xdr:rowOff>195613</xdr:rowOff>
    </xdr:to>
    <xdr:sp macro="" textlink="">
      <xdr:nvSpPr>
        <xdr:cNvPr id="36" name="Isosceles Triangle 35">
          <a:extLst>
            <a:ext uri="{FF2B5EF4-FFF2-40B4-BE49-F238E27FC236}">
              <a16:creationId xmlns:a16="http://schemas.microsoft.com/office/drawing/2014/main" id="{2942F264-F844-4989-9F96-115A1FEFE3E3}"/>
            </a:ext>
          </a:extLst>
        </xdr:cNvPr>
        <xdr:cNvSpPr/>
      </xdr:nvSpPr>
      <xdr:spPr>
        <a:xfrm>
          <a:off x="10195560" y="55378649"/>
          <a:ext cx="944880" cy="10449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161</xdr:row>
      <xdr:rowOff>126029</xdr:rowOff>
    </xdr:from>
    <xdr:to>
      <xdr:col>13</xdr:col>
      <xdr:colOff>0</xdr:colOff>
      <xdr:row>164</xdr:row>
      <xdr:rowOff>195613</xdr:rowOff>
    </xdr:to>
    <xdr:sp macro="" textlink="">
      <xdr:nvSpPr>
        <xdr:cNvPr id="37" name="Isosceles Triangle 36">
          <a:extLst>
            <a:ext uri="{FF2B5EF4-FFF2-40B4-BE49-F238E27FC236}">
              <a16:creationId xmlns:a16="http://schemas.microsoft.com/office/drawing/2014/main" id="{1A226608-D4A8-4A92-8474-EB4939D0166F}"/>
            </a:ext>
          </a:extLst>
        </xdr:cNvPr>
        <xdr:cNvSpPr/>
      </xdr:nvSpPr>
      <xdr:spPr>
        <a:xfrm>
          <a:off x="11765280" y="55378649"/>
          <a:ext cx="1013460" cy="10449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161</xdr:row>
      <xdr:rowOff>126029</xdr:rowOff>
    </xdr:from>
    <xdr:to>
      <xdr:col>17</xdr:col>
      <xdr:colOff>0</xdr:colOff>
      <xdr:row>164</xdr:row>
      <xdr:rowOff>195613</xdr:rowOff>
    </xdr:to>
    <xdr:sp macro="" textlink="">
      <xdr:nvSpPr>
        <xdr:cNvPr id="38" name="Isosceles Triangle 37">
          <a:extLst>
            <a:ext uri="{FF2B5EF4-FFF2-40B4-BE49-F238E27FC236}">
              <a16:creationId xmlns:a16="http://schemas.microsoft.com/office/drawing/2014/main" id="{6F9C4CCF-FF9B-418E-977C-7032D32307C2}"/>
            </a:ext>
          </a:extLst>
        </xdr:cNvPr>
        <xdr:cNvSpPr/>
      </xdr:nvSpPr>
      <xdr:spPr>
        <a:xfrm>
          <a:off x="15240000" y="55378649"/>
          <a:ext cx="1143000" cy="10449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161</xdr:row>
      <xdr:rowOff>126029</xdr:rowOff>
    </xdr:from>
    <xdr:to>
      <xdr:col>19</xdr:col>
      <xdr:colOff>0</xdr:colOff>
      <xdr:row>164</xdr:row>
      <xdr:rowOff>195613</xdr:rowOff>
    </xdr:to>
    <xdr:sp macro="" textlink="">
      <xdr:nvSpPr>
        <xdr:cNvPr id="39" name="Isosceles Triangle 38">
          <a:extLst>
            <a:ext uri="{FF2B5EF4-FFF2-40B4-BE49-F238E27FC236}">
              <a16:creationId xmlns:a16="http://schemas.microsoft.com/office/drawing/2014/main" id="{5C7E5595-FF88-4CFD-9CED-6857B74E5721}"/>
            </a:ext>
          </a:extLst>
        </xdr:cNvPr>
        <xdr:cNvSpPr/>
      </xdr:nvSpPr>
      <xdr:spPr>
        <a:xfrm>
          <a:off x="17007840" y="55378649"/>
          <a:ext cx="998220" cy="10449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161</xdr:row>
      <xdr:rowOff>127000</xdr:rowOff>
    </xdr:from>
    <xdr:to>
      <xdr:col>15</xdr:col>
      <xdr:colOff>9072</xdr:colOff>
      <xdr:row>164</xdr:row>
      <xdr:rowOff>196584</xdr:rowOff>
    </xdr:to>
    <xdr:sp macro="" textlink="">
      <xdr:nvSpPr>
        <xdr:cNvPr id="40" name="Isosceles Triangle 39">
          <a:extLst>
            <a:ext uri="{FF2B5EF4-FFF2-40B4-BE49-F238E27FC236}">
              <a16:creationId xmlns:a16="http://schemas.microsoft.com/office/drawing/2014/main" id="{A20A1EFD-473B-4A06-AC6A-4B2F933317B2}"/>
            </a:ext>
          </a:extLst>
        </xdr:cNvPr>
        <xdr:cNvSpPr/>
      </xdr:nvSpPr>
      <xdr:spPr>
        <a:xfrm>
          <a:off x="13555980" y="55379620"/>
          <a:ext cx="1053012" cy="10449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161</xdr:row>
      <xdr:rowOff>126029</xdr:rowOff>
    </xdr:from>
    <xdr:to>
      <xdr:col>21</xdr:col>
      <xdr:colOff>0</xdr:colOff>
      <xdr:row>164</xdr:row>
      <xdr:rowOff>195613</xdr:rowOff>
    </xdr:to>
    <xdr:sp macro="" textlink="">
      <xdr:nvSpPr>
        <xdr:cNvPr id="41" name="Isosceles Triangle 40">
          <a:extLst>
            <a:ext uri="{FF2B5EF4-FFF2-40B4-BE49-F238E27FC236}">
              <a16:creationId xmlns:a16="http://schemas.microsoft.com/office/drawing/2014/main" id="{0E04087D-19A4-42F1-B204-37E9234C48C5}"/>
            </a:ext>
          </a:extLst>
        </xdr:cNvPr>
        <xdr:cNvSpPr/>
      </xdr:nvSpPr>
      <xdr:spPr>
        <a:xfrm>
          <a:off x="18630900" y="55378649"/>
          <a:ext cx="1051560" cy="10449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161</xdr:row>
      <xdr:rowOff>126029</xdr:rowOff>
    </xdr:from>
    <xdr:to>
      <xdr:col>23</xdr:col>
      <xdr:colOff>0</xdr:colOff>
      <xdr:row>164</xdr:row>
      <xdr:rowOff>195613</xdr:rowOff>
    </xdr:to>
    <xdr:sp macro="" textlink="">
      <xdr:nvSpPr>
        <xdr:cNvPr id="42" name="Isosceles Triangle 41">
          <a:extLst>
            <a:ext uri="{FF2B5EF4-FFF2-40B4-BE49-F238E27FC236}">
              <a16:creationId xmlns:a16="http://schemas.microsoft.com/office/drawing/2014/main" id="{552B9DE6-A775-4BC3-9A91-B3CC0034BBA4}"/>
            </a:ext>
          </a:extLst>
        </xdr:cNvPr>
        <xdr:cNvSpPr/>
      </xdr:nvSpPr>
      <xdr:spPr>
        <a:xfrm>
          <a:off x="20589240" y="55378649"/>
          <a:ext cx="1013460" cy="10449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0</xdr:col>
      <xdr:colOff>0</xdr:colOff>
      <xdr:row>161</xdr:row>
      <xdr:rowOff>126029</xdr:rowOff>
    </xdr:from>
    <xdr:to>
      <xdr:col>1</xdr:col>
      <xdr:colOff>0</xdr:colOff>
      <xdr:row>164</xdr:row>
      <xdr:rowOff>195613</xdr:rowOff>
    </xdr:to>
    <xdr:sp macro="" textlink="">
      <xdr:nvSpPr>
        <xdr:cNvPr id="43" name="Isosceles Triangle 42">
          <a:extLst>
            <a:ext uri="{FF2B5EF4-FFF2-40B4-BE49-F238E27FC236}">
              <a16:creationId xmlns:a16="http://schemas.microsoft.com/office/drawing/2014/main" id="{7EC9EA00-2077-4254-920D-22FC04AF9018}"/>
            </a:ext>
          </a:extLst>
        </xdr:cNvPr>
        <xdr:cNvSpPr/>
      </xdr:nvSpPr>
      <xdr:spPr>
        <a:xfrm>
          <a:off x="0" y="55378649"/>
          <a:ext cx="1264920" cy="10449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xdr:col>
      <xdr:colOff>736600</xdr:colOff>
      <xdr:row>171</xdr:row>
      <xdr:rowOff>117562</xdr:rowOff>
    </xdr:from>
    <xdr:to>
      <xdr:col>3</xdr:col>
      <xdr:colOff>88900</xdr:colOff>
      <xdr:row>174</xdr:row>
      <xdr:rowOff>177800</xdr:rowOff>
    </xdr:to>
    <xdr:sp macro="" textlink="">
      <xdr:nvSpPr>
        <xdr:cNvPr id="44" name="Isosceles Triangle 43">
          <a:extLst>
            <a:ext uri="{FF2B5EF4-FFF2-40B4-BE49-F238E27FC236}">
              <a16:creationId xmlns:a16="http://schemas.microsoft.com/office/drawing/2014/main" id="{3011693B-D144-4AA4-8B39-EE96E99CFEC3}"/>
            </a:ext>
          </a:extLst>
        </xdr:cNvPr>
        <xdr:cNvSpPr/>
      </xdr:nvSpPr>
      <xdr:spPr>
        <a:xfrm>
          <a:off x="2001520" y="58753462"/>
          <a:ext cx="1120140" cy="1157518"/>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171</xdr:row>
      <xdr:rowOff>126029</xdr:rowOff>
    </xdr:from>
    <xdr:to>
      <xdr:col>5</xdr:col>
      <xdr:colOff>0</xdr:colOff>
      <xdr:row>174</xdr:row>
      <xdr:rowOff>180373</xdr:rowOff>
    </xdr:to>
    <xdr:sp macro="" textlink="">
      <xdr:nvSpPr>
        <xdr:cNvPr id="45" name="Isosceles Triangle 44">
          <a:extLst>
            <a:ext uri="{FF2B5EF4-FFF2-40B4-BE49-F238E27FC236}">
              <a16:creationId xmlns:a16="http://schemas.microsoft.com/office/drawing/2014/main" id="{E01BB276-99B6-4702-B512-85F4E111A959}"/>
            </a:ext>
          </a:extLst>
        </xdr:cNvPr>
        <xdr:cNvSpPr/>
      </xdr:nvSpPr>
      <xdr:spPr>
        <a:xfrm>
          <a:off x="4076700" y="58761929"/>
          <a:ext cx="119634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171</xdr:row>
      <xdr:rowOff>126029</xdr:rowOff>
    </xdr:from>
    <xdr:to>
      <xdr:col>7</xdr:col>
      <xdr:colOff>0</xdr:colOff>
      <xdr:row>174</xdr:row>
      <xdr:rowOff>180373</xdr:rowOff>
    </xdr:to>
    <xdr:sp macro="" textlink="">
      <xdr:nvSpPr>
        <xdr:cNvPr id="46" name="Isosceles Triangle 45">
          <a:extLst>
            <a:ext uri="{FF2B5EF4-FFF2-40B4-BE49-F238E27FC236}">
              <a16:creationId xmlns:a16="http://schemas.microsoft.com/office/drawing/2014/main" id="{57AA7D64-79DA-4D79-B46F-7C1B9DD753F6}"/>
            </a:ext>
          </a:extLst>
        </xdr:cNvPr>
        <xdr:cNvSpPr/>
      </xdr:nvSpPr>
      <xdr:spPr>
        <a:xfrm>
          <a:off x="6309360" y="58761929"/>
          <a:ext cx="111252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171</xdr:row>
      <xdr:rowOff>126029</xdr:rowOff>
    </xdr:from>
    <xdr:to>
      <xdr:col>9</xdr:col>
      <xdr:colOff>0</xdr:colOff>
      <xdr:row>174</xdr:row>
      <xdr:rowOff>180373</xdr:rowOff>
    </xdr:to>
    <xdr:sp macro="" textlink="">
      <xdr:nvSpPr>
        <xdr:cNvPr id="47" name="Isosceles Triangle 46">
          <a:extLst>
            <a:ext uri="{FF2B5EF4-FFF2-40B4-BE49-F238E27FC236}">
              <a16:creationId xmlns:a16="http://schemas.microsoft.com/office/drawing/2014/main" id="{DAB4C09B-3AD8-4B10-8335-1F8ADF6F010A}"/>
            </a:ext>
          </a:extLst>
        </xdr:cNvPr>
        <xdr:cNvSpPr/>
      </xdr:nvSpPr>
      <xdr:spPr>
        <a:xfrm>
          <a:off x="8298180" y="58761929"/>
          <a:ext cx="127254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171</xdr:row>
      <xdr:rowOff>126029</xdr:rowOff>
    </xdr:from>
    <xdr:to>
      <xdr:col>11</xdr:col>
      <xdr:colOff>0</xdr:colOff>
      <xdr:row>174</xdr:row>
      <xdr:rowOff>180373</xdr:rowOff>
    </xdr:to>
    <xdr:sp macro="" textlink="">
      <xdr:nvSpPr>
        <xdr:cNvPr id="48" name="Isosceles Triangle 47">
          <a:extLst>
            <a:ext uri="{FF2B5EF4-FFF2-40B4-BE49-F238E27FC236}">
              <a16:creationId xmlns:a16="http://schemas.microsoft.com/office/drawing/2014/main" id="{F511FA8D-8458-40CB-A676-37B957FCC0EA}"/>
            </a:ext>
          </a:extLst>
        </xdr:cNvPr>
        <xdr:cNvSpPr/>
      </xdr:nvSpPr>
      <xdr:spPr>
        <a:xfrm>
          <a:off x="10195560" y="58761929"/>
          <a:ext cx="94488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171</xdr:row>
      <xdr:rowOff>126029</xdr:rowOff>
    </xdr:from>
    <xdr:to>
      <xdr:col>13</xdr:col>
      <xdr:colOff>0</xdr:colOff>
      <xdr:row>174</xdr:row>
      <xdr:rowOff>180373</xdr:rowOff>
    </xdr:to>
    <xdr:sp macro="" textlink="">
      <xdr:nvSpPr>
        <xdr:cNvPr id="49" name="Isosceles Triangle 48">
          <a:extLst>
            <a:ext uri="{FF2B5EF4-FFF2-40B4-BE49-F238E27FC236}">
              <a16:creationId xmlns:a16="http://schemas.microsoft.com/office/drawing/2014/main" id="{33B761FC-058F-43D5-8B87-03B8FC76D8BC}"/>
            </a:ext>
          </a:extLst>
        </xdr:cNvPr>
        <xdr:cNvSpPr/>
      </xdr:nvSpPr>
      <xdr:spPr>
        <a:xfrm>
          <a:off x="11765280" y="58761929"/>
          <a:ext cx="101346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171</xdr:row>
      <xdr:rowOff>126029</xdr:rowOff>
    </xdr:from>
    <xdr:to>
      <xdr:col>17</xdr:col>
      <xdr:colOff>0</xdr:colOff>
      <xdr:row>174</xdr:row>
      <xdr:rowOff>180373</xdr:rowOff>
    </xdr:to>
    <xdr:sp macro="" textlink="">
      <xdr:nvSpPr>
        <xdr:cNvPr id="50" name="Isosceles Triangle 49">
          <a:extLst>
            <a:ext uri="{FF2B5EF4-FFF2-40B4-BE49-F238E27FC236}">
              <a16:creationId xmlns:a16="http://schemas.microsoft.com/office/drawing/2014/main" id="{EAFB61C4-566A-415D-92AA-D60CB123D02A}"/>
            </a:ext>
          </a:extLst>
        </xdr:cNvPr>
        <xdr:cNvSpPr/>
      </xdr:nvSpPr>
      <xdr:spPr>
        <a:xfrm>
          <a:off x="15240000" y="58761929"/>
          <a:ext cx="114300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171</xdr:row>
      <xdr:rowOff>126029</xdr:rowOff>
    </xdr:from>
    <xdr:to>
      <xdr:col>19</xdr:col>
      <xdr:colOff>0</xdr:colOff>
      <xdr:row>174</xdr:row>
      <xdr:rowOff>180373</xdr:rowOff>
    </xdr:to>
    <xdr:sp macro="" textlink="">
      <xdr:nvSpPr>
        <xdr:cNvPr id="51" name="Isosceles Triangle 50">
          <a:extLst>
            <a:ext uri="{FF2B5EF4-FFF2-40B4-BE49-F238E27FC236}">
              <a16:creationId xmlns:a16="http://schemas.microsoft.com/office/drawing/2014/main" id="{EF40DF24-5AE4-44F4-A1B1-79E2BC69C482}"/>
            </a:ext>
          </a:extLst>
        </xdr:cNvPr>
        <xdr:cNvSpPr/>
      </xdr:nvSpPr>
      <xdr:spPr>
        <a:xfrm>
          <a:off x="17007840" y="58761929"/>
          <a:ext cx="99822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171</xdr:row>
      <xdr:rowOff>127000</xdr:rowOff>
    </xdr:from>
    <xdr:to>
      <xdr:col>15</xdr:col>
      <xdr:colOff>9072</xdr:colOff>
      <xdr:row>174</xdr:row>
      <xdr:rowOff>181344</xdr:rowOff>
    </xdr:to>
    <xdr:sp macro="" textlink="">
      <xdr:nvSpPr>
        <xdr:cNvPr id="52" name="Isosceles Triangle 51">
          <a:extLst>
            <a:ext uri="{FF2B5EF4-FFF2-40B4-BE49-F238E27FC236}">
              <a16:creationId xmlns:a16="http://schemas.microsoft.com/office/drawing/2014/main" id="{1275528E-9357-490F-AEC7-8A9CBE018621}"/>
            </a:ext>
          </a:extLst>
        </xdr:cNvPr>
        <xdr:cNvSpPr/>
      </xdr:nvSpPr>
      <xdr:spPr>
        <a:xfrm>
          <a:off x="13555980" y="58762900"/>
          <a:ext cx="1053012"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171</xdr:row>
      <xdr:rowOff>126029</xdr:rowOff>
    </xdr:from>
    <xdr:to>
      <xdr:col>21</xdr:col>
      <xdr:colOff>0</xdr:colOff>
      <xdr:row>174</xdr:row>
      <xdr:rowOff>180373</xdr:rowOff>
    </xdr:to>
    <xdr:sp macro="" textlink="">
      <xdr:nvSpPr>
        <xdr:cNvPr id="53" name="Isosceles Triangle 52">
          <a:extLst>
            <a:ext uri="{FF2B5EF4-FFF2-40B4-BE49-F238E27FC236}">
              <a16:creationId xmlns:a16="http://schemas.microsoft.com/office/drawing/2014/main" id="{F8EC451C-B76E-4926-81D8-E901C8E8D936}"/>
            </a:ext>
          </a:extLst>
        </xdr:cNvPr>
        <xdr:cNvSpPr/>
      </xdr:nvSpPr>
      <xdr:spPr>
        <a:xfrm>
          <a:off x="18630900" y="58761929"/>
          <a:ext cx="105156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171</xdr:row>
      <xdr:rowOff>126029</xdr:rowOff>
    </xdr:from>
    <xdr:to>
      <xdr:col>23</xdr:col>
      <xdr:colOff>0</xdr:colOff>
      <xdr:row>174</xdr:row>
      <xdr:rowOff>180373</xdr:rowOff>
    </xdr:to>
    <xdr:sp macro="" textlink="">
      <xdr:nvSpPr>
        <xdr:cNvPr id="54" name="Isosceles Triangle 53">
          <a:extLst>
            <a:ext uri="{FF2B5EF4-FFF2-40B4-BE49-F238E27FC236}">
              <a16:creationId xmlns:a16="http://schemas.microsoft.com/office/drawing/2014/main" id="{2A598F22-F770-428C-BF7D-382AE4C76D6C}"/>
            </a:ext>
          </a:extLst>
        </xdr:cNvPr>
        <xdr:cNvSpPr/>
      </xdr:nvSpPr>
      <xdr:spPr>
        <a:xfrm>
          <a:off x="20589240" y="58761929"/>
          <a:ext cx="101346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0</xdr:col>
      <xdr:colOff>0</xdr:colOff>
      <xdr:row>171</xdr:row>
      <xdr:rowOff>126029</xdr:rowOff>
    </xdr:from>
    <xdr:to>
      <xdr:col>1</xdr:col>
      <xdr:colOff>0</xdr:colOff>
      <xdr:row>174</xdr:row>
      <xdr:rowOff>180373</xdr:rowOff>
    </xdr:to>
    <xdr:sp macro="" textlink="">
      <xdr:nvSpPr>
        <xdr:cNvPr id="55" name="Isosceles Triangle 54">
          <a:extLst>
            <a:ext uri="{FF2B5EF4-FFF2-40B4-BE49-F238E27FC236}">
              <a16:creationId xmlns:a16="http://schemas.microsoft.com/office/drawing/2014/main" id="{730C836B-4E8C-4C40-A17C-499276A43A00}"/>
            </a:ext>
          </a:extLst>
        </xdr:cNvPr>
        <xdr:cNvSpPr/>
      </xdr:nvSpPr>
      <xdr:spPr>
        <a:xfrm>
          <a:off x="0" y="58761929"/>
          <a:ext cx="126492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180</xdr:row>
      <xdr:rowOff>126029</xdr:rowOff>
    </xdr:from>
    <xdr:to>
      <xdr:col>3</xdr:col>
      <xdr:colOff>0</xdr:colOff>
      <xdr:row>183</xdr:row>
      <xdr:rowOff>187993</xdr:rowOff>
    </xdr:to>
    <xdr:sp macro="" textlink="">
      <xdr:nvSpPr>
        <xdr:cNvPr id="56" name="Isosceles Triangle 55">
          <a:extLst>
            <a:ext uri="{FF2B5EF4-FFF2-40B4-BE49-F238E27FC236}">
              <a16:creationId xmlns:a16="http://schemas.microsoft.com/office/drawing/2014/main" id="{7999FEDC-EA0A-4042-BA6B-770A03A0EC1D}"/>
            </a:ext>
          </a:extLst>
        </xdr:cNvPr>
        <xdr:cNvSpPr/>
      </xdr:nvSpPr>
      <xdr:spPr>
        <a:xfrm>
          <a:off x="2011680" y="62015669"/>
          <a:ext cx="102108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180</xdr:row>
      <xdr:rowOff>126029</xdr:rowOff>
    </xdr:from>
    <xdr:to>
      <xdr:col>5</xdr:col>
      <xdr:colOff>0</xdr:colOff>
      <xdr:row>183</xdr:row>
      <xdr:rowOff>187993</xdr:rowOff>
    </xdr:to>
    <xdr:sp macro="" textlink="">
      <xdr:nvSpPr>
        <xdr:cNvPr id="57" name="Isosceles Triangle 56">
          <a:extLst>
            <a:ext uri="{FF2B5EF4-FFF2-40B4-BE49-F238E27FC236}">
              <a16:creationId xmlns:a16="http://schemas.microsoft.com/office/drawing/2014/main" id="{8CEDB4ED-D8BB-41E2-B337-6695533431E9}"/>
            </a:ext>
          </a:extLst>
        </xdr:cNvPr>
        <xdr:cNvSpPr/>
      </xdr:nvSpPr>
      <xdr:spPr>
        <a:xfrm>
          <a:off x="4076700" y="62015669"/>
          <a:ext cx="119634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180</xdr:row>
      <xdr:rowOff>126029</xdr:rowOff>
    </xdr:from>
    <xdr:to>
      <xdr:col>7</xdr:col>
      <xdr:colOff>0</xdr:colOff>
      <xdr:row>183</xdr:row>
      <xdr:rowOff>187993</xdr:rowOff>
    </xdr:to>
    <xdr:sp macro="" textlink="">
      <xdr:nvSpPr>
        <xdr:cNvPr id="58" name="Isosceles Triangle 57">
          <a:extLst>
            <a:ext uri="{FF2B5EF4-FFF2-40B4-BE49-F238E27FC236}">
              <a16:creationId xmlns:a16="http://schemas.microsoft.com/office/drawing/2014/main" id="{550A64C1-5DE9-4AF0-82DE-F01D66936408}"/>
            </a:ext>
          </a:extLst>
        </xdr:cNvPr>
        <xdr:cNvSpPr/>
      </xdr:nvSpPr>
      <xdr:spPr>
        <a:xfrm>
          <a:off x="6309360" y="62015669"/>
          <a:ext cx="111252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180</xdr:row>
      <xdr:rowOff>126029</xdr:rowOff>
    </xdr:from>
    <xdr:to>
      <xdr:col>9</xdr:col>
      <xdr:colOff>0</xdr:colOff>
      <xdr:row>183</xdr:row>
      <xdr:rowOff>187993</xdr:rowOff>
    </xdr:to>
    <xdr:sp macro="" textlink="">
      <xdr:nvSpPr>
        <xdr:cNvPr id="59" name="Isosceles Triangle 58">
          <a:extLst>
            <a:ext uri="{FF2B5EF4-FFF2-40B4-BE49-F238E27FC236}">
              <a16:creationId xmlns:a16="http://schemas.microsoft.com/office/drawing/2014/main" id="{7D0E0505-ABB6-4B6F-9AC7-CD1E340FB4DC}"/>
            </a:ext>
          </a:extLst>
        </xdr:cNvPr>
        <xdr:cNvSpPr/>
      </xdr:nvSpPr>
      <xdr:spPr>
        <a:xfrm>
          <a:off x="8298180" y="62015669"/>
          <a:ext cx="127254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180</xdr:row>
      <xdr:rowOff>126029</xdr:rowOff>
    </xdr:from>
    <xdr:to>
      <xdr:col>11</xdr:col>
      <xdr:colOff>0</xdr:colOff>
      <xdr:row>183</xdr:row>
      <xdr:rowOff>187993</xdr:rowOff>
    </xdr:to>
    <xdr:sp macro="" textlink="">
      <xdr:nvSpPr>
        <xdr:cNvPr id="60" name="Isosceles Triangle 59">
          <a:extLst>
            <a:ext uri="{FF2B5EF4-FFF2-40B4-BE49-F238E27FC236}">
              <a16:creationId xmlns:a16="http://schemas.microsoft.com/office/drawing/2014/main" id="{AA40327F-3983-45C5-AC55-0BF7D0B332CE}"/>
            </a:ext>
          </a:extLst>
        </xdr:cNvPr>
        <xdr:cNvSpPr/>
      </xdr:nvSpPr>
      <xdr:spPr>
        <a:xfrm>
          <a:off x="10195560" y="62015669"/>
          <a:ext cx="94488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15875</xdr:colOff>
      <xdr:row>180</xdr:row>
      <xdr:rowOff>110154</xdr:rowOff>
    </xdr:from>
    <xdr:to>
      <xdr:col>13</xdr:col>
      <xdr:colOff>15875</xdr:colOff>
      <xdr:row>183</xdr:row>
      <xdr:rowOff>179738</xdr:rowOff>
    </xdr:to>
    <xdr:sp macro="" textlink="">
      <xdr:nvSpPr>
        <xdr:cNvPr id="61" name="Isosceles Triangle 60">
          <a:extLst>
            <a:ext uri="{FF2B5EF4-FFF2-40B4-BE49-F238E27FC236}">
              <a16:creationId xmlns:a16="http://schemas.microsoft.com/office/drawing/2014/main" id="{00758FFF-BDA0-4EC1-852C-A21F0FBA4F8A}"/>
            </a:ext>
          </a:extLst>
        </xdr:cNvPr>
        <xdr:cNvSpPr/>
      </xdr:nvSpPr>
      <xdr:spPr>
        <a:xfrm>
          <a:off x="11781155" y="61999794"/>
          <a:ext cx="10134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180</xdr:row>
      <xdr:rowOff>126029</xdr:rowOff>
    </xdr:from>
    <xdr:to>
      <xdr:col>17</xdr:col>
      <xdr:colOff>0</xdr:colOff>
      <xdr:row>183</xdr:row>
      <xdr:rowOff>187993</xdr:rowOff>
    </xdr:to>
    <xdr:sp macro="" textlink="">
      <xdr:nvSpPr>
        <xdr:cNvPr id="62" name="Isosceles Triangle 61">
          <a:extLst>
            <a:ext uri="{FF2B5EF4-FFF2-40B4-BE49-F238E27FC236}">
              <a16:creationId xmlns:a16="http://schemas.microsoft.com/office/drawing/2014/main" id="{01FD03FE-7BC7-4ABF-9F85-413100E08AA7}"/>
            </a:ext>
          </a:extLst>
        </xdr:cNvPr>
        <xdr:cNvSpPr/>
      </xdr:nvSpPr>
      <xdr:spPr>
        <a:xfrm>
          <a:off x="15240000" y="62015669"/>
          <a:ext cx="114300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180</xdr:row>
      <xdr:rowOff>126029</xdr:rowOff>
    </xdr:from>
    <xdr:to>
      <xdr:col>19</xdr:col>
      <xdr:colOff>0</xdr:colOff>
      <xdr:row>183</xdr:row>
      <xdr:rowOff>187993</xdr:rowOff>
    </xdr:to>
    <xdr:sp macro="" textlink="">
      <xdr:nvSpPr>
        <xdr:cNvPr id="63" name="Isosceles Triangle 62">
          <a:extLst>
            <a:ext uri="{FF2B5EF4-FFF2-40B4-BE49-F238E27FC236}">
              <a16:creationId xmlns:a16="http://schemas.microsoft.com/office/drawing/2014/main" id="{FBD56BAC-05E3-49E4-96E3-A37D8A97F324}"/>
            </a:ext>
          </a:extLst>
        </xdr:cNvPr>
        <xdr:cNvSpPr/>
      </xdr:nvSpPr>
      <xdr:spPr>
        <a:xfrm>
          <a:off x="17007840" y="62015669"/>
          <a:ext cx="99822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180</xdr:row>
      <xdr:rowOff>127000</xdr:rowOff>
    </xdr:from>
    <xdr:to>
      <xdr:col>15</xdr:col>
      <xdr:colOff>9072</xdr:colOff>
      <xdr:row>183</xdr:row>
      <xdr:rowOff>188964</xdr:rowOff>
    </xdr:to>
    <xdr:sp macro="" textlink="">
      <xdr:nvSpPr>
        <xdr:cNvPr id="64" name="Isosceles Triangle 63">
          <a:extLst>
            <a:ext uri="{FF2B5EF4-FFF2-40B4-BE49-F238E27FC236}">
              <a16:creationId xmlns:a16="http://schemas.microsoft.com/office/drawing/2014/main" id="{E1660C65-906F-4EAE-9B9E-119502DC360F}"/>
            </a:ext>
          </a:extLst>
        </xdr:cNvPr>
        <xdr:cNvSpPr/>
      </xdr:nvSpPr>
      <xdr:spPr>
        <a:xfrm>
          <a:off x="13555980" y="62016640"/>
          <a:ext cx="1053012"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180</xdr:row>
      <xdr:rowOff>126029</xdr:rowOff>
    </xdr:from>
    <xdr:to>
      <xdr:col>21</xdr:col>
      <xdr:colOff>0</xdr:colOff>
      <xdr:row>183</xdr:row>
      <xdr:rowOff>187993</xdr:rowOff>
    </xdr:to>
    <xdr:sp macro="" textlink="">
      <xdr:nvSpPr>
        <xdr:cNvPr id="65" name="Isosceles Triangle 64">
          <a:extLst>
            <a:ext uri="{FF2B5EF4-FFF2-40B4-BE49-F238E27FC236}">
              <a16:creationId xmlns:a16="http://schemas.microsoft.com/office/drawing/2014/main" id="{3E9FEDDE-491A-411B-B2EA-CBB1AE9AD7B6}"/>
            </a:ext>
          </a:extLst>
        </xdr:cNvPr>
        <xdr:cNvSpPr/>
      </xdr:nvSpPr>
      <xdr:spPr>
        <a:xfrm>
          <a:off x="18630900" y="62015669"/>
          <a:ext cx="105156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180</xdr:row>
      <xdr:rowOff>126029</xdr:rowOff>
    </xdr:from>
    <xdr:to>
      <xdr:col>23</xdr:col>
      <xdr:colOff>0</xdr:colOff>
      <xdr:row>183</xdr:row>
      <xdr:rowOff>187993</xdr:rowOff>
    </xdr:to>
    <xdr:sp macro="" textlink="">
      <xdr:nvSpPr>
        <xdr:cNvPr id="66" name="Isosceles Triangle 65">
          <a:extLst>
            <a:ext uri="{FF2B5EF4-FFF2-40B4-BE49-F238E27FC236}">
              <a16:creationId xmlns:a16="http://schemas.microsoft.com/office/drawing/2014/main" id="{AFE8D652-CAED-4BA5-8D57-E3F158E7A338}"/>
            </a:ext>
          </a:extLst>
        </xdr:cNvPr>
        <xdr:cNvSpPr/>
      </xdr:nvSpPr>
      <xdr:spPr>
        <a:xfrm>
          <a:off x="20589240" y="62015669"/>
          <a:ext cx="101346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0</xdr:col>
      <xdr:colOff>0</xdr:colOff>
      <xdr:row>180</xdr:row>
      <xdr:rowOff>126029</xdr:rowOff>
    </xdr:from>
    <xdr:to>
      <xdr:col>1</xdr:col>
      <xdr:colOff>0</xdr:colOff>
      <xdr:row>183</xdr:row>
      <xdr:rowOff>187993</xdr:rowOff>
    </xdr:to>
    <xdr:sp macro="" textlink="">
      <xdr:nvSpPr>
        <xdr:cNvPr id="67" name="Isosceles Triangle 66">
          <a:extLst>
            <a:ext uri="{FF2B5EF4-FFF2-40B4-BE49-F238E27FC236}">
              <a16:creationId xmlns:a16="http://schemas.microsoft.com/office/drawing/2014/main" id="{2F9DAF08-9596-4BA5-9D88-3FECE6DAB5CB}"/>
            </a:ext>
          </a:extLst>
        </xdr:cNvPr>
        <xdr:cNvSpPr/>
      </xdr:nvSpPr>
      <xdr:spPr>
        <a:xfrm>
          <a:off x="0" y="62015669"/>
          <a:ext cx="126492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189</xdr:row>
      <xdr:rowOff>126029</xdr:rowOff>
    </xdr:from>
    <xdr:to>
      <xdr:col>3</xdr:col>
      <xdr:colOff>0</xdr:colOff>
      <xdr:row>192</xdr:row>
      <xdr:rowOff>165133</xdr:rowOff>
    </xdr:to>
    <xdr:sp macro="" textlink="">
      <xdr:nvSpPr>
        <xdr:cNvPr id="68" name="Isosceles Triangle 67">
          <a:extLst>
            <a:ext uri="{FF2B5EF4-FFF2-40B4-BE49-F238E27FC236}">
              <a16:creationId xmlns:a16="http://schemas.microsoft.com/office/drawing/2014/main" id="{B6A15F29-3F38-4324-9DDC-860A4D3385A9}"/>
            </a:ext>
          </a:extLst>
        </xdr:cNvPr>
        <xdr:cNvSpPr/>
      </xdr:nvSpPr>
      <xdr:spPr>
        <a:xfrm>
          <a:off x="2011680" y="65337989"/>
          <a:ext cx="102108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189</xdr:row>
      <xdr:rowOff>126029</xdr:rowOff>
    </xdr:from>
    <xdr:to>
      <xdr:col>5</xdr:col>
      <xdr:colOff>0</xdr:colOff>
      <xdr:row>192</xdr:row>
      <xdr:rowOff>165133</xdr:rowOff>
    </xdr:to>
    <xdr:sp macro="" textlink="">
      <xdr:nvSpPr>
        <xdr:cNvPr id="69" name="Isosceles Triangle 68">
          <a:extLst>
            <a:ext uri="{FF2B5EF4-FFF2-40B4-BE49-F238E27FC236}">
              <a16:creationId xmlns:a16="http://schemas.microsoft.com/office/drawing/2014/main" id="{870B4BEF-A661-4428-8464-E9FF8B89627E}"/>
            </a:ext>
          </a:extLst>
        </xdr:cNvPr>
        <xdr:cNvSpPr/>
      </xdr:nvSpPr>
      <xdr:spPr>
        <a:xfrm>
          <a:off x="4076700" y="65337989"/>
          <a:ext cx="119634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189</xdr:row>
      <xdr:rowOff>126029</xdr:rowOff>
    </xdr:from>
    <xdr:to>
      <xdr:col>7</xdr:col>
      <xdr:colOff>0</xdr:colOff>
      <xdr:row>192</xdr:row>
      <xdr:rowOff>165133</xdr:rowOff>
    </xdr:to>
    <xdr:sp macro="" textlink="">
      <xdr:nvSpPr>
        <xdr:cNvPr id="70" name="Isosceles Triangle 69">
          <a:extLst>
            <a:ext uri="{FF2B5EF4-FFF2-40B4-BE49-F238E27FC236}">
              <a16:creationId xmlns:a16="http://schemas.microsoft.com/office/drawing/2014/main" id="{7D16AD7F-251C-4C10-A3B4-E1718EA54E32}"/>
            </a:ext>
          </a:extLst>
        </xdr:cNvPr>
        <xdr:cNvSpPr/>
      </xdr:nvSpPr>
      <xdr:spPr>
        <a:xfrm>
          <a:off x="6309360" y="65337989"/>
          <a:ext cx="111252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189</xdr:row>
      <xdr:rowOff>126029</xdr:rowOff>
    </xdr:from>
    <xdr:to>
      <xdr:col>9</xdr:col>
      <xdr:colOff>0</xdr:colOff>
      <xdr:row>192</xdr:row>
      <xdr:rowOff>165133</xdr:rowOff>
    </xdr:to>
    <xdr:sp macro="" textlink="">
      <xdr:nvSpPr>
        <xdr:cNvPr id="71" name="Isosceles Triangle 70">
          <a:extLst>
            <a:ext uri="{FF2B5EF4-FFF2-40B4-BE49-F238E27FC236}">
              <a16:creationId xmlns:a16="http://schemas.microsoft.com/office/drawing/2014/main" id="{69D99859-B863-43E6-B667-CC92CEA4A76E}"/>
            </a:ext>
          </a:extLst>
        </xdr:cNvPr>
        <xdr:cNvSpPr/>
      </xdr:nvSpPr>
      <xdr:spPr>
        <a:xfrm>
          <a:off x="8298180" y="65337989"/>
          <a:ext cx="127254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189</xdr:row>
      <xdr:rowOff>126029</xdr:rowOff>
    </xdr:from>
    <xdr:to>
      <xdr:col>11</xdr:col>
      <xdr:colOff>0</xdr:colOff>
      <xdr:row>192</xdr:row>
      <xdr:rowOff>165133</xdr:rowOff>
    </xdr:to>
    <xdr:sp macro="" textlink="">
      <xdr:nvSpPr>
        <xdr:cNvPr id="72" name="Isosceles Triangle 71">
          <a:extLst>
            <a:ext uri="{FF2B5EF4-FFF2-40B4-BE49-F238E27FC236}">
              <a16:creationId xmlns:a16="http://schemas.microsoft.com/office/drawing/2014/main" id="{69A3ACCF-436B-41E0-A96D-565DE1DD4583}"/>
            </a:ext>
          </a:extLst>
        </xdr:cNvPr>
        <xdr:cNvSpPr/>
      </xdr:nvSpPr>
      <xdr:spPr>
        <a:xfrm>
          <a:off x="10195560" y="65337989"/>
          <a:ext cx="94488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189</xdr:row>
      <xdr:rowOff>126029</xdr:rowOff>
    </xdr:from>
    <xdr:to>
      <xdr:col>13</xdr:col>
      <xdr:colOff>0</xdr:colOff>
      <xdr:row>192</xdr:row>
      <xdr:rowOff>165133</xdr:rowOff>
    </xdr:to>
    <xdr:sp macro="" textlink="">
      <xdr:nvSpPr>
        <xdr:cNvPr id="73" name="Isosceles Triangle 72">
          <a:extLst>
            <a:ext uri="{FF2B5EF4-FFF2-40B4-BE49-F238E27FC236}">
              <a16:creationId xmlns:a16="http://schemas.microsoft.com/office/drawing/2014/main" id="{53AC8B87-A446-44F4-A9A2-4505E28EEFF5}"/>
            </a:ext>
          </a:extLst>
        </xdr:cNvPr>
        <xdr:cNvSpPr/>
      </xdr:nvSpPr>
      <xdr:spPr>
        <a:xfrm>
          <a:off x="11765280" y="65337989"/>
          <a:ext cx="101346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189</xdr:row>
      <xdr:rowOff>126029</xdr:rowOff>
    </xdr:from>
    <xdr:to>
      <xdr:col>17</xdr:col>
      <xdr:colOff>0</xdr:colOff>
      <xdr:row>192</xdr:row>
      <xdr:rowOff>165133</xdr:rowOff>
    </xdr:to>
    <xdr:sp macro="" textlink="">
      <xdr:nvSpPr>
        <xdr:cNvPr id="74" name="Isosceles Triangle 73">
          <a:extLst>
            <a:ext uri="{FF2B5EF4-FFF2-40B4-BE49-F238E27FC236}">
              <a16:creationId xmlns:a16="http://schemas.microsoft.com/office/drawing/2014/main" id="{679C25BB-8068-4E64-916C-41950AD209E1}"/>
            </a:ext>
          </a:extLst>
        </xdr:cNvPr>
        <xdr:cNvSpPr/>
      </xdr:nvSpPr>
      <xdr:spPr>
        <a:xfrm>
          <a:off x="15240000" y="65337989"/>
          <a:ext cx="114300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189</xdr:row>
      <xdr:rowOff>126029</xdr:rowOff>
    </xdr:from>
    <xdr:to>
      <xdr:col>19</xdr:col>
      <xdr:colOff>0</xdr:colOff>
      <xdr:row>192</xdr:row>
      <xdr:rowOff>165133</xdr:rowOff>
    </xdr:to>
    <xdr:sp macro="" textlink="">
      <xdr:nvSpPr>
        <xdr:cNvPr id="75" name="Isosceles Triangle 74">
          <a:extLst>
            <a:ext uri="{FF2B5EF4-FFF2-40B4-BE49-F238E27FC236}">
              <a16:creationId xmlns:a16="http://schemas.microsoft.com/office/drawing/2014/main" id="{0AAC6BA0-2FE6-4F55-B15E-B6A0174FD470}"/>
            </a:ext>
          </a:extLst>
        </xdr:cNvPr>
        <xdr:cNvSpPr/>
      </xdr:nvSpPr>
      <xdr:spPr>
        <a:xfrm>
          <a:off x="17007840" y="65337989"/>
          <a:ext cx="99822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189</xdr:row>
      <xdr:rowOff>127000</xdr:rowOff>
    </xdr:from>
    <xdr:to>
      <xdr:col>15</xdr:col>
      <xdr:colOff>9072</xdr:colOff>
      <xdr:row>192</xdr:row>
      <xdr:rowOff>166104</xdr:rowOff>
    </xdr:to>
    <xdr:sp macro="" textlink="">
      <xdr:nvSpPr>
        <xdr:cNvPr id="76" name="Isosceles Triangle 75">
          <a:extLst>
            <a:ext uri="{FF2B5EF4-FFF2-40B4-BE49-F238E27FC236}">
              <a16:creationId xmlns:a16="http://schemas.microsoft.com/office/drawing/2014/main" id="{3F6748FB-B6FF-4A3F-997E-02458C618F35}"/>
            </a:ext>
          </a:extLst>
        </xdr:cNvPr>
        <xdr:cNvSpPr/>
      </xdr:nvSpPr>
      <xdr:spPr>
        <a:xfrm>
          <a:off x="13555980" y="65338960"/>
          <a:ext cx="1053012"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189</xdr:row>
      <xdr:rowOff>126029</xdr:rowOff>
    </xdr:from>
    <xdr:to>
      <xdr:col>21</xdr:col>
      <xdr:colOff>0</xdr:colOff>
      <xdr:row>192</xdr:row>
      <xdr:rowOff>165133</xdr:rowOff>
    </xdr:to>
    <xdr:sp macro="" textlink="">
      <xdr:nvSpPr>
        <xdr:cNvPr id="77" name="Isosceles Triangle 76">
          <a:extLst>
            <a:ext uri="{FF2B5EF4-FFF2-40B4-BE49-F238E27FC236}">
              <a16:creationId xmlns:a16="http://schemas.microsoft.com/office/drawing/2014/main" id="{A06BAF1F-0673-40C7-9CBA-A87FB3D015BE}"/>
            </a:ext>
          </a:extLst>
        </xdr:cNvPr>
        <xdr:cNvSpPr/>
      </xdr:nvSpPr>
      <xdr:spPr>
        <a:xfrm>
          <a:off x="18630900" y="65337989"/>
          <a:ext cx="105156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189</xdr:row>
      <xdr:rowOff>126029</xdr:rowOff>
    </xdr:from>
    <xdr:to>
      <xdr:col>23</xdr:col>
      <xdr:colOff>0</xdr:colOff>
      <xdr:row>192</xdr:row>
      <xdr:rowOff>165133</xdr:rowOff>
    </xdr:to>
    <xdr:sp macro="" textlink="">
      <xdr:nvSpPr>
        <xdr:cNvPr id="78" name="Isosceles Triangle 77">
          <a:extLst>
            <a:ext uri="{FF2B5EF4-FFF2-40B4-BE49-F238E27FC236}">
              <a16:creationId xmlns:a16="http://schemas.microsoft.com/office/drawing/2014/main" id="{563A2F01-D3EE-4F2B-AFD2-DAC666A6B389}"/>
            </a:ext>
          </a:extLst>
        </xdr:cNvPr>
        <xdr:cNvSpPr/>
      </xdr:nvSpPr>
      <xdr:spPr>
        <a:xfrm>
          <a:off x="20589240" y="65337989"/>
          <a:ext cx="101346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0</xdr:col>
      <xdr:colOff>0</xdr:colOff>
      <xdr:row>189</xdr:row>
      <xdr:rowOff>126029</xdr:rowOff>
    </xdr:from>
    <xdr:to>
      <xdr:col>1</xdr:col>
      <xdr:colOff>0</xdr:colOff>
      <xdr:row>192</xdr:row>
      <xdr:rowOff>165133</xdr:rowOff>
    </xdr:to>
    <xdr:sp macro="" textlink="">
      <xdr:nvSpPr>
        <xdr:cNvPr id="79" name="Isosceles Triangle 78">
          <a:extLst>
            <a:ext uri="{FF2B5EF4-FFF2-40B4-BE49-F238E27FC236}">
              <a16:creationId xmlns:a16="http://schemas.microsoft.com/office/drawing/2014/main" id="{6F8E100D-CCFA-4E8B-AC75-2B4DDC4F6883}"/>
            </a:ext>
          </a:extLst>
        </xdr:cNvPr>
        <xdr:cNvSpPr/>
      </xdr:nvSpPr>
      <xdr:spPr>
        <a:xfrm>
          <a:off x="0" y="65337989"/>
          <a:ext cx="126492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198</xdr:row>
      <xdr:rowOff>126029</xdr:rowOff>
    </xdr:from>
    <xdr:to>
      <xdr:col>3</xdr:col>
      <xdr:colOff>0</xdr:colOff>
      <xdr:row>201</xdr:row>
      <xdr:rowOff>195613</xdr:rowOff>
    </xdr:to>
    <xdr:sp macro="" textlink="">
      <xdr:nvSpPr>
        <xdr:cNvPr id="80" name="Isosceles Triangle 79">
          <a:extLst>
            <a:ext uri="{FF2B5EF4-FFF2-40B4-BE49-F238E27FC236}">
              <a16:creationId xmlns:a16="http://schemas.microsoft.com/office/drawing/2014/main" id="{98792BA1-1D68-41CF-8980-FD6CBF9A6BFB}"/>
            </a:ext>
          </a:extLst>
        </xdr:cNvPr>
        <xdr:cNvSpPr/>
      </xdr:nvSpPr>
      <xdr:spPr>
        <a:xfrm>
          <a:off x="2011680" y="68500289"/>
          <a:ext cx="102108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198</xdr:row>
      <xdr:rowOff>126029</xdr:rowOff>
    </xdr:from>
    <xdr:to>
      <xdr:col>5</xdr:col>
      <xdr:colOff>0</xdr:colOff>
      <xdr:row>201</xdr:row>
      <xdr:rowOff>195613</xdr:rowOff>
    </xdr:to>
    <xdr:sp macro="" textlink="">
      <xdr:nvSpPr>
        <xdr:cNvPr id="81" name="Isosceles Triangle 80">
          <a:extLst>
            <a:ext uri="{FF2B5EF4-FFF2-40B4-BE49-F238E27FC236}">
              <a16:creationId xmlns:a16="http://schemas.microsoft.com/office/drawing/2014/main" id="{0B97F7CE-62B6-4611-B6C8-8202BB273615}"/>
            </a:ext>
          </a:extLst>
        </xdr:cNvPr>
        <xdr:cNvSpPr/>
      </xdr:nvSpPr>
      <xdr:spPr>
        <a:xfrm>
          <a:off x="4076700" y="68500289"/>
          <a:ext cx="119634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198</xdr:row>
      <xdr:rowOff>133966</xdr:rowOff>
    </xdr:from>
    <xdr:to>
      <xdr:col>7</xdr:col>
      <xdr:colOff>0</xdr:colOff>
      <xdr:row>202</xdr:row>
      <xdr:rowOff>5113</xdr:rowOff>
    </xdr:to>
    <xdr:sp macro="" textlink="">
      <xdr:nvSpPr>
        <xdr:cNvPr id="82" name="Isosceles Triangle 81">
          <a:extLst>
            <a:ext uri="{FF2B5EF4-FFF2-40B4-BE49-F238E27FC236}">
              <a16:creationId xmlns:a16="http://schemas.microsoft.com/office/drawing/2014/main" id="{4B528301-B9A0-4F15-BBF2-1DFB0A173985}"/>
            </a:ext>
          </a:extLst>
        </xdr:cNvPr>
        <xdr:cNvSpPr/>
      </xdr:nvSpPr>
      <xdr:spPr>
        <a:xfrm>
          <a:off x="6309360" y="68508226"/>
          <a:ext cx="1112520" cy="1174167"/>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a:t>  </a:t>
          </a:r>
          <a:endParaRPr lang="en-US" sz="1100" b="1"/>
        </a:p>
      </xdr:txBody>
    </xdr:sp>
    <xdr:clientData/>
  </xdr:twoCellAnchor>
  <xdr:twoCellAnchor>
    <xdr:from>
      <xdr:col>8</xdr:col>
      <xdr:colOff>0</xdr:colOff>
      <xdr:row>198</xdr:row>
      <xdr:rowOff>126029</xdr:rowOff>
    </xdr:from>
    <xdr:to>
      <xdr:col>9</xdr:col>
      <xdr:colOff>0</xdr:colOff>
      <xdr:row>201</xdr:row>
      <xdr:rowOff>195613</xdr:rowOff>
    </xdr:to>
    <xdr:sp macro="" textlink="">
      <xdr:nvSpPr>
        <xdr:cNvPr id="83" name="Isosceles Triangle 82">
          <a:extLst>
            <a:ext uri="{FF2B5EF4-FFF2-40B4-BE49-F238E27FC236}">
              <a16:creationId xmlns:a16="http://schemas.microsoft.com/office/drawing/2014/main" id="{C8607DB6-64A4-4005-89FE-91EDEE3D1BC0}"/>
            </a:ext>
          </a:extLst>
        </xdr:cNvPr>
        <xdr:cNvSpPr/>
      </xdr:nvSpPr>
      <xdr:spPr>
        <a:xfrm>
          <a:off x="8298180" y="68500289"/>
          <a:ext cx="12725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10</xdr:col>
      <xdr:colOff>0</xdr:colOff>
      <xdr:row>198</xdr:row>
      <xdr:rowOff>126029</xdr:rowOff>
    </xdr:from>
    <xdr:to>
      <xdr:col>11</xdr:col>
      <xdr:colOff>0</xdr:colOff>
      <xdr:row>201</xdr:row>
      <xdr:rowOff>195613</xdr:rowOff>
    </xdr:to>
    <xdr:sp macro="" textlink="">
      <xdr:nvSpPr>
        <xdr:cNvPr id="84" name="Isosceles Triangle 83">
          <a:extLst>
            <a:ext uri="{FF2B5EF4-FFF2-40B4-BE49-F238E27FC236}">
              <a16:creationId xmlns:a16="http://schemas.microsoft.com/office/drawing/2014/main" id="{A8A9060E-1EA3-4BD6-9021-2E50F0A04E85}"/>
            </a:ext>
          </a:extLst>
        </xdr:cNvPr>
        <xdr:cNvSpPr/>
      </xdr:nvSpPr>
      <xdr:spPr>
        <a:xfrm>
          <a:off x="10195560" y="68500289"/>
          <a:ext cx="94488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34637</xdr:colOff>
      <xdr:row>198</xdr:row>
      <xdr:rowOff>126029</xdr:rowOff>
    </xdr:from>
    <xdr:to>
      <xdr:col>13</xdr:col>
      <xdr:colOff>34637</xdr:colOff>
      <xdr:row>201</xdr:row>
      <xdr:rowOff>195613</xdr:rowOff>
    </xdr:to>
    <xdr:sp macro="" textlink="">
      <xdr:nvSpPr>
        <xdr:cNvPr id="85" name="Isosceles Triangle 84">
          <a:extLst>
            <a:ext uri="{FF2B5EF4-FFF2-40B4-BE49-F238E27FC236}">
              <a16:creationId xmlns:a16="http://schemas.microsoft.com/office/drawing/2014/main" id="{7EF0FAA1-0E0F-4954-B5C6-8A99BD1F8CFF}"/>
            </a:ext>
          </a:extLst>
        </xdr:cNvPr>
        <xdr:cNvSpPr/>
      </xdr:nvSpPr>
      <xdr:spPr>
        <a:xfrm>
          <a:off x="11799917" y="6850028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16</xdr:col>
      <xdr:colOff>0</xdr:colOff>
      <xdr:row>198</xdr:row>
      <xdr:rowOff>126029</xdr:rowOff>
    </xdr:from>
    <xdr:to>
      <xdr:col>17</xdr:col>
      <xdr:colOff>0</xdr:colOff>
      <xdr:row>201</xdr:row>
      <xdr:rowOff>195613</xdr:rowOff>
    </xdr:to>
    <xdr:sp macro="" textlink="">
      <xdr:nvSpPr>
        <xdr:cNvPr id="86" name="Isosceles Triangle 85">
          <a:extLst>
            <a:ext uri="{FF2B5EF4-FFF2-40B4-BE49-F238E27FC236}">
              <a16:creationId xmlns:a16="http://schemas.microsoft.com/office/drawing/2014/main" id="{674292F8-0FBD-407D-B28F-BE38649E8BD6}"/>
            </a:ext>
          </a:extLst>
        </xdr:cNvPr>
        <xdr:cNvSpPr/>
      </xdr:nvSpPr>
      <xdr:spPr>
        <a:xfrm>
          <a:off x="15240000" y="68500289"/>
          <a:ext cx="114300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b="0" i="0" u="none" strike="noStrike">
            <a:solidFill>
              <a:schemeClr val="dk1"/>
            </a:solidFill>
            <a:effectLst/>
            <a:latin typeface="+mn-lt"/>
            <a:ea typeface="+mn-ea"/>
            <a:cs typeface="+mn-cs"/>
          </a:endParaRPr>
        </a:p>
        <a:p>
          <a:pPr algn="l"/>
          <a:r>
            <a:rPr lang="en-IN" sz="1100" b="0" i="0" u="none" strike="noStrike">
              <a:solidFill>
                <a:schemeClr val="dk1"/>
              </a:solidFill>
              <a:effectLst/>
              <a:latin typeface="+mn-lt"/>
              <a:ea typeface="+mn-ea"/>
              <a:cs typeface="+mn-cs"/>
            </a:rPr>
            <a:t>ak</a:t>
          </a:r>
          <a:br>
            <a:rPr lang="en-US" sz="1100" b="1"/>
          </a:br>
          <a:endParaRPr lang="en-US" sz="1100" b="1"/>
        </a:p>
      </xdr:txBody>
    </xdr:sp>
    <xdr:clientData/>
  </xdr:twoCellAnchor>
  <xdr:twoCellAnchor>
    <xdr:from>
      <xdr:col>18</xdr:col>
      <xdr:colOff>0</xdr:colOff>
      <xdr:row>198</xdr:row>
      <xdr:rowOff>126029</xdr:rowOff>
    </xdr:from>
    <xdr:to>
      <xdr:col>19</xdr:col>
      <xdr:colOff>0</xdr:colOff>
      <xdr:row>201</xdr:row>
      <xdr:rowOff>195613</xdr:rowOff>
    </xdr:to>
    <xdr:sp macro="" textlink="">
      <xdr:nvSpPr>
        <xdr:cNvPr id="87" name="Isosceles Triangle 86">
          <a:extLst>
            <a:ext uri="{FF2B5EF4-FFF2-40B4-BE49-F238E27FC236}">
              <a16:creationId xmlns:a16="http://schemas.microsoft.com/office/drawing/2014/main" id="{642C9BB6-5B8E-476B-8E85-54429B26ACFE}"/>
            </a:ext>
          </a:extLst>
        </xdr:cNvPr>
        <xdr:cNvSpPr/>
      </xdr:nvSpPr>
      <xdr:spPr>
        <a:xfrm>
          <a:off x="17007840" y="6850028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14</xdr:col>
      <xdr:colOff>0</xdr:colOff>
      <xdr:row>198</xdr:row>
      <xdr:rowOff>127000</xdr:rowOff>
    </xdr:from>
    <xdr:to>
      <xdr:col>15</xdr:col>
      <xdr:colOff>9072</xdr:colOff>
      <xdr:row>201</xdr:row>
      <xdr:rowOff>196584</xdr:rowOff>
    </xdr:to>
    <xdr:sp macro="" textlink="">
      <xdr:nvSpPr>
        <xdr:cNvPr id="88" name="Isosceles Triangle 87">
          <a:extLst>
            <a:ext uri="{FF2B5EF4-FFF2-40B4-BE49-F238E27FC236}">
              <a16:creationId xmlns:a16="http://schemas.microsoft.com/office/drawing/2014/main" id="{2ABA9097-8156-41CA-AF17-DA224A7018FB}"/>
            </a:ext>
          </a:extLst>
        </xdr:cNvPr>
        <xdr:cNvSpPr/>
      </xdr:nvSpPr>
      <xdr:spPr>
        <a:xfrm>
          <a:off x="13555980" y="68501260"/>
          <a:ext cx="1053012"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198</xdr:row>
      <xdr:rowOff>126029</xdr:rowOff>
    </xdr:from>
    <xdr:to>
      <xdr:col>21</xdr:col>
      <xdr:colOff>0</xdr:colOff>
      <xdr:row>201</xdr:row>
      <xdr:rowOff>195613</xdr:rowOff>
    </xdr:to>
    <xdr:sp macro="" textlink="">
      <xdr:nvSpPr>
        <xdr:cNvPr id="89" name="Isosceles Triangle 88">
          <a:extLst>
            <a:ext uri="{FF2B5EF4-FFF2-40B4-BE49-F238E27FC236}">
              <a16:creationId xmlns:a16="http://schemas.microsoft.com/office/drawing/2014/main" id="{8044A5F8-D0AC-45DD-8B50-33E65AEE585F}"/>
            </a:ext>
          </a:extLst>
        </xdr:cNvPr>
        <xdr:cNvSpPr/>
      </xdr:nvSpPr>
      <xdr:spPr>
        <a:xfrm>
          <a:off x="18630900" y="6850028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198</xdr:row>
      <xdr:rowOff>126029</xdr:rowOff>
    </xdr:from>
    <xdr:to>
      <xdr:col>23</xdr:col>
      <xdr:colOff>0</xdr:colOff>
      <xdr:row>201</xdr:row>
      <xdr:rowOff>195613</xdr:rowOff>
    </xdr:to>
    <xdr:sp macro="" textlink="">
      <xdr:nvSpPr>
        <xdr:cNvPr id="90" name="Isosceles Triangle 89">
          <a:extLst>
            <a:ext uri="{FF2B5EF4-FFF2-40B4-BE49-F238E27FC236}">
              <a16:creationId xmlns:a16="http://schemas.microsoft.com/office/drawing/2014/main" id="{00D1BE16-A33C-43FB-AE9D-C201F86B9B2E}"/>
            </a:ext>
          </a:extLst>
        </xdr:cNvPr>
        <xdr:cNvSpPr/>
      </xdr:nvSpPr>
      <xdr:spPr>
        <a:xfrm>
          <a:off x="20589240" y="6850028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0</xdr:col>
      <xdr:colOff>0</xdr:colOff>
      <xdr:row>198</xdr:row>
      <xdr:rowOff>126029</xdr:rowOff>
    </xdr:from>
    <xdr:to>
      <xdr:col>1</xdr:col>
      <xdr:colOff>0</xdr:colOff>
      <xdr:row>201</xdr:row>
      <xdr:rowOff>195613</xdr:rowOff>
    </xdr:to>
    <xdr:sp macro="" textlink="">
      <xdr:nvSpPr>
        <xdr:cNvPr id="91" name="Isosceles Triangle 90">
          <a:extLst>
            <a:ext uri="{FF2B5EF4-FFF2-40B4-BE49-F238E27FC236}">
              <a16:creationId xmlns:a16="http://schemas.microsoft.com/office/drawing/2014/main" id="{5049B51C-207B-4F03-8AF9-9E8F050CF272}"/>
            </a:ext>
          </a:extLst>
        </xdr:cNvPr>
        <xdr:cNvSpPr/>
      </xdr:nvSpPr>
      <xdr:spPr>
        <a:xfrm>
          <a:off x="0" y="68500289"/>
          <a:ext cx="12649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207</xdr:row>
      <xdr:rowOff>126029</xdr:rowOff>
    </xdr:from>
    <xdr:to>
      <xdr:col>3</xdr:col>
      <xdr:colOff>0</xdr:colOff>
      <xdr:row>210</xdr:row>
      <xdr:rowOff>195613</xdr:rowOff>
    </xdr:to>
    <xdr:sp macro="" textlink="">
      <xdr:nvSpPr>
        <xdr:cNvPr id="92" name="Isosceles Triangle 91">
          <a:extLst>
            <a:ext uri="{FF2B5EF4-FFF2-40B4-BE49-F238E27FC236}">
              <a16:creationId xmlns:a16="http://schemas.microsoft.com/office/drawing/2014/main" id="{A5225695-54C9-42B0-8C57-93A226D2A7A8}"/>
            </a:ext>
          </a:extLst>
        </xdr:cNvPr>
        <xdr:cNvSpPr/>
      </xdr:nvSpPr>
      <xdr:spPr>
        <a:xfrm>
          <a:off x="2011680" y="71715929"/>
          <a:ext cx="10210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4</xdr:col>
      <xdr:colOff>0</xdr:colOff>
      <xdr:row>207</xdr:row>
      <xdr:rowOff>126029</xdr:rowOff>
    </xdr:from>
    <xdr:to>
      <xdr:col>5</xdr:col>
      <xdr:colOff>0</xdr:colOff>
      <xdr:row>210</xdr:row>
      <xdr:rowOff>195613</xdr:rowOff>
    </xdr:to>
    <xdr:sp macro="" textlink="">
      <xdr:nvSpPr>
        <xdr:cNvPr id="93" name="Isosceles Triangle 92">
          <a:extLst>
            <a:ext uri="{FF2B5EF4-FFF2-40B4-BE49-F238E27FC236}">
              <a16:creationId xmlns:a16="http://schemas.microsoft.com/office/drawing/2014/main" id="{4362A86C-D533-44D3-AA69-27EBFC2BA971}"/>
            </a:ext>
          </a:extLst>
        </xdr:cNvPr>
        <xdr:cNvSpPr/>
      </xdr:nvSpPr>
      <xdr:spPr>
        <a:xfrm>
          <a:off x="4076700" y="71715929"/>
          <a:ext cx="11963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6</xdr:col>
      <xdr:colOff>0</xdr:colOff>
      <xdr:row>207</xdr:row>
      <xdr:rowOff>126029</xdr:rowOff>
    </xdr:from>
    <xdr:to>
      <xdr:col>7</xdr:col>
      <xdr:colOff>0</xdr:colOff>
      <xdr:row>210</xdr:row>
      <xdr:rowOff>195613</xdr:rowOff>
    </xdr:to>
    <xdr:sp macro="" textlink="">
      <xdr:nvSpPr>
        <xdr:cNvPr id="94" name="Isosceles Triangle 93">
          <a:extLst>
            <a:ext uri="{FF2B5EF4-FFF2-40B4-BE49-F238E27FC236}">
              <a16:creationId xmlns:a16="http://schemas.microsoft.com/office/drawing/2014/main" id="{6C892C3E-E1FA-4D2F-86B5-5F461197C793}"/>
            </a:ext>
          </a:extLst>
        </xdr:cNvPr>
        <xdr:cNvSpPr/>
      </xdr:nvSpPr>
      <xdr:spPr>
        <a:xfrm>
          <a:off x="6309360" y="71715929"/>
          <a:ext cx="11125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207</xdr:row>
      <xdr:rowOff>126029</xdr:rowOff>
    </xdr:from>
    <xdr:to>
      <xdr:col>11</xdr:col>
      <xdr:colOff>0</xdr:colOff>
      <xdr:row>210</xdr:row>
      <xdr:rowOff>195613</xdr:rowOff>
    </xdr:to>
    <xdr:sp macro="" textlink="">
      <xdr:nvSpPr>
        <xdr:cNvPr id="95" name="Isosceles Triangle 94">
          <a:extLst>
            <a:ext uri="{FF2B5EF4-FFF2-40B4-BE49-F238E27FC236}">
              <a16:creationId xmlns:a16="http://schemas.microsoft.com/office/drawing/2014/main" id="{13AE4EBA-9474-4F29-B3BA-4E4DA699D9D0}"/>
            </a:ext>
          </a:extLst>
        </xdr:cNvPr>
        <xdr:cNvSpPr/>
      </xdr:nvSpPr>
      <xdr:spPr>
        <a:xfrm>
          <a:off x="10195560" y="71715929"/>
          <a:ext cx="9448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207</xdr:row>
      <xdr:rowOff>126029</xdr:rowOff>
    </xdr:from>
    <xdr:to>
      <xdr:col>13</xdr:col>
      <xdr:colOff>0</xdr:colOff>
      <xdr:row>210</xdr:row>
      <xdr:rowOff>195613</xdr:rowOff>
    </xdr:to>
    <xdr:sp macro="" textlink="">
      <xdr:nvSpPr>
        <xdr:cNvPr id="96" name="Isosceles Triangle 95">
          <a:extLst>
            <a:ext uri="{FF2B5EF4-FFF2-40B4-BE49-F238E27FC236}">
              <a16:creationId xmlns:a16="http://schemas.microsoft.com/office/drawing/2014/main" id="{5C3A3F69-6C24-4B6B-8406-EE967EEAED32}"/>
            </a:ext>
          </a:extLst>
        </xdr:cNvPr>
        <xdr:cNvSpPr/>
      </xdr:nvSpPr>
      <xdr:spPr>
        <a:xfrm>
          <a:off x="11765280" y="7171592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15</xdr:col>
      <xdr:colOff>606743</xdr:colOff>
      <xdr:row>207</xdr:row>
      <xdr:rowOff>140316</xdr:rowOff>
    </xdr:from>
    <xdr:to>
      <xdr:col>17</xdr:col>
      <xdr:colOff>58420</xdr:colOff>
      <xdr:row>211</xdr:row>
      <xdr:rowOff>0</xdr:rowOff>
    </xdr:to>
    <xdr:sp macro="" textlink="">
      <xdr:nvSpPr>
        <xdr:cNvPr id="97" name="Isosceles Triangle 96">
          <a:extLst>
            <a:ext uri="{FF2B5EF4-FFF2-40B4-BE49-F238E27FC236}">
              <a16:creationId xmlns:a16="http://schemas.microsoft.com/office/drawing/2014/main" id="{DC42C821-A19D-42F7-852A-6979F92B568E}"/>
            </a:ext>
          </a:extLst>
        </xdr:cNvPr>
        <xdr:cNvSpPr/>
      </xdr:nvSpPr>
      <xdr:spPr>
        <a:xfrm>
          <a:off x="15206663" y="71730216"/>
          <a:ext cx="1234757" cy="11627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207</xdr:row>
      <xdr:rowOff>126029</xdr:rowOff>
    </xdr:from>
    <xdr:to>
      <xdr:col>19</xdr:col>
      <xdr:colOff>0</xdr:colOff>
      <xdr:row>210</xdr:row>
      <xdr:rowOff>195613</xdr:rowOff>
    </xdr:to>
    <xdr:sp macro="" textlink="">
      <xdr:nvSpPr>
        <xdr:cNvPr id="98" name="Isosceles Triangle 97">
          <a:extLst>
            <a:ext uri="{FF2B5EF4-FFF2-40B4-BE49-F238E27FC236}">
              <a16:creationId xmlns:a16="http://schemas.microsoft.com/office/drawing/2014/main" id="{6614CE52-09FA-444A-8CA4-36B4AECD86F0}"/>
            </a:ext>
          </a:extLst>
        </xdr:cNvPr>
        <xdr:cNvSpPr/>
      </xdr:nvSpPr>
      <xdr:spPr>
        <a:xfrm>
          <a:off x="17007840" y="7171592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13</xdr:col>
      <xdr:colOff>774700</xdr:colOff>
      <xdr:row>207</xdr:row>
      <xdr:rowOff>184151</xdr:rowOff>
    </xdr:from>
    <xdr:to>
      <xdr:col>15</xdr:col>
      <xdr:colOff>58285</xdr:colOff>
      <xdr:row>211</xdr:row>
      <xdr:rowOff>25401</xdr:rowOff>
    </xdr:to>
    <xdr:sp macro="" textlink="">
      <xdr:nvSpPr>
        <xdr:cNvPr id="99" name="Isosceles Triangle 98">
          <a:extLst>
            <a:ext uri="{FF2B5EF4-FFF2-40B4-BE49-F238E27FC236}">
              <a16:creationId xmlns:a16="http://schemas.microsoft.com/office/drawing/2014/main" id="{2B61D953-35A7-44BA-8D78-A72A14159F39}"/>
            </a:ext>
          </a:extLst>
        </xdr:cNvPr>
        <xdr:cNvSpPr/>
      </xdr:nvSpPr>
      <xdr:spPr>
        <a:xfrm>
          <a:off x="13553440" y="71774051"/>
          <a:ext cx="1104765" cy="114427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a:p>
          <a:pPr algn="l"/>
          <a:endParaRPr lang="en-US" sz="1100" b="1"/>
        </a:p>
      </xdr:txBody>
    </xdr:sp>
    <xdr:clientData/>
  </xdr:twoCellAnchor>
  <xdr:twoCellAnchor>
    <xdr:from>
      <xdr:col>20</xdr:col>
      <xdr:colOff>0</xdr:colOff>
      <xdr:row>207</xdr:row>
      <xdr:rowOff>126029</xdr:rowOff>
    </xdr:from>
    <xdr:to>
      <xdr:col>21</xdr:col>
      <xdr:colOff>0</xdr:colOff>
      <xdr:row>210</xdr:row>
      <xdr:rowOff>195613</xdr:rowOff>
    </xdr:to>
    <xdr:sp macro="" textlink="">
      <xdr:nvSpPr>
        <xdr:cNvPr id="100" name="Isosceles Triangle 99">
          <a:extLst>
            <a:ext uri="{FF2B5EF4-FFF2-40B4-BE49-F238E27FC236}">
              <a16:creationId xmlns:a16="http://schemas.microsoft.com/office/drawing/2014/main" id="{A9773470-DC22-4584-BA36-7F24AC9746FB}"/>
            </a:ext>
          </a:extLst>
        </xdr:cNvPr>
        <xdr:cNvSpPr/>
      </xdr:nvSpPr>
      <xdr:spPr>
        <a:xfrm>
          <a:off x="18630900" y="7171592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22</xdr:col>
      <xdr:colOff>0</xdr:colOff>
      <xdr:row>207</xdr:row>
      <xdr:rowOff>126029</xdr:rowOff>
    </xdr:from>
    <xdr:to>
      <xdr:col>23</xdr:col>
      <xdr:colOff>0</xdr:colOff>
      <xdr:row>210</xdr:row>
      <xdr:rowOff>195613</xdr:rowOff>
    </xdr:to>
    <xdr:sp macro="" textlink="">
      <xdr:nvSpPr>
        <xdr:cNvPr id="101" name="Isosceles Triangle 100">
          <a:extLst>
            <a:ext uri="{FF2B5EF4-FFF2-40B4-BE49-F238E27FC236}">
              <a16:creationId xmlns:a16="http://schemas.microsoft.com/office/drawing/2014/main" id="{7EBEFD9A-75C5-4E60-8F2F-6AD58CAEEAB7}"/>
            </a:ext>
          </a:extLst>
        </xdr:cNvPr>
        <xdr:cNvSpPr/>
      </xdr:nvSpPr>
      <xdr:spPr>
        <a:xfrm>
          <a:off x="20589240" y="7171592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0</xdr:col>
      <xdr:colOff>0</xdr:colOff>
      <xdr:row>207</xdr:row>
      <xdr:rowOff>126029</xdr:rowOff>
    </xdr:from>
    <xdr:to>
      <xdr:col>1</xdr:col>
      <xdr:colOff>0</xdr:colOff>
      <xdr:row>210</xdr:row>
      <xdr:rowOff>195613</xdr:rowOff>
    </xdr:to>
    <xdr:sp macro="" textlink="">
      <xdr:nvSpPr>
        <xdr:cNvPr id="102" name="Isosceles Triangle 101">
          <a:extLst>
            <a:ext uri="{FF2B5EF4-FFF2-40B4-BE49-F238E27FC236}">
              <a16:creationId xmlns:a16="http://schemas.microsoft.com/office/drawing/2014/main" id="{D06662F5-B5C1-40D4-8159-ABFCA55BAE25}"/>
            </a:ext>
          </a:extLst>
        </xdr:cNvPr>
        <xdr:cNvSpPr/>
      </xdr:nvSpPr>
      <xdr:spPr>
        <a:xfrm>
          <a:off x="0" y="7171592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216</xdr:row>
      <xdr:rowOff>126029</xdr:rowOff>
    </xdr:from>
    <xdr:to>
      <xdr:col>3</xdr:col>
      <xdr:colOff>0</xdr:colOff>
      <xdr:row>219</xdr:row>
      <xdr:rowOff>187993</xdr:rowOff>
    </xdr:to>
    <xdr:sp macro="" textlink="">
      <xdr:nvSpPr>
        <xdr:cNvPr id="103" name="Isosceles Triangle 102">
          <a:extLst>
            <a:ext uri="{FF2B5EF4-FFF2-40B4-BE49-F238E27FC236}">
              <a16:creationId xmlns:a16="http://schemas.microsoft.com/office/drawing/2014/main" id="{53DF2EB8-0E9A-4BBF-AD7A-3CA363A48073}"/>
            </a:ext>
          </a:extLst>
        </xdr:cNvPr>
        <xdr:cNvSpPr/>
      </xdr:nvSpPr>
      <xdr:spPr>
        <a:xfrm>
          <a:off x="2011680" y="74702969"/>
          <a:ext cx="102108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4</xdr:col>
      <xdr:colOff>0</xdr:colOff>
      <xdr:row>216</xdr:row>
      <xdr:rowOff>118091</xdr:rowOff>
    </xdr:from>
    <xdr:to>
      <xdr:col>5</xdr:col>
      <xdr:colOff>0</xdr:colOff>
      <xdr:row>219</xdr:row>
      <xdr:rowOff>187675</xdr:rowOff>
    </xdr:to>
    <xdr:sp macro="" textlink="">
      <xdr:nvSpPr>
        <xdr:cNvPr id="104" name="Isosceles Triangle 103">
          <a:extLst>
            <a:ext uri="{FF2B5EF4-FFF2-40B4-BE49-F238E27FC236}">
              <a16:creationId xmlns:a16="http://schemas.microsoft.com/office/drawing/2014/main" id="{A900654F-28F2-4F26-80A1-51C62D32B8C8}"/>
            </a:ext>
          </a:extLst>
        </xdr:cNvPr>
        <xdr:cNvSpPr/>
      </xdr:nvSpPr>
      <xdr:spPr>
        <a:xfrm>
          <a:off x="4076700" y="74695031"/>
          <a:ext cx="119634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216</xdr:row>
      <xdr:rowOff>126029</xdr:rowOff>
    </xdr:from>
    <xdr:to>
      <xdr:col>7</xdr:col>
      <xdr:colOff>0</xdr:colOff>
      <xdr:row>219</xdr:row>
      <xdr:rowOff>187993</xdr:rowOff>
    </xdr:to>
    <xdr:sp macro="" textlink="">
      <xdr:nvSpPr>
        <xdr:cNvPr id="105" name="Isosceles Triangle 104">
          <a:extLst>
            <a:ext uri="{FF2B5EF4-FFF2-40B4-BE49-F238E27FC236}">
              <a16:creationId xmlns:a16="http://schemas.microsoft.com/office/drawing/2014/main" id="{8CA14510-4B7B-4479-A8E9-7E8695DF014C}"/>
            </a:ext>
          </a:extLst>
        </xdr:cNvPr>
        <xdr:cNvSpPr/>
      </xdr:nvSpPr>
      <xdr:spPr>
        <a:xfrm>
          <a:off x="6309360" y="74702969"/>
          <a:ext cx="11125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216</xdr:row>
      <xdr:rowOff>126029</xdr:rowOff>
    </xdr:from>
    <xdr:to>
      <xdr:col>9</xdr:col>
      <xdr:colOff>0</xdr:colOff>
      <xdr:row>219</xdr:row>
      <xdr:rowOff>187993</xdr:rowOff>
    </xdr:to>
    <xdr:sp macro="" textlink="">
      <xdr:nvSpPr>
        <xdr:cNvPr id="106" name="Isosceles Triangle 105">
          <a:extLst>
            <a:ext uri="{FF2B5EF4-FFF2-40B4-BE49-F238E27FC236}">
              <a16:creationId xmlns:a16="http://schemas.microsoft.com/office/drawing/2014/main" id="{3E1D4B78-CA3E-45EA-9474-8C158A25CA26}"/>
            </a:ext>
          </a:extLst>
        </xdr:cNvPr>
        <xdr:cNvSpPr/>
      </xdr:nvSpPr>
      <xdr:spPr>
        <a:xfrm>
          <a:off x="8298180" y="74702969"/>
          <a:ext cx="127254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216</xdr:row>
      <xdr:rowOff>126029</xdr:rowOff>
    </xdr:from>
    <xdr:to>
      <xdr:col>11</xdr:col>
      <xdr:colOff>0</xdr:colOff>
      <xdr:row>219</xdr:row>
      <xdr:rowOff>187993</xdr:rowOff>
    </xdr:to>
    <xdr:sp macro="" textlink="">
      <xdr:nvSpPr>
        <xdr:cNvPr id="107" name="Isosceles Triangle 106">
          <a:extLst>
            <a:ext uri="{FF2B5EF4-FFF2-40B4-BE49-F238E27FC236}">
              <a16:creationId xmlns:a16="http://schemas.microsoft.com/office/drawing/2014/main" id="{74880E34-1E0D-4FD3-AB8D-1A378B7EBB95}"/>
            </a:ext>
          </a:extLst>
        </xdr:cNvPr>
        <xdr:cNvSpPr/>
      </xdr:nvSpPr>
      <xdr:spPr>
        <a:xfrm>
          <a:off x="10195560" y="74702969"/>
          <a:ext cx="94488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12</xdr:col>
      <xdr:colOff>0</xdr:colOff>
      <xdr:row>216</xdr:row>
      <xdr:rowOff>126029</xdr:rowOff>
    </xdr:from>
    <xdr:to>
      <xdr:col>13</xdr:col>
      <xdr:colOff>0</xdr:colOff>
      <xdr:row>219</xdr:row>
      <xdr:rowOff>187993</xdr:rowOff>
    </xdr:to>
    <xdr:sp macro="" textlink="">
      <xdr:nvSpPr>
        <xdr:cNvPr id="108" name="Isosceles Triangle 107">
          <a:extLst>
            <a:ext uri="{FF2B5EF4-FFF2-40B4-BE49-F238E27FC236}">
              <a16:creationId xmlns:a16="http://schemas.microsoft.com/office/drawing/2014/main" id="{8B409B45-AFF3-4B32-B361-79C0B4F9AD10}"/>
            </a:ext>
          </a:extLst>
        </xdr:cNvPr>
        <xdr:cNvSpPr/>
      </xdr:nvSpPr>
      <xdr:spPr>
        <a:xfrm>
          <a:off x="11765280" y="74702969"/>
          <a:ext cx="101346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216</xdr:row>
      <xdr:rowOff>126029</xdr:rowOff>
    </xdr:from>
    <xdr:to>
      <xdr:col>17</xdr:col>
      <xdr:colOff>0</xdr:colOff>
      <xdr:row>219</xdr:row>
      <xdr:rowOff>187993</xdr:rowOff>
    </xdr:to>
    <xdr:sp macro="" textlink="">
      <xdr:nvSpPr>
        <xdr:cNvPr id="109" name="Isosceles Triangle 108">
          <a:extLst>
            <a:ext uri="{FF2B5EF4-FFF2-40B4-BE49-F238E27FC236}">
              <a16:creationId xmlns:a16="http://schemas.microsoft.com/office/drawing/2014/main" id="{D4F556FE-3E71-4DF5-8A4E-C6EB8DEA3318}"/>
            </a:ext>
          </a:extLst>
        </xdr:cNvPr>
        <xdr:cNvSpPr/>
      </xdr:nvSpPr>
      <xdr:spPr>
        <a:xfrm>
          <a:off x="15240000" y="74702969"/>
          <a:ext cx="114300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216</xdr:row>
      <xdr:rowOff>126029</xdr:rowOff>
    </xdr:from>
    <xdr:to>
      <xdr:col>19</xdr:col>
      <xdr:colOff>0</xdr:colOff>
      <xdr:row>219</xdr:row>
      <xdr:rowOff>187993</xdr:rowOff>
    </xdr:to>
    <xdr:sp macro="" textlink="">
      <xdr:nvSpPr>
        <xdr:cNvPr id="110" name="Isosceles Triangle 109">
          <a:extLst>
            <a:ext uri="{FF2B5EF4-FFF2-40B4-BE49-F238E27FC236}">
              <a16:creationId xmlns:a16="http://schemas.microsoft.com/office/drawing/2014/main" id="{165CB5B8-D22F-401A-80ED-E353FC2C0438}"/>
            </a:ext>
          </a:extLst>
        </xdr:cNvPr>
        <xdr:cNvSpPr/>
      </xdr:nvSpPr>
      <xdr:spPr>
        <a:xfrm>
          <a:off x="17007840" y="74702969"/>
          <a:ext cx="9982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216</xdr:row>
      <xdr:rowOff>127000</xdr:rowOff>
    </xdr:from>
    <xdr:to>
      <xdr:col>15</xdr:col>
      <xdr:colOff>9072</xdr:colOff>
      <xdr:row>219</xdr:row>
      <xdr:rowOff>188964</xdr:rowOff>
    </xdr:to>
    <xdr:sp macro="" textlink="">
      <xdr:nvSpPr>
        <xdr:cNvPr id="111" name="Isosceles Triangle 110">
          <a:extLst>
            <a:ext uri="{FF2B5EF4-FFF2-40B4-BE49-F238E27FC236}">
              <a16:creationId xmlns:a16="http://schemas.microsoft.com/office/drawing/2014/main" id="{9061192D-1D82-49DA-98EB-3BB204FD03FE}"/>
            </a:ext>
          </a:extLst>
        </xdr:cNvPr>
        <xdr:cNvSpPr/>
      </xdr:nvSpPr>
      <xdr:spPr>
        <a:xfrm>
          <a:off x="13555980" y="74703940"/>
          <a:ext cx="1053012"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216</xdr:row>
      <xdr:rowOff>126029</xdr:rowOff>
    </xdr:from>
    <xdr:to>
      <xdr:col>21</xdr:col>
      <xdr:colOff>0</xdr:colOff>
      <xdr:row>219</xdr:row>
      <xdr:rowOff>187993</xdr:rowOff>
    </xdr:to>
    <xdr:sp macro="" textlink="">
      <xdr:nvSpPr>
        <xdr:cNvPr id="112" name="Isosceles Triangle 111">
          <a:extLst>
            <a:ext uri="{FF2B5EF4-FFF2-40B4-BE49-F238E27FC236}">
              <a16:creationId xmlns:a16="http://schemas.microsoft.com/office/drawing/2014/main" id="{11F8F102-C24A-4550-B767-26F6E18E0B22}"/>
            </a:ext>
          </a:extLst>
        </xdr:cNvPr>
        <xdr:cNvSpPr/>
      </xdr:nvSpPr>
      <xdr:spPr>
        <a:xfrm>
          <a:off x="18630900" y="74702969"/>
          <a:ext cx="10515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216</xdr:row>
      <xdr:rowOff>115619</xdr:rowOff>
    </xdr:from>
    <xdr:to>
      <xdr:col>23</xdr:col>
      <xdr:colOff>0</xdr:colOff>
      <xdr:row>219</xdr:row>
      <xdr:rowOff>185203</xdr:rowOff>
    </xdr:to>
    <xdr:sp macro="" textlink="">
      <xdr:nvSpPr>
        <xdr:cNvPr id="113" name="Isosceles Triangle 112">
          <a:extLst>
            <a:ext uri="{FF2B5EF4-FFF2-40B4-BE49-F238E27FC236}">
              <a16:creationId xmlns:a16="http://schemas.microsoft.com/office/drawing/2014/main" id="{53E8A791-F6BF-4ADB-93D0-96FB086FF29C}"/>
            </a:ext>
          </a:extLst>
        </xdr:cNvPr>
        <xdr:cNvSpPr/>
      </xdr:nvSpPr>
      <xdr:spPr>
        <a:xfrm>
          <a:off x="20589240" y="74692559"/>
          <a:ext cx="1013460" cy="1166864"/>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100" b="1"/>
            <a:t>WIP</a:t>
          </a:r>
        </a:p>
      </xdr:txBody>
    </xdr:sp>
    <xdr:clientData/>
  </xdr:twoCellAnchor>
  <xdr:twoCellAnchor>
    <xdr:from>
      <xdr:col>0</xdr:col>
      <xdr:colOff>0</xdr:colOff>
      <xdr:row>216</xdr:row>
      <xdr:rowOff>126029</xdr:rowOff>
    </xdr:from>
    <xdr:to>
      <xdr:col>1</xdr:col>
      <xdr:colOff>0</xdr:colOff>
      <xdr:row>219</xdr:row>
      <xdr:rowOff>187993</xdr:rowOff>
    </xdr:to>
    <xdr:sp macro="" textlink="">
      <xdr:nvSpPr>
        <xdr:cNvPr id="114" name="Isosceles Triangle 113">
          <a:extLst>
            <a:ext uri="{FF2B5EF4-FFF2-40B4-BE49-F238E27FC236}">
              <a16:creationId xmlns:a16="http://schemas.microsoft.com/office/drawing/2014/main" id="{D12EA585-9C7C-4FC9-BE36-86FC674DDD7A}"/>
            </a:ext>
          </a:extLst>
        </xdr:cNvPr>
        <xdr:cNvSpPr/>
      </xdr:nvSpPr>
      <xdr:spPr>
        <a:xfrm>
          <a:off x="0" y="74702969"/>
          <a:ext cx="126492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225</xdr:row>
      <xdr:rowOff>126029</xdr:rowOff>
    </xdr:from>
    <xdr:to>
      <xdr:col>5</xdr:col>
      <xdr:colOff>0</xdr:colOff>
      <xdr:row>228</xdr:row>
      <xdr:rowOff>165133</xdr:rowOff>
    </xdr:to>
    <xdr:sp macro="" textlink="">
      <xdr:nvSpPr>
        <xdr:cNvPr id="115" name="Isosceles Triangle 114">
          <a:extLst>
            <a:ext uri="{FF2B5EF4-FFF2-40B4-BE49-F238E27FC236}">
              <a16:creationId xmlns:a16="http://schemas.microsoft.com/office/drawing/2014/main" id="{6F02F94B-416C-4BC4-820A-829C99E3690A}"/>
            </a:ext>
          </a:extLst>
        </xdr:cNvPr>
        <xdr:cNvSpPr/>
      </xdr:nvSpPr>
      <xdr:spPr>
        <a:xfrm>
          <a:off x="4076700" y="77834789"/>
          <a:ext cx="11963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225</xdr:row>
      <xdr:rowOff>126029</xdr:rowOff>
    </xdr:from>
    <xdr:to>
      <xdr:col>7</xdr:col>
      <xdr:colOff>0</xdr:colOff>
      <xdr:row>228</xdr:row>
      <xdr:rowOff>165133</xdr:rowOff>
    </xdr:to>
    <xdr:sp macro="" textlink="">
      <xdr:nvSpPr>
        <xdr:cNvPr id="116" name="Isosceles Triangle 115">
          <a:extLst>
            <a:ext uri="{FF2B5EF4-FFF2-40B4-BE49-F238E27FC236}">
              <a16:creationId xmlns:a16="http://schemas.microsoft.com/office/drawing/2014/main" id="{06E2B81A-FCC5-4F87-8EE0-A0DBA5A45F48}"/>
            </a:ext>
          </a:extLst>
        </xdr:cNvPr>
        <xdr:cNvSpPr/>
      </xdr:nvSpPr>
      <xdr:spPr>
        <a:xfrm>
          <a:off x="6309360" y="77834789"/>
          <a:ext cx="111252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225</xdr:row>
      <xdr:rowOff>135554</xdr:rowOff>
    </xdr:from>
    <xdr:to>
      <xdr:col>9</xdr:col>
      <xdr:colOff>0</xdr:colOff>
      <xdr:row>229</xdr:row>
      <xdr:rowOff>1938</xdr:rowOff>
    </xdr:to>
    <xdr:sp macro="" textlink="">
      <xdr:nvSpPr>
        <xdr:cNvPr id="117" name="Isosceles Triangle 116">
          <a:extLst>
            <a:ext uri="{FF2B5EF4-FFF2-40B4-BE49-F238E27FC236}">
              <a16:creationId xmlns:a16="http://schemas.microsoft.com/office/drawing/2014/main" id="{783F3EBF-AE5F-4580-A8F7-A1C77919ADC9}"/>
            </a:ext>
          </a:extLst>
        </xdr:cNvPr>
        <xdr:cNvSpPr/>
      </xdr:nvSpPr>
      <xdr:spPr>
        <a:xfrm>
          <a:off x="8298180" y="77844314"/>
          <a:ext cx="1272540" cy="1131304"/>
        </a:xfrm>
        <a:prstGeom prst="triangle">
          <a:avLst/>
        </a:prstGeom>
        <a:solidFill>
          <a:srgbClr val="00206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225</xdr:row>
      <xdr:rowOff>126029</xdr:rowOff>
    </xdr:from>
    <xdr:to>
      <xdr:col>11</xdr:col>
      <xdr:colOff>0</xdr:colOff>
      <xdr:row>228</xdr:row>
      <xdr:rowOff>165133</xdr:rowOff>
    </xdr:to>
    <xdr:sp macro="" textlink="">
      <xdr:nvSpPr>
        <xdr:cNvPr id="118" name="Isosceles Triangle 117">
          <a:extLst>
            <a:ext uri="{FF2B5EF4-FFF2-40B4-BE49-F238E27FC236}">
              <a16:creationId xmlns:a16="http://schemas.microsoft.com/office/drawing/2014/main" id="{A21A4F9F-5EFE-4BAF-AF89-1E5E9E1257EA}"/>
            </a:ext>
          </a:extLst>
        </xdr:cNvPr>
        <xdr:cNvSpPr/>
      </xdr:nvSpPr>
      <xdr:spPr>
        <a:xfrm>
          <a:off x="10195560" y="77834789"/>
          <a:ext cx="94488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225</xdr:row>
      <xdr:rowOff>126029</xdr:rowOff>
    </xdr:from>
    <xdr:to>
      <xdr:col>13</xdr:col>
      <xdr:colOff>0</xdr:colOff>
      <xdr:row>228</xdr:row>
      <xdr:rowOff>165133</xdr:rowOff>
    </xdr:to>
    <xdr:sp macro="" textlink="">
      <xdr:nvSpPr>
        <xdr:cNvPr id="119" name="Isosceles Triangle 118">
          <a:extLst>
            <a:ext uri="{FF2B5EF4-FFF2-40B4-BE49-F238E27FC236}">
              <a16:creationId xmlns:a16="http://schemas.microsoft.com/office/drawing/2014/main" id="{27CC9D96-212F-4840-B71D-DDE6BA998327}"/>
            </a:ext>
          </a:extLst>
        </xdr:cNvPr>
        <xdr:cNvSpPr/>
      </xdr:nvSpPr>
      <xdr:spPr>
        <a:xfrm>
          <a:off x="11765280" y="77834789"/>
          <a:ext cx="101346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225</xdr:row>
      <xdr:rowOff>113329</xdr:rowOff>
    </xdr:from>
    <xdr:to>
      <xdr:col>17</xdr:col>
      <xdr:colOff>0</xdr:colOff>
      <xdr:row>229</xdr:row>
      <xdr:rowOff>33</xdr:rowOff>
    </xdr:to>
    <xdr:sp macro="" textlink="">
      <xdr:nvSpPr>
        <xdr:cNvPr id="120" name="Isosceles Triangle 119">
          <a:extLst>
            <a:ext uri="{FF2B5EF4-FFF2-40B4-BE49-F238E27FC236}">
              <a16:creationId xmlns:a16="http://schemas.microsoft.com/office/drawing/2014/main" id="{23094861-22CF-4B3D-A025-366275D1986A}"/>
            </a:ext>
          </a:extLst>
        </xdr:cNvPr>
        <xdr:cNvSpPr/>
      </xdr:nvSpPr>
      <xdr:spPr>
        <a:xfrm>
          <a:off x="15240000" y="77822089"/>
          <a:ext cx="114300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225</xdr:row>
      <xdr:rowOff>126029</xdr:rowOff>
    </xdr:from>
    <xdr:to>
      <xdr:col>19</xdr:col>
      <xdr:colOff>0</xdr:colOff>
      <xdr:row>228</xdr:row>
      <xdr:rowOff>165133</xdr:rowOff>
    </xdr:to>
    <xdr:sp macro="" textlink="">
      <xdr:nvSpPr>
        <xdr:cNvPr id="121" name="Isosceles Triangle 120">
          <a:extLst>
            <a:ext uri="{FF2B5EF4-FFF2-40B4-BE49-F238E27FC236}">
              <a16:creationId xmlns:a16="http://schemas.microsoft.com/office/drawing/2014/main" id="{B0B530F0-B952-4C78-B06D-64463BD156D8}"/>
            </a:ext>
          </a:extLst>
        </xdr:cNvPr>
        <xdr:cNvSpPr/>
      </xdr:nvSpPr>
      <xdr:spPr>
        <a:xfrm>
          <a:off x="17007840" y="77834789"/>
          <a:ext cx="9982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a:p>
          <a:pPr algn="l"/>
          <a:endParaRPr lang="en-US" sz="1100" b="1">
            <a:solidFill>
              <a:srgbClr val="FF0000"/>
            </a:solidFill>
          </a:endParaRPr>
        </a:p>
      </xdr:txBody>
    </xdr:sp>
    <xdr:clientData/>
  </xdr:twoCellAnchor>
  <xdr:twoCellAnchor>
    <xdr:from>
      <xdr:col>14</xdr:col>
      <xdr:colOff>0</xdr:colOff>
      <xdr:row>225</xdr:row>
      <xdr:rowOff>127000</xdr:rowOff>
    </xdr:from>
    <xdr:to>
      <xdr:col>15</xdr:col>
      <xdr:colOff>9072</xdr:colOff>
      <xdr:row>228</xdr:row>
      <xdr:rowOff>166104</xdr:rowOff>
    </xdr:to>
    <xdr:sp macro="" textlink="">
      <xdr:nvSpPr>
        <xdr:cNvPr id="122" name="Isosceles Triangle 121">
          <a:extLst>
            <a:ext uri="{FF2B5EF4-FFF2-40B4-BE49-F238E27FC236}">
              <a16:creationId xmlns:a16="http://schemas.microsoft.com/office/drawing/2014/main" id="{9D31A8D9-BDF9-4481-A486-462E5A42EA22}"/>
            </a:ext>
          </a:extLst>
        </xdr:cNvPr>
        <xdr:cNvSpPr/>
      </xdr:nvSpPr>
      <xdr:spPr>
        <a:xfrm>
          <a:off x="13555980" y="77835760"/>
          <a:ext cx="1053012" cy="1136384"/>
        </a:xfrm>
        <a:prstGeom prst="triangle">
          <a:avLst/>
        </a:prstGeom>
        <a:solidFill>
          <a:srgbClr val="00206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20</xdr:col>
      <xdr:colOff>0</xdr:colOff>
      <xdr:row>225</xdr:row>
      <xdr:rowOff>126029</xdr:rowOff>
    </xdr:from>
    <xdr:to>
      <xdr:col>21</xdr:col>
      <xdr:colOff>0</xdr:colOff>
      <xdr:row>228</xdr:row>
      <xdr:rowOff>165133</xdr:rowOff>
    </xdr:to>
    <xdr:sp macro="" textlink="">
      <xdr:nvSpPr>
        <xdr:cNvPr id="123" name="Isosceles Triangle 122">
          <a:extLst>
            <a:ext uri="{FF2B5EF4-FFF2-40B4-BE49-F238E27FC236}">
              <a16:creationId xmlns:a16="http://schemas.microsoft.com/office/drawing/2014/main" id="{E3B6EFFC-65E4-44DC-AB47-E91BF3B67E63}"/>
            </a:ext>
          </a:extLst>
        </xdr:cNvPr>
        <xdr:cNvSpPr/>
      </xdr:nvSpPr>
      <xdr:spPr>
        <a:xfrm>
          <a:off x="18630900" y="77834789"/>
          <a:ext cx="105156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225</xdr:row>
      <xdr:rowOff>126029</xdr:rowOff>
    </xdr:from>
    <xdr:to>
      <xdr:col>23</xdr:col>
      <xdr:colOff>0</xdr:colOff>
      <xdr:row>228</xdr:row>
      <xdr:rowOff>165133</xdr:rowOff>
    </xdr:to>
    <xdr:sp macro="" textlink="">
      <xdr:nvSpPr>
        <xdr:cNvPr id="124" name="Isosceles Triangle 123">
          <a:extLst>
            <a:ext uri="{FF2B5EF4-FFF2-40B4-BE49-F238E27FC236}">
              <a16:creationId xmlns:a16="http://schemas.microsoft.com/office/drawing/2014/main" id="{5DE010E6-0C54-4B4B-A1BD-79E6ED08EFC5}"/>
            </a:ext>
          </a:extLst>
        </xdr:cNvPr>
        <xdr:cNvSpPr/>
      </xdr:nvSpPr>
      <xdr:spPr>
        <a:xfrm>
          <a:off x="20589240" y="77834789"/>
          <a:ext cx="101346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0</xdr:col>
      <xdr:colOff>0</xdr:colOff>
      <xdr:row>225</xdr:row>
      <xdr:rowOff>126029</xdr:rowOff>
    </xdr:from>
    <xdr:to>
      <xdr:col>1</xdr:col>
      <xdr:colOff>0</xdr:colOff>
      <xdr:row>228</xdr:row>
      <xdr:rowOff>165133</xdr:rowOff>
    </xdr:to>
    <xdr:sp macro="" textlink="">
      <xdr:nvSpPr>
        <xdr:cNvPr id="125" name="Isosceles Triangle 124">
          <a:extLst>
            <a:ext uri="{FF2B5EF4-FFF2-40B4-BE49-F238E27FC236}">
              <a16:creationId xmlns:a16="http://schemas.microsoft.com/office/drawing/2014/main" id="{DB27726F-D4B4-4E01-909F-303944FAB37E}"/>
            </a:ext>
          </a:extLst>
        </xdr:cNvPr>
        <xdr:cNvSpPr/>
      </xdr:nvSpPr>
      <xdr:spPr>
        <a:xfrm>
          <a:off x="0" y="77834789"/>
          <a:ext cx="126492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235</xdr:row>
      <xdr:rowOff>141269</xdr:rowOff>
    </xdr:from>
    <xdr:to>
      <xdr:col>3</xdr:col>
      <xdr:colOff>0</xdr:colOff>
      <xdr:row>238</xdr:row>
      <xdr:rowOff>210853</xdr:rowOff>
    </xdr:to>
    <xdr:sp macro="" textlink="">
      <xdr:nvSpPr>
        <xdr:cNvPr id="126" name="Isosceles Triangle 125">
          <a:extLst>
            <a:ext uri="{FF2B5EF4-FFF2-40B4-BE49-F238E27FC236}">
              <a16:creationId xmlns:a16="http://schemas.microsoft.com/office/drawing/2014/main" id="{50BB1D3B-1CA0-408A-8B4E-41FD5698AE64}"/>
            </a:ext>
          </a:extLst>
        </xdr:cNvPr>
        <xdr:cNvSpPr/>
      </xdr:nvSpPr>
      <xdr:spPr>
        <a:xfrm>
          <a:off x="2011680" y="81454289"/>
          <a:ext cx="102108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235</xdr:row>
      <xdr:rowOff>141269</xdr:rowOff>
    </xdr:from>
    <xdr:to>
      <xdr:col>5</xdr:col>
      <xdr:colOff>0</xdr:colOff>
      <xdr:row>238</xdr:row>
      <xdr:rowOff>210853</xdr:rowOff>
    </xdr:to>
    <xdr:sp macro="" textlink="">
      <xdr:nvSpPr>
        <xdr:cNvPr id="127" name="Isosceles Triangle 126">
          <a:extLst>
            <a:ext uri="{FF2B5EF4-FFF2-40B4-BE49-F238E27FC236}">
              <a16:creationId xmlns:a16="http://schemas.microsoft.com/office/drawing/2014/main" id="{B4C74438-2429-4620-8A18-39B5107DF808}"/>
            </a:ext>
          </a:extLst>
        </xdr:cNvPr>
        <xdr:cNvSpPr/>
      </xdr:nvSpPr>
      <xdr:spPr>
        <a:xfrm>
          <a:off x="4076700" y="81454289"/>
          <a:ext cx="119634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235</xdr:row>
      <xdr:rowOff>141269</xdr:rowOff>
    </xdr:from>
    <xdr:to>
      <xdr:col>7</xdr:col>
      <xdr:colOff>0</xdr:colOff>
      <xdr:row>238</xdr:row>
      <xdr:rowOff>210853</xdr:rowOff>
    </xdr:to>
    <xdr:sp macro="" textlink="">
      <xdr:nvSpPr>
        <xdr:cNvPr id="128" name="Isosceles Triangle 127">
          <a:extLst>
            <a:ext uri="{FF2B5EF4-FFF2-40B4-BE49-F238E27FC236}">
              <a16:creationId xmlns:a16="http://schemas.microsoft.com/office/drawing/2014/main" id="{13D24E04-C363-4FDA-9B03-BA71DE0F3D7A}"/>
            </a:ext>
          </a:extLst>
        </xdr:cNvPr>
        <xdr:cNvSpPr/>
      </xdr:nvSpPr>
      <xdr:spPr>
        <a:xfrm>
          <a:off x="6309360" y="81454289"/>
          <a:ext cx="11125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235</xdr:row>
      <xdr:rowOff>141269</xdr:rowOff>
    </xdr:from>
    <xdr:to>
      <xdr:col>9</xdr:col>
      <xdr:colOff>0</xdr:colOff>
      <xdr:row>238</xdr:row>
      <xdr:rowOff>210853</xdr:rowOff>
    </xdr:to>
    <xdr:sp macro="" textlink="">
      <xdr:nvSpPr>
        <xdr:cNvPr id="129" name="Isosceles Triangle 128">
          <a:extLst>
            <a:ext uri="{FF2B5EF4-FFF2-40B4-BE49-F238E27FC236}">
              <a16:creationId xmlns:a16="http://schemas.microsoft.com/office/drawing/2014/main" id="{3564FB43-9C81-4FBF-86C9-8313B2435622}"/>
            </a:ext>
          </a:extLst>
        </xdr:cNvPr>
        <xdr:cNvSpPr/>
      </xdr:nvSpPr>
      <xdr:spPr>
        <a:xfrm>
          <a:off x="8298180" y="81454289"/>
          <a:ext cx="127254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235</xdr:row>
      <xdr:rowOff>141269</xdr:rowOff>
    </xdr:from>
    <xdr:to>
      <xdr:col>11</xdr:col>
      <xdr:colOff>0</xdr:colOff>
      <xdr:row>238</xdr:row>
      <xdr:rowOff>210853</xdr:rowOff>
    </xdr:to>
    <xdr:sp macro="" textlink="">
      <xdr:nvSpPr>
        <xdr:cNvPr id="130" name="Isosceles Triangle 129">
          <a:extLst>
            <a:ext uri="{FF2B5EF4-FFF2-40B4-BE49-F238E27FC236}">
              <a16:creationId xmlns:a16="http://schemas.microsoft.com/office/drawing/2014/main" id="{4B61EF23-6AC1-4C7E-94A8-02A53FEA404B}"/>
            </a:ext>
          </a:extLst>
        </xdr:cNvPr>
        <xdr:cNvSpPr/>
      </xdr:nvSpPr>
      <xdr:spPr>
        <a:xfrm>
          <a:off x="10195560" y="81454289"/>
          <a:ext cx="94488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235</xdr:row>
      <xdr:rowOff>141269</xdr:rowOff>
    </xdr:from>
    <xdr:to>
      <xdr:col>13</xdr:col>
      <xdr:colOff>0</xdr:colOff>
      <xdr:row>238</xdr:row>
      <xdr:rowOff>210853</xdr:rowOff>
    </xdr:to>
    <xdr:sp macro="" textlink="">
      <xdr:nvSpPr>
        <xdr:cNvPr id="131" name="Isosceles Triangle 130">
          <a:extLst>
            <a:ext uri="{FF2B5EF4-FFF2-40B4-BE49-F238E27FC236}">
              <a16:creationId xmlns:a16="http://schemas.microsoft.com/office/drawing/2014/main" id="{E15E78BB-788B-45BF-B38C-D00250269364}"/>
            </a:ext>
          </a:extLst>
        </xdr:cNvPr>
        <xdr:cNvSpPr/>
      </xdr:nvSpPr>
      <xdr:spPr>
        <a:xfrm>
          <a:off x="11765280" y="81454289"/>
          <a:ext cx="10134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235</xdr:row>
      <xdr:rowOff>141269</xdr:rowOff>
    </xdr:from>
    <xdr:to>
      <xdr:col>17</xdr:col>
      <xdr:colOff>0</xdr:colOff>
      <xdr:row>238</xdr:row>
      <xdr:rowOff>210853</xdr:rowOff>
    </xdr:to>
    <xdr:sp macro="" textlink="">
      <xdr:nvSpPr>
        <xdr:cNvPr id="132" name="Isosceles Triangle 131">
          <a:extLst>
            <a:ext uri="{FF2B5EF4-FFF2-40B4-BE49-F238E27FC236}">
              <a16:creationId xmlns:a16="http://schemas.microsoft.com/office/drawing/2014/main" id="{9585E9DE-5B46-43D3-9BFE-711FB976DDDC}"/>
            </a:ext>
          </a:extLst>
        </xdr:cNvPr>
        <xdr:cNvSpPr/>
      </xdr:nvSpPr>
      <xdr:spPr>
        <a:xfrm>
          <a:off x="15240000" y="81454289"/>
          <a:ext cx="114300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235</xdr:row>
      <xdr:rowOff>141269</xdr:rowOff>
    </xdr:from>
    <xdr:to>
      <xdr:col>19</xdr:col>
      <xdr:colOff>0</xdr:colOff>
      <xdr:row>238</xdr:row>
      <xdr:rowOff>210853</xdr:rowOff>
    </xdr:to>
    <xdr:sp macro="" textlink="">
      <xdr:nvSpPr>
        <xdr:cNvPr id="133" name="Isosceles Triangle 132">
          <a:extLst>
            <a:ext uri="{FF2B5EF4-FFF2-40B4-BE49-F238E27FC236}">
              <a16:creationId xmlns:a16="http://schemas.microsoft.com/office/drawing/2014/main" id="{7F02184B-922E-4C4B-96D2-1176FBA7B639}"/>
            </a:ext>
          </a:extLst>
        </xdr:cNvPr>
        <xdr:cNvSpPr/>
      </xdr:nvSpPr>
      <xdr:spPr>
        <a:xfrm>
          <a:off x="17007840" y="81454289"/>
          <a:ext cx="9982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235</xdr:row>
      <xdr:rowOff>157480</xdr:rowOff>
    </xdr:from>
    <xdr:to>
      <xdr:col>15</xdr:col>
      <xdr:colOff>9072</xdr:colOff>
      <xdr:row>238</xdr:row>
      <xdr:rowOff>219444</xdr:rowOff>
    </xdr:to>
    <xdr:sp macro="" textlink="">
      <xdr:nvSpPr>
        <xdr:cNvPr id="134" name="Isosceles Triangle 133">
          <a:extLst>
            <a:ext uri="{FF2B5EF4-FFF2-40B4-BE49-F238E27FC236}">
              <a16:creationId xmlns:a16="http://schemas.microsoft.com/office/drawing/2014/main" id="{1F637C44-C23B-4DFE-91E7-8482A7D4DA3F}"/>
            </a:ext>
          </a:extLst>
        </xdr:cNvPr>
        <xdr:cNvSpPr/>
      </xdr:nvSpPr>
      <xdr:spPr>
        <a:xfrm>
          <a:off x="13555980" y="81470500"/>
          <a:ext cx="1053012"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235</xdr:row>
      <xdr:rowOff>141269</xdr:rowOff>
    </xdr:from>
    <xdr:to>
      <xdr:col>21</xdr:col>
      <xdr:colOff>0</xdr:colOff>
      <xdr:row>238</xdr:row>
      <xdr:rowOff>210853</xdr:rowOff>
    </xdr:to>
    <xdr:sp macro="" textlink="">
      <xdr:nvSpPr>
        <xdr:cNvPr id="135" name="Isosceles Triangle 134">
          <a:extLst>
            <a:ext uri="{FF2B5EF4-FFF2-40B4-BE49-F238E27FC236}">
              <a16:creationId xmlns:a16="http://schemas.microsoft.com/office/drawing/2014/main" id="{EBB5309B-A57E-437A-84EA-2ACE336A3A86}"/>
            </a:ext>
          </a:extLst>
        </xdr:cNvPr>
        <xdr:cNvSpPr/>
      </xdr:nvSpPr>
      <xdr:spPr>
        <a:xfrm>
          <a:off x="18630900" y="81454289"/>
          <a:ext cx="10515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235</xdr:row>
      <xdr:rowOff>141269</xdr:rowOff>
    </xdr:from>
    <xdr:to>
      <xdr:col>23</xdr:col>
      <xdr:colOff>0</xdr:colOff>
      <xdr:row>238</xdr:row>
      <xdr:rowOff>210853</xdr:rowOff>
    </xdr:to>
    <xdr:sp macro="" textlink="">
      <xdr:nvSpPr>
        <xdr:cNvPr id="136" name="Isosceles Triangle 135">
          <a:extLst>
            <a:ext uri="{FF2B5EF4-FFF2-40B4-BE49-F238E27FC236}">
              <a16:creationId xmlns:a16="http://schemas.microsoft.com/office/drawing/2014/main" id="{D9A20B7F-3646-43B4-AB94-BB18A21704FD}"/>
            </a:ext>
          </a:extLst>
        </xdr:cNvPr>
        <xdr:cNvSpPr/>
      </xdr:nvSpPr>
      <xdr:spPr>
        <a:xfrm>
          <a:off x="20589240" y="81454289"/>
          <a:ext cx="10134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0</xdr:col>
      <xdr:colOff>0</xdr:colOff>
      <xdr:row>235</xdr:row>
      <xdr:rowOff>141269</xdr:rowOff>
    </xdr:from>
    <xdr:to>
      <xdr:col>1</xdr:col>
      <xdr:colOff>0</xdr:colOff>
      <xdr:row>238</xdr:row>
      <xdr:rowOff>210853</xdr:rowOff>
    </xdr:to>
    <xdr:sp macro="" textlink="">
      <xdr:nvSpPr>
        <xdr:cNvPr id="137" name="Isosceles Triangle 136">
          <a:extLst>
            <a:ext uri="{FF2B5EF4-FFF2-40B4-BE49-F238E27FC236}">
              <a16:creationId xmlns:a16="http://schemas.microsoft.com/office/drawing/2014/main" id="{1172E99B-F214-4416-8895-014DE217DA5D}"/>
            </a:ext>
          </a:extLst>
        </xdr:cNvPr>
        <xdr:cNvSpPr/>
      </xdr:nvSpPr>
      <xdr:spPr>
        <a:xfrm>
          <a:off x="0" y="81454289"/>
          <a:ext cx="12649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243</xdr:row>
      <xdr:rowOff>126029</xdr:rowOff>
    </xdr:from>
    <xdr:to>
      <xdr:col>3</xdr:col>
      <xdr:colOff>0</xdr:colOff>
      <xdr:row>246</xdr:row>
      <xdr:rowOff>149893</xdr:rowOff>
    </xdr:to>
    <xdr:sp macro="" textlink="">
      <xdr:nvSpPr>
        <xdr:cNvPr id="138" name="Isosceles Triangle 137">
          <a:extLst>
            <a:ext uri="{FF2B5EF4-FFF2-40B4-BE49-F238E27FC236}">
              <a16:creationId xmlns:a16="http://schemas.microsoft.com/office/drawing/2014/main" id="{9EEFF25B-A42B-46D1-A611-20B0F7EB9056}"/>
            </a:ext>
          </a:extLst>
        </xdr:cNvPr>
        <xdr:cNvSpPr/>
      </xdr:nvSpPr>
      <xdr:spPr>
        <a:xfrm>
          <a:off x="2011680" y="84311789"/>
          <a:ext cx="1021080" cy="11211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243</xdr:row>
      <xdr:rowOff>126029</xdr:rowOff>
    </xdr:from>
    <xdr:to>
      <xdr:col>5</xdr:col>
      <xdr:colOff>0</xdr:colOff>
      <xdr:row>246</xdr:row>
      <xdr:rowOff>149893</xdr:rowOff>
    </xdr:to>
    <xdr:sp macro="" textlink="">
      <xdr:nvSpPr>
        <xdr:cNvPr id="139" name="Isosceles Triangle 138">
          <a:extLst>
            <a:ext uri="{FF2B5EF4-FFF2-40B4-BE49-F238E27FC236}">
              <a16:creationId xmlns:a16="http://schemas.microsoft.com/office/drawing/2014/main" id="{F5AACCE6-2BFE-48A7-91BD-3981720D2EA9}"/>
            </a:ext>
          </a:extLst>
        </xdr:cNvPr>
        <xdr:cNvSpPr/>
      </xdr:nvSpPr>
      <xdr:spPr>
        <a:xfrm>
          <a:off x="4076700" y="84311789"/>
          <a:ext cx="1196340" cy="11211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243</xdr:row>
      <xdr:rowOff>126029</xdr:rowOff>
    </xdr:from>
    <xdr:to>
      <xdr:col>7</xdr:col>
      <xdr:colOff>0</xdr:colOff>
      <xdr:row>246</xdr:row>
      <xdr:rowOff>149893</xdr:rowOff>
    </xdr:to>
    <xdr:sp macro="" textlink="">
      <xdr:nvSpPr>
        <xdr:cNvPr id="140" name="Isosceles Triangle 139">
          <a:extLst>
            <a:ext uri="{FF2B5EF4-FFF2-40B4-BE49-F238E27FC236}">
              <a16:creationId xmlns:a16="http://schemas.microsoft.com/office/drawing/2014/main" id="{F1A12385-2C0B-411A-8660-8614315592FD}"/>
            </a:ext>
          </a:extLst>
        </xdr:cNvPr>
        <xdr:cNvSpPr/>
      </xdr:nvSpPr>
      <xdr:spPr>
        <a:xfrm>
          <a:off x="6309360" y="84311789"/>
          <a:ext cx="1112520" cy="11211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243</xdr:row>
      <xdr:rowOff>126029</xdr:rowOff>
    </xdr:from>
    <xdr:to>
      <xdr:col>9</xdr:col>
      <xdr:colOff>0</xdr:colOff>
      <xdr:row>246</xdr:row>
      <xdr:rowOff>149893</xdr:rowOff>
    </xdr:to>
    <xdr:sp macro="" textlink="">
      <xdr:nvSpPr>
        <xdr:cNvPr id="141" name="Isosceles Triangle 140">
          <a:extLst>
            <a:ext uri="{FF2B5EF4-FFF2-40B4-BE49-F238E27FC236}">
              <a16:creationId xmlns:a16="http://schemas.microsoft.com/office/drawing/2014/main" id="{2B952DE6-D60F-4D3B-9B7D-AA4C8D97C799}"/>
            </a:ext>
          </a:extLst>
        </xdr:cNvPr>
        <xdr:cNvSpPr/>
      </xdr:nvSpPr>
      <xdr:spPr>
        <a:xfrm>
          <a:off x="8298180" y="84311789"/>
          <a:ext cx="1272540" cy="11211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243</xdr:row>
      <xdr:rowOff>126029</xdr:rowOff>
    </xdr:from>
    <xdr:to>
      <xdr:col>11</xdr:col>
      <xdr:colOff>0</xdr:colOff>
      <xdr:row>246</xdr:row>
      <xdr:rowOff>149893</xdr:rowOff>
    </xdr:to>
    <xdr:sp macro="" textlink="">
      <xdr:nvSpPr>
        <xdr:cNvPr id="142" name="Isosceles Triangle 141">
          <a:extLst>
            <a:ext uri="{FF2B5EF4-FFF2-40B4-BE49-F238E27FC236}">
              <a16:creationId xmlns:a16="http://schemas.microsoft.com/office/drawing/2014/main" id="{B36FB290-A75C-45F5-A293-8F67934F4DBE}"/>
            </a:ext>
          </a:extLst>
        </xdr:cNvPr>
        <xdr:cNvSpPr/>
      </xdr:nvSpPr>
      <xdr:spPr>
        <a:xfrm>
          <a:off x="10195560" y="84311789"/>
          <a:ext cx="944880" cy="11211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243</xdr:row>
      <xdr:rowOff>126029</xdr:rowOff>
    </xdr:from>
    <xdr:to>
      <xdr:col>13</xdr:col>
      <xdr:colOff>0</xdr:colOff>
      <xdr:row>246</xdr:row>
      <xdr:rowOff>149893</xdr:rowOff>
    </xdr:to>
    <xdr:sp macro="" textlink="">
      <xdr:nvSpPr>
        <xdr:cNvPr id="143" name="Isosceles Triangle 142">
          <a:extLst>
            <a:ext uri="{FF2B5EF4-FFF2-40B4-BE49-F238E27FC236}">
              <a16:creationId xmlns:a16="http://schemas.microsoft.com/office/drawing/2014/main" id="{66F527CB-673D-422A-9105-0CEEDEF8DD5C}"/>
            </a:ext>
          </a:extLst>
        </xdr:cNvPr>
        <xdr:cNvSpPr/>
      </xdr:nvSpPr>
      <xdr:spPr>
        <a:xfrm>
          <a:off x="11765280" y="8431178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16</xdr:col>
      <xdr:colOff>0</xdr:colOff>
      <xdr:row>243</xdr:row>
      <xdr:rowOff>126029</xdr:rowOff>
    </xdr:from>
    <xdr:to>
      <xdr:col>17</xdr:col>
      <xdr:colOff>0</xdr:colOff>
      <xdr:row>246</xdr:row>
      <xdr:rowOff>149893</xdr:rowOff>
    </xdr:to>
    <xdr:sp macro="" textlink="">
      <xdr:nvSpPr>
        <xdr:cNvPr id="144" name="Isosceles Triangle 143">
          <a:extLst>
            <a:ext uri="{FF2B5EF4-FFF2-40B4-BE49-F238E27FC236}">
              <a16:creationId xmlns:a16="http://schemas.microsoft.com/office/drawing/2014/main" id="{262E1D05-5EA0-4463-9E61-DEEAFA7E7802}"/>
            </a:ext>
          </a:extLst>
        </xdr:cNvPr>
        <xdr:cNvSpPr/>
      </xdr:nvSpPr>
      <xdr:spPr>
        <a:xfrm>
          <a:off x="15240000" y="84311789"/>
          <a:ext cx="11430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243</xdr:row>
      <xdr:rowOff>126029</xdr:rowOff>
    </xdr:from>
    <xdr:to>
      <xdr:col>19</xdr:col>
      <xdr:colOff>0</xdr:colOff>
      <xdr:row>246</xdr:row>
      <xdr:rowOff>149893</xdr:rowOff>
    </xdr:to>
    <xdr:sp macro="" textlink="">
      <xdr:nvSpPr>
        <xdr:cNvPr id="145" name="Isosceles Triangle 144">
          <a:extLst>
            <a:ext uri="{FF2B5EF4-FFF2-40B4-BE49-F238E27FC236}">
              <a16:creationId xmlns:a16="http://schemas.microsoft.com/office/drawing/2014/main" id="{F47A5CF0-0B2E-486F-B2E9-A2CC1E06A2EC}"/>
            </a:ext>
          </a:extLst>
        </xdr:cNvPr>
        <xdr:cNvSpPr/>
      </xdr:nvSpPr>
      <xdr:spPr>
        <a:xfrm>
          <a:off x="17007840" y="84311789"/>
          <a:ext cx="998220" cy="1121144"/>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100" b="1"/>
            <a:t>WIP</a:t>
          </a:r>
        </a:p>
      </xdr:txBody>
    </xdr:sp>
    <xdr:clientData/>
  </xdr:twoCellAnchor>
  <xdr:twoCellAnchor>
    <xdr:from>
      <xdr:col>14</xdr:col>
      <xdr:colOff>0</xdr:colOff>
      <xdr:row>243</xdr:row>
      <xdr:rowOff>127000</xdr:rowOff>
    </xdr:from>
    <xdr:to>
      <xdr:col>15</xdr:col>
      <xdr:colOff>9072</xdr:colOff>
      <xdr:row>246</xdr:row>
      <xdr:rowOff>150864</xdr:rowOff>
    </xdr:to>
    <xdr:sp macro="" textlink="">
      <xdr:nvSpPr>
        <xdr:cNvPr id="146" name="Isosceles Triangle 145">
          <a:extLst>
            <a:ext uri="{FF2B5EF4-FFF2-40B4-BE49-F238E27FC236}">
              <a16:creationId xmlns:a16="http://schemas.microsoft.com/office/drawing/2014/main" id="{4AB554BD-8C62-4B6A-81DB-7BBFF98B312F}"/>
            </a:ext>
          </a:extLst>
        </xdr:cNvPr>
        <xdr:cNvSpPr/>
      </xdr:nvSpPr>
      <xdr:spPr>
        <a:xfrm>
          <a:off x="13555980" y="84312760"/>
          <a:ext cx="1053012" cy="11211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243</xdr:row>
      <xdr:rowOff>126029</xdr:rowOff>
    </xdr:from>
    <xdr:to>
      <xdr:col>21</xdr:col>
      <xdr:colOff>0</xdr:colOff>
      <xdr:row>246</xdr:row>
      <xdr:rowOff>149893</xdr:rowOff>
    </xdr:to>
    <xdr:sp macro="" textlink="">
      <xdr:nvSpPr>
        <xdr:cNvPr id="147" name="Isosceles Triangle 146">
          <a:extLst>
            <a:ext uri="{FF2B5EF4-FFF2-40B4-BE49-F238E27FC236}">
              <a16:creationId xmlns:a16="http://schemas.microsoft.com/office/drawing/2014/main" id="{DD56A90B-A672-432C-A5FA-D54E0F6C65BB}"/>
            </a:ext>
          </a:extLst>
        </xdr:cNvPr>
        <xdr:cNvSpPr/>
      </xdr:nvSpPr>
      <xdr:spPr>
        <a:xfrm>
          <a:off x="18630900" y="84311789"/>
          <a:ext cx="10515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243</xdr:row>
      <xdr:rowOff>126029</xdr:rowOff>
    </xdr:from>
    <xdr:to>
      <xdr:col>23</xdr:col>
      <xdr:colOff>0</xdr:colOff>
      <xdr:row>246</xdr:row>
      <xdr:rowOff>149893</xdr:rowOff>
    </xdr:to>
    <xdr:sp macro="" textlink="">
      <xdr:nvSpPr>
        <xdr:cNvPr id="148" name="Isosceles Triangle 147">
          <a:extLst>
            <a:ext uri="{FF2B5EF4-FFF2-40B4-BE49-F238E27FC236}">
              <a16:creationId xmlns:a16="http://schemas.microsoft.com/office/drawing/2014/main" id="{2C204327-D7E7-4731-9F40-C4B97822E8A4}"/>
            </a:ext>
          </a:extLst>
        </xdr:cNvPr>
        <xdr:cNvSpPr/>
      </xdr:nvSpPr>
      <xdr:spPr>
        <a:xfrm>
          <a:off x="20589240" y="8431178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0</xdr:col>
      <xdr:colOff>0</xdr:colOff>
      <xdr:row>243</xdr:row>
      <xdr:rowOff>126029</xdr:rowOff>
    </xdr:from>
    <xdr:to>
      <xdr:col>1</xdr:col>
      <xdr:colOff>0</xdr:colOff>
      <xdr:row>246</xdr:row>
      <xdr:rowOff>149893</xdr:rowOff>
    </xdr:to>
    <xdr:sp macro="" textlink="">
      <xdr:nvSpPr>
        <xdr:cNvPr id="149" name="Isosceles Triangle 148">
          <a:extLst>
            <a:ext uri="{FF2B5EF4-FFF2-40B4-BE49-F238E27FC236}">
              <a16:creationId xmlns:a16="http://schemas.microsoft.com/office/drawing/2014/main" id="{E38B51BE-0400-45DC-AC97-C3060FDAF10A}"/>
            </a:ext>
          </a:extLst>
        </xdr:cNvPr>
        <xdr:cNvSpPr/>
      </xdr:nvSpPr>
      <xdr:spPr>
        <a:xfrm>
          <a:off x="0" y="84311789"/>
          <a:ext cx="1264920" cy="11211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251</xdr:row>
      <xdr:rowOff>126029</xdr:rowOff>
    </xdr:from>
    <xdr:to>
      <xdr:col>3</xdr:col>
      <xdr:colOff>0</xdr:colOff>
      <xdr:row>254</xdr:row>
      <xdr:rowOff>165133</xdr:rowOff>
    </xdr:to>
    <xdr:sp macro="" textlink="">
      <xdr:nvSpPr>
        <xdr:cNvPr id="150" name="Isosceles Triangle 149">
          <a:extLst>
            <a:ext uri="{FF2B5EF4-FFF2-40B4-BE49-F238E27FC236}">
              <a16:creationId xmlns:a16="http://schemas.microsoft.com/office/drawing/2014/main" id="{31EBC4D6-2C61-43CD-A42D-8B7C0777A5C8}"/>
            </a:ext>
          </a:extLst>
        </xdr:cNvPr>
        <xdr:cNvSpPr/>
      </xdr:nvSpPr>
      <xdr:spPr>
        <a:xfrm>
          <a:off x="2011680" y="87077849"/>
          <a:ext cx="1021080" cy="1136384"/>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251</xdr:row>
      <xdr:rowOff>126029</xdr:rowOff>
    </xdr:from>
    <xdr:to>
      <xdr:col>5</xdr:col>
      <xdr:colOff>0</xdr:colOff>
      <xdr:row>254</xdr:row>
      <xdr:rowOff>165133</xdr:rowOff>
    </xdr:to>
    <xdr:sp macro="" textlink="">
      <xdr:nvSpPr>
        <xdr:cNvPr id="151" name="Isosceles Triangle 150">
          <a:extLst>
            <a:ext uri="{FF2B5EF4-FFF2-40B4-BE49-F238E27FC236}">
              <a16:creationId xmlns:a16="http://schemas.microsoft.com/office/drawing/2014/main" id="{8847739F-1886-49FA-9933-D36BB12B1986}"/>
            </a:ext>
          </a:extLst>
        </xdr:cNvPr>
        <xdr:cNvSpPr/>
      </xdr:nvSpPr>
      <xdr:spPr>
        <a:xfrm>
          <a:off x="4076700" y="87077849"/>
          <a:ext cx="11963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251</xdr:row>
      <xdr:rowOff>126029</xdr:rowOff>
    </xdr:from>
    <xdr:to>
      <xdr:col>7</xdr:col>
      <xdr:colOff>0</xdr:colOff>
      <xdr:row>254</xdr:row>
      <xdr:rowOff>165133</xdr:rowOff>
    </xdr:to>
    <xdr:sp macro="" textlink="">
      <xdr:nvSpPr>
        <xdr:cNvPr id="152" name="Isosceles Triangle 151">
          <a:extLst>
            <a:ext uri="{FF2B5EF4-FFF2-40B4-BE49-F238E27FC236}">
              <a16:creationId xmlns:a16="http://schemas.microsoft.com/office/drawing/2014/main" id="{BE5538AF-C40B-4BAB-92C2-8EA514EAA6C6}"/>
            </a:ext>
          </a:extLst>
        </xdr:cNvPr>
        <xdr:cNvSpPr/>
      </xdr:nvSpPr>
      <xdr:spPr>
        <a:xfrm>
          <a:off x="6309360" y="87077849"/>
          <a:ext cx="11125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251</xdr:row>
      <xdr:rowOff>126029</xdr:rowOff>
    </xdr:from>
    <xdr:to>
      <xdr:col>9</xdr:col>
      <xdr:colOff>0</xdr:colOff>
      <xdr:row>254</xdr:row>
      <xdr:rowOff>165133</xdr:rowOff>
    </xdr:to>
    <xdr:sp macro="" textlink="">
      <xdr:nvSpPr>
        <xdr:cNvPr id="153" name="Isosceles Triangle 152">
          <a:extLst>
            <a:ext uri="{FF2B5EF4-FFF2-40B4-BE49-F238E27FC236}">
              <a16:creationId xmlns:a16="http://schemas.microsoft.com/office/drawing/2014/main" id="{DF832681-F7E8-4406-8B5B-5F00D437DD5B}"/>
            </a:ext>
          </a:extLst>
        </xdr:cNvPr>
        <xdr:cNvSpPr/>
      </xdr:nvSpPr>
      <xdr:spPr>
        <a:xfrm>
          <a:off x="8298180" y="87077849"/>
          <a:ext cx="127254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251</xdr:row>
      <xdr:rowOff>126029</xdr:rowOff>
    </xdr:from>
    <xdr:to>
      <xdr:col>11</xdr:col>
      <xdr:colOff>0</xdr:colOff>
      <xdr:row>254</xdr:row>
      <xdr:rowOff>165133</xdr:rowOff>
    </xdr:to>
    <xdr:sp macro="" textlink="">
      <xdr:nvSpPr>
        <xdr:cNvPr id="154" name="Isosceles Triangle 153">
          <a:extLst>
            <a:ext uri="{FF2B5EF4-FFF2-40B4-BE49-F238E27FC236}">
              <a16:creationId xmlns:a16="http://schemas.microsoft.com/office/drawing/2014/main" id="{58DDA708-C63E-44C3-880A-B1467B6A8450}"/>
            </a:ext>
          </a:extLst>
        </xdr:cNvPr>
        <xdr:cNvSpPr/>
      </xdr:nvSpPr>
      <xdr:spPr>
        <a:xfrm>
          <a:off x="10195560" y="87077849"/>
          <a:ext cx="94488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251</xdr:row>
      <xdr:rowOff>126029</xdr:rowOff>
    </xdr:from>
    <xdr:to>
      <xdr:col>13</xdr:col>
      <xdr:colOff>0</xdr:colOff>
      <xdr:row>254</xdr:row>
      <xdr:rowOff>165133</xdr:rowOff>
    </xdr:to>
    <xdr:sp macro="" textlink="">
      <xdr:nvSpPr>
        <xdr:cNvPr id="155" name="Isosceles Triangle 154">
          <a:extLst>
            <a:ext uri="{FF2B5EF4-FFF2-40B4-BE49-F238E27FC236}">
              <a16:creationId xmlns:a16="http://schemas.microsoft.com/office/drawing/2014/main" id="{387F92D0-5483-42E6-AC89-768327EA2301}"/>
            </a:ext>
          </a:extLst>
        </xdr:cNvPr>
        <xdr:cNvSpPr/>
      </xdr:nvSpPr>
      <xdr:spPr>
        <a:xfrm>
          <a:off x="11765280" y="87077849"/>
          <a:ext cx="101346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251</xdr:row>
      <xdr:rowOff>126029</xdr:rowOff>
    </xdr:from>
    <xdr:to>
      <xdr:col>17</xdr:col>
      <xdr:colOff>0</xdr:colOff>
      <xdr:row>254</xdr:row>
      <xdr:rowOff>165133</xdr:rowOff>
    </xdr:to>
    <xdr:sp macro="" textlink="">
      <xdr:nvSpPr>
        <xdr:cNvPr id="156" name="Isosceles Triangle 155">
          <a:extLst>
            <a:ext uri="{FF2B5EF4-FFF2-40B4-BE49-F238E27FC236}">
              <a16:creationId xmlns:a16="http://schemas.microsoft.com/office/drawing/2014/main" id="{CDF8566F-38E3-47AA-960C-7E6614D15E62}"/>
            </a:ext>
          </a:extLst>
        </xdr:cNvPr>
        <xdr:cNvSpPr/>
      </xdr:nvSpPr>
      <xdr:spPr>
        <a:xfrm>
          <a:off x="15240000" y="87077849"/>
          <a:ext cx="114300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251</xdr:row>
      <xdr:rowOff>126029</xdr:rowOff>
    </xdr:from>
    <xdr:to>
      <xdr:col>19</xdr:col>
      <xdr:colOff>0</xdr:colOff>
      <xdr:row>254</xdr:row>
      <xdr:rowOff>165133</xdr:rowOff>
    </xdr:to>
    <xdr:sp macro="" textlink="">
      <xdr:nvSpPr>
        <xdr:cNvPr id="157" name="Isosceles Triangle 156">
          <a:extLst>
            <a:ext uri="{FF2B5EF4-FFF2-40B4-BE49-F238E27FC236}">
              <a16:creationId xmlns:a16="http://schemas.microsoft.com/office/drawing/2014/main" id="{C68EAED6-253C-4361-800D-A3DD1524CB42}"/>
            </a:ext>
          </a:extLst>
        </xdr:cNvPr>
        <xdr:cNvSpPr/>
      </xdr:nvSpPr>
      <xdr:spPr>
        <a:xfrm>
          <a:off x="17007840" y="87077849"/>
          <a:ext cx="99822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251</xdr:row>
      <xdr:rowOff>127000</xdr:rowOff>
    </xdr:from>
    <xdr:to>
      <xdr:col>15</xdr:col>
      <xdr:colOff>9072</xdr:colOff>
      <xdr:row>254</xdr:row>
      <xdr:rowOff>166104</xdr:rowOff>
    </xdr:to>
    <xdr:sp macro="" textlink="">
      <xdr:nvSpPr>
        <xdr:cNvPr id="158" name="Isosceles Triangle 157">
          <a:extLst>
            <a:ext uri="{FF2B5EF4-FFF2-40B4-BE49-F238E27FC236}">
              <a16:creationId xmlns:a16="http://schemas.microsoft.com/office/drawing/2014/main" id="{2B308347-001F-4BCC-BDD2-52BD8A1BDF76}"/>
            </a:ext>
          </a:extLst>
        </xdr:cNvPr>
        <xdr:cNvSpPr/>
      </xdr:nvSpPr>
      <xdr:spPr>
        <a:xfrm>
          <a:off x="13555980" y="87078820"/>
          <a:ext cx="1053012"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251</xdr:row>
      <xdr:rowOff>126029</xdr:rowOff>
    </xdr:from>
    <xdr:to>
      <xdr:col>21</xdr:col>
      <xdr:colOff>0</xdr:colOff>
      <xdr:row>254</xdr:row>
      <xdr:rowOff>165133</xdr:rowOff>
    </xdr:to>
    <xdr:sp macro="" textlink="">
      <xdr:nvSpPr>
        <xdr:cNvPr id="159" name="Isosceles Triangle 158">
          <a:extLst>
            <a:ext uri="{FF2B5EF4-FFF2-40B4-BE49-F238E27FC236}">
              <a16:creationId xmlns:a16="http://schemas.microsoft.com/office/drawing/2014/main" id="{231B3F18-C94F-4D7F-8840-E9F2BC3BF85A}"/>
            </a:ext>
          </a:extLst>
        </xdr:cNvPr>
        <xdr:cNvSpPr/>
      </xdr:nvSpPr>
      <xdr:spPr>
        <a:xfrm>
          <a:off x="18630900" y="87077849"/>
          <a:ext cx="105156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251</xdr:row>
      <xdr:rowOff>126029</xdr:rowOff>
    </xdr:from>
    <xdr:to>
      <xdr:col>23</xdr:col>
      <xdr:colOff>0</xdr:colOff>
      <xdr:row>254</xdr:row>
      <xdr:rowOff>165133</xdr:rowOff>
    </xdr:to>
    <xdr:sp macro="" textlink="">
      <xdr:nvSpPr>
        <xdr:cNvPr id="160" name="Isosceles Triangle 159">
          <a:extLst>
            <a:ext uri="{FF2B5EF4-FFF2-40B4-BE49-F238E27FC236}">
              <a16:creationId xmlns:a16="http://schemas.microsoft.com/office/drawing/2014/main" id="{F9C9070A-EAB2-4386-857A-A7B8C17B788A}"/>
            </a:ext>
          </a:extLst>
        </xdr:cNvPr>
        <xdr:cNvSpPr/>
      </xdr:nvSpPr>
      <xdr:spPr>
        <a:xfrm>
          <a:off x="20589240" y="87077849"/>
          <a:ext cx="101346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0</xdr:col>
      <xdr:colOff>0</xdr:colOff>
      <xdr:row>251</xdr:row>
      <xdr:rowOff>126029</xdr:rowOff>
    </xdr:from>
    <xdr:to>
      <xdr:col>1</xdr:col>
      <xdr:colOff>0</xdr:colOff>
      <xdr:row>254</xdr:row>
      <xdr:rowOff>165133</xdr:rowOff>
    </xdr:to>
    <xdr:sp macro="" textlink="">
      <xdr:nvSpPr>
        <xdr:cNvPr id="161" name="Isosceles Triangle 160">
          <a:extLst>
            <a:ext uri="{FF2B5EF4-FFF2-40B4-BE49-F238E27FC236}">
              <a16:creationId xmlns:a16="http://schemas.microsoft.com/office/drawing/2014/main" id="{696C181F-4AF8-4890-8923-2CD3474A17A6}"/>
            </a:ext>
          </a:extLst>
        </xdr:cNvPr>
        <xdr:cNvSpPr/>
      </xdr:nvSpPr>
      <xdr:spPr>
        <a:xfrm>
          <a:off x="0" y="87077849"/>
          <a:ext cx="1264920" cy="1136384"/>
        </a:xfrm>
        <a:prstGeom prst="triangle">
          <a:avLst/>
        </a:prstGeom>
        <a:solidFill>
          <a:srgbClr val="FFFF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600" b="1"/>
        </a:p>
      </xdr:txBody>
    </xdr:sp>
    <xdr:clientData/>
  </xdr:twoCellAnchor>
  <xdr:twoCellAnchor>
    <xdr:from>
      <xdr:col>2</xdr:col>
      <xdr:colOff>0</xdr:colOff>
      <xdr:row>260</xdr:row>
      <xdr:rowOff>126029</xdr:rowOff>
    </xdr:from>
    <xdr:to>
      <xdr:col>3</xdr:col>
      <xdr:colOff>0</xdr:colOff>
      <xdr:row>263</xdr:row>
      <xdr:rowOff>195613</xdr:rowOff>
    </xdr:to>
    <xdr:sp macro="" textlink="">
      <xdr:nvSpPr>
        <xdr:cNvPr id="162" name="Isosceles Triangle 161">
          <a:extLst>
            <a:ext uri="{FF2B5EF4-FFF2-40B4-BE49-F238E27FC236}">
              <a16:creationId xmlns:a16="http://schemas.microsoft.com/office/drawing/2014/main" id="{43EE8B3B-E722-4646-A8BB-E8DE3970A935}"/>
            </a:ext>
          </a:extLst>
        </xdr:cNvPr>
        <xdr:cNvSpPr/>
      </xdr:nvSpPr>
      <xdr:spPr>
        <a:xfrm>
          <a:off x="2011680" y="90156329"/>
          <a:ext cx="102108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260</xdr:row>
      <xdr:rowOff>126029</xdr:rowOff>
    </xdr:from>
    <xdr:to>
      <xdr:col>5</xdr:col>
      <xdr:colOff>0</xdr:colOff>
      <xdr:row>263</xdr:row>
      <xdr:rowOff>195613</xdr:rowOff>
    </xdr:to>
    <xdr:sp macro="" textlink="">
      <xdr:nvSpPr>
        <xdr:cNvPr id="163" name="Isosceles Triangle 162">
          <a:extLst>
            <a:ext uri="{FF2B5EF4-FFF2-40B4-BE49-F238E27FC236}">
              <a16:creationId xmlns:a16="http://schemas.microsoft.com/office/drawing/2014/main" id="{2A3A392E-5663-4322-A518-4C9D2B19FEBA}"/>
            </a:ext>
          </a:extLst>
        </xdr:cNvPr>
        <xdr:cNvSpPr/>
      </xdr:nvSpPr>
      <xdr:spPr>
        <a:xfrm>
          <a:off x="4076700" y="90156329"/>
          <a:ext cx="119634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260</xdr:row>
      <xdr:rowOff>126029</xdr:rowOff>
    </xdr:from>
    <xdr:to>
      <xdr:col>7</xdr:col>
      <xdr:colOff>0</xdr:colOff>
      <xdr:row>263</xdr:row>
      <xdr:rowOff>195613</xdr:rowOff>
    </xdr:to>
    <xdr:sp macro="" textlink="">
      <xdr:nvSpPr>
        <xdr:cNvPr id="164" name="Isosceles Triangle 163">
          <a:extLst>
            <a:ext uri="{FF2B5EF4-FFF2-40B4-BE49-F238E27FC236}">
              <a16:creationId xmlns:a16="http://schemas.microsoft.com/office/drawing/2014/main" id="{670D7BE1-32DD-4EEC-928B-4408DB0A2F4D}"/>
            </a:ext>
          </a:extLst>
        </xdr:cNvPr>
        <xdr:cNvSpPr/>
      </xdr:nvSpPr>
      <xdr:spPr>
        <a:xfrm>
          <a:off x="6309360" y="90156329"/>
          <a:ext cx="11125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260</xdr:row>
      <xdr:rowOff>126029</xdr:rowOff>
    </xdr:from>
    <xdr:to>
      <xdr:col>9</xdr:col>
      <xdr:colOff>0</xdr:colOff>
      <xdr:row>263</xdr:row>
      <xdr:rowOff>195613</xdr:rowOff>
    </xdr:to>
    <xdr:sp macro="" textlink="">
      <xdr:nvSpPr>
        <xdr:cNvPr id="165" name="Isosceles Triangle 164">
          <a:extLst>
            <a:ext uri="{FF2B5EF4-FFF2-40B4-BE49-F238E27FC236}">
              <a16:creationId xmlns:a16="http://schemas.microsoft.com/office/drawing/2014/main" id="{B01C7C1A-FB51-493E-823E-9FBBF32D98B1}"/>
            </a:ext>
          </a:extLst>
        </xdr:cNvPr>
        <xdr:cNvSpPr/>
      </xdr:nvSpPr>
      <xdr:spPr>
        <a:xfrm>
          <a:off x="8298180" y="90156329"/>
          <a:ext cx="127254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260</xdr:row>
      <xdr:rowOff>126029</xdr:rowOff>
    </xdr:from>
    <xdr:to>
      <xdr:col>11</xdr:col>
      <xdr:colOff>0</xdr:colOff>
      <xdr:row>263</xdr:row>
      <xdr:rowOff>195613</xdr:rowOff>
    </xdr:to>
    <xdr:sp macro="" textlink="">
      <xdr:nvSpPr>
        <xdr:cNvPr id="166" name="Isosceles Triangle 165">
          <a:extLst>
            <a:ext uri="{FF2B5EF4-FFF2-40B4-BE49-F238E27FC236}">
              <a16:creationId xmlns:a16="http://schemas.microsoft.com/office/drawing/2014/main" id="{35B0EB44-6E67-43EB-93DE-770D342307D3}"/>
            </a:ext>
          </a:extLst>
        </xdr:cNvPr>
        <xdr:cNvSpPr/>
      </xdr:nvSpPr>
      <xdr:spPr>
        <a:xfrm>
          <a:off x="10195560" y="90156329"/>
          <a:ext cx="94488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670560</xdr:colOff>
      <xdr:row>259</xdr:row>
      <xdr:rowOff>186989</xdr:rowOff>
    </xdr:from>
    <xdr:to>
      <xdr:col>13</xdr:col>
      <xdr:colOff>670560</xdr:colOff>
      <xdr:row>262</xdr:row>
      <xdr:rowOff>256573</xdr:rowOff>
    </xdr:to>
    <xdr:sp macro="" textlink="">
      <xdr:nvSpPr>
        <xdr:cNvPr id="167" name="Isosceles Triangle 166">
          <a:extLst>
            <a:ext uri="{FF2B5EF4-FFF2-40B4-BE49-F238E27FC236}">
              <a16:creationId xmlns:a16="http://schemas.microsoft.com/office/drawing/2014/main" id="{ED3A1BBC-3A6A-4A45-ACD1-A2E90CA8705F}"/>
            </a:ext>
          </a:extLst>
        </xdr:cNvPr>
        <xdr:cNvSpPr/>
      </xdr:nvSpPr>
      <xdr:spPr>
        <a:xfrm>
          <a:off x="12435840" y="89851529"/>
          <a:ext cx="10134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260</xdr:row>
      <xdr:rowOff>126029</xdr:rowOff>
    </xdr:from>
    <xdr:to>
      <xdr:col>17</xdr:col>
      <xdr:colOff>0</xdr:colOff>
      <xdr:row>263</xdr:row>
      <xdr:rowOff>195613</xdr:rowOff>
    </xdr:to>
    <xdr:sp macro="" textlink="">
      <xdr:nvSpPr>
        <xdr:cNvPr id="168" name="Isosceles Triangle 167">
          <a:extLst>
            <a:ext uri="{FF2B5EF4-FFF2-40B4-BE49-F238E27FC236}">
              <a16:creationId xmlns:a16="http://schemas.microsoft.com/office/drawing/2014/main" id="{CD3CA77B-90F9-4310-B7E0-97405BA7010E}"/>
            </a:ext>
          </a:extLst>
        </xdr:cNvPr>
        <xdr:cNvSpPr/>
      </xdr:nvSpPr>
      <xdr:spPr>
        <a:xfrm>
          <a:off x="15240000" y="90156329"/>
          <a:ext cx="114300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260</xdr:row>
      <xdr:rowOff>126029</xdr:rowOff>
    </xdr:from>
    <xdr:to>
      <xdr:col>19</xdr:col>
      <xdr:colOff>0</xdr:colOff>
      <xdr:row>263</xdr:row>
      <xdr:rowOff>195613</xdr:rowOff>
    </xdr:to>
    <xdr:sp macro="" textlink="">
      <xdr:nvSpPr>
        <xdr:cNvPr id="169" name="Isosceles Triangle 168">
          <a:extLst>
            <a:ext uri="{FF2B5EF4-FFF2-40B4-BE49-F238E27FC236}">
              <a16:creationId xmlns:a16="http://schemas.microsoft.com/office/drawing/2014/main" id="{8C17F092-F9D0-4B80-98F6-6A77EACE9F9C}"/>
            </a:ext>
          </a:extLst>
        </xdr:cNvPr>
        <xdr:cNvSpPr/>
      </xdr:nvSpPr>
      <xdr:spPr>
        <a:xfrm>
          <a:off x="17007840" y="90156329"/>
          <a:ext cx="9982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260</xdr:row>
      <xdr:rowOff>127000</xdr:rowOff>
    </xdr:from>
    <xdr:to>
      <xdr:col>15</xdr:col>
      <xdr:colOff>9072</xdr:colOff>
      <xdr:row>263</xdr:row>
      <xdr:rowOff>196584</xdr:rowOff>
    </xdr:to>
    <xdr:sp macro="" textlink="">
      <xdr:nvSpPr>
        <xdr:cNvPr id="170" name="Isosceles Triangle 169">
          <a:extLst>
            <a:ext uri="{FF2B5EF4-FFF2-40B4-BE49-F238E27FC236}">
              <a16:creationId xmlns:a16="http://schemas.microsoft.com/office/drawing/2014/main" id="{B04351E6-221B-42F2-B33D-BE1694BE90BA}"/>
            </a:ext>
          </a:extLst>
        </xdr:cNvPr>
        <xdr:cNvSpPr/>
      </xdr:nvSpPr>
      <xdr:spPr>
        <a:xfrm>
          <a:off x="13555980" y="90157300"/>
          <a:ext cx="1053012"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260</xdr:row>
      <xdr:rowOff>126029</xdr:rowOff>
    </xdr:from>
    <xdr:to>
      <xdr:col>21</xdr:col>
      <xdr:colOff>0</xdr:colOff>
      <xdr:row>263</xdr:row>
      <xdr:rowOff>195613</xdr:rowOff>
    </xdr:to>
    <xdr:sp macro="" textlink="">
      <xdr:nvSpPr>
        <xdr:cNvPr id="171" name="Isosceles Triangle 170">
          <a:extLst>
            <a:ext uri="{FF2B5EF4-FFF2-40B4-BE49-F238E27FC236}">
              <a16:creationId xmlns:a16="http://schemas.microsoft.com/office/drawing/2014/main" id="{6D8BF104-1717-4146-A995-946772DFA11A}"/>
            </a:ext>
          </a:extLst>
        </xdr:cNvPr>
        <xdr:cNvSpPr/>
      </xdr:nvSpPr>
      <xdr:spPr>
        <a:xfrm>
          <a:off x="18630900" y="90156329"/>
          <a:ext cx="10515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260</xdr:row>
      <xdr:rowOff>126029</xdr:rowOff>
    </xdr:from>
    <xdr:to>
      <xdr:col>23</xdr:col>
      <xdr:colOff>0</xdr:colOff>
      <xdr:row>263</xdr:row>
      <xdr:rowOff>195613</xdr:rowOff>
    </xdr:to>
    <xdr:sp macro="" textlink="">
      <xdr:nvSpPr>
        <xdr:cNvPr id="172" name="Isosceles Triangle 171">
          <a:extLst>
            <a:ext uri="{FF2B5EF4-FFF2-40B4-BE49-F238E27FC236}">
              <a16:creationId xmlns:a16="http://schemas.microsoft.com/office/drawing/2014/main" id="{B805AF95-D44D-4ACC-914D-D92CCE0859BC}"/>
            </a:ext>
          </a:extLst>
        </xdr:cNvPr>
        <xdr:cNvSpPr/>
      </xdr:nvSpPr>
      <xdr:spPr>
        <a:xfrm>
          <a:off x="20589240" y="90156329"/>
          <a:ext cx="10134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0</xdr:col>
      <xdr:colOff>0</xdr:colOff>
      <xdr:row>260</xdr:row>
      <xdr:rowOff>126029</xdr:rowOff>
    </xdr:from>
    <xdr:to>
      <xdr:col>1</xdr:col>
      <xdr:colOff>0</xdr:colOff>
      <xdr:row>263</xdr:row>
      <xdr:rowOff>195613</xdr:rowOff>
    </xdr:to>
    <xdr:sp macro="" textlink="">
      <xdr:nvSpPr>
        <xdr:cNvPr id="173" name="Isosceles Triangle 172">
          <a:extLst>
            <a:ext uri="{FF2B5EF4-FFF2-40B4-BE49-F238E27FC236}">
              <a16:creationId xmlns:a16="http://schemas.microsoft.com/office/drawing/2014/main" id="{139AC8F3-F86F-41A0-980C-0BFAFAEF5CF8}"/>
            </a:ext>
          </a:extLst>
        </xdr:cNvPr>
        <xdr:cNvSpPr/>
      </xdr:nvSpPr>
      <xdr:spPr>
        <a:xfrm>
          <a:off x="0" y="90156329"/>
          <a:ext cx="12649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268</xdr:row>
      <xdr:rowOff>126029</xdr:rowOff>
    </xdr:from>
    <xdr:to>
      <xdr:col>3</xdr:col>
      <xdr:colOff>0</xdr:colOff>
      <xdr:row>271</xdr:row>
      <xdr:rowOff>172753</xdr:rowOff>
    </xdr:to>
    <xdr:sp macro="" textlink="">
      <xdr:nvSpPr>
        <xdr:cNvPr id="174" name="Isosceles Triangle 173">
          <a:extLst>
            <a:ext uri="{FF2B5EF4-FFF2-40B4-BE49-F238E27FC236}">
              <a16:creationId xmlns:a16="http://schemas.microsoft.com/office/drawing/2014/main" id="{D8DFB927-ACD7-46E5-88B5-9F9614B0D97A}"/>
            </a:ext>
          </a:extLst>
        </xdr:cNvPr>
        <xdr:cNvSpPr/>
      </xdr:nvSpPr>
      <xdr:spPr>
        <a:xfrm>
          <a:off x="2011680" y="93029069"/>
          <a:ext cx="1021080" cy="114400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268</xdr:row>
      <xdr:rowOff>126029</xdr:rowOff>
    </xdr:from>
    <xdr:to>
      <xdr:col>5</xdr:col>
      <xdr:colOff>0</xdr:colOff>
      <xdr:row>271</xdr:row>
      <xdr:rowOff>172753</xdr:rowOff>
    </xdr:to>
    <xdr:sp macro="" textlink="">
      <xdr:nvSpPr>
        <xdr:cNvPr id="175" name="Isosceles Triangle 174">
          <a:extLst>
            <a:ext uri="{FF2B5EF4-FFF2-40B4-BE49-F238E27FC236}">
              <a16:creationId xmlns:a16="http://schemas.microsoft.com/office/drawing/2014/main" id="{C0B21CDF-7448-4A61-97A5-A0A637809D4F}"/>
            </a:ext>
          </a:extLst>
        </xdr:cNvPr>
        <xdr:cNvSpPr/>
      </xdr:nvSpPr>
      <xdr:spPr>
        <a:xfrm>
          <a:off x="4076700" y="93029069"/>
          <a:ext cx="1196340" cy="114400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268</xdr:row>
      <xdr:rowOff>126029</xdr:rowOff>
    </xdr:from>
    <xdr:to>
      <xdr:col>7</xdr:col>
      <xdr:colOff>0</xdr:colOff>
      <xdr:row>271</xdr:row>
      <xdr:rowOff>172753</xdr:rowOff>
    </xdr:to>
    <xdr:sp macro="" textlink="">
      <xdr:nvSpPr>
        <xdr:cNvPr id="176" name="Isosceles Triangle 175">
          <a:extLst>
            <a:ext uri="{FF2B5EF4-FFF2-40B4-BE49-F238E27FC236}">
              <a16:creationId xmlns:a16="http://schemas.microsoft.com/office/drawing/2014/main" id="{0FFFB6EF-E628-4EDF-B4AB-6D3B3B74BA28}"/>
            </a:ext>
          </a:extLst>
        </xdr:cNvPr>
        <xdr:cNvSpPr/>
      </xdr:nvSpPr>
      <xdr:spPr>
        <a:xfrm>
          <a:off x="6309360" y="93029069"/>
          <a:ext cx="1112520" cy="114400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268</xdr:row>
      <xdr:rowOff>126029</xdr:rowOff>
    </xdr:from>
    <xdr:to>
      <xdr:col>9</xdr:col>
      <xdr:colOff>0</xdr:colOff>
      <xdr:row>271</xdr:row>
      <xdr:rowOff>172753</xdr:rowOff>
    </xdr:to>
    <xdr:sp macro="" textlink="">
      <xdr:nvSpPr>
        <xdr:cNvPr id="177" name="Isosceles Triangle 176">
          <a:extLst>
            <a:ext uri="{FF2B5EF4-FFF2-40B4-BE49-F238E27FC236}">
              <a16:creationId xmlns:a16="http://schemas.microsoft.com/office/drawing/2014/main" id="{E848C15C-D544-4B4C-A3D2-8657574E9D6C}"/>
            </a:ext>
          </a:extLst>
        </xdr:cNvPr>
        <xdr:cNvSpPr/>
      </xdr:nvSpPr>
      <xdr:spPr>
        <a:xfrm>
          <a:off x="8298180" y="93029069"/>
          <a:ext cx="1272540" cy="1144004"/>
        </a:xfrm>
        <a:prstGeom prst="triangle">
          <a:avLst/>
        </a:prstGeom>
        <a:solidFill>
          <a:schemeClr val="bg1"/>
        </a:solidFill>
        <a:ln w="0"/>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US" sz="2400" b="1"/>
            <a:t>R</a:t>
          </a:r>
        </a:p>
      </xdr:txBody>
    </xdr:sp>
    <xdr:clientData/>
  </xdr:twoCellAnchor>
  <xdr:twoCellAnchor>
    <xdr:from>
      <xdr:col>10</xdr:col>
      <xdr:colOff>13510</xdr:colOff>
      <xdr:row>267</xdr:row>
      <xdr:rowOff>81065</xdr:rowOff>
    </xdr:from>
    <xdr:to>
      <xdr:col>11</xdr:col>
      <xdr:colOff>27021</xdr:colOff>
      <xdr:row>271</xdr:row>
      <xdr:rowOff>162127</xdr:rowOff>
    </xdr:to>
    <xdr:sp macro="" textlink="">
      <xdr:nvSpPr>
        <xdr:cNvPr id="178" name="Isosceles Triangle 177">
          <a:extLst>
            <a:ext uri="{FF2B5EF4-FFF2-40B4-BE49-F238E27FC236}">
              <a16:creationId xmlns:a16="http://schemas.microsoft.com/office/drawing/2014/main" id="{C198A384-0BB5-4614-A32B-E10BC85C5B4F}"/>
            </a:ext>
          </a:extLst>
        </xdr:cNvPr>
        <xdr:cNvSpPr/>
      </xdr:nvSpPr>
      <xdr:spPr>
        <a:xfrm>
          <a:off x="10376170" y="78050959"/>
          <a:ext cx="972766" cy="1161913"/>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US" sz="1200" b="1">
              <a:solidFill>
                <a:srgbClr val="FF0000"/>
              </a:solidFill>
            </a:rPr>
            <a:t>ROW</a:t>
          </a:r>
        </a:p>
      </xdr:txBody>
    </xdr:sp>
    <xdr:clientData/>
  </xdr:twoCellAnchor>
  <xdr:twoCellAnchor>
    <xdr:from>
      <xdr:col>12</xdr:col>
      <xdr:colOff>0</xdr:colOff>
      <xdr:row>268</xdr:row>
      <xdr:rowOff>126029</xdr:rowOff>
    </xdr:from>
    <xdr:to>
      <xdr:col>13</xdr:col>
      <xdr:colOff>0</xdr:colOff>
      <xdr:row>271</xdr:row>
      <xdr:rowOff>172753</xdr:rowOff>
    </xdr:to>
    <xdr:sp macro="" textlink="">
      <xdr:nvSpPr>
        <xdr:cNvPr id="179" name="Isosceles Triangle 178">
          <a:extLst>
            <a:ext uri="{FF2B5EF4-FFF2-40B4-BE49-F238E27FC236}">
              <a16:creationId xmlns:a16="http://schemas.microsoft.com/office/drawing/2014/main" id="{BE4A6013-5FA1-4664-9A42-24ABEC68A829}"/>
            </a:ext>
          </a:extLst>
        </xdr:cNvPr>
        <xdr:cNvSpPr/>
      </xdr:nvSpPr>
      <xdr:spPr>
        <a:xfrm>
          <a:off x="11765280" y="93029069"/>
          <a:ext cx="1013460" cy="114400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268</xdr:row>
      <xdr:rowOff>126029</xdr:rowOff>
    </xdr:from>
    <xdr:to>
      <xdr:col>17</xdr:col>
      <xdr:colOff>0</xdr:colOff>
      <xdr:row>271</xdr:row>
      <xdr:rowOff>172753</xdr:rowOff>
    </xdr:to>
    <xdr:sp macro="" textlink="">
      <xdr:nvSpPr>
        <xdr:cNvPr id="180" name="Isosceles Triangle 179">
          <a:extLst>
            <a:ext uri="{FF2B5EF4-FFF2-40B4-BE49-F238E27FC236}">
              <a16:creationId xmlns:a16="http://schemas.microsoft.com/office/drawing/2014/main" id="{81516C41-72C7-4079-8D08-B2C20EB60A31}"/>
            </a:ext>
          </a:extLst>
        </xdr:cNvPr>
        <xdr:cNvSpPr/>
      </xdr:nvSpPr>
      <xdr:spPr>
        <a:xfrm>
          <a:off x="15240000" y="93029069"/>
          <a:ext cx="1143000" cy="114400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268</xdr:row>
      <xdr:rowOff>126029</xdr:rowOff>
    </xdr:from>
    <xdr:to>
      <xdr:col>19</xdr:col>
      <xdr:colOff>0</xdr:colOff>
      <xdr:row>271</xdr:row>
      <xdr:rowOff>172753</xdr:rowOff>
    </xdr:to>
    <xdr:sp macro="" textlink="">
      <xdr:nvSpPr>
        <xdr:cNvPr id="181" name="Isosceles Triangle 180">
          <a:extLst>
            <a:ext uri="{FF2B5EF4-FFF2-40B4-BE49-F238E27FC236}">
              <a16:creationId xmlns:a16="http://schemas.microsoft.com/office/drawing/2014/main" id="{1531247E-36F4-4C95-93E8-51BF3ABE9591}"/>
            </a:ext>
          </a:extLst>
        </xdr:cNvPr>
        <xdr:cNvSpPr/>
      </xdr:nvSpPr>
      <xdr:spPr>
        <a:xfrm>
          <a:off x="17007840" y="93029069"/>
          <a:ext cx="998220" cy="114400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268</xdr:row>
      <xdr:rowOff>127000</xdr:rowOff>
    </xdr:from>
    <xdr:to>
      <xdr:col>15</xdr:col>
      <xdr:colOff>9072</xdr:colOff>
      <xdr:row>271</xdr:row>
      <xdr:rowOff>173724</xdr:rowOff>
    </xdr:to>
    <xdr:sp macro="" textlink="">
      <xdr:nvSpPr>
        <xdr:cNvPr id="182" name="Isosceles Triangle 181">
          <a:extLst>
            <a:ext uri="{FF2B5EF4-FFF2-40B4-BE49-F238E27FC236}">
              <a16:creationId xmlns:a16="http://schemas.microsoft.com/office/drawing/2014/main" id="{48F6F1D7-BCB3-415E-9CDE-FECC1EEE1DC8}"/>
            </a:ext>
          </a:extLst>
        </xdr:cNvPr>
        <xdr:cNvSpPr/>
      </xdr:nvSpPr>
      <xdr:spPr>
        <a:xfrm>
          <a:off x="13555980" y="93030040"/>
          <a:ext cx="1053012" cy="114400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268</xdr:row>
      <xdr:rowOff>126029</xdr:rowOff>
    </xdr:from>
    <xdr:to>
      <xdr:col>21</xdr:col>
      <xdr:colOff>0</xdr:colOff>
      <xdr:row>271</xdr:row>
      <xdr:rowOff>172753</xdr:rowOff>
    </xdr:to>
    <xdr:sp macro="" textlink="">
      <xdr:nvSpPr>
        <xdr:cNvPr id="183" name="Isosceles Triangle 182">
          <a:extLst>
            <a:ext uri="{FF2B5EF4-FFF2-40B4-BE49-F238E27FC236}">
              <a16:creationId xmlns:a16="http://schemas.microsoft.com/office/drawing/2014/main" id="{62B0890A-C882-4CDE-8A09-D1339673AED6}"/>
            </a:ext>
          </a:extLst>
        </xdr:cNvPr>
        <xdr:cNvSpPr/>
      </xdr:nvSpPr>
      <xdr:spPr>
        <a:xfrm>
          <a:off x="18630900" y="93029069"/>
          <a:ext cx="1051560" cy="114400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268</xdr:row>
      <xdr:rowOff>126029</xdr:rowOff>
    </xdr:from>
    <xdr:to>
      <xdr:col>23</xdr:col>
      <xdr:colOff>0</xdr:colOff>
      <xdr:row>271</xdr:row>
      <xdr:rowOff>172753</xdr:rowOff>
    </xdr:to>
    <xdr:sp macro="" textlink="">
      <xdr:nvSpPr>
        <xdr:cNvPr id="184" name="Isosceles Triangle 183">
          <a:extLst>
            <a:ext uri="{FF2B5EF4-FFF2-40B4-BE49-F238E27FC236}">
              <a16:creationId xmlns:a16="http://schemas.microsoft.com/office/drawing/2014/main" id="{8463F182-02B1-4528-8B1D-5BE2384D17DF}"/>
            </a:ext>
          </a:extLst>
        </xdr:cNvPr>
        <xdr:cNvSpPr/>
      </xdr:nvSpPr>
      <xdr:spPr>
        <a:xfrm>
          <a:off x="20589240" y="93029069"/>
          <a:ext cx="1013460" cy="114400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0</xdr:col>
      <xdr:colOff>0</xdr:colOff>
      <xdr:row>268</xdr:row>
      <xdr:rowOff>126029</xdr:rowOff>
    </xdr:from>
    <xdr:to>
      <xdr:col>1</xdr:col>
      <xdr:colOff>0</xdr:colOff>
      <xdr:row>271</xdr:row>
      <xdr:rowOff>172753</xdr:rowOff>
    </xdr:to>
    <xdr:sp macro="" textlink="">
      <xdr:nvSpPr>
        <xdr:cNvPr id="185" name="Isosceles Triangle 184">
          <a:extLst>
            <a:ext uri="{FF2B5EF4-FFF2-40B4-BE49-F238E27FC236}">
              <a16:creationId xmlns:a16="http://schemas.microsoft.com/office/drawing/2014/main" id="{2FE0F69C-9E5A-4EF4-A810-1EC0BABC6FC7}"/>
            </a:ext>
          </a:extLst>
        </xdr:cNvPr>
        <xdr:cNvSpPr/>
      </xdr:nvSpPr>
      <xdr:spPr>
        <a:xfrm>
          <a:off x="0" y="93029069"/>
          <a:ext cx="1264920" cy="114400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276</xdr:row>
      <xdr:rowOff>126029</xdr:rowOff>
    </xdr:from>
    <xdr:to>
      <xdr:col>3</xdr:col>
      <xdr:colOff>0</xdr:colOff>
      <xdr:row>279</xdr:row>
      <xdr:rowOff>149893</xdr:rowOff>
    </xdr:to>
    <xdr:sp macro="" textlink="">
      <xdr:nvSpPr>
        <xdr:cNvPr id="186" name="Isosceles Triangle 185">
          <a:extLst>
            <a:ext uri="{FF2B5EF4-FFF2-40B4-BE49-F238E27FC236}">
              <a16:creationId xmlns:a16="http://schemas.microsoft.com/office/drawing/2014/main" id="{BF74AE4F-BC99-4EA0-9701-828466350E85}"/>
            </a:ext>
          </a:extLst>
        </xdr:cNvPr>
        <xdr:cNvSpPr/>
      </xdr:nvSpPr>
      <xdr:spPr>
        <a:xfrm>
          <a:off x="2011680" y="95878949"/>
          <a:ext cx="1021080" cy="11211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276</xdr:row>
      <xdr:rowOff>126029</xdr:rowOff>
    </xdr:from>
    <xdr:to>
      <xdr:col>5</xdr:col>
      <xdr:colOff>0</xdr:colOff>
      <xdr:row>279</xdr:row>
      <xdr:rowOff>149893</xdr:rowOff>
    </xdr:to>
    <xdr:sp macro="" textlink="">
      <xdr:nvSpPr>
        <xdr:cNvPr id="187" name="Isosceles Triangle 186">
          <a:extLst>
            <a:ext uri="{FF2B5EF4-FFF2-40B4-BE49-F238E27FC236}">
              <a16:creationId xmlns:a16="http://schemas.microsoft.com/office/drawing/2014/main" id="{B13C2BF3-9888-48C7-B002-27C9EE520798}"/>
            </a:ext>
          </a:extLst>
        </xdr:cNvPr>
        <xdr:cNvSpPr/>
      </xdr:nvSpPr>
      <xdr:spPr>
        <a:xfrm>
          <a:off x="4076700" y="95878949"/>
          <a:ext cx="119634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276</xdr:row>
      <xdr:rowOff>126029</xdr:rowOff>
    </xdr:from>
    <xdr:to>
      <xdr:col>7</xdr:col>
      <xdr:colOff>0</xdr:colOff>
      <xdr:row>279</xdr:row>
      <xdr:rowOff>149893</xdr:rowOff>
    </xdr:to>
    <xdr:sp macro="" textlink="">
      <xdr:nvSpPr>
        <xdr:cNvPr id="188" name="Isosceles Triangle 187">
          <a:extLst>
            <a:ext uri="{FF2B5EF4-FFF2-40B4-BE49-F238E27FC236}">
              <a16:creationId xmlns:a16="http://schemas.microsoft.com/office/drawing/2014/main" id="{CB3AE243-2F46-46C7-AF48-14A772F8E48A}"/>
            </a:ext>
          </a:extLst>
        </xdr:cNvPr>
        <xdr:cNvSpPr/>
      </xdr:nvSpPr>
      <xdr:spPr>
        <a:xfrm>
          <a:off x="6309360" y="95878949"/>
          <a:ext cx="1112520" cy="1121144"/>
        </a:xfrm>
        <a:prstGeom prst="triangle">
          <a:avLst/>
        </a:prstGeom>
        <a:solidFill>
          <a:srgbClr val="FFFF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276</xdr:row>
      <xdr:rowOff>126029</xdr:rowOff>
    </xdr:from>
    <xdr:to>
      <xdr:col>9</xdr:col>
      <xdr:colOff>0</xdr:colOff>
      <xdr:row>279</xdr:row>
      <xdr:rowOff>149893</xdr:rowOff>
    </xdr:to>
    <xdr:sp macro="" textlink="">
      <xdr:nvSpPr>
        <xdr:cNvPr id="189" name="Isosceles Triangle 188">
          <a:extLst>
            <a:ext uri="{FF2B5EF4-FFF2-40B4-BE49-F238E27FC236}">
              <a16:creationId xmlns:a16="http://schemas.microsoft.com/office/drawing/2014/main" id="{63073BC1-C235-4777-B8F6-CC19CC12F7AE}"/>
            </a:ext>
          </a:extLst>
        </xdr:cNvPr>
        <xdr:cNvSpPr/>
      </xdr:nvSpPr>
      <xdr:spPr>
        <a:xfrm>
          <a:off x="8298180" y="95878949"/>
          <a:ext cx="127254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276</xdr:row>
      <xdr:rowOff>126029</xdr:rowOff>
    </xdr:from>
    <xdr:to>
      <xdr:col>11</xdr:col>
      <xdr:colOff>0</xdr:colOff>
      <xdr:row>279</xdr:row>
      <xdr:rowOff>149893</xdr:rowOff>
    </xdr:to>
    <xdr:sp macro="" textlink="">
      <xdr:nvSpPr>
        <xdr:cNvPr id="190" name="Isosceles Triangle 189">
          <a:extLst>
            <a:ext uri="{FF2B5EF4-FFF2-40B4-BE49-F238E27FC236}">
              <a16:creationId xmlns:a16="http://schemas.microsoft.com/office/drawing/2014/main" id="{02F3273A-2D4A-4BA3-A6A2-7947B13514B5}"/>
            </a:ext>
          </a:extLst>
        </xdr:cNvPr>
        <xdr:cNvSpPr/>
      </xdr:nvSpPr>
      <xdr:spPr>
        <a:xfrm>
          <a:off x="10195560" y="95878949"/>
          <a:ext cx="944880" cy="11211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276</xdr:row>
      <xdr:rowOff>151429</xdr:rowOff>
    </xdr:from>
    <xdr:to>
      <xdr:col>13</xdr:col>
      <xdr:colOff>0</xdr:colOff>
      <xdr:row>280</xdr:row>
      <xdr:rowOff>0</xdr:rowOff>
    </xdr:to>
    <xdr:sp macro="" textlink="">
      <xdr:nvSpPr>
        <xdr:cNvPr id="191" name="Isosceles Triangle 190">
          <a:extLst>
            <a:ext uri="{FF2B5EF4-FFF2-40B4-BE49-F238E27FC236}">
              <a16:creationId xmlns:a16="http://schemas.microsoft.com/office/drawing/2014/main" id="{2DD8FB02-D0CF-4B5E-9B26-3577B806B9C5}"/>
            </a:ext>
          </a:extLst>
        </xdr:cNvPr>
        <xdr:cNvSpPr/>
      </xdr:nvSpPr>
      <xdr:spPr>
        <a:xfrm>
          <a:off x="11765280" y="95904349"/>
          <a:ext cx="1013460" cy="109825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276</xdr:row>
      <xdr:rowOff>126029</xdr:rowOff>
    </xdr:from>
    <xdr:to>
      <xdr:col>17</xdr:col>
      <xdr:colOff>0</xdr:colOff>
      <xdr:row>279</xdr:row>
      <xdr:rowOff>149893</xdr:rowOff>
    </xdr:to>
    <xdr:sp macro="" textlink="">
      <xdr:nvSpPr>
        <xdr:cNvPr id="192" name="Isosceles Triangle 191">
          <a:extLst>
            <a:ext uri="{FF2B5EF4-FFF2-40B4-BE49-F238E27FC236}">
              <a16:creationId xmlns:a16="http://schemas.microsoft.com/office/drawing/2014/main" id="{5EE29B7F-1E38-4D9A-9C3B-49BDB16A7BE6}"/>
            </a:ext>
          </a:extLst>
        </xdr:cNvPr>
        <xdr:cNvSpPr/>
      </xdr:nvSpPr>
      <xdr:spPr>
        <a:xfrm>
          <a:off x="15240000" y="95878949"/>
          <a:ext cx="1143000" cy="11211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276</xdr:row>
      <xdr:rowOff>126029</xdr:rowOff>
    </xdr:from>
    <xdr:to>
      <xdr:col>19</xdr:col>
      <xdr:colOff>0</xdr:colOff>
      <xdr:row>279</xdr:row>
      <xdr:rowOff>149893</xdr:rowOff>
    </xdr:to>
    <xdr:sp macro="" textlink="">
      <xdr:nvSpPr>
        <xdr:cNvPr id="193" name="Isosceles Triangle 192">
          <a:extLst>
            <a:ext uri="{FF2B5EF4-FFF2-40B4-BE49-F238E27FC236}">
              <a16:creationId xmlns:a16="http://schemas.microsoft.com/office/drawing/2014/main" id="{1C24BA1E-AC30-4E79-B3DE-C6CD77062C82}"/>
            </a:ext>
          </a:extLst>
        </xdr:cNvPr>
        <xdr:cNvSpPr/>
      </xdr:nvSpPr>
      <xdr:spPr>
        <a:xfrm>
          <a:off x="17007840" y="95878949"/>
          <a:ext cx="9982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276</xdr:row>
      <xdr:rowOff>127000</xdr:rowOff>
    </xdr:from>
    <xdr:to>
      <xdr:col>15</xdr:col>
      <xdr:colOff>9072</xdr:colOff>
      <xdr:row>279</xdr:row>
      <xdr:rowOff>150864</xdr:rowOff>
    </xdr:to>
    <xdr:sp macro="" textlink="">
      <xdr:nvSpPr>
        <xdr:cNvPr id="194" name="Isosceles Triangle 193">
          <a:extLst>
            <a:ext uri="{FF2B5EF4-FFF2-40B4-BE49-F238E27FC236}">
              <a16:creationId xmlns:a16="http://schemas.microsoft.com/office/drawing/2014/main" id="{096BDF2E-3547-46FF-916F-5752223EC073}"/>
            </a:ext>
          </a:extLst>
        </xdr:cNvPr>
        <xdr:cNvSpPr/>
      </xdr:nvSpPr>
      <xdr:spPr>
        <a:xfrm>
          <a:off x="13555980" y="95879920"/>
          <a:ext cx="1053012" cy="11211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276</xdr:row>
      <xdr:rowOff>126029</xdr:rowOff>
    </xdr:from>
    <xdr:to>
      <xdr:col>21</xdr:col>
      <xdr:colOff>0</xdr:colOff>
      <xdr:row>279</xdr:row>
      <xdr:rowOff>149893</xdr:rowOff>
    </xdr:to>
    <xdr:sp macro="" textlink="">
      <xdr:nvSpPr>
        <xdr:cNvPr id="195" name="Isosceles Triangle 194">
          <a:extLst>
            <a:ext uri="{FF2B5EF4-FFF2-40B4-BE49-F238E27FC236}">
              <a16:creationId xmlns:a16="http://schemas.microsoft.com/office/drawing/2014/main" id="{70F07C39-3467-43CD-B631-D96A97069F89}"/>
            </a:ext>
          </a:extLst>
        </xdr:cNvPr>
        <xdr:cNvSpPr/>
      </xdr:nvSpPr>
      <xdr:spPr>
        <a:xfrm>
          <a:off x="18630900" y="95878949"/>
          <a:ext cx="10515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276</xdr:row>
      <xdr:rowOff>126029</xdr:rowOff>
    </xdr:from>
    <xdr:to>
      <xdr:col>23</xdr:col>
      <xdr:colOff>0</xdr:colOff>
      <xdr:row>279</xdr:row>
      <xdr:rowOff>149893</xdr:rowOff>
    </xdr:to>
    <xdr:sp macro="" textlink="">
      <xdr:nvSpPr>
        <xdr:cNvPr id="196" name="Isosceles Triangle 195">
          <a:extLst>
            <a:ext uri="{FF2B5EF4-FFF2-40B4-BE49-F238E27FC236}">
              <a16:creationId xmlns:a16="http://schemas.microsoft.com/office/drawing/2014/main" id="{9B677A4E-3A52-47A9-A530-C976C0A3CCEA}"/>
            </a:ext>
          </a:extLst>
        </xdr:cNvPr>
        <xdr:cNvSpPr/>
      </xdr:nvSpPr>
      <xdr:spPr>
        <a:xfrm>
          <a:off x="20589240" y="9587894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0</xdr:col>
      <xdr:colOff>0</xdr:colOff>
      <xdr:row>276</xdr:row>
      <xdr:rowOff>126029</xdr:rowOff>
    </xdr:from>
    <xdr:to>
      <xdr:col>1</xdr:col>
      <xdr:colOff>0</xdr:colOff>
      <xdr:row>279</xdr:row>
      <xdr:rowOff>149893</xdr:rowOff>
    </xdr:to>
    <xdr:sp macro="" textlink="">
      <xdr:nvSpPr>
        <xdr:cNvPr id="197" name="Isosceles Triangle 196">
          <a:extLst>
            <a:ext uri="{FF2B5EF4-FFF2-40B4-BE49-F238E27FC236}">
              <a16:creationId xmlns:a16="http://schemas.microsoft.com/office/drawing/2014/main" id="{C5BE84DF-A1E8-4394-80A0-17295FC91BDE}"/>
            </a:ext>
          </a:extLst>
        </xdr:cNvPr>
        <xdr:cNvSpPr/>
      </xdr:nvSpPr>
      <xdr:spPr>
        <a:xfrm>
          <a:off x="0" y="95878949"/>
          <a:ext cx="1264920" cy="11211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284</xdr:row>
      <xdr:rowOff>126029</xdr:rowOff>
    </xdr:from>
    <xdr:to>
      <xdr:col>3</xdr:col>
      <xdr:colOff>0</xdr:colOff>
      <xdr:row>287</xdr:row>
      <xdr:rowOff>195613</xdr:rowOff>
    </xdr:to>
    <xdr:sp macro="" textlink="">
      <xdr:nvSpPr>
        <xdr:cNvPr id="198" name="Isosceles Triangle 197">
          <a:extLst>
            <a:ext uri="{FF2B5EF4-FFF2-40B4-BE49-F238E27FC236}">
              <a16:creationId xmlns:a16="http://schemas.microsoft.com/office/drawing/2014/main" id="{D48B20CB-E3AC-434A-84BF-50EAE7FF735D}"/>
            </a:ext>
          </a:extLst>
        </xdr:cNvPr>
        <xdr:cNvSpPr/>
      </xdr:nvSpPr>
      <xdr:spPr>
        <a:xfrm>
          <a:off x="2011680" y="98850749"/>
          <a:ext cx="102108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284</xdr:row>
      <xdr:rowOff>126029</xdr:rowOff>
    </xdr:from>
    <xdr:to>
      <xdr:col>5</xdr:col>
      <xdr:colOff>0</xdr:colOff>
      <xdr:row>287</xdr:row>
      <xdr:rowOff>195613</xdr:rowOff>
    </xdr:to>
    <xdr:sp macro="" textlink="">
      <xdr:nvSpPr>
        <xdr:cNvPr id="199" name="Isosceles Triangle 198">
          <a:extLst>
            <a:ext uri="{FF2B5EF4-FFF2-40B4-BE49-F238E27FC236}">
              <a16:creationId xmlns:a16="http://schemas.microsoft.com/office/drawing/2014/main" id="{F6655351-A85F-4592-AC19-23C305D13A20}"/>
            </a:ext>
          </a:extLst>
        </xdr:cNvPr>
        <xdr:cNvSpPr/>
      </xdr:nvSpPr>
      <xdr:spPr>
        <a:xfrm>
          <a:off x="4076700" y="98850749"/>
          <a:ext cx="119634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284</xdr:row>
      <xdr:rowOff>126029</xdr:rowOff>
    </xdr:from>
    <xdr:to>
      <xdr:col>7</xdr:col>
      <xdr:colOff>0</xdr:colOff>
      <xdr:row>287</xdr:row>
      <xdr:rowOff>195613</xdr:rowOff>
    </xdr:to>
    <xdr:sp macro="" textlink="">
      <xdr:nvSpPr>
        <xdr:cNvPr id="200" name="Isosceles Triangle 199">
          <a:extLst>
            <a:ext uri="{FF2B5EF4-FFF2-40B4-BE49-F238E27FC236}">
              <a16:creationId xmlns:a16="http://schemas.microsoft.com/office/drawing/2014/main" id="{603B7408-9BFB-4FE1-8EE1-C56FF0333DD8}"/>
            </a:ext>
          </a:extLst>
        </xdr:cNvPr>
        <xdr:cNvSpPr/>
      </xdr:nvSpPr>
      <xdr:spPr>
        <a:xfrm>
          <a:off x="6309360" y="98850749"/>
          <a:ext cx="11125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284</xdr:row>
      <xdr:rowOff>126029</xdr:rowOff>
    </xdr:from>
    <xdr:to>
      <xdr:col>9</xdr:col>
      <xdr:colOff>0</xdr:colOff>
      <xdr:row>287</xdr:row>
      <xdr:rowOff>195613</xdr:rowOff>
    </xdr:to>
    <xdr:sp macro="" textlink="">
      <xdr:nvSpPr>
        <xdr:cNvPr id="201" name="Isosceles Triangle 200">
          <a:extLst>
            <a:ext uri="{FF2B5EF4-FFF2-40B4-BE49-F238E27FC236}">
              <a16:creationId xmlns:a16="http://schemas.microsoft.com/office/drawing/2014/main" id="{895606F7-052B-4C39-B18F-B024F23BF6AB}"/>
            </a:ext>
          </a:extLst>
        </xdr:cNvPr>
        <xdr:cNvSpPr/>
      </xdr:nvSpPr>
      <xdr:spPr>
        <a:xfrm>
          <a:off x="8298180" y="98850749"/>
          <a:ext cx="127254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284</xdr:row>
      <xdr:rowOff>126029</xdr:rowOff>
    </xdr:from>
    <xdr:to>
      <xdr:col>11</xdr:col>
      <xdr:colOff>0</xdr:colOff>
      <xdr:row>287</xdr:row>
      <xdr:rowOff>195613</xdr:rowOff>
    </xdr:to>
    <xdr:sp macro="" textlink="">
      <xdr:nvSpPr>
        <xdr:cNvPr id="202" name="Isosceles Triangle 201">
          <a:extLst>
            <a:ext uri="{FF2B5EF4-FFF2-40B4-BE49-F238E27FC236}">
              <a16:creationId xmlns:a16="http://schemas.microsoft.com/office/drawing/2014/main" id="{451CA627-5161-497B-8F7D-364E3B7EB03B}"/>
            </a:ext>
          </a:extLst>
        </xdr:cNvPr>
        <xdr:cNvSpPr/>
      </xdr:nvSpPr>
      <xdr:spPr>
        <a:xfrm>
          <a:off x="10195560" y="98850749"/>
          <a:ext cx="94488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284</xdr:row>
      <xdr:rowOff>126029</xdr:rowOff>
    </xdr:from>
    <xdr:to>
      <xdr:col>13</xdr:col>
      <xdr:colOff>0</xdr:colOff>
      <xdr:row>287</xdr:row>
      <xdr:rowOff>195613</xdr:rowOff>
    </xdr:to>
    <xdr:sp macro="" textlink="">
      <xdr:nvSpPr>
        <xdr:cNvPr id="203" name="Isosceles Triangle 202">
          <a:extLst>
            <a:ext uri="{FF2B5EF4-FFF2-40B4-BE49-F238E27FC236}">
              <a16:creationId xmlns:a16="http://schemas.microsoft.com/office/drawing/2014/main" id="{573EAA90-5AF6-42FA-9A4D-581BE6C04A08}"/>
            </a:ext>
          </a:extLst>
        </xdr:cNvPr>
        <xdr:cNvSpPr/>
      </xdr:nvSpPr>
      <xdr:spPr>
        <a:xfrm>
          <a:off x="11765280" y="98850749"/>
          <a:ext cx="10134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284</xdr:row>
      <xdr:rowOff>126029</xdr:rowOff>
    </xdr:from>
    <xdr:to>
      <xdr:col>17</xdr:col>
      <xdr:colOff>0</xdr:colOff>
      <xdr:row>287</xdr:row>
      <xdr:rowOff>195613</xdr:rowOff>
    </xdr:to>
    <xdr:sp macro="" textlink="">
      <xdr:nvSpPr>
        <xdr:cNvPr id="204" name="Isosceles Triangle 203">
          <a:extLst>
            <a:ext uri="{FF2B5EF4-FFF2-40B4-BE49-F238E27FC236}">
              <a16:creationId xmlns:a16="http://schemas.microsoft.com/office/drawing/2014/main" id="{BAF8E3ED-EB9A-4DA2-83A0-1FDD914ADFCE}"/>
            </a:ext>
          </a:extLst>
        </xdr:cNvPr>
        <xdr:cNvSpPr/>
      </xdr:nvSpPr>
      <xdr:spPr>
        <a:xfrm>
          <a:off x="15240000" y="98850749"/>
          <a:ext cx="114300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284</xdr:row>
      <xdr:rowOff>126029</xdr:rowOff>
    </xdr:from>
    <xdr:to>
      <xdr:col>19</xdr:col>
      <xdr:colOff>0</xdr:colOff>
      <xdr:row>287</xdr:row>
      <xdr:rowOff>195613</xdr:rowOff>
    </xdr:to>
    <xdr:sp macro="" textlink="">
      <xdr:nvSpPr>
        <xdr:cNvPr id="205" name="Isosceles Triangle 204">
          <a:extLst>
            <a:ext uri="{FF2B5EF4-FFF2-40B4-BE49-F238E27FC236}">
              <a16:creationId xmlns:a16="http://schemas.microsoft.com/office/drawing/2014/main" id="{304E7172-743B-4CCE-8F91-38585046F6CE}"/>
            </a:ext>
          </a:extLst>
        </xdr:cNvPr>
        <xdr:cNvSpPr/>
      </xdr:nvSpPr>
      <xdr:spPr>
        <a:xfrm>
          <a:off x="17007840" y="98850749"/>
          <a:ext cx="9982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284</xdr:row>
      <xdr:rowOff>127000</xdr:rowOff>
    </xdr:from>
    <xdr:to>
      <xdr:col>15</xdr:col>
      <xdr:colOff>9072</xdr:colOff>
      <xdr:row>287</xdr:row>
      <xdr:rowOff>196584</xdr:rowOff>
    </xdr:to>
    <xdr:sp macro="" textlink="">
      <xdr:nvSpPr>
        <xdr:cNvPr id="206" name="Isosceles Triangle 205">
          <a:extLst>
            <a:ext uri="{FF2B5EF4-FFF2-40B4-BE49-F238E27FC236}">
              <a16:creationId xmlns:a16="http://schemas.microsoft.com/office/drawing/2014/main" id="{FF9DA8F0-90A2-49FA-B8AF-75B604625399}"/>
            </a:ext>
          </a:extLst>
        </xdr:cNvPr>
        <xdr:cNvSpPr/>
      </xdr:nvSpPr>
      <xdr:spPr>
        <a:xfrm>
          <a:off x="13555980" y="98851720"/>
          <a:ext cx="1053012"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284</xdr:row>
      <xdr:rowOff>126029</xdr:rowOff>
    </xdr:from>
    <xdr:to>
      <xdr:col>21</xdr:col>
      <xdr:colOff>0</xdr:colOff>
      <xdr:row>287</xdr:row>
      <xdr:rowOff>195613</xdr:rowOff>
    </xdr:to>
    <xdr:sp macro="" textlink="">
      <xdr:nvSpPr>
        <xdr:cNvPr id="207" name="Isosceles Triangle 206">
          <a:extLst>
            <a:ext uri="{FF2B5EF4-FFF2-40B4-BE49-F238E27FC236}">
              <a16:creationId xmlns:a16="http://schemas.microsoft.com/office/drawing/2014/main" id="{C16C73DA-12DA-4354-839A-111343B0E1D1}"/>
            </a:ext>
          </a:extLst>
        </xdr:cNvPr>
        <xdr:cNvSpPr/>
      </xdr:nvSpPr>
      <xdr:spPr>
        <a:xfrm>
          <a:off x="18630900" y="98850749"/>
          <a:ext cx="10515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284</xdr:row>
      <xdr:rowOff>126029</xdr:rowOff>
    </xdr:from>
    <xdr:to>
      <xdr:col>23</xdr:col>
      <xdr:colOff>0</xdr:colOff>
      <xdr:row>287</xdr:row>
      <xdr:rowOff>195613</xdr:rowOff>
    </xdr:to>
    <xdr:sp macro="" textlink="">
      <xdr:nvSpPr>
        <xdr:cNvPr id="208" name="Isosceles Triangle 207">
          <a:extLst>
            <a:ext uri="{FF2B5EF4-FFF2-40B4-BE49-F238E27FC236}">
              <a16:creationId xmlns:a16="http://schemas.microsoft.com/office/drawing/2014/main" id="{A117CF41-F564-4F37-8372-D69C4825BC16}"/>
            </a:ext>
          </a:extLst>
        </xdr:cNvPr>
        <xdr:cNvSpPr/>
      </xdr:nvSpPr>
      <xdr:spPr>
        <a:xfrm>
          <a:off x="20589240" y="98850749"/>
          <a:ext cx="10134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0</xdr:col>
      <xdr:colOff>0</xdr:colOff>
      <xdr:row>284</xdr:row>
      <xdr:rowOff>126029</xdr:rowOff>
    </xdr:from>
    <xdr:to>
      <xdr:col>1</xdr:col>
      <xdr:colOff>0</xdr:colOff>
      <xdr:row>287</xdr:row>
      <xdr:rowOff>195613</xdr:rowOff>
    </xdr:to>
    <xdr:sp macro="" textlink="">
      <xdr:nvSpPr>
        <xdr:cNvPr id="209" name="Isosceles Triangle 208">
          <a:extLst>
            <a:ext uri="{FF2B5EF4-FFF2-40B4-BE49-F238E27FC236}">
              <a16:creationId xmlns:a16="http://schemas.microsoft.com/office/drawing/2014/main" id="{114508D3-204B-488E-8541-1949F5DCEE5F}"/>
            </a:ext>
          </a:extLst>
        </xdr:cNvPr>
        <xdr:cNvSpPr/>
      </xdr:nvSpPr>
      <xdr:spPr>
        <a:xfrm>
          <a:off x="0" y="9885074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372</xdr:row>
      <xdr:rowOff>126029</xdr:rowOff>
    </xdr:from>
    <xdr:to>
      <xdr:col>3</xdr:col>
      <xdr:colOff>0</xdr:colOff>
      <xdr:row>375</xdr:row>
      <xdr:rowOff>165133</xdr:rowOff>
    </xdr:to>
    <xdr:sp macro="" textlink="">
      <xdr:nvSpPr>
        <xdr:cNvPr id="210" name="Isosceles Triangle 209">
          <a:extLst>
            <a:ext uri="{FF2B5EF4-FFF2-40B4-BE49-F238E27FC236}">
              <a16:creationId xmlns:a16="http://schemas.microsoft.com/office/drawing/2014/main" id="{ED9FE306-1B9C-4EB8-99AD-765F16FFEB22}"/>
            </a:ext>
          </a:extLst>
        </xdr:cNvPr>
        <xdr:cNvSpPr/>
      </xdr:nvSpPr>
      <xdr:spPr>
        <a:xfrm>
          <a:off x="2011680" y="131243369"/>
          <a:ext cx="10210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372</xdr:row>
      <xdr:rowOff>126029</xdr:rowOff>
    </xdr:from>
    <xdr:to>
      <xdr:col>5</xdr:col>
      <xdr:colOff>0</xdr:colOff>
      <xdr:row>375</xdr:row>
      <xdr:rowOff>165133</xdr:rowOff>
    </xdr:to>
    <xdr:sp macro="" textlink="">
      <xdr:nvSpPr>
        <xdr:cNvPr id="211" name="Isosceles Triangle 210">
          <a:extLst>
            <a:ext uri="{FF2B5EF4-FFF2-40B4-BE49-F238E27FC236}">
              <a16:creationId xmlns:a16="http://schemas.microsoft.com/office/drawing/2014/main" id="{8BB407A2-2D6C-4D5A-B8FC-D2AC6E0B54CB}"/>
            </a:ext>
          </a:extLst>
        </xdr:cNvPr>
        <xdr:cNvSpPr/>
      </xdr:nvSpPr>
      <xdr:spPr>
        <a:xfrm>
          <a:off x="4076700" y="131243369"/>
          <a:ext cx="119634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372</xdr:row>
      <xdr:rowOff>126029</xdr:rowOff>
    </xdr:from>
    <xdr:to>
      <xdr:col>11</xdr:col>
      <xdr:colOff>0</xdr:colOff>
      <xdr:row>375</xdr:row>
      <xdr:rowOff>165133</xdr:rowOff>
    </xdr:to>
    <xdr:sp macro="" textlink="">
      <xdr:nvSpPr>
        <xdr:cNvPr id="212" name="Isosceles Triangle 211">
          <a:extLst>
            <a:ext uri="{FF2B5EF4-FFF2-40B4-BE49-F238E27FC236}">
              <a16:creationId xmlns:a16="http://schemas.microsoft.com/office/drawing/2014/main" id="{2F7D4D4F-FF68-463D-9217-FCE84F09A2A5}"/>
            </a:ext>
          </a:extLst>
        </xdr:cNvPr>
        <xdr:cNvSpPr/>
      </xdr:nvSpPr>
      <xdr:spPr>
        <a:xfrm>
          <a:off x="10195560" y="131243369"/>
          <a:ext cx="94488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372</xdr:row>
      <xdr:rowOff>126029</xdr:rowOff>
    </xdr:from>
    <xdr:to>
      <xdr:col>13</xdr:col>
      <xdr:colOff>0</xdr:colOff>
      <xdr:row>375</xdr:row>
      <xdr:rowOff>165133</xdr:rowOff>
    </xdr:to>
    <xdr:sp macro="" textlink="">
      <xdr:nvSpPr>
        <xdr:cNvPr id="213" name="Isosceles Triangle 212">
          <a:extLst>
            <a:ext uri="{FF2B5EF4-FFF2-40B4-BE49-F238E27FC236}">
              <a16:creationId xmlns:a16="http://schemas.microsoft.com/office/drawing/2014/main" id="{EE987405-8A46-4AF9-8225-B2791BFBAF66}"/>
            </a:ext>
          </a:extLst>
        </xdr:cNvPr>
        <xdr:cNvSpPr/>
      </xdr:nvSpPr>
      <xdr:spPr>
        <a:xfrm>
          <a:off x="11765280" y="131243369"/>
          <a:ext cx="101346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372</xdr:row>
      <xdr:rowOff>126029</xdr:rowOff>
    </xdr:from>
    <xdr:to>
      <xdr:col>15</xdr:col>
      <xdr:colOff>0</xdr:colOff>
      <xdr:row>375</xdr:row>
      <xdr:rowOff>165133</xdr:rowOff>
    </xdr:to>
    <xdr:sp macro="" textlink="">
      <xdr:nvSpPr>
        <xdr:cNvPr id="214" name="Isosceles Triangle 213">
          <a:extLst>
            <a:ext uri="{FF2B5EF4-FFF2-40B4-BE49-F238E27FC236}">
              <a16:creationId xmlns:a16="http://schemas.microsoft.com/office/drawing/2014/main" id="{1E9E7D23-EBBF-4834-9E68-AC69A1861902}"/>
            </a:ext>
          </a:extLst>
        </xdr:cNvPr>
        <xdr:cNvSpPr/>
      </xdr:nvSpPr>
      <xdr:spPr>
        <a:xfrm>
          <a:off x="13555980" y="131243369"/>
          <a:ext cx="104394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372</xdr:row>
      <xdr:rowOff>126029</xdr:rowOff>
    </xdr:from>
    <xdr:to>
      <xdr:col>17</xdr:col>
      <xdr:colOff>0</xdr:colOff>
      <xdr:row>375</xdr:row>
      <xdr:rowOff>165133</xdr:rowOff>
    </xdr:to>
    <xdr:sp macro="" textlink="">
      <xdr:nvSpPr>
        <xdr:cNvPr id="215" name="Isosceles Triangle 214">
          <a:extLst>
            <a:ext uri="{FF2B5EF4-FFF2-40B4-BE49-F238E27FC236}">
              <a16:creationId xmlns:a16="http://schemas.microsoft.com/office/drawing/2014/main" id="{7D694DB8-1A88-4106-A2A4-48CB7B6857F5}"/>
            </a:ext>
          </a:extLst>
        </xdr:cNvPr>
        <xdr:cNvSpPr/>
      </xdr:nvSpPr>
      <xdr:spPr>
        <a:xfrm>
          <a:off x="15240000" y="131243369"/>
          <a:ext cx="114300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0</xdr:col>
      <xdr:colOff>0</xdr:colOff>
      <xdr:row>372</xdr:row>
      <xdr:rowOff>126029</xdr:rowOff>
    </xdr:from>
    <xdr:to>
      <xdr:col>1</xdr:col>
      <xdr:colOff>0</xdr:colOff>
      <xdr:row>375</xdr:row>
      <xdr:rowOff>165133</xdr:rowOff>
    </xdr:to>
    <xdr:sp macro="" textlink="">
      <xdr:nvSpPr>
        <xdr:cNvPr id="216" name="Isosceles Triangle 215">
          <a:extLst>
            <a:ext uri="{FF2B5EF4-FFF2-40B4-BE49-F238E27FC236}">
              <a16:creationId xmlns:a16="http://schemas.microsoft.com/office/drawing/2014/main" id="{7652E6BA-551A-4489-A75A-39C24DF8DDAB}"/>
            </a:ext>
          </a:extLst>
        </xdr:cNvPr>
        <xdr:cNvSpPr/>
      </xdr:nvSpPr>
      <xdr:spPr>
        <a:xfrm>
          <a:off x="0" y="131243369"/>
          <a:ext cx="126492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116</xdr:row>
      <xdr:rowOff>126029</xdr:rowOff>
    </xdr:from>
    <xdr:to>
      <xdr:col>3</xdr:col>
      <xdr:colOff>0</xdr:colOff>
      <xdr:row>119</xdr:row>
      <xdr:rowOff>180373</xdr:rowOff>
    </xdr:to>
    <xdr:sp macro="" textlink="">
      <xdr:nvSpPr>
        <xdr:cNvPr id="217" name="Isosceles Triangle 216">
          <a:extLst>
            <a:ext uri="{FF2B5EF4-FFF2-40B4-BE49-F238E27FC236}">
              <a16:creationId xmlns:a16="http://schemas.microsoft.com/office/drawing/2014/main" id="{D4266F12-A0BA-4665-9399-843D815D44D7}"/>
            </a:ext>
          </a:extLst>
        </xdr:cNvPr>
        <xdr:cNvSpPr/>
      </xdr:nvSpPr>
      <xdr:spPr>
        <a:xfrm>
          <a:off x="2011680" y="39140429"/>
          <a:ext cx="102108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116</xdr:row>
      <xdr:rowOff>126029</xdr:rowOff>
    </xdr:from>
    <xdr:to>
      <xdr:col>5</xdr:col>
      <xdr:colOff>0</xdr:colOff>
      <xdr:row>119</xdr:row>
      <xdr:rowOff>180373</xdr:rowOff>
    </xdr:to>
    <xdr:sp macro="" textlink="">
      <xdr:nvSpPr>
        <xdr:cNvPr id="218" name="Isosceles Triangle 217">
          <a:extLst>
            <a:ext uri="{FF2B5EF4-FFF2-40B4-BE49-F238E27FC236}">
              <a16:creationId xmlns:a16="http://schemas.microsoft.com/office/drawing/2014/main" id="{521B4277-DAA2-4559-AE73-EB11E8550771}"/>
            </a:ext>
          </a:extLst>
        </xdr:cNvPr>
        <xdr:cNvSpPr/>
      </xdr:nvSpPr>
      <xdr:spPr>
        <a:xfrm>
          <a:off x="4076700" y="39140429"/>
          <a:ext cx="119634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116</xdr:row>
      <xdr:rowOff>126029</xdr:rowOff>
    </xdr:from>
    <xdr:to>
      <xdr:col>7</xdr:col>
      <xdr:colOff>0</xdr:colOff>
      <xdr:row>119</xdr:row>
      <xdr:rowOff>180373</xdr:rowOff>
    </xdr:to>
    <xdr:sp macro="" textlink="">
      <xdr:nvSpPr>
        <xdr:cNvPr id="219" name="Isosceles Triangle 218">
          <a:extLst>
            <a:ext uri="{FF2B5EF4-FFF2-40B4-BE49-F238E27FC236}">
              <a16:creationId xmlns:a16="http://schemas.microsoft.com/office/drawing/2014/main" id="{F2B3C054-C34F-4117-A000-DC6EC88C6CA4}"/>
            </a:ext>
          </a:extLst>
        </xdr:cNvPr>
        <xdr:cNvSpPr/>
      </xdr:nvSpPr>
      <xdr:spPr>
        <a:xfrm>
          <a:off x="6309360" y="39140429"/>
          <a:ext cx="111252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116</xdr:row>
      <xdr:rowOff>126029</xdr:rowOff>
    </xdr:from>
    <xdr:to>
      <xdr:col>9</xdr:col>
      <xdr:colOff>0</xdr:colOff>
      <xdr:row>119</xdr:row>
      <xdr:rowOff>180373</xdr:rowOff>
    </xdr:to>
    <xdr:sp macro="" textlink="">
      <xdr:nvSpPr>
        <xdr:cNvPr id="220" name="Isosceles Triangle 219">
          <a:extLst>
            <a:ext uri="{FF2B5EF4-FFF2-40B4-BE49-F238E27FC236}">
              <a16:creationId xmlns:a16="http://schemas.microsoft.com/office/drawing/2014/main" id="{E67500A9-EFB8-4ADE-898A-0E648E60EE41}"/>
            </a:ext>
          </a:extLst>
        </xdr:cNvPr>
        <xdr:cNvSpPr/>
      </xdr:nvSpPr>
      <xdr:spPr>
        <a:xfrm>
          <a:off x="8298180" y="39140429"/>
          <a:ext cx="127254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116</xdr:row>
      <xdr:rowOff>126029</xdr:rowOff>
    </xdr:from>
    <xdr:to>
      <xdr:col>11</xdr:col>
      <xdr:colOff>0</xdr:colOff>
      <xdr:row>119</xdr:row>
      <xdr:rowOff>180373</xdr:rowOff>
    </xdr:to>
    <xdr:sp macro="" textlink="">
      <xdr:nvSpPr>
        <xdr:cNvPr id="221" name="Isosceles Triangle 220">
          <a:extLst>
            <a:ext uri="{FF2B5EF4-FFF2-40B4-BE49-F238E27FC236}">
              <a16:creationId xmlns:a16="http://schemas.microsoft.com/office/drawing/2014/main" id="{F707284A-87C9-472F-B45C-F30E81E72493}"/>
            </a:ext>
          </a:extLst>
        </xdr:cNvPr>
        <xdr:cNvSpPr/>
      </xdr:nvSpPr>
      <xdr:spPr>
        <a:xfrm>
          <a:off x="10195560" y="39140429"/>
          <a:ext cx="94488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116</xdr:row>
      <xdr:rowOff>126029</xdr:rowOff>
    </xdr:from>
    <xdr:to>
      <xdr:col>13</xdr:col>
      <xdr:colOff>0</xdr:colOff>
      <xdr:row>119</xdr:row>
      <xdr:rowOff>180373</xdr:rowOff>
    </xdr:to>
    <xdr:sp macro="" textlink="">
      <xdr:nvSpPr>
        <xdr:cNvPr id="222" name="Isosceles Triangle 221">
          <a:extLst>
            <a:ext uri="{FF2B5EF4-FFF2-40B4-BE49-F238E27FC236}">
              <a16:creationId xmlns:a16="http://schemas.microsoft.com/office/drawing/2014/main" id="{1BF87B74-CCC0-41EA-A0AE-D9358299A917}"/>
            </a:ext>
          </a:extLst>
        </xdr:cNvPr>
        <xdr:cNvSpPr/>
      </xdr:nvSpPr>
      <xdr:spPr>
        <a:xfrm>
          <a:off x="11765280" y="39140429"/>
          <a:ext cx="101346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116</xdr:row>
      <xdr:rowOff>126029</xdr:rowOff>
    </xdr:from>
    <xdr:to>
      <xdr:col>17</xdr:col>
      <xdr:colOff>0</xdr:colOff>
      <xdr:row>119</xdr:row>
      <xdr:rowOff>180373</xdr:rowOff>
    </xdr:to>
    <xdr:sp macro="" textlink="">
      <xdr:nvSpPr>
        <xdr:cNvPr id="223" name="Isosceles Triangle 222">
          <a:extLst>
            <a:ext uri="{FF2B5EF4-FFF2-40B4-BE49-F238E27FC236}">
              <a16:creationId xmlns:a16="http://schemas.microsoft.com/office/drawing/2014/main" id="{666166AF-BF88-42B2-96CB-116B36FDB965}"/>
            </a:ext>
          </a:extLst>
        </xdr:cNvPr>
        <xdr:cNvSpPr/>
      </xdr:nvSpPr>
      <xdr:spPr>
        <a:xfrm>
          <a:off x="15240000" y="39140429"/>
          <a:ext cx="114300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116</xdr:row>
      <xdr:rowOff>126029</xdr:rowOff>
    </xdr:from>
    <xdr:to>
      <xdr:col>19</xdr:col>
      <xdr:colOff>0</xdr:colOff>
      <xdr:row>119</xdr:row>
      <xdr:rowOff>180373</xdr:rowOff>
    </xdr:to>
    <xdr:sp macro="" textlink="">
      <xdr:nvSpPr>
        <xdr:cNvPr id="224" name="Isosceles Triangle 223">
          <a:extLst>
            <a:ext uri="{FF2B5EF4-FFF2-40B4-BE49-F238E27FC236}">
              <a16:creationId xmlns:a16="http://schemas.microsoft.com/office/drawing/2014/main" id="{5A3ABC47-49E1-4956-B376-045DCF0C5A1D}"/>
            </a:ext>
          </a:extLst>
        </xdr:cNvPr>
        <xdr:cNvSpPr/>
      </xdr:nvSpPr>
      <xdr:spPr>
        <a:xfrm>
          <a:off x="17007840" y="39140429"/>
          <a:ext cx="99822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116</xdr:row>
      <xdr:rowOff>127000</xdr:rowOff>
    </xdr:from>
    <xdr:to>
      <xdr:col>15</xdr:col>
      <xdr:colOff>9072</xdr:colOff>
      <xdr:row>119</xdr:row>
      <xdr:rowOff>181344</xdr:rowOff>
    </xdr:to>
    <xdr:sp macro="" textlink="">
      <xdr:nvSpPr>
        <xdr:cNvPr id="225" name="Isosceles Triangle 224">
          <a:extLst>
            <a:ext uri="{FF2B5EF4-FFF2-40B4-BE49-F238E27FC236}">
              <a16:creationId xmlns:a16="http://schemas.microsoft.com/office/drawing/2014/main" id="{A1796F03-1E0E-475C-BAD7-344B5AC2D95C}"/>
            </a:ext>
          </a:extLst>
        </xdr:cNvPr>
        <xdr:cNvSpPr/>
      </xdr:nvSpPr>
      <xdr:spPr>
        <a:xfrm>
          <a:off x="13555980" y="39141400"/>
          <a:ext cx="1053012"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116</xdr:row>
      <xdr:rowOff>126029</xdr:rowOff>
    </xdr:from>
    <xdr:to>
      <xdr:col>21</xdr:col>
      <xdr:colOff>0</xdr:colOff>
      <xdr:row>119</xdr:row>
      <xdr:rowOff>180373</xdr:rowOff>
    </xdr:to>
    <xdr:sp macro="" textlink="">
      <xdr:nvSpPr>
        <xdr:cNvPr id="226" name="Isosceles Triangle 225">
          <a:extLst>
            <a:ext uri="{FF2B5EF4-FFF2-40B4-BE49-F238E27FC236}">
              <a16:creationId xmlns:a16="http://schemas.microsoft.com/office/drawing/2014/main" id="{170DBF97-A71D-4CA1-AD6F-D94A9CB79438}"/>
            </a:ext>
          </a:extLst>
        </xdr:cNvPr>
        <xdr:cNvSpPr/>
      </xdr:nvSpPr>
      <xdr:spPr>
        <a:xfrm>
          <a:off x="18630900" y="39140429"/>
          <a:ext cx="105156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116</xdr:row>
      <xdr:rowOff>126029</xdr:rowOff>
    </xdr:from>
    <xdr:to>
      <xdr:col>23</xdr:col>
      <xdr:colOff>0</xdr:colOff>
      <xdr:row>119</xdr:row>
      <xdr:rowOff>180373</xdr:rowOff>
    </xdr:to>
    <xdr:sp macro="" textlink="">
      <xdr:nvSpPr>
        <xdr:cNvPr id="227" name="Isosceles Triangle 226">
          <a:extLst>
            <a:ext uri="{FF2B5EF4-FFF2-40B4-BE49-F238E27FC236}">
              <a16:creationId xmlns:a16="http://schemas.microsoft.com/office/drawing/2014/main" id="{CB2DE0F3-AD50-4FC0-83CD-4F2BEB8E4D3F}"/>
            </a:ext>
          </a:extLst>
        </xdr:cNvPr>
        <xdr:cNvSpPr/>
      </xdr:nvSpPr>
      <xdr:spPr>
        <a:xfrm>
          <a:off x="20589240" y="39140429"/>
          <a:ext cx="101346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0</xdr:col>
      <xdr:colOff>0</xdr:colOff>
      <xdr:row>116</xdr:row>
      <xdr:rowOff>126029</xdr:rowOff>
    </xdr:from>
    <xdr:to>
      <xdr:col>1</xdr:col>
      <xdr:colOff>0</xdr:colOff>
      <xdr:row>119</xdr:row>
      <xdr:rowOff>180373</xdr:rowOff>
    </xdr:to>
    <xdr:sp macro="" textlink="">
      <xdr:nvSpPr>
        <xdr:cNvPr id="228" name="Isosceles Triangle 227">
          <a:extLst>
            <a:ext uri="{FF2B5EF4-FFF2-40B4-BE49-F238E27FC236}">
              <a16:creationId xmlns:a16="http://schemas.microsoft.com/office/drawing/2014/main" id="{5DE1FD92-A7C6-450A-A2DE-F257D11DC8BB}"/>
            </a:ext>
          </a:extLst>
        </xdr:cNvPr>
        <xdr:cNvSpPr/>
      </xdr:nvSpPr>
      <xdr:spPr>
        <a:xfrm>
          <a:off x="0" y="39140429"/>
          <a:ext cx="126492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54</xdr:row>
      <xdr:rowOff>126029</xdr:rowOff>
    </xdr:from>
    <xdr:to>
      <xdr:col>3</xdr:col>
      <xdr:colOff>0</xdr:colOff>
      <xdr:row>57</xdr:row>
      <xdr:rowOff>195613</xdr:rowOff>
    </xdr:to>
    <xdr:sp macro="" textlink="">
      <xdr:nvSpPr>
        <xdr:cNvPr id="229" name="Isosceles Triangle 228">
          <a:extLst>
            <a:ext uri="{FF2B5EF4-FFF2-40B4-BE49-F238E27FC236}">
              <a16:creationId xmlns:a16="http://schemas.microsoft.com/office/drawing/2014/main" id="{CB036885-2482-4D0C-BFBE-47F68F0FC845}"/>
            </a:ext>
          </a:extLst>
        </xdr:cNvPr>
        <xdr:cNvSpPr/>
      </xdr:nvSpPr>
      <xdr:spPr>
        <a:xfrm>
          <a:off x="2011680" y="16615709"/>
          <a:ext cx="102108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54</xdr:row>
      <xdr:rowOff>126029</xdr:rowOff>
    </xdr:from>
    <xdr:to>
      <xdr:col>5</xdr:col>
      <xdr:colOff>0</xdr:colOff>
      <xdr:row>57</xdr:row>
      <xdr:rowOff>195613</xdr:rowOff>
    </xdr:to>
    <xdr:sp macro="" textlink="">
      <xdr:nvSpPr>
        <xdr:cNvPr id="230" name="Isosceles Triangle 229">
          <a:extLst>
            <a:ext uri="{FF2B5EF4-FFF2-40B4-BE49-F238E27FC236}">
              <a16:creationId xmlns:a16="http://schemas.microsoft.com/office/drawing/2014/main" id="{C3D6D736-93BC-4BAA-BC93-536931CE2995}"/>
            </a:ext>
          </a:extLst>
        </xdr:cNvPr>
        <xdr:cNvSpPr/>
      </xdr:nvSpPr>
      <xdr:spPr>
        <a:xfrm>
          <a:off x="4076700" y="16615709"/>
          <a:ext cx="119634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54</xdr:row>
      <xdr:rowOff>126029</xdr:rowOff>
    </xdr:from>
    <xdr:to>
      <xdr:col>7</xdr:col>
      <xdr:colOff>0</xdr:colOff>
      <xdr:row>57</xdr:row>
      <xdr:rowOff>195613</xdr:rowOff>
    </xdr:to>
    <xdr:sp macro="" textlink="">
      <xdr:nvSpPr>
        <xdr:cNvPr id="231" name="Isosceles Triangle 230">
          <a:extLst>
            <a:ext uri="{FF2B5EF4-FFF2-40B4-BE49-F238E27FC236}">
              <a16:creationId xmlns:a16="http://schemas.microsoft.com/office/drawing/2014/main" id="{666E8408-F867-43DD-A45B-6F2E635A0F55}"/>
            </a:ext>
          </a:extLst>
        </xdr:cNvPr>
        <xdr:cNvSpPr/>
      </xdr:nvSpPr>
      <xdr:spPr>
        <a:xfrm>
          <a:off x="6309360" y="16615709"/>
          <a:ext cx="11125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54</xdr:row>
      <xdr:rowOff>126029</xdr:rowOff>
    </xdr:from>
    <xdr:to>
      <xdr:col>9</xdr:col>
      <xdr:colOff>0</xdr:colOff>
      <xdr:row>57</xdr:row>
      <xdr:rowOff>195613</xdr:rowOff>
    </xdr:to>
    <xdr:sp macro="" textlink="">
      <xdr:nvSpPr>
        <xdr:cNvPr id="232" name="Isosceles Triangle 231">
          <a:extLst>
            <a:ext uri="{FF2B5EF4-FFF2-40B4-BE49-F238E27FC236}">
              <a16:creationId xmlns:a16="http://schemas.microsoft.com/office/drawing/2014/main" id="{D8013FB0-5C96-402A-B0E5-E4376D73D2B9}"/>
            </a:ext>
          </a:extLst>
        </xdr:cNvPr>
        <xdr:cNvSpPr/>
      </xdr:nvSpPr>
      <xdr:spPr>
        <a:xfrm>
          <a:off x="8298180" y="16615709"/>
          <a:ext cx="127254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54</xdr:row>
      <xdr:rowOff>126029</xdr:rowOff>
    </xdr:from>
    <xdr:to>
      <xdr:col>11</xdr:col>
      <xdr:colOff>0</xdr:colOff>
      <xdr:row>57</xdr:row>
      <xdr:rowOff>195613</xdr:rowOff>
    </xdr:to>
    <xdr:sp macro="" textlink="">
      <xdr:nvSpPr>
        <xdr:cNvPr id="233" name="Isosceles Triangle 232">
          <a:extLst>
            <a:ext uri="{FF2B5EF4-FFF2-40B4-BE49-F238E27FC236}">
              <a16:creationId xmlns:a16="http://schemas.microsoft.com/office/drawing/2014/main" id="{2797AC1D-DB33-4440-B4A8-B47C0A75D473}"/>
            </a:ext>
          </a:extLst>
        </xdr:cNvPr>
        <xdr:cNvSpPr/>
      </xdr:nvSpPr>
      <xdr:spPr>
        <a:xfrm>
          <a:off x="10195560" y="16615709"/>
          <a:ext cx="94488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54</xdr:row>
      <xdr:rowOff>126029</xdr:rowOff>
    </xdr:from>
    <xdr:to>
      <xdr:col>13</xdr:col>
      <xdr:colOff>0</xdr:colOff>
      <xdr:row>57</xdr:row>
      <xdr:rowOff>195613</xdr:rowOff>
    </xdr:to>
    <xdr:sp macro="" textlink="">
      <xdr:nvSpPr>
        <xdr:cNvPr id="234" name="Isosceles Triangle 233">
          <a:extLst>
            <a:ext uri="{FF2B5EF4-FFF2-40B4-BE49-F238E27FC236}">
              <a16:creationId xmlns:a16="http://schemas.microsoft.com/office/drawing/2014/main" id="{F31D3700-4E02-466C-B070-29BE946CEADA}"/>
            </a:ext>
          </a:extLst>
        </xdr:cNvPr>
        <xdr:cNvSpPr/>
      </xdr:nvSpPr>
      <xdr:spPr>
        <a:xfrm>
          <a:off x="11765280" y="16615709"/>
          <a:ext cx="10134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54</xdr:row>
      <xdr:rowOff>126029</xdr:rowOff>
    </xdr:from>
    <xdr:to>
      <xdr:col>17</xdr:col>
      <xdr:colOff>0</xdr:colOff>
      <xdr:row>57</xdr:row>
      <xdr:rowOff>195613</xdr:rowOff>
    </xdr:to>
    <xdr:sp macro="" textlink="">
      <xdr:nvSpPr>
        <xdr:cNvPr id="235" name="Isosceles Triangle 234">
          <a:extLst>
            <a:ext uri="{FF2B5EF4-FFF2-40B4-BE49-F238E27FC236}">
              <a16:creationId xmlns:a16="http://schemas.microsoft.com/office/drawing/2014/main" id="{85805742-0360-461B-818B-D45A9FAD06AB}"/>
            </a:ext>
          </a:extLst>
        </xdr:cNvPr>
        <xdr:cNvSpPr/>
      </xdr:nvSpPr>
      <xdr:spPr>
        <a:xfrm>
          <a:off x="15240000" y="16615709"/>
          <a:ext cx="114300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54</xdr:row>
      <xdr:rowOff>126029</xdr:rowOff>
    </xdr:from>
    <xdr:to>
      <xdr:col>19</xdr:col>
      <xdr:colOff>0</xdr:colOff>
      <xdr:row>57</xdr:row>
      <xdr:rowOff>195613</xdr:rowOff>
    </xdr:to>
    <xdr:sp macro="" textlink="">
      <xdr:nvSpPr>
        <xdr:cNvPr id="236" name="Isosceles Triangle 235">
          <a:extLst>
            <a:ext uri="{FF2B5EF4-FFF2-40B4-BE49-F238E27FC236}">
              <a16:creationId xmlns:a16="http://schemas.microsoft.com/office/drawing/2014/main" id="{CA112674-69E3-4AF6-8EF3-5DDDA78B77D7}"/>
            </a:ext>
          </a:extLst>
        </xdr:cNvPr>
        <xdr:cNvSpPr/>
      </xdr:nvSpPr>
      <xdr:spPr>
        <a:xfrm>
          <a:off x="17007840" y="16615709"/>
          <a:ext cx="9982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54</xdr:row>
      <xdr:rowOff>127000</xdr:rowOff>
    </xdr:from>
    <xdr:to>
      <xdr:col>15</xdr:col>
      <xdr:colOff>9072</xdr:colOff>
      <xdr:row>57</xdr:row>
      <xdr:rowOff>196584</xdr:rowOff>
    </xdr:to>
    <xdr:sp macro="" textlink="">
      <xdr:nvSpPr>
        <xdr:cNvPr id="237" name="Isosceles Triangle 236">
          <a:extLst>
            <a:ext uri="{FF2B5EF4-FFF2-40B4-BE49-F238E27FC236}">
              <a16:creationId xmlns:a16="http://schemas.microsoft.com/office/drawing/2014/main" id="{16FF84CB-9207-470E-A363-5CF4389D66F0}"/>
            </a:ext>
          </a:extLst>
        </xdr:cNvPr>
        <xdr:cNvSpPr/>
      </xdr:nvSpPr>
      <xdr:spPr>
        <a:xfrm>
          <a:off x="13555980" y="16616680"/>
          <a:ext cx="1053012"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54</xdr:row>
      <xdr:rowOff>126029</xdr:rowOff>
    </xdr:from>
    <xdr:to>
      <xdr:col>21</xdr:col>
      <xdr:colOff>0</xdr:colOff>
      <xdr:row>57</xdr:row>
      <xdr:rowOff>195613</xdr:rowOff>
    </xdr:to>
    <xdr:sp macro="" textlink="">
      <xdr:nvSpPr>
        <xdr:cNvPr id="238" name="Isosceles Triangle 237">
          <a:extLst>
            <a:ext uri="{FF2B5EF4-FFF2-40B4-BE49-F238E27FC236}">
              <a16:creationId xmlns:a16="http://schemas.microsoft.com/office/drawing/2014/main" id="{7BDF1A3A-B02A-47E5-A62D-73B0079466B3}"/>
            </a:ext>
          </a:extLst>
        </xdr:cNvPr>
        <xdr:cNvSpPr/>
      </xdr:nvSpPr>
      <xdr:spPr>
        <a:xfrm>
          <a:off x="18630900" y="16615709"/>
          <a:ext cx="10515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54</xdr:row>
      <xdr:rowOff>126029</xdr:rowOff>
    </xdr:from>
    <xdr:to>
      <xdr:col>23</xdr:col>
      <xdr:colOff>0</xdr:colOff>
      <xdr:row>57</xdr:row>
      <xdr:rowOff>195613</xdr:rowOff>
    </xdr:to>
    <xdr:sp macro="" textlink="">
      <xdr:nvSpPr>
        <xdr:cNvPr id="239" name="Isosceles Triangle 238">
          <a:extLst>
            <a:ext uri="{FF2B5EF4-FFF2-40B4-BE49-F238E27FC236}">
              <a16:creationId xmlns:a16="http://schemas.microsoft.com/office/drawing/2014/main" id="{17FF07A1-BE42-403C-81F4-F8FB270F4494}"/>
            </a:ext>
          </a:extLst>
        </xdr:cNvPr>
        <xdr:cNvSpPr/>
      </xdr:nvSpPr>
      <xdr:spPr>
        <a:xfrm>
          <a:off x="20589240" y="16615709"/>
          <a:ext cx="10134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0</xdr:col>
      <xdr:colOff>0</xdr:colOff>
      <xdr:row>54</xdr:row>
      <xdr:rowOff>126029</xdr:rowOff>
    </xdr:from>
    <xdr:to>
      <xdr:col>1</xdr:col>
      <xdr:colOff>0</xdr:colOff>
      <xdr:row>57</xdr:row>
      <xdr:rowOff>195613</xdr:rowOff>
    </xdr:to>
    <xdr:sp macro="" textlink="">
      <xdr:nvSpPr>
        <xdr:cNvPr id="240" name="Isosceles Triangle 239">
          <a:extLst>
            <a:ext uri="{FF2B5EF4-FFF2-40B4-BE49-F238E27FC236}">
              <a16:creationId xmlns:a16="http://schemas.microsoft.com/office/drawing/2014/main" id="{FCEED6EE-0822-440D-8A08-F2BB048D9BAA}"/>
            </a:ext>
          </a:extLst>
        </xdr:cNvPr>
        <xdr:cNvSpPr/>
      </xdr:nvSpPr>
      <xdr:spPr>
        <a:xfrm>
          <a:off x="0" y="16615709"/>
          <a:ext cx="12649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46</xdr:row>
      <xdr:rowOff>0</xdr:rowOff>
    </xdr:from>
    <xdr:to>
      <xdr:col>3</xdr:col>
      <xdr:colOff>0</xdr:colOff>
      <xdr:row>48</xdr:row>
      <xdr:rowOff>195613</xdr:rowOff>
    </xdr:to>
    <xdr:sp macro="" textlink="">
      <xdr:nvSpPr>
        <xdr:cNvPr id="241" name="Isosceles Triangle 240">
          <a:extLst>
            <a:ext uri="{FF2B5EF4-FFF2-40B4-BE49-F238E27FC236}">
              <a16:creationId xmlns:a16="http://schemas.microsoft.com/office/drawing/2014/main" id="{ACC4099B-D18F-4A3E-A85D-56836E714FE6}"/>
            </a:ext>
          </a:extLst>
        </xdr:cNvPr>
        <xdr:cNvSpPr/>
      </xdr:nvSpPr>
      <xdr:spPr>
        <a:xfrm>
          <a:off x="2011680" y="13731240"/>
          <a:ext cx="102108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46</xdr:row>
      <xdr:rowOff>0</xdr:rowOff>
    </xdr:from>
    <xdr:to>
      <xdr:col>5</xdr:col>
      <xdr:colOff>0</xdr:colOff>
      <xdr:row>48</xdr:row>
      <xdr:rowOff>195613</xdr:rowOff>
    </xdr:to>
    <xdr:sp macro="" textlink="">
      <xdr:nvSpPr>
        <xdr:cNvPr id="242" name="Isosceles Triangle 241">
          <a:extLst>
            <a:ext uri="{FF2B5EF4-FFF2-40B4-BE49-F238E27FC236}">
              <a16:creationId xmlns:a16="http://schemas.microsoft.com/office/drawing/2014/main" id="{9BD0A39B-2C7D-4822-A2B8-713A7DDFFEE3}"/>
            </a:ext>
          </a:extLst>
        </xdr:cNvPr>
        <xdr:cNvSpPr/>
      </xdr:nvSpPr>
      <xdr:spPr>
        <a:xfrm>
          <a:off x="4076700" y="13731240"/>
          <a:ext cx="119634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46</xdr:row>
      <xdr:rowOff>0</xdr:rowOff>
    </xdr:from>
    <xdr:to>
      <xdr:col>7</xdr:col>
      <xdr:colOff>0</xdr:colOff>
      <xdr:row>48</xdr:row>
      <xdr:rowOff>195613</xdr:rowOff>
    </xdr:to>
    <xdr:sp macro="" textlink="">
      <xdr:nvSpPr>
        <xdr:cNvPr id="243" name="Isosceles Triangle 242">
          <a:extLst>
            <a:ext uri="{FF2B5EF4-FFF2-40B4-BE49-F238E27FC236}">
              <a16:creationId xmlns:a16="http://schemas.microsoft.com/office/drawing/2014/main" id="{2F307479-0C36-4448-9A03-FCA3B2653BAB}"/>
            </a:ext>
          </a:extLst>
        </xdr:cNvPr>
        <xdr:cNvSpPr/>
      </xdr:nvSpPr>
      <xdr:spPr>
        <a:xfrm>
          <a:off x="6309360" y="13731240"/>
          <a:ext cx="111252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46</xdr:row>
      <xdr:rowOff>0</xdr:rowOff>
    </xdr:from>
    <xdr:to>
      <xdr:col>9</xdr:col>
      <xdr:colOff>0</xdr:colOff>
      <xdr:row>48</xdr:row>
      <xdr:rowOff>195613</xdr:rowOff>
    </xdr:to>
    <xdr:sp macro="" textlink="">
      <xdr:nvSpPr>
        <xdr:cNvPr id="244" name="Isosceles Triangle 243">
          <a:extLst>
            <a:ext uri="{FF2B5EF4-FFF2-40B4-BE49-F238E27FC236}">
              <a16:creationId xmlns:a16="http://schemas.microsoft.com/office/drawing/2014/main" id="{458C2495-C3DF-4874-830A-A71F2EF00FDF}"/>
            </a:ext>
          </a:extLst>
        </xdr:cNvPr>
        <xdr:cNvSpPr/>
      </xdr:nvSpPr>
      <xdr:spPr>
        <a:xfrm>
          <a:off x="8298180" y="13731240"/>
          <a:ext cx="127254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46</xdr:row>
      <xdr:rowOff>0</xdr:rowOff>
    </xdr:from>
    <xdr:to>
      <xdr:col>11</xdr:col>
      <xdr:colOff>0</xdr:colOff>
      <xdr:row>48</xdr:row>
      <xdr:rowOff>195613</xdr:rowOff>
    </xdr:to>
    <xdr:sp macro="" textlink="">
      <xdr:nvSpPr>
        <xdr:cNvPr id="245" name="Isosceles Triangle 244">
          <a:extLst>
            <a:ext uri="{FF2B5EF4-FFF2-40B4-BE49-F238E27FC236}">
              <a16:creationId xmlns:a16="http://schemas.microsoft.com/office/drawing/2014/main" id="{8053067F-68E5-44F6-9515-0CA88933376E}"/>
            </a:ext>
          </a:extLst>
        </xdr:cNvPr>
        <xdr:cNvSpPr/>
      </xdr:nvSpPr>
      <xdr:spPr>
        <a:xfrm>
          <a:off x="10195560" y="13731240"/>
          <a:ext cx="94488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46</xdr:row>
      <xdr:rowOff>0</xdr:rowOff>
    </xdr:from>
    <xdr:to>
      <xdr:col>13</xdr:col>
      <xdr:colOff>0</xdr:colOff>
      <xdr:row>48</xdr:row>
      <xdr:rowOff>195613</xdr:rowOff>
    </xdr:to>
    <xdr:sp macro="" textlink="">
      <xdr:nvSpPr>
        <xdr:cNvPr id="246" name="Isosceles Triangle 245">
          <a:extLst>
            <a:ext uri="{FF2B5EF4-FFF2-40B4-BE49-F238E27FC236}">
              <a16:creationId xmlns:a16="http://schemas.microsoft.com/office/drawing/2014/main" id="{CBE8090E-116F-433E-93EB-C29E2126D574}"/>
            </a:ext>
          </a:extLst>
        </xdr:cNvPr>
        <xdr:cNvSpPr/>
      </xdr:nvSpPr>
      <xdr:spPr>
        <a:xfrm>
          <a:off x="11765280" y="13731240"/>
          <a:ext cx="101346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46</xdr:row>
      <xdr:rowOff>0</xdr:rowOff>
    </xdr:from>
    <xdr:to>
      <xdr:col>17</xdr:col>
      <xdr:colOff>0</xdr:colOff>
      <xdr:row>48</xdr:row>
      <xdr:rowOff>195613</xdr:rowOff>
    </xdr:to>
    <xdr:sp macro="" textlink="">
      <xdr:nvSpPr>
        <xdr:cNvPr id="247" name="Isosceles Triangle 246">
          <a:extLst>
            <a:ext uri="{FF2B5EF4-FFF2-40B4-BE49-F238E27FC236}">
              <a16:creationId xmlns:a16="http://schemas.microsoft.com/office/drawing/2014/main" id="{297E8825-9BCA-4111-A417-112E1421514F}"/>
            </a:ext>
          </a:extLst>
        </xdr:cNvPr>
        <xdr:cNvSpPr/>
      </xdr:nvSpPr>
      <xdr:spPr>
        <a:xfrm>
          <a:off x="15240000" y="13731240"/>
          <a:ext cx="114300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46</xdr:row>
      <xdr:rowOff>0</xdr:rowOff>
    </xdr:from>
    <xdr:to>
      <xdr:col>19</xdr:col>
      <xdr:colOff>0</xdr:colOff>
      <xdr:row>48</xdr:row>
      <xdr:rowOff>195613</xdr:rowOff>
    </xdr:to>
    <xdr:sp macro="" textlink="">
      <xdr:nvSpPr>
        <xdr:cNvPr id="248" name="Isosceles Triangle 247">
          <a:extLst>
            <a:ext uri="{FF2B5EF4-FFF2-40B4-BE49-F238E27FC236}">
              <a16:creationId xmlns:a16="http://schemas.microsoft.com/office/drawing/2014/main" id="{306BF176-DBD5-4DF6-8CE8-35652CA8C4C0}"/>
            </a:ext>
          </a:extLst>
        </xdr:cNvPr>
        <xdr:cNvSpPr/>
      </xdr:nvSpPr>
      <xdr:spPr>
        <a:xfrm>
          <a:off x="17007840" y="13731240"/>
          <a:ext cx="99822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46</xdr:row>
      <xdr:rowOff>0</xdr:rowOff>
    </xdr:from>
    <xdr:to>
      <xdr:col>15</xdr:col>
      <xdr:colOff>9072</xdr:colOff>
      <xdr:row>48</xdr:row>
      <xdr:rowOff>196584</xdr:rowOff>
    </xdr:to>
    <xdr:sp macro="" textlink="">
      <xdr:nvSpPr>
        <xdr:cNvPr id="249" name="Isosceles Triangle 248">
          <a:extLst>
            <a:ext uri="{FF2B5EF4-FFF2-40B4-BE49-F238E27FC236}">
              <a16:creationId xmlns:a16="http://schemas.microsoft.com/office/drawing/2014/main" id="{8E405E32-4061-473E-9F97-5CA3FA9985C0}"/>
            </a:ext>
          </a:extLst>
        </xdr:cNvPr>
        <xdr:cNvSpPr/>
      </xdr:nvSpPr>
      <xdr:spPr>
        <a:xfrm>
          <a:off x="13555980" y="13731240"/>
          <a:ext cx="1053012" cy="92810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46</xdr:row>
      <xdr:rowOff>0</xdr:rowOff>
    </xdr:from>
    <xdr:to>
      <xdr:col>21</xdr:col>
      <xdr:colOff>0</xdr:colOff>
      <xdr:row>48</xdr:row>
      <xdr:rowOff>195613</xdr:rowOff>
    </xdr:to>
    <xdr:sp macro="" textlink="">
      <xdr:nvSpPr>
        <xdr:cNvPr id="250" name="Isosceles Triangle 249">
          <a:extLst>
            <a:ext uri="{FF2B5EF4-FFF2-40B4-BE49-F238E27FC236}">
              <a16:creationId xmlns:a16="http://schemas.microsoft.com/office/drawing/2014/main" id="{74341F5D-8C48-48B5-A201-00BF26A022BD}"/>
            </a:ext>
          </a:extLst>
        </xdr:cNvPr>
        <xdr:cNvSpPr/>
      </xdr:nvSpPr>
      <xdr:spPr>
        <a:xfrm>
          <a:off x="18630900" y="13731240"/>
          <a:ext cx="105156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46</xdr:row>
      <xdr:rowOff>0</xdr:rowOff>
    </xdr:from>
    <xdr:to>
      <xdr:col>23</xdr:col>
      <xdr:colOff>0</xdr:colOff>
      <xdr:row>48</xdr:row>
      <xdr:rowOff>195613</xdr:rowOff>
    </xdr:to>
    <xdr:sp macro="" textlink="">
      <xdr:nvSpPr>
        <xdr:cNvPr id="251" name="Isosceles Triangle 250">
          <a:extLst>
            <a:ext uri="{FF2B5EF4-FFF2-40B4-BE49-F238E27FC236}">
              <a16:creationId xmlns:a16="http://schemas.microsoft.com/office/drawing/2014/main" id="{0C0C3B87-7F5F-42E4-AD50-9F6C70F8DA64}"/>
            </a:ext>
          </a:extLst>
        </xdr:cNvPr>
        <xdr:cNvSpPr/>
      </xdr:nvSpPr>
      <xdr:spPr>
        <a:xfrm>
          <a:off x="20589240" y="13731240"/>
          <a:ext cx="101346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0</xdr:col>
      <xdr:colOff>0</xdr:colOff>
      <xdr:row>46</xdr:row>
      <xdr:rowOff>0</xdr:rowOff>
    </xdr:from>
    <xdr:to>
      <xdr:col>1</xdr:col>
      <xdr:colOff>0</xdr:colOff>
      <xdr:row>48</xdr:row>
      <xdr:rowOff>195613</xdr:rowOff>
    </xdr:to>
    <xdr:sp macro="" textlink="">
      <xdr:nvSpPr>
        <xdr:cNvPr id="252" name="Isosceles Triangle 251">
          <a:extLst>
            <a:ext uri="{FF2B5EF4-FFF2-40B4-BE49-F238E27FC236}">
              <a16:creationId xmlns:a16="http://schemas.microsoft.com/office/drawing/2014/main" id="{52EF3782-FC1F-47DB-92E2-8D59F29B766F}"/>
            </a:ext>
          </a:extLst>
        </xdr:cNvPr>
        <xdr:cNvSpPr/>
      </xdr:nvSpPr>
      <xdr:spPr>
        <a:xfrm>
          <a:off x="0" y="13731240"/>
          <a:ext cx="126492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39</xdr:row>
      <xdr:rowOff>0</xdr:rowOff>
    </xdr:from>
    <xdr:to>
      <xdr:col>3</xdr:col>
      <xdr:colOff>0</xdr:colOff>
      <xdr:row>41</xdr:row>
      <xdr:rowOff>195613</xdr:rowOff>
    </xdr:to>
    <xdr:sp macro="" textlink="">
      <xdr:nvSpPr>
        <xdr:cNvPr id="253" name="Isosceles Triangle 252">
          <a:extLst>
            <a:ext uri="{FF2B5EF4-FFF2-40B4-BE49-F238E27FC236}">
              <a16:creationId xmlns:a16="http://schemas.microsoft.com/office/drawing/2014/main" id="{5595D834-6D8F-4BFF-AF9F-CAD70D813A59}"/>
            </a:ext>
          </a:extLst>
        </xdr:cNvPr>
        <xdr:cNvSpPr/>
      </xdr:nvSpPr>
      <xdr:spPr>
        <a:xfrm>
          <a:off x="2011680" y="11338560"/>
          <a:ext cx="102108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39</xdr:row>
      <xdr:rowOff>0</xdr:rowOff>
    </xdr:from>
    <xdr:to>
      <xdr:col>5</xdr:col>
      <xdr:colOff>0</xdr:colOff>
      <xdr:row>41</xdr:row>
      <xdr:rowOff>195613</xdr:rowOff>
    </xdr:to>
    <xdr:sp macro="" textlink="">
      <xdr:nvSpPr>
        <xdr:cNvPr id="254" name="Isosceles Triangle 253">
          <a:extLst>
            <a:ext uri="{FF2B5EF4-FFF2-40B4-BE49-F238E27FC236}">
              <a16:creationId xmlns:a16="http://schemas.microsoft.com/office/drawing/2014/main" id="{8B172628-D915-4350-9D01-6548BE5D181B}"/>
            </a:ext>
          </a:extLst>
        </xdr:cNvPr>
        <xdr:cNvSpPr/>
      </xdr:nvSpPr>
      <xdr:spPr>
        <a:xfrm>
          <a:off x="4076700" y="11338560"/>
          <a:ext cx="119634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39</xdr:row>
      <xdr:rowOff>0</xdr:rowOff>
    </xdr:from>
    <xdr:to>
      <xdr:col>7</xdr:col>
      <xdr:colOff>0</xdr:colOff>
      <xdr:row>41</xdr:row>
      <xdr:rowOff>195613</xdr:rowOff>
    </xdr:to>
    <xdr:sp macro="" textlink="">
      <xdr:nvSpPr>
        <xdr:cNvPr id="255" name="Isosceles Triangle 254">
          <a:extLst>
            <a:ext uri="{FF2B5EF4-FFF2-40B4-BE49-F238E27FC236}">
              <a16:creationId xmlns:a16="http://schemas.microsoft.com/office/drawing/2014/main" id="{4150000A-A812-462F-A369-71712C775CFA}"/>
            </a:ext>
          </a:extLst>
        </xdr:cNvPr>
        <xdr:cNvSpPr/>
      </xdr:nvSpPr>
      <xdr:spPr>
        <a:xfrm>
          <a:off x="6309360" y="11338560"/>
          <a:ext cx="111252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39</xdr:row>
      <xdr:rowOff>0</xdr:rowOff>
    </xdr:from>
    <xdr:to>
      <xdr:col>9</xdr:col>
      <xdr:colOff>0</xdr:colOff>
      <xdr:row>41</xdr:row>
      <xdr:rowOff>195613</xdr:rowOff>
    </xdr:to>
    <xdr:sp macro="" textlink="">
      <xdr:nvSpPr>
        <xdr:cNvPr id="256" name="Isosceles Triangle 255">
          <a:extLst>
            <a:ext uri="{FF2B5EF4-FFF2-40B4-BE49-F238E27FC236}">
              <a16:creationId xmlns:a16="http://schemas.microsoft.com/office/drawing/2014/main" id="{89197128-5C08-4594-8A4A-6E96597CB764}"/>
            </a:ext>
          </a:extLst>
        </xdr:cNvPr>
        <xdr:cNvSpPr/>
      </xdr:nvSpPr>
      <xdr:spPr>
        <a:xfrm>
          <a:off x="8298180" y="11338560"/>
          <a:ext cx="127254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39</xdr:row>
      <xdr:rowOff>0</xdr:rowOff>
    </xdr:from>
    <xdr:to>
      <xdr:col>11</xdr:col>
      <xdr:colOff>0</xdr:colOff>
      <xdr:row>41</xdr:row>
      <xdr:rowOff>195613</xdr:rowOff>
    </xdr:to>
    <xdr:sp macro="" textlink="">
      <xdr:nvSpPr>
        <xdr:cNvPr id="257" name="Isosceles Triangle 256">
          <a:extLst>
            <a:ext uri="{FF2B5EF4-FFF2-40B4-BE49-F238E27FC236}">
              <a16:creationId xmlns:a16="http://schemas.microsoft.com/office/drawing/2014/main" id="{A3A59670-DE8A-44E0-A6DA-F182A493EC99}"/>
            </a:ext>
          </a:extLst>
        </xdr:cNvPr>
        <xdr:cNvSpPr/>
      </xdr:nvSpPr>
      <xdr:spPr>
        <a:xfrm>
          <a:off x="10195560" y="11338560"/>
          <a:ext cx="94488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39</xdr:row>
      <xdr:rowOff>0</xdr:rowOff>
    </xdr:from>
    <xdr:to>
      <xdr:col>13</xdr:col>
      <xdr:colOff>0</xdr:colOff>
      <xdr:row>41</xdr:row>
      <xdr:rowOff>195613</xdr:rowOff>
    </xdr:to>
    <xdr:sp macro="" textlink="">
      <xdr:nvSpPr>
        <xdr:cNvPr id="258" name="Isosceles Triangle 257">
          <a:extLst>
            <a:ext uri="{FF2B5EF4-FFF2-40B4-BE49-F238E27FC236}">
              <a16:creationId xmlns:a16="http://schemas.microsoft.com/office/drawing/2014/main" id="{EEAAA0A8-13A6-481E-9D99-0A5898BB8AA6}"/>
            </a:ext>
          </a:extLst>
        </xdr:cNvPr>
        <xdr:cNvSpPr/>
      </xdr:nvSpPr>
      <xdr:spPr>
        <a:xfrm>
          <a:off x="11765280" y="11338560"/>
          <a:ext cx="101346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39</xdr:row>
      <xdr:rowOff>0</xdr:rowOff>
    </xdr:from>
    <xdr:to>
      <xdr:col>17</xdr:col>
      <xdr:colOff>0</xdr:colOff>
      <xdr:row>41</xdr:row>
      <xdr:rowOff>195613</xdr:rowOff>
    </xdr:to>
    <xdr:sp macro="" textlink="">
      <xdr:nvSpPr>
        <xdr:cNvPr id="259" name="Isosceles Triangle 258">
          <a:extLst>
            <a:ext uri="{FF2B5EF4-FFF2-40B4-BE49-F238E27FC236}">
              <a16:creationId xmlns:a16="http://schemas.microsoft.com/office/drawing/2014/main" id="{BDB8CBF8-8B4C-4910-B548-F0CA6361BE96}"/>
            </a:ext>
          </a:extLst>
        </xdr:cNvPr>
        <xdr:cNvSpPr/>
      </xdr:nvSpPr>
      <xdr:spPr>
        <a:xfrm>
          <a:off x="15240000" y="11338560"/>
          <a:ext cx="114300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39</xdr:row>
      <xdr:rowOff>0</xdr:rowOff>
    </xdr:from>
    <xdr:to>
      <xdr:col>19</xdr:col>
      <xdr:colOff>0</xdr:colOff>
      <xdr:row>41</xdr:row>
      <xdr:rowOff>195613</xdr:rowOff>
    </xdr:to>
    <xdr:sp macro="" textlink="">
      <xdr:nvSpPr>
        <xdr:cNvPr id="260" name="Isosceles Triangle 259">
          <a:extLst>
            <a:ext uri="{FF2B5EF4-FFF2-40B4-BE49-F238E27FC236}">
              <a16:creationId xmlns:a16="http://schemas.microsoft.com/office/drawing/2014/main" id="{30747CE6-BDC1-425C-9896-CAA70B549C74}"/>
            </a:ext>
          </a:extLst>
        </xdr:cNvPr>
        <xdr:cNvSpPr/>
      </xdr:nvSpPr>
      <xdr:spPr>
        <a:xfrm>
          <a:off x="17007840" y="11338560"/>
          <a:ext cx="99822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39</xdr:row>
      <xdr:rowOff>0</xdr:rowOff>
    </xdr:from>
    <xdr:to>
      <xdr:col>15</xdr:col>
      <xdr:colOff>9072</xdr:colOff>
      <xdr:row>41</xdr:row>
      <xdr:rowOff>196584</xdr:rowOff>
    </xdr:to>
    <xdr:sp macro="" textlink="">
      <xdr:nvSpPr>
        <xdr:cNvPr id="261" name="Isosceles Triangle 260">
          <a:extLst>
            <a:ext uri="{FF2B5EF4-FFF2-40B4-BE49-F238E27FC236}">
              <a16:creationId xmlns:a16="http://schemas.microsoft.com/office/drawing/2014/main" id="{3FBB8EF4-2C52-4E39-9021-EF8E87CC56EF}"/>
            </a:ext>
          </a:extLst>
        </xdr:cNvPr>
        <xdr:cNvSpPr/>
      </xdr:nvSpPr>
      <xdr:spPr>
        <a:xfrm>
          <a:off x="13555980" y="11338560"/>
          <a:ext cx="1053012" cy="92810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39</xdr:row>
      <xdr:rowOff>0</xdr:rowOff>
    </xdr:from>
    <xdr:to>
      <xdr:col>21</xdr:col>
      <xdr:colOff>0</xdr:colOff>
      <xdr:row>41</xdr:row>
      <xdr:rowOff>195613</xdr:rowOff>
    </xdr:to>
    <xdr:sp macro="" textlink="">
      <xdr:nvSpPr>
        <xdr:cNvPr id="262" name="Isosceles Triangle 261">
          <a:extLst>
            <a:ext uri="{FF2B5EF4-FFF2-40B4-BE49-F238E27FC236}">
              <a16:creationId xmlns:a16="http://schemas.microsoft.com/office/drawing/2014/main" id="{E5B3D542-EF83-4A44-896E-0305E7F08637}"/>
            </a:ext>
          </a:extLst>
        </xdr:cNvPr>
        <xdr:cNvSpPr/>
      </xdr:nvSpPr>
      <xdr:spPr>
        <a:xfrm>
          <a:off x="18630900" y="11338560"/>
          <a:ext cx="105156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39</xdr:row>
      <xdr:rowOff>0</xdr:rowOff>
    </xdr:from>
    <xdr:to>
      <xdr:col>23</xdr:col>
      <xdr:colOff>0</xdr:colOff>
      <xdr:row>41</xdr:row>
      <xdr:rowOff>195613</xdr:rowOff>
    </xdr:to>
    <xdr:sp macro="" textlink="">
      <xdr:nvSpPr>
        <xdr:cNvPr id="263" name="Isosceles Triangle 262">
          <a:extLst>
            <a:ext uri="{FF2B5EF4-FFF2-40B4-BE49-F238E27FC236}">
              <a16:creationId xmlns:a16="http://schemas.microsoft.com/office/drawing/2014/main" id="{90D84FF3-36F7-48E9-8A10-B58BADB2397D}"/>
            </a:ext>
          </a:extLst>
        </xdr:cNvPr>
        <xdr:cNvSpPr/>
      </xdr:nvSpPr>
      <xdr:spPr>
        <a:xfrm>
          <a:off x="20589240" y="11338560"/>
          <a:ext cx="101346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0</xdr:col>
      <xdr:colOff>0</xdr:colOff>
      <xdr:row>39</xdr:row>
      <xdr:rowOff>0</xdr:rowOff>
    </xdr:from>
    <xdr:to>
      <xdr:col>1</xdr:col>
      <xdr:colOff>0</xdr:colOff>
      <xdr:row>41</xdr:row>
      <xdr:rowOff>195613</xdr:rowOff>
    </xdr:to>
    <xdr:sp macro="" textlink="">
      <xdr:nvSpPr>
        <xdr:cNvPr id="264" name="Isosceles Triangle 263">
          <a:extLst>
            <a:ext uri="{FF2B5EF4-FFF2-40B4-BE49-F238E27FC236}">
              <a16:creationId xmlns:a16="http://schemas.microsoft.com/office/drawing/2014/main" id="{DE7CA5D1-39AA-44EB-9A9E-FF903FF4F215}"/>
            </a:ext>
          </a:extLst>
        </xdr:cNvPr>
        <xdr:cNvSpPr/>
      </xdr:nvSpPr>
      <xdr:spPr>
        <a:xfrm>
          <a:off x="0" y="11338560"/>
          <a:ext cx="126492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32</xdr:row>
      <xdr:rowOff>0</xdr:rowOff>
    </xdr:from>
    <xdr:to>
      <xdr:col>3</xdr:col>
      <xdr:colOff>0</xdr:colOff>
      <xdr:row>34</xdr:row>
      <xdr:rowOff>187993</xdr:rowOff>
    </xdr:to>
    <xdr:sp macro="" textlink="">
      <xdr:nvSpPr>
        <xdr:cNvPr id="265" name="Isosceles Triangle 264">
          <a:extLst>
            <a:ext uri="{FF2B5EF4-FFF2-40B4-BE49-F238E27FC236}">
              <a16:creationId xmlns:a16="http://schemas.microsoft.com/office/drawing/2014/main" id="{F460B670-279C-4CEE-86DD-C78B4C9F5C56}"/>
            </a:ext>
          </a:extLst>
        </xdr:cNvPr>
        <xdr:cNvSpPr/>
      </xdr:nvSpPr>
      <xdr:spPr>
        <a:xfrm>
          <a:off x="2011680" y="8877300"/>
          <a:ext cx="1021080" cy="91951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32</xdr:row>
      <xdr:rowOff>0</xdr:rowOff>
    </xdr:from>
    <xdr:to>
      <xdr:col>5</xdr:col>
      <xdr:colOff>0</xdr:colOff>
      <xdr:row>34</xdr:row>
      <xdr:rowOff>187993</xdr:rowOff>
    </xdr:to>
    <xdr:sp macro="" textlink="">
      <xdr:nvSpPr>
        <xdr:cNvPr id="266" name="Isosceles Triangle 265">
          <a:extLst>
            <a:ext uri="{FF2B5EF4-FFF2-40B4-BE49-F238E27FC236}">
              <a16:creationId xmlns:a16="http://schemas.microsoft.com/office/drawing/2014/main" id="{179D50E8-A443-4EA7-9074-74595ACD6F84}"/>
            </a:ext>
          </a:extLst>
        </xdr:cNvPr>
        <xdr:cNvSpPr/>
      </xdr:nvSpPr>
      <xdr:spPr>
        <a:xfrm>
          <a:off x="4076700" y="8877300"/>
          <a:ext cx="1196340" cy="91951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32</xdr:row>
      <xdr:rowOff>0</xdr:rowOff>
    </xdr:from>
    <xdr:to>
      <xdr:col>7</xdr:col>
      <xdr:colOff>0</xdr:colOff>
      <xdr:row>34</xdr:row>
      <xdr:rowOff>187993</xdr:rowOff>
    </xdr:to>
    <xdr:sp macro="" textlink="">
      <xdr:nvSpPr>
        <xdr:cNvPr id="267" name="Isosceles Triangle 266">
          <a:extLst>
            <a:ext uri="{FF2B5EF4-FFF2-40B4-BE49-F238E27FC236}">
              <a16:creationId xmlns:a16="http://schemas.microsoft.com/office/drawing/2014/main" id="{7EE9A501-CA94-4832-BC32-7A78EFF49C54}"/>
            </a:ext>
          </a:extLst>
        </xdr:cNvPr>
        <xdr:cNvSpPr/>
      </xdr:nvSpPr>
      <xdr:spPr>
        <a:xfrm>
          <a:off x="6309360" y="8877300"/>
          <a:ext cx="1112520" cy="91951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32</xdr:row>
      <xdr:rowOff>0</xdr:rowOff>
    </xdr:from>
    <xdr:to>
      <xdr:col>9</xdr:col>
      <xdr:colOff>0</xdr:colOff>
      <xdr:row>34</xdr:row>
      <xdr:rowOff>187993</xdr:rowOff>
    </xdr:to>
    <xdr:sp macro="" textlink="">
      <xdr:nvSpPr>
        <xdr:cNvPr id="268" name="Isosceles Triangle 267">
          <a:extLst>
            <a:ext uri="{FF2B5EF4-FFF2-40B4-BE49-F238E27FC236}">
              <a16:creationId xmlns:a16="http://schemas.microsoft.com/office/drawing/2014/main" id="{DEF52244-F849-42FB-8CA2-CCB83297B23D}"/>
            </a:ext>
          </a:extLst>
        </xdr:cNvPr>
        <xdr:cNvSpPr/>
      </xdr:nvSpPr>
      <xdr:spPr>
        <a:xfrm>
          <a:off x="8298180" y="8877300"/>
          <a:ext cx="1272540" cy="91951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32</xdr:row>
      <xdr:rowOff>0</xdr:rowOff>
    </xdr:from>
    <xdr:to>
      <xdr:col>11</xdr:col>
      <xdr:colOff>0</xdr:colOff>
      <xdr:row>34</xdr:row>
      <xdr:rowOff>187993</xdr:rowOff>
    </xdr:to>
    <xdr:sp macro="" textlink="">
      <xdr:nvSpPr>
        <xdr:cNvPr id="269" name="Isosceles Triangle 268">
          <a:extLst>
            <a:ext uri="{FF2B5EF4-FFF2-40B4-BE49-F238E27FC236}">
              <a16:creationId xmlns:a16="http://schemas.microsoft.com/office/drawing/2014/main" id="{2D173137-D10B-47AA-8141-07FBEC8041BC}"/>
            </a:ext>
          </a:extLst>
        </xdr:cNvPr>
        <xdr:cNvSpPr/>
      </xdr:nvSpPr>
      <xdr:spPr>
        <a:xfrm>
          <a:off x="10195560" y="8877300"/>
          <a:ext cx="944880" cy="91951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32</xdr:row>
      <xdr:rowOff>0</xdr:rowOff>
    </xdr:from>
    <xdr:to>
      <xdr:col>13</xdr:col>
      <xdr:colOff>0</xdr:colOff>
      <xdr:row>34</xdr:row>
      <xdr:rowOff>187993</xdr:rowOff>
    </xdr:to>
    <xdr:sp macro="" textlink="">
      <xdr:nvSpPr>
        <xdr:cNvPr id="270" name="Isosceles Triangle 269">
          <a:extLst>
            <a:ext uri="{FF2B5EF4-FFF2-40B4-BE49-F238E27FC236}">
              <a16:creationId xmlns:a16="http://schemas.microsoft.com/office/drawing/2014/main" id="{524E8C02-DB14-4D22-9934-088A8537916B}"/>
            </a:ext>
          </a:extLst>
        </xdr:cNvPr>
        <xdr:cNvSpPr/>
      </xdr:nvSpPr>
      <xdr:spPr>
        <a:xfrm>
          <a:off x="11765280" y="8877300"/>
          <a:ext cx="1013460" cy="91951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32</xdr:row>
      <xdr:rowOff>0</xdr:rowOff>
    </xdr:from>
    <xdr:to>
      <xdr:col>17</xdr:col>
      <xdr:colOff>0</xdr:colOff>
      <xdr:row>34</xdr:row>
      <xdr:rowOff>187993</xdr:rowOff>
    </xdr:to>
    <xdr:sp macro="" textlink="">
      <xdr:nvSpPr>
        <xdr:cNvPr id="271" name="Isosceles Triangle 270">
          <a:extLst>
            <a:ext uri="{FF2B5EF4-FFF2-40B4-BE49-F238E27FC236}">
              <a16:creationId xmlns:a16="http://schemas.microsoft.com/office/drawing/2014/main" id="{477F9F78-F239-4E50-B6D0-4412A31C7D33}"/>
            </a:ext>
          </a:extLst>
        </xdr:cNvPr>
        <xdr:cNvSpPr/>
      </xdr:nvSpPr>
      <xdr:spPr>
        <a:xfrm>
          <a:off x="15240000" y="8877300"/>
          <a:ext cx="1143000" cy="91951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32</xdr:row>
      <xdr:rowOff>0</xdr:rowOff>
    </xdr:from>
    <xdr:to>
      <xdr:col>19</xdr:col>
      <xdr:colOff>0</xdr:colOff>
      <xdr:row>34</xdr:row>
      <xdr:rowOff>187993</xdr:rowOff>
    </xdr:to>
    <xdr:sp macro="" textlink="">
      <xdr:nvSpPr>
        <xdr:cNvPr id="272" name="Isosceles Triangle 271">
          <a:extLst>
            <a:ext uri="{FF2B5EF4-FFF2-40B4-BE49-F238E27FC236}">
              <a16:creationId xmlns:a16="http://schemas.microsoft.com/office/drawing/2014/main" id="{AA554382-39A5-442F-A3DC-3D85C9688386}"/>
            </a:ext>
          </a:extLst>
        </xdr:cNvPr>
        <xdr:cNvSpPr/>
      </xdr:nvSpPr>
      <xdr:spPr>
        <a:xfrm>
          <a:off x="17007840" y="8877300"/>
          <a:ext cx="998220" cy="91951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32</xdr:row>
      <xdr:rowOff>0</xdr:rowOff>
    </xdr:from>
    <xdr:to>
      <xdr:col>15</xdr:col>
      <xdr:colOff>9072</xdr:colOff>
      <xdr:row>34</xdr:row>
      <xdr:rowOff>188964</xdr:rowOff>
    </xdr:to>
    <xdr:sp macro="" textlink="">
      <xdr:nvSpPr>
        <xdr:cNvPr id="273" name="Isosceles Triangle 272">
          <a:extLst>
            <a:ext uri="{FF2B5EF4-FFF2-40B4-BE49-F238E27FC236}">
              <a16:creationId xmlns:a16="http://schemas.microsoft.com/office/drawing/2014/main" id="{F2BF82B3-57DE-4D1E-BCC0-5E4E350136A6}"/>
            </a:ext>
          </a:extLst>
        </xdr:cNvPr>
        <xdr:cNvSpPr/>
      </xdr:nvSpPr>
      <xdr:spPr>
        <a:xfrm>
          <a:off x="13555980" y="8877300"/>
          <a:ext cx="1053012" cy="9204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32</xdr:row>
      <xdr:rowOff>0</xdr:rowOff>
    </xdr:from>
    <xdr:to>
      <xdr:col>21</xdr:col>
      <xdr:colOff>0</xdr:colOff>
      <xdr:row>34</xdr:row>
      <xdr:rowOff>187993</xdr:rowOff>
    </xdr:to>
    <xdr:sp macro="" textlink="">
      <xdr:nvSpPr>
        <xdr:cNvPr id="274" name="Isosceles Triangle 273">
          <a:extLst>
            <a:ext uri="{FF2B5EF4-FFF2-40B4-BE49-F238E27FC236}">
              <a16:creationId xmlns:a16="http://schemas.microsoft.com/office/drawing/2014/main" id="{1E4A2E70-DF44-4DDE-919D-3047F879D51D}"/>
            </a:ext>
          </a:extLst>
        </xdr:cNvPr>
        <xdr:cNvSpPr/>
      </xdr:nvSpPr>
      <xdr:spPr>
        <a:xfrm>
          <a:off x="18630900" y="8877300"/>
          <a:ext cx="1051560" cy="91951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32</xdr:row>
      <xdr:rowOff>0</xdr:rowOff>
    </xdr:from>
    <xdr:to>
      <xdr:col>23</xdr:col>
      <xdr:colOff>0</xdr:colOff>
      <xdr:row>34</xdr:row>
      <xdr:rowOff>187993</xdr:rowOff>
    </xdr:to>
    <xdr:sp macro="" textlink="">
      <xdr:nvSpPr>
        <xdr:cNvPr id="275" name="Isosceles Triangle 274">
          <a:extLst>
            <a:ext uri="{FF2B5EF4-FFF2-40B4-BE49-F238E27FC236}">
              <a16:creationId xmlns:a16="http://schemas.microsoft.com/office/drawing/2014/main" id="{D081106E-6ADC-4A04-B8A6-9282E7F3F417}"/>
            </a:ext>
          </a:extLst>
        </xdr:cNvPr>
        <xdr:cNvSpPr/>
      </xdr:nvSpPr>
      <xdr:spPr>
        <a:xfrm>
          <a:off x="20589240" y="8877300"/>
          <a:ext cx="1013460" cy="91951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0</xdr:col>
      <xdr:colOff>0</xdr:colOff>
      <xdr:row>32</xdr:row>
      <xdr:rowOff>0</xdr:rowOff>
    </xdr:from>
    <xdr:to>
      <xdr:col>1</xdr:col>
      <xdr:colOff>0</xdr:colOff>
      <xdr:row>34</xdr:row>
      <xdr:rowOff>187993</xdr:rowOff>
    </xdr:to>
    <xdr:sp macro="" textlink="">
      <xdr:nvSpPr>
        <xdr:cNvPr id="276" name="Isosceles Triangle 275">
          <a:extLst>
            <a:ext uri="{FF2B5EF4-FFF2-40B4-BE49-F238E27FC236}">
              <a16:creationId xmlns:a16="http://schemas.microsoft.com/office/drawing/2014/main" id="{91A6DD9C-D6E9-4193-A6F7-E494755F2030}"/>
            </a:ext>
          </a:extLst>
        </xdr:cNvPr>
        <xdr:cNvSpPr/>
      </xdr:nvSpPr>
      <xdr:spPr>
        <a:xfrm>
          <a:off x="0" y="8877300"/>
          <a:ext cx="1264920" cy="91951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25</xdr:row>
      <xdr:rowOff>0</xdr:rowOff>
    </xdr:from>
    <xdr:to>
      <xdr:col>3</xdr:col>
      <xdr:colOff>0</xdr:colOff>
      <xdr:row>27</xdr:row>
      <xdr:rowOff>165133</xdr:rowOff>
    </xdr:to>
    <xdr:sp macro="" textlink="">
      <xdr:nvSpPr>
        <xdr:cNvPr id="277" name="Isosceles Triangle 276">
          <a:extLst>
            <a:ext uri="{FF2B5EF4-FFF2-40B4-BE49-F238E27FC236}">
              <a16:creationId xmlns:a16="http://schemas.microsoft.com/office/drawing/2014/main" id="{5EDB876E-5798-4E98-933B-C51831F632BE}"/>
            </a:ext>
          </a:extLst>
        </xdr:cNvPr>
        <xdr:cNvSpPr/>
      </xdr:nvSpPr>
      <xdr:spPr>
        <a:xfrm>
          <a:off x="2011680" y="6294120"/>
          <a:ext cx="1021080" cy="89665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25</xdr:row>
      <xdr:rowOff>0</xdr:rowOff>
    </xdr:from>
    <xdr:to>
      <xdr:col>5</xdr:col>
      <xdr:colOff>0</xdr:colOff>
      <xdr:row>27</xdr:row>
      <xdr:rowOff>165133</xdr:rowOff>
    </xdr:to>
    <xdr:sp macro="" textlink="">
      <xdr:nvSpPr>
        <xdr:cNvPr id="278" name="Isosceles Triangle 277">
          <a:extLst>
            <a:ext uri="{FF2B5EF4-FFF2-40B4-BE49-F238E27FC236}">
              <a16:creationId xmlns:a16="http://schemas.microsoft.com/office/drawing/2014/main" id="{DFBA926F-4079-43D4-972E-A08E4EB5D917}"/>
            </a:ext>
          </a:extLst>
        </xdr:cNvPr>
        <xdr:cNvSpPr/>
      </xdr:nvSpPr>
      <xdr:spPr>
        <a:xfrm>
          <a:off x="4076700" y="6294120"/>
          <a:ext cx="1196340" cy="89665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25</xdr:row>
      <xdr:rowOff>0</xdr:rowOff>
    </xdr:from>
    <xdr:to>
      <xdr:col>7</xdr:col>
      <xdr:colOff>0</xdr:colOff>
      <xdr:row>27</xdr:row>
      <xdr:rowOff>165133</xdr:rowOff>
    </xdr:to>
    <xdr:sp macro="" textlink="">
      <xdr:nvSpPr>
        <xdr:cNvPr id="279" name="Isosceles Triangle 278">
          <a:extLst>
            <a:ext uri="{FF2B5EF4-FFF2-40B4-BE49-F238E27FC236}">
              <a16:creationId xmlns:a16="http://schemas.microsoft.com/office/drawing/2014/main" id="{D55B8273-644F-438F-9878-BFFABCFC7BB3}"/>
            </a:ext>
          </a:extLst>
        </xdr:cNvPr>
        <xdr:cNvSpPr/>
      </xdr:nvSpPr>
      <xdr:spPr>
        <a:xfrm>
          <a:off x="6309360" y="6294120"/>
          <a:ext cx="1112520" cy="89665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25</xdr:row>
      <xdr:rowOff>0</xdr:rowOff>
    </xdr:from>
    <xdr:to>
      <xdr:col>9</xdr:col>
      <xdr:colOff>0</xdr:colOff>
      <xdr:row>27</xdr:row>
      <xdr:rowOff>165133</xdr:rowOff>
    </xdr:to>
    <xdr:sp macro="" textlink="">
      <xdr:nvSpPr>
        <xdr:cNvPr id="280" name="Isosceles Triangle 279">
          <a:extLst>
            <a:ext uri="{FF2B5EF4-FFF2-40B4-BE49-F238E27FC236}">
              <a16:creationId xmlns:a16="http://schemas.microsoft.com/office/drawing/2014/main" id="{E7050D49-0057-4BCF-96CB-2B3ECB6123FA}"/>
            </a:ext>
          </a:extLst>
        </xdr:cNvPr>
        <xdr:cNvSpPr/>
      </xdr:nvSpPr>
      <xdr:spPr>
        <a:xfrm>
          <a:off x="8298180" y="6294120"/>
          <a:ext cx="1272540" cy="89665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39369</xdr:colOff>
      <xdr:row>25</xdr:row>
      <xdr:rowOff>0</xdr:rowOff>
    </xdr:from>
    <xdr:to>
      <xdr:col>10</xdr:col>
      <xdr:colOff>918210</xdr:colOff>
      <xdr:row>28</xdr:row>
      <xdr:rowOff>5113</xdr:rowOff>
    </xdr:to>
    <xdr:sp macro="" textlink="">
      <xdr:nvSpPr>
        <xdr:cNvPr id="281" name="Isosceles Triangle 280">
          <a:extLst>
            <a:ext uri="{FF2B5EF4-FFF2-40B4-BE49-F238E27FC236}">
              <a16:creationId xmlns:a16="http://schemas.microsoft.com/office/drawing/2014/main" id="{2791CC1B-CF7C-479B-88EF-6D421BD13B89}"/>
            </a:ext>
          </a:extLst>
        </xdr:cNvPr>
        <xdr:cNvSpPr/>
      </xdr:nvSpPr>
      <xdr:spPr>
        <a:xfrm>
          <a:off x="10234929" y="6294120"/>
          <a:ext cx="878841" cy="90427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25</xdr:row>
      <xdr:rowOff>0</xdr:rowOff>
    </xdr:from>
    <xdr:to>
      <xdr:col>13</xdr:col>
      <xdr:colOff>0</xdr:colOff>
      <xdr:row>27</xdr:row>
      <xdr:rowOff>165133</xdr:rowOff>
    </xdr:to>
    <xdr:sp macro="" textlink="">
      <xdr:nvSpPr>
        <xdr:cNvPr id="282" name="Isosceles Triangle 281">
          <a:extLst>
            <a:ext uri="{FF2B5EF4-FFF2-40B4-BE49-F238E27FC236}">
              <a16:creationId xmlns:a16="http://schemas.microsoft.com/office/drawing/2014/main" id="{71695B0A-FEAE-41EB-9782-222DFB2F0F1D}"/>
            </a:ext>
          </a:extLst>
        </xdr:cNvPr>
        <xdr:cNvSpPr/>
      </xdr:nvSpPr>
      <xdr:spPr>
        <a:xfrm>
          <a:off x="11765280" y="6294120"/>
          <a:ext cx="1013460" cy="89665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25</xdr:row>
      <xdr:rowOff>0</xdr:rowOff>
    </xdr:from>
    <xdr:to>
      <xdr:col>17</xdr:col>
      <xdr:colOff>0</xdr:colOff>
      <xdr:row>27</xdr:row>
      <xdr:rowOff>165133</xdr:rowOff>
    </xdr:to>
    <xdr:sp macro="" textlink="">
      <xdr:nvSpPr>
        <xdr:cNvPr id="283" name="Isosceles Triangle 282">
          <a:extLst>
            <a:ext uri="{FF2B5EF4-FFF2-40B4-BE49-F238E27FC236}">
              <a16:creationId xmlns:a16="http://schemas.microsoft.com/office/drawing/2014/main" id="{788771D4-9FA1-4C77-814C-D490CC1630C8}"/>
            </a:ext>
          </a:extLst>
        </xdr:cNvPr>
        <xdr:cNvSpPr/>
      </xdr:nvSpPr>
      <xdr:spPr>
        <a:xfrm>
          <a:off x="15240000" y="6294120"/>
          <a:ext cx="1143000" cy="89665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25</xdr:row>
      <xdr:rowOff>0</xdr:rowOff>
    </xdr:from>
    <xdr:to>
      <xdr:col>19</xdr:col>
      <xdr:colOff>0</xdr:colOff>
      <xdr:row>27</xdr:row>
      <xdr:rowOff>165133</xdr:rowOff>
    </xdr:to>
    <xdr:sp macro="" textlink="">
      <xdr:nvSpPr>
        <xdr:cNvPr id="284" name="Isosceles Triangle 283">
          <a:extLst>
            <a:ext uri="{FF2B5EF4-FFF2-40B4-BE49-F238E27FC236}">
              <a16:creationId xmlns:a16="http://schemas.microsoft.com/office/drawing/2014/main" id="{E897D8D8-7C3A-4CDE-9911-27C0E90B00A8}"/>
            </a:ext>
          </a:extLst>
        </xdr:cNvPr>
        <xdr:cNvSpPr/>
      </xdr:nvSpPr>
      <xdr:spPr>
        <a:xfrm>
          <a:off x="17007840" y="6294120"/>
          <a:ext cx="998220" cy="89665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25</xdr:row>
      <xdr:rowOff>0</xdr:rowOff>
    </xdr:from>
    <xdr:to>
      <xdr:col>15</xdr:col>
      <xdr:colOff>9072</xdr:colOff>
      <xdr:row>27</xdr:row>
      <xdr:rowOff>166104</xdr:rowOff>
    </xdr:to>
    <xdr:sp macro="" textlink="">
      <xdr:nvSpPr>
        <xdr:cNvPr id="285" name="Isosceles Triangle 284">
          <a:extLst>
            <a:ext uri="{FF2B5EF4-FFF2-40B4-BE49-F238E27FC236}">
              <a16:creationId xmlns:a16="http://schemas.microsoft.com/office/drawing/2014/main" id="{CFA83BC7-6ACE-42C9-B36D-CA9AC3FAFB1B}"/>
            </a:ext>
          </a:extLst>
        </xdr:cNvPr>
        <xdr:cNvSpPr/>
      </xdr:nvSpPr>
      <xdr:spPr>
        <a:xfrm>
          <a:off x="13555980" y="6294120"/>
          <a:ext cx="1053012" cy="897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25</xdr:row>
      <xdr:rowOff>0</xdr:rowOff>
    </xdr:from>
    <xdr:to>
      <xdr:col>21</xdr:col>
      <xdr:colOff>0</xdr:colOff>
      <xdr:row>27</xdr:row>
      <xdr:rowOff>165133</xdr:rowOff>
    </xdr:to>
    <xdr:sp macro="" textlink="">
      <xdr:nvSpPr>
        <xdr:cNvPr id="286" name="Isosceles Triangle 285">
          <a:extLst>
            <a:ext uri="{FF2B5EF4-FFF2-40B4-BE49-F238E27FC236}">
              <a16:creationId xmlns:a16="http://schemas.microsoft.com/office/drawing/2014/main" id="{0EF21DB3-1FD9-4924-A766-ED401AEB242E}"/>
            </a:ext>
          </a:extLst>
        </xdr:cNvPr>
        <xdr:cNvSpPr/>
      </xdr:nvSpPr>
      <xdr:spPr>
        <a:xfrm>
          <a:off x="18630900" y="6294120"/>
          <a:ext cx="1051560" cy="89665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25</xdr:row>
      <xdr:rowOff>0</xdr:rowOff>
    </xdr:from>
    <xdr:to>
      <xdr:col>23</xdr:col>
      <xdr:colOff>0</xdr:colOff>
      <xdr:row>27</xdr:row>
      <xdr:rowOff>165133</xdr:rowOff>
    </xdr:to>
    <xdr:sp macro="" textlink="">
      <xdr:nvSpPr>
        <xdr:cNvPr id="287" name="Isosceles Triangle 286">
          <a:extLst>
            <a:ext uri="{FF2B5EF4-FFF2-40B4-BE49-F238E27FC236}">
              <a16:creationId xmlns:a16="http://schemas.microsoft.com/office/drawing/2014/main" id="{AC696668-C1E9-40AD-8123-43EAF134FBBC}"/>
            </a:ext>
          </a:extLst>
        </xdr:cNvPr>
        <xdr:cNvSpPr/>
      </xdr:nvSpPr>
      <xdr:spPr>
        <a:xfrm>
          <a:off x="20589240" y="6294120"/>
          <a:ext cx="1013460" cy="89665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0</xdr:col>
      <xdr:colOff>0</xdr:colOff>
      <xdr:row>25</xdr:row>
      <xdr:rowOff>0</xdr:rowOff>
    </xdr:from>
    <xdr:to>
      <xdr:col>1</xdr:col>
      <xdr:colOff>0</xdr:colOff>
      <xdr:row>27</xdr:row>
      <xdr:rowOff>165133</xdr:rowOff>
    </xdr:to>
    <xdr:sp macro="" textlink="">
      <xdr:nvSpPr>
        <xdr:cNvPr id="288" name="Isosceles Triangle 287">
          <a:extLst>
            <a:ext uri="{FF2B5EF4-FFF2-40B4-BE49-F238E27FC236}">
              <a16:creationId xmlns:a16="http://schemas.microsoft.com/office/drawing/2014/main" id="{7E432368-CBCF-48BF-92F9-936CD68B9752}"/>
            </a:ext>
          </a:extLst>
        </xdr:cNvPr>
        <xdr:cNvSpPr/>
      </xdr:nvSpPr>
      <xdr:spPr>
        <a:xfrm>
          <a:off x="0" y="6294120"/>
          <a:ext cx="1264920" cy="89665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108</xdr:row>
      <xdr:rowOff>126029</xdr:rowOff>
    </xdr:from>
    <xdr:to>
      <xdr:col>3</xdr:col>
      <xdr:colOff>0</xdr:colOff>
      <xdr:row>111</xdr:row>
      <xdr:rowOff>149893</xdr:rowOff>
    </xdr:to>
    <xdr:sp macro="" textlink="">
      <xdr:nvSpPr>
        <xdr:cNvPr id="289" name="Isosceles Triangle 288">
          <a:extLst>
            <a:ext uri="{FF2B5EF4-FFF2-40B4-BE49-F238E27FC236}">
              <a16:creationId xmlns:a16="http://schemas.microsoft.com/office/drawing/2014/main" id="{DE82BFF9-1485-4A66-B728-313AA6F28560}"/>
            </a:ext>
          </a:extLst>
        </xdr:cNvPr>
        <xdr:cNvSpPr/>
      </xdr:nvSpPr>
      <xdr:spPr>
        <a:xfrm>
          <a:off x="2011680" y="35879069"/>
          <a:ext cx="1021080" cy="11211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108</xdr:row>
      <xdr:rowOff>126029</xdr:rowOff>
    </xdr:from>
    <xdr:to>
      <xdr:col>5</xdr:col>
      <xdr:colOff>0</xdr:colOff>
      <xdr:row>111</xdr:row>
      <xdr:rowOff>149893</xdr:rowOff>
    </xdr:to>
    <xdr:sp macro="" textlink="">
      <xdr:nvSpPr>
        <xdr:cNvPr id="290" name="Isosceles Triangle 289">
          <a:extLst>
            <a:ext uri="{FF2B5EF4-FFF2-40B4-BE49-F238E27FC236}">
              <a16:creationId xmlns:a16="http://schemas.microsoft.com/office/drawing/2014/main" id="{1685AAAE-FC05-4C80-A491-FB78EA4FF6A7}"/>
            </a:ext>
          </a:extLst>
        </xdr:cNvPr>
        <xdr:cNvSpPr/>
      </xdr:nvSpPr>
      <xdr:spPr>
        <a:xfrm>
          <a:off x="4076700" y="35879069"/>
          <a:ext cx="1196340" cy="11211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108</xdr:row>
      <xdr:rowOff>126029</xdr:rowOff>
    </xdr:from>
    <xdr:to>
      <xdr:col>7</xdr:col>
      <xdr:colOff>0</xdr:colOff>
      <xdr:row>111</xdr:row>
      <xdr:rowOff>149893</xdr:rowOff>
    </xdr:to>
    <xdr:sp macro="" textlink="">
      <xdr:nvSpPr>
        <xdr:cNvPr id="291" name="Isosceles Triangle 290">
          <a:extLst>
            <a:ext uri="{FF2B5EF4-FFF2-40B4-BE49-F238E27FC236}">
              <a16:creationId xmlns:a16="http://schemas.microsoft.com/office/drawing/2014/main" id="{2A79D3BD-2401-48DC-9409-0FF230A363AA}"/>
            </a:ext>
          </a:extLst>
        </xdr:cNvPr>
        <xdr:cNvSpPr/>
      </xdr:nvSpPr>
      <xdr:spPr>
        <a:xfrm>
          <a:off x="6309360" y="35879069"/>
          <a:ext cx="1112520" cy="11211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108</xdr:row>
      <xdr:rowOff>126029</xdr:rowOff>
    </xdr:from>
    <xdr:to>
      <xdr:col>9</xdr:col>
      <xdr:colOff>0</xdr:colOff>
      <xdr:row>111</xdr:row>
      <xdr:rowOff>149893</xdr:rowOff>
    </xdr:to>
    <xdr:sp macro="" textlink="">
      <xdr:nvSpPr>
        <xdr:cNvPr id="292" name="Isosceles Triangle 291">
          <a:extLst>
            <a:ext uri="{FF2B5EF4-FFF2-40B4-BE49-F238E27FC236}">
              <a16:creationId xmlns:a16="http://schemas.microsoft.com/office/drawing/2014/main" id="{418BEE6C-B448-4615-846C-C5DBC1291A90}"/>
            </a:ext>
          </a:extLst>
        </xdr:cNvPr>
        <xdr:cNvSpPr/>
      </xdr:nvSpPr>
      <xdr:spPr>
        <a:xfrm>
          <a:off x="8298180" y="35879069"/>
          <a:ext cx="1272540" cy="11211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108</xdr:row>
      <xdr:rowOff>126029</xdr:rowOff>
    </xdr:from>
    <xdr:to>
      <xdr:col>11</xdr:col>
      <xdr:colOff>0</xdr:colOff>
      <xdr:row>111</xdr:row>
      <xdr:rowOff>149893</xdr:rowOff>
    </xdr:to>
    <xdr:sp macro="" textlink="">
      <xdr:nvSpPr>
        <xdr:cNvPr id="293" name="Isosceles Triangle 292">
          <a:extLst>
            <a:ext uri="{FF2B5EF4-FFF2-40B4-BE49-F238E27FC236}">
              <a16:creationId xmlns:a16="http://schemas.microsoft.com/office/drawing/2014/main" id="{67904884-D86F-4192-B113-10F7C0D292BD}"/>
            </a:ext>
          </a:extLst>
        </xdr:cNvPr>
        <xdr:cNvSpPr/>
      </xdr:nvSpPr>
      <xdr:spPr>
        <a:xfrm>
          <a:off x="10195560" y="35879069"/>
          <a:ext cx="944880" cy="11211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108</xdr:row>
      <xdr:rowOff>126029</xdr:rowOff>
    </xdr:from>
    <xdr:to>
      <xdr:col>13</xdr:col>
      <xdr:colOff>0</xdr:colOff>
      <xdr:row>111</xdr:row>
      <xdr:rowOff>149893</xdr:rowOff>
    </xdr:to>
    <xdr:sp macro="" textlink="">
      <xdr:nvSpPr>
        <xdr:cNvPr id="294" name="Isosceles Triangle 293">
          <a:extLst>
            <a:ext uri="{FF2B5EF4-FFF2-40B4-BE49-F238E27FC236}">
              <a16:creationId xmlns:a16="http://schemas.microsoft.com/office/drawing/2014/main" id="{021C0372-9E66-4294-AC7C-F055C4F34FF4}"/>
            </a:ext>
          </a:extLst>
        </xdr:cNvPr>
        <xdr:cNvSpPr/>
      </xdr:nvSpPr>
      <xdr:spPr>
        <a:xfrm>
          <a:off x="11765280" y="35879069"/>
          <a:ext cx="1013460" cy="11211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108</xdr:row>
      <xdr:rowOff>126029</xdr:rowOff>
    </xdr:from>
    <xdr:to>
      <xdr:col>17</xdr:col>
      <xdr:colOff>0</xdr:colOff>
      <xdr:row>111</xdr:row>
      <xdr:rowOff>149893</xdr:rowOff>
    </xdr:to>
    <xdr:sp macro="" textlink="">
      <xdr:nvSpPr>
        <xdr:cNvPr id="295" name="Isosceles Triangle 294">
          <a:extLst>
            <a:ext uri="{FF2B5EF4-FFF2-40B4-BE49-F238E27FC236}">
              <a16:creationId xmlns:a16="http://schemas.microsoft.com/office/drawing/2014/main" id="{54B38D12-0961-40DC-A4A2-26107A56D0B4}"/>
            </a:ext>
          </a:extLst>
        </xdr:cNvPr>
        <xdr:cNvSpPr/>
      </xdr:nvSpPr>
      <xdr:spPr>
        <a:xfrm>
          <a:off x="15240000" y="35879069"/>
          <a:ext cx="1143000" cy="11211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108</xdr:row>
      <xdr:rowOff>126029</xdr:rowOff>
    </xdr:from>
    <xdr:to>
      <xdr:col>19</xdr:col>
      <xdr:colOff>0</xdr:colOff>
      <xdr:row>111</xdr:row>
      <xdr:rowOff>149893</xdr:rowOff>
    </xdr:to>
    <xdr:sp macro="" textlink="">
      <xdr:nvSpPr>
        <xdr:cNvPr id="296" name="Isosceles Triangle 295">
          <a:extLst>
            <a:ext uri="{FF2B5EF4-FFF2-40B4-BE49-F238E27FC236}">
              <a16:creationId xmlns:a16="http://schemas.microsoft.com/office/drawing/2014/main" id="{5D163F7B-6482-4988-8DAF-8AECBCEF1159}"/>
            </a:ext>
          </a:extLst>
        </xdr:cNvPr>
        <xdr:cNvSpPr/>
      </xdr:nvSpPr>
      <xdr:spPr>
        <a:xfrm>
          <a:off x="17007840" y="35879069"/>
          <a:ext cx="998220" cy="11211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108</xdr:row>
      <xdr:rowOff>127000</xdr:rowOff>
    </xdr:from>
    <xdr:to>
      <xdr:col>15</xdr:col>
      <xdr:colOff>9072</xdr:colOff>
      <xdr:row>111</xdr:row>
      <xdr:rowOff>150864</xdr:rowOff>
    </xdr:to>
    <xdr:sp macro="" textlink="">
      <xdr:nvSpPr>
        <xdr:cNvPr id="297" name="Isosceles Triangle 296">
          <a:extLst>
            <a:ext uri="{FF2B5EF4-FFF2-40B4-BE49-F238E27FC236}">
              <a16:creationId xmlns:a16="http://schemas.microsoft.com/office/drawing/2014/main" id="{5EC9A6ED-D7B6-4A2E-8075-BC741538EA19}"/>
            </a:ext>
          </a:extLst>
        </xdr:cNvPr>
        <xdr:cNvSpPr/>
      </xdr:nvSpPr>
      <xdr:spPr>
        <a:xfrm>
          <a:off x="13555980" y="35880040"/>
          <a:ext cx="1053012" cy="11211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108</xdr:row>
      <xdr:rowOff>126029</xdr:rowOff>
    </xdr:from>
    <xdr:to>
      <xdr:col>21</xdr:col>
      <xdr:colOff>0</xdr:colOff>
      <xdr:row>111</xdr:row>
      <xdr:rowOff>149893</xdr:rowOff>
    </xdr:to>
    <xdr:sp macro="" textlink="">
      <xdr:nvSpPr>
        <xdr:cNvPr id="298" name="Isosceles Triangle 297">
          <a:extLst>
            <a:ext uri="{FF2B5EF4-FFF2-40B4-BE49-F238E27FC236}">
              <a16:creationId xmlns:a16="http://schemas.microsoft.com/office/drawing/2014/main" id="{FE39FDCF-D483-4B60-8464-492F0575BDCA}"/>
            </a:ext>
          </a:extLst>
        </xdr:cNvPr>
        <xdr:cNvSpPr/>
      </xdr:nvSpPr>
      <xdr:spPr>
        <a:xfrm>
          <a:off x="18630900" y="35879069"/>
          <a:ext cx="1051560" cy="11211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108</xdr:row>
      <xdr:rowOff>126029</xdr:rowOff>
    </xdr:from>
    <xdr:to>
      <xdr:col>23</xdr:col>
      <xdr:colOff>0</xdr:colOff>
      <xdr:row>111</xdr:row>
      <xdr:rowOff>149893</xdr:rowOff>
    </xdr:to>
    <xdr:sp macro="" textlink="">
      <xdr:nvSpPr>
        <xdr:cNvPr id="299" name="Isosceles Triangle 298">
          <a:extLst>
            <a:ext uri="{FF2B5EF4-FFF2-40B4-BE49-F238E27FC236}">
              <a16:creationId xmlns:a16="http://schemas.microsoft.com/office/drawing/2014/main" id="{91BD2777-673E-4B6E-AC84-8CA350538B02}"/>
            </a:ext>
          </a:extLst>
        </xdr:cNvPr>
        <xdr:cNvSpPr/>
      </xdr:nvSpPr>
      <xdr:spPr>
        <a:xfrm>
          <a:off x="20589240" y="35879069"/>
          <a:ext cx="1013460" cy="11211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0</xdr:col>
      <xdr:colOff>0</xdr:colOff>
      <xdr:row>108</xdr:row>
      <xdr:rowOff>126029</xdr:rowOff>
    </xdr:from>
    <xdr:to>
      <xdr:col>1</xdr:col>
      <xdr:colOff>0</xdr:colOff>
      <xdr:row>111</xdr:row>
      <xdr:rowOff>149893</xdr:rowOff>
    </xdr:to>
    <xdr:sp macro="" textlink="">
      <xdr:nvSpPr>
        <xdr:cNvPr id="300" name="Isosceles Triangle 299">
          <a:extLst>
            <a:ext uri="{FF2B5EF4-FFF2-40B4-BE49-F238E27FC236}">
              <a16:creationId xmlns:a16="http://schemas.microsoft.com/office/drawing/2014/main" id="{D7C9CCA4-9074-43B8-A113-C3E089C6A128}"/>
            </a:ext>
          </a:extLst>
        </xdr:cNvPr>
        <xdr:cNvSpPr/>
      </xdr:nvSpPr>
      <xdr:spPr>
        <a:xfrm>
          <a:off x="0" y="35879069"/>
          <a:ext cx="1264920" cy="11211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99</xdr:row>
      <xdr:rowOff>126029</xdr:rowOff>
    </xdr:from>
    <xdr:to>
      <xdr:col>3</xdr:col>
      <xdr:colOff>0</xdr:colOff>
      <xdr:row>102</xdr:row>
      <xdr:rowOff>187993</xdr:rowOff>
    </xdr:to>
    <xdr:sp macro="" textlink="">
      <xdr:nvSpPr>
        <xdr:cNvPr id="301" name="Isosceles Triangle 300">
          <a:extLst>
            <a:ext uri="{FF2B5EF4-FFF2-40B4-BE49-F238E27FC236}">
              <a16:creationId xmlns:a16="http://schemas.microsoft.com/office/drawing/2014/main" id="{84BFB948-79C5-4556-AD65-09ACE002013B}"/>
            </a:ext>
          </a:extLst>
        </xdr:cNvPr>
        <xdr:cNvSpPr/>
      </xdr:nvSpPr>
      <xdr:spPr>
        <a:xfrm>
          <a:off x="2011680" y="32739629"/>
          <a:ext cx="102108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99</xdr:row>
      <xdr:rowOff>126029</xdr:rowOff>
    </xdr:from>
    <xdr:to>
      <xdr:col>5</xdr:col>
      <xdr:colOff>0</xdr:colOff>
      <xdr:row>102</xdr:row>
      <xdr:rowOff>187993</xdr:rowOff>
    </xdr:to>
    <xdr:sp macro="" textlink="">
      <xdr:nvSpPr>
        <xdr:cNvPr id="302" name="Isosceles Triangle 301">
          <a:extLst>
            <a:ext uri="{FF2B5EF4-FFF2-40B4-BE49-F238E27FC236}">
              <a16:creationId xmlns:a16="http://schemas.microsoft.com/office/drawing/2014/main" id="{378B20DD-9835-4637-8110-2A4C7F958C7C}"/>
            </a:ext>
          </a:extLst>
        </xdr:cNvPr>
        <xdr:cNvSpPr/>
      </xdr:nvSpPr>
      <xdr:spPr>
        <a:xfrm>
          <a:off x="4076700" y="32739629"/>
          <a:ext cx="119634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99</xdr:row>
      <xdr:rowOff>126029</xdr:rowOff>
    </xdr:from>
    <xdr:to>
      <xdr:col>7</xdr:col>
      <xdr:colOff>0</xdr:colOff>
      <xdr:row>102</xdr:row>
      <xdr:rowOff>187993</xdr:rowOff>
    </xdr:to>
    <xdr:sp macro="" textlink="">
      <xdr:nvSpPr>
        <xdr:cNvPr id="303" name="Isosceles Triangle 302">
          <a:extLst>
            <a:ext uri="{FF2B5EF4-FFF2-40B4-BE49-F238E27FC236}">
              <a16:creationId xmlns:a16="http://schemas.microsoft.com/office/drawing/2014/main" id="{35915135-BDA1-4F83-83CB-732ED4060A7C}"/>
            </a:ext>
          </a:extLst>
        </xdr:cNvPr>
        <xdr:cNvSpPr/>
      </xdr:nvSpPr>
      <xdr:spPr>
        <a:xfrm>
          <a:off x="6309360" y="32739629"/>
          <a:ext cx="111252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99</xdr:row>
      <xdr:rowOff>126029</xdr:rowOff>
    </xdr:from>
    <xdr:to>
      <xdr:col>9</xdr:col>
      <xdr:colOff>0</xdr:colOff>
      <xdr:row>102</xdr:row>
      <xdr:rowOff>187993</xdr:rowOff>
    </xdr:to>
    <xdr:sp macro="" textlink="">
      <xdr:nvSpPr>
        <xdr:cNvPr id="304" name="Isosceles Triangle 303">
          <a:extLst>
            <a:ext uri="{FF2B5EF4-FFF2-40B4-BE49-F238E27FC236}">
              <a16:creationId xmlns:a16="http://schemas.microsoft.com/office/drawing/2014/main" id="{F826C8A5-3DAD-4C61-BF74-9246466DF491}"/>
            </a:ext>
          </a:extLst>
        </xdr:cNvPr>
        <xdr:cNvSpPr/>
      </xdr:nvSpPr>
      <xdr:spPr>
        <a:xfrm>
          <a:off x="8298180" y="32739629"/>
          <a:ext cx="127254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99</xdr:row>
      <xdr:rowOff>126029</xdr:rowOff>
    </xdr:from>
    <xdr:to>
      <xdr:col>11</xdr:col>
      <xdr:colOff>0</xdr:colOff>
      <xdr:row>102</xdr:row>
      <xdr:rowOff>187993</xdr:rowOff>
    </xdr:to>
    <xdr:sp macro="" textlink="">
      <xdr:nvSpPr>
        <xdr:cNvPr id="305" name="Isosceles Triangle 304">
          <a:extLst>
            <a:ext uri="{FF2B5EF4-FFF2-40B4-BE49-F238E27FC236}">
              <a16:creationId xmlns:a16="http://schemas.microsoft.com/office/drawing/2014/main" id="{0E8BAB4C-22BD-4F40-802F-7A914AC4CE45}"/>
            </a:ext>
          </a:extLst>
        </xdr:cNvPr>
        <xdr:cNvSpPr/>
      </xdr:nvSpPr>
      <xdr:spPr>
        <a:xfrm>
          <a:off x="10195560" y="32739629"/>
          <a:ext cx="94488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99</xdr:row>
      <xdr:rowOff>126029</xdr:rowOff>
    </xdr:from>
    <xdr:to>
      <xdr:col>13</xdr:col>
      <xdr:colOff>0</xdr:colOff>
      <xdr:row>102</xdr:row>
      <xdr:rowOff>187993</xdr:rowOff>
    </xdr:to>
    <xdr:sp macro="" textlink="">
      <xdr:nvSpPr>
        <xdr:cNvPr id="306" name="Isosceles Triangle 305">
          <a:extLst>
            <a:ext uri="{FF2B5EF4-FFF2-40B4-BE49-F238E27FC236}">
              <a16:creationId xmlns:a16="http://schemas.microsoft.com/office/drawing/2014/main" id="{98232732-267E-44D5-B4F1-59CDB2CF836A}"/>
            </a:ext>
          </a:extLst>
        </xdr:cNvPr>
        <xdr:cNvSpPr/>
      </xdr:nvSpPr>
      <xdr:spPr>
        <a:xfrm>
          <a:off x="11765280" y="32739629"/>
          <a:ext cx="101346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99</xdr:row>
      <xdr:rowOff>126029</xdr:rowOff>
    </xdr:from>
    <xdr:to>
      <xdr:col>17</xdr:col>
      <xdr:colOff>0</xdr:colOff>
      <xdr:row>102</xdr:row>
      <xdr:rowOff>187993</xdr:rowOff>
    </xdr:to>
    <xdr:sp macro="" textlink="">
      <xdr:nvSpPr>
        <xdr:cNvPr id="307" name="Isosceles Triangle 306">
          <a:extLst>
            <a:ext uri="{FF2B5EF4-FFF2-40B4-BE49-F238E27FC236}">
              <a16:creationId xmlns:a16="http://schemas.microsoft.com/office/drawing/2014/main" id="{3B4F21B3-83D5-485D-BA9E-B1694F3DD593}"/>
            </a:ext>
          </a:extLst>
        </xdr:cNvPr>
        <xdr:cNvSpPr/>
      </xdr:nvSpPr>
      <xdr:spPr>
        <a:xfrm>
          <a:off x="15240000" y="32739629"/>
          <a:ext cx="114300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99</xdr:row>
      <xdr:rowOff>126029</xdr:rowOff>
    </xdr:from>
    <xdr:to>
      <xdr:col>19</xdr:col>
      <xdr:colOff>0</xdr:colOff>
      <xdr:row>102</xdr:row>
      <xdr:rowOff>187993</xdr:rowOff>
    </xdr:to>
    <xdr:sp macro="" textlink="">
      <xdr:nvSpPr>
        <xdr:cNvPr id="308" name="Isosceles Triangle 307">
          <a:extLst>
            <a:ext uri="{FF2B5EF4-FFF2-40B4-BE49-F238E27FC236}">
              <a16:creationId xmlns:a16="http://schemas.microsoft.com/office/drawing/2014/main" id="{B600F4DA-90EF-4A27-A9A9-D05BFF67188B}"/>
            </a:ext>
          </a:extLst>
        </xdr:cNvPr>
        <xdr:cNvSpPr/>
      </xdr:nvSpPr>
      <xdr:spPr>
        <a:xfrm>
          <a:off x="17007840" y="32739629"/>
          <a:ext cx="99822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99</xdr:row>
      <xdr:rowOff>127000</xdr:rowOff>
    </xdr:from>
    <xdr:to>
      <xdr:col>15</xdr:col>
      <xdr:colOff>9072</xdr:colOff>
      <xdr:row>102</xdr:row>
      <xdr:rowOff>188964</xdr:rowOff>
    </xdr:to>
    <xdr:sp macro="" textlink="">
      <xdr:nvSpPr>
        <xdr:cNvPr id="309" name="Isosceles Triangle 308">
          <a:extLst>
            <a:ext uri="{FF2B5EF4-FFF2-40B4-BE49-F238E27FC236}">
              <a16:creationId xmlns:a16="http://schemas.microsoft.com/office/drawing/2014/main" id="{2525FA95-81CD-43F0-A567-A699F5305EF5}"/>
            </a:ext>
          </a:extLst>
        </xdr:cNvPr>
        <xdr:cNvSpPr/>
      </xdr:nvSpPr>
      <xdr:spPr>
        <a:xfrm>
          <a:off x="13555980" y="32740600"/>
          <a:ext cx="1053012"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99</xdr:row>
      <xdr:rowOff>126029</xdr:rowOff>
    </xdr:from>
    <xdr:to>
      <xdr:col>21</xdr:col>
      <xdr:colOff>0</xdr:colOff>
      <xdr:row>102</xdr:row>
      <xdr:rowOff>187993</xdr:rowOff>
    </xdr:to>
    <xdr:sp macro="" textlink="">
      <xdr:nvSpPr>
        <xdr:cNvPr id="310" name="Isosceles Triangle 309">
          <a:extLst>
            <a:ext uri="{FF2B5EF4-FFF2-40B4-BE49-F238E27FC236}">
              <a16:creationId xmlns:a16="http://schemas.microsoft.com/office/drawing/2014/main" id="{51BB6DAC-BE2C-4EBA-A090-59FA1CEB5CB0}"/>
            </a:ext>
          </a:extLst>
        </xdr:cNvPr>
        <xdr:cNvSpPr/>
      </xdr:nvSpPr>
      <xdr:spPr>
        <a:xfrm>
          <a:off x="18630900" y="32739629"/>
          <a:ext cx="105156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99</xdr:row>
      <xdr:rowOff>126029</xdr:rowOff>
    </xdr:from>
    <xdr:to>
      <xdr:col>23</xdr:col>
      <xdr:colOff>0</xdr:colOff>
      <xdr:row>102</xdr:row>
      <xdr:rowOff>187993</xdr:rowOff>
    </xdr:to>
    <xdr:sp macro="" textlink="">
      <xdr:nvSpPr>
        <xdr:cNvPr id="311" name="Isosceles Triangle 310">
          <a:extLst>
            <a:ext uri="{FF2B5EF4-FFF2-40B4-BE49-F238E27FC236}">
              <a16:creationId xmlns:a16="http://schemas.microsoft.com/office/drawing/2014/main" id="{7421896B-F8FB-4B79-A888-2EB34E84A449}"/>
            </a:ext>
          </a:extLst>
        </xdr:cNvPr>
        <xdr:cNvSpPr/>
      </xdr:nvSpPr>
      <xdr:spPr>
        <a:xfrm>
          <a:off x="20589240" y="32739629"/>
          <a:ext cx="101346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23</xdr:col>
      <xdr:colOff>0</xdr:colOff>
      <xdr:row>104</xdr:row>
      <xdr:rowOff>0</xdr:rowOff>
    </xdr:from>
    <xdr:to>
      <xdr:col>23</xdr:col>
      <xdr:colOff>134937</xdr:colOff>
      <xdr:row>104</xdr:row>
      <xdr:rowOff>79381</xdr:rowOff>
    </xdr:to>
    <xdr:sp macro="" textlink="">
      <xdr:nvSpPr>
        <xdr:cNvPr id="312" name="Bent Arrow 809">
          <a:extLst>
            <a:ext uri="{FF2B5EF4-FFF2-40B4-BE49-F238E27FC236}">
              <a16:creationId xmlns:a16="http://schemas.microsoft.com/office/drawing/2014/main" id="{1542E50A-3019-4EB3-A4DB-6B5C13778652}"/>
            </a:ext>
          </a:extLst>
        </xdr:cNvPr>
        <xdr:cNvSpPr/>
      </xdr:nvSpPr>
      <xdr:spPr>
        <a:xfrm rot="5400000">
          <a:off x="21630478" y="34376522"/>
          <a:ext cx="79381"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0</xdr:col>
      <xdr:colOff>0</xdr:colOff>
      <xdr:row>99</xdr:row>
      <xdr:rowOff>126029</xdr:rowOff>
    </xdr:from>
    <xdr:to>
      <xdr:col>1</xdr:col>
      <xdr:colOff>0</xdr:colOff>
      <xdr:row>102</xdr:row>
      <xdr:rowOff>187993</xdr:rowOff>
    </xdr:to>
    <xdr:sp macro="" textlink="">
      <xdr:nvSpPr>
        <xdr:cNvPr id="313" name="Isosceles Triangle 312">
          <a:extLst>
            <a:ext uri="{FF2B5EF4-FFF2-40B4-BE49-F238E27FC236}">
              <a16:creationId xmlns:a16="http://schemas.microsoft.com/office/drawing/2014/main" id="{06FB8ADA-D29F-4A40-AAFE-34030A5CE140}"/>
            </a:ext>
          </a:extLst>
        </xdr:cNvPr>
        <xdr:cNvSpPr/>
      </xdr:nvSpPr>
      <xdr:spPr>
        <a:xfrm>
          <a:off x="0" y="32739629"/>
          <a:ext cx="126492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90</xdr:row>
      <xdr:rowOff>126029</xdr:rowOff>
    </xdr:from>
    <xdr:to>
      <xdr:col>3</xdr:col>
      <xdr:colOff>0</xdr:colOff>
      <xdr:row>93</xdr:row>
      <xdr:rowOff>165133</xdr:rowOff>
    </xdr:to>
    <xdr:sp macro="" textlink="">
      <xdr:nvSpPr>
        <xdr:cNvPr id="314" name="Isosceles Triangle 313">
          <a:extLst>
            <a:ext uri="{FF2B5EF4-FFF2-40B4-BE49-F238E27FC236}">
              <a16:creationId xmlns:a16="http://schemas.microsoft.com/office/drawing/2014/main" id="{2E68CDF0-377D-4541-9461-016E2C687FD6}"/>
            </a:ext>
          </a:extLst>
        </xdr:cNvPr>
        <xdr:cNvSpPr/>
      </xdr:nvSpPr>
      <xdr:spPr>
        <a:xfrm>
          <a:off x="2011680" y="29455409"/>
          <a:ext cx="102108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90</xdr:row>
      <xdr:rowOff>126029</xdr:rowOff>
    </xdr:from>
    <xdr:to>
      <xdr:col>5</xdr:col>
      <xdr:colOff>0</xdr:colOff>
      <xdr:row>93</xdr:row>
      <xdr:rowOff>165133</xdr:rowOff>
    </xdr:to>
    <xdr:sp macro="" textlink="">
      <xdr:nvSpPr>
        <xdr:cNvPr id="315" name="Isosceles Triangle 314">
          <a:extLst>
            <a:ext uri="{FF2B5EF4-FFF2-40B4-BE49-F238E27FC236}">
              <a16:creationId xmlns:a16="http://schemas.microsoft.com/office/drawing/2014/main" id="{3151E687-34BB-4662-854E-7E4C6CC3A9DC}"/>
            </a:ext>
          </a:extLst>
        </xdr:cNvPr>
        <xdr:cNvSpPr/>
      </xdr:nvSpPr>
      <xdr:spPr>
        <a:xfrm>
          <a:off x="4076700" y="29455409"/>
          <a:ext cx="119634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90</xdr:row>
      <xdr:rowOff>126029</xdr:rowOff>
    </xdr:from>
    <xdr:to>
      <xdr:col>7</xdr:col>
      <xdr:colOff>0</xdr:colOff>
      <xdr:row>93</xdr:row>
      <xdr:rowOff>165133</xdr:rowOff>
    </xdr:to>
    <xdr:sp macro="" textlink="">
      <xdr:nvSpPr>
        <xdr:cNvPr id="316" name="Isosceles Triangle 315">
          <a:extLst>
            <a:ext uri="{FF2B5EF4-FFF2-40B4-BE49-F238E27FC236}">
              <a16:creationId xmlns:a16="http://schemas.microsoft.com/office/drawing/2014/main" id="{A4436D89-D311-4605-B424-3DF718B14190}"/>
            </a:ext>
          </a:extLst>
        </xdr:cNvPr>
        <xdr:cNvSpPr/>
      </xdr:nvSpPr>
      <xdr:spPr>
        <a:xfrm>
          <a:off x="6309360" y="29455409"/>
          <a:ext cx="111252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90</xdr:row>
      <xdr:rowOff>126029</xdr:rowOff>
    </xdr:from>
    <xdr:to>
      <xdr:col>9</xdr:col>
      <xdr:colOff>0</xdr:colOff>
      <xdr:row>93</xdr:row>
      <xdr:rowOff>165133</xdr:rowOff>
    </xdr:to>
    <xdr:sp macro="" textlink="">
      <xdr:nvSpPr>
        <xdr:cNvPr id="317" name="Isosceles Triangle 316">
          <a:extLst>
            <a:ext uri="{FF2B5EF4-FFF2-40B4-BE49-F238E27FC236}">
              <a16:creationId xmlns:a16="http://schemas.microsoft.com/office/drawing/2014/main" id="{ED39980E-F3A4-4EFF-A5F2-393B66443B92}"/>
            </a:ext>
          </a:extLst>
        </xdr:cNvPr>
        <xdr:cNvSpPr/>
      </xdr:nvSpPr>
      <xdr:spPr>
        <a:xfrm>
          <a:off x="8298180" y="29455409"/>
          <a:ext cx="127254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90</xdr:row>
      <xdr:rowOff>126029</xdr:rowOff>
    </xdr:from>
    <xdr:to>
      <xdr:col>11</xdr:col>
      <xdr:colOff>0</xdr:colOff>
      <xdr:row>93</xdr:row>
      <xdr:rowOff>165133</xdr:rowOff>
    </xdr:to>
    <xdr:sp macro="" textlink="">
      <xdr:nvSpPr>
        <xdr:cNvPr id="318" name="Isosceles Triangle 317">
          <a:extLst>
            <a:ext uri="{FF2B5EF4-FFF2-40B4-BE49-F238E27FC236}">
              <a16:creationId xmlns:a16="http://schemas.microsoft.com/office/drawing/2014/main" id="{2B9229B5-CEDB-429E-BF20-71293F00E83E}"/>
            </a:ext>
          </a:extLst>
        </xdr:cNvPr>
        <xdr:cNvSpPr/>
      </xdr:nvSpPr>
      <xdr:spPr>
        <a:xfrm>
          <a:off x="10195560" y="29455409"/>
          <a:ext cx="94488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90</xdr:row>
      <xdr:rowOff>126029</xdr:rowOff>
    </xdr:from>
    <xdr:to>
      <xdr:col>13</xdr:col>
      <xdr:colOff>0</xdr:colOff>
      <xdr:row>93</xdr:row>
      <xdr:rowOff>165133</xdr:rowOff>
    </xdr:to>
    <xdr:sp macro="" textlink="">
      <xdr:nvSpPr>
        <xdr:cNvPr id="319" name="Isosceles Triangle 318">
          <a:extLst>
            <a:ext uri="{FF2B5EF4-FFF2-40B4-BE49-F238E27FC236}">
              <a16:creationId xmlns:a16="http://schemas.microsoft.com/office/drawing/2014/main" id="{5E136F26-9F3F-4D69-82E9-DACC4E89DE4B}"/>
            </a:ext>
          </a:extLst>
        </xdr:cNvPr>
        <xdr:cNvSpPr/>
      </xdr:nvSpPr>
      <xdr:spPr>
        <a:xfrm>
          <a:off x="11765280" y="29455409"/>
          <a:ext cx="101346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90</xdr:row>
      <xdr:rowOff>126029</xdr:rowOff>
    </xdr:from>
    <xdr:to>
      <xdr:col>17</xdr:col>
      <xdr:colOff>0</xdr:colOff>
      <xdr:row>93</xdr:row>
      <xdr:rowOff>165133</xdr:rowOff>
    </xdr:to>
    <xdr:sp macro="" textlink="">
      <xdr:nvSpPr>
        <xdr:cNvPr id="320" name="Isosceles Triangle 319">
          <a:extLst>
            <a:ext uri="{FF2B5EF4-FFF2-40B4-BE49-F238E27FC236}">
              <a16:creationId xmlns:a16="http://schemas.microsoft.com/office/drawing/2014/main" id="{D933EF95-ADDC-4141-B7AC-4B6D0F506782}"/>
            </a:ext>
          </a:extLst>
        </xdr:cNvPr>
        <xdr:cNvSpPr/>
      </xdr:nvSpPr>
      <xdr:spPr>
        <a:xfrm>
          <a:off x="15240000" y="29455409"/>
          <a:ext cx="114300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90</xdr:row>
      <xdr:rowOff>126029</xdr:rowOff>
    </xdr:from>
    <xdr:to>
      <xdr:col>19</xdr:col>
      <xdr:colOff>0</xdr:colOff>
      <xdr:row>93</xdr:row>
      <xdr:rowOff>165133</xdr:rowOff>
    </xdr:to>
    <xdr:sp macro="" textlink="">
      <xdr:nvSpPr>
        <xdr:cNvPr id="321" name="Isosceles Triangle 320">
          <a:extLst>
            <a:ext uri="{FF2B5EF4-FFF2-40B4-BE49-F238E27FC236}">
              <a16:creationId xmlns:a16="http://schemas.microsoft.com/office/drawing/2014/main" id="{8AFF81FF-BC5F-418F-BDC5-3EA730C8DB72}"/>
            </a:ext>
          </a:extLst>
        </xdr:cNvPr>
        <xdr:cNvSpPr/>
      </xdr:nvSpPr>
      <xdr:spPr>
        <a:xfrm>
          <a:off x="17007840" y="29455409"/>
          <a:ext cx="99822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90</xdr:row>
      <xdr:rowOff>127000</xdr:rowOff>
    </xdr:from>
    <xdr:to>
      <xdr:col>15</xdr:col>
      <xdr:colOff>9072</xdr:colOff>
      <xdr:row>93</xdr:row>
      <xdr:rowOff>166104</xdr:rowOff>
    </xdr:to>
    <xdr:sp macro="" textlink="">
      <xdr:nvSpPr>
        <xdr:cNvPr id="322" name="Isosceles Triangle 321">
          <a:extLst>
            <a:ext uri="{FF2B5EF4-FFF2-40B4-BE49-F238E27FC236}">
              <a16:creationId xmlns:a16="http://schemas.microsoft.com/office/drawing/2014/main" id="{D1454B26-F859-4474-8205-E49180934626}"/>
            </a:ext>
          </a:extLst>
        </xdr:cNvPr>
        <xdr:cNvSpPr/>
      </xdr:nvSpPr>
      <xdr:spPr>
        <a:xfrm>
          <a:off x="13555980" y="29456380"/>
          <a:ext cx="1053012"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90</xdr:row>
      <xdr:rowOff>126029</xdr:rowOff>
    </xdr:from>
    <xdr:to>
      <xdr:col>23</xdr:col>
      <xdr:colOff>0</xdr:colOff>
      <xdr:row>93</xdr:row>
      <xdr:rowOff>165133</xdr:rowOff>
    </xdr:to>
    <xdr:sp macro="" textlink="">
      <xdr:nvSpPr>
        <xdr:cNvPr id="323" name="Isosceles Triangle 322">
          <a:extLst>
            <a:ext uri="{FF2B5EF4-FFF2-40B4-BE49-F238E27FC236}">
              <a16:creationId xmlns:a16="http://schemas.microsoft.com/office/drawing/2014/main" id="{BDE18F38-972F-49E8-AF67-27F7180AE5F4}"/>
            </a:ext>
          </a:extLst>
        </xdr:cNvPr>
        <xdr:cNvSpPr/>
      </xdr:nvSpPr>
      <xdr:spPr>
        <a:xfrm>
          <a:off x="20589240" y="29455409"/>
          <a:ext cx="101346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0</xdr:col>
      <xdr:colOff>0</xdr:colOff>
      <xdr:row>90</xdr:row>
      <xdr:rowOff>126029</xdr:rowOff>
    </xdr:from>
    <xdr:to>
      <xdr:col>1</xdr:col>
      <xdr:colOff>0</xdr:colOff>
      <xdr:row>93</xdr:row>
      <xdr:rowOff>165133</xdr:rowOff>
    </xdr:to>
    <xdr:sp macro="" textlink="">
      <xdr:nvSpPr>
        <xdr:cNvPr id="324" name="Isosceles Triangle 323">
          <a:extLst>
            <a:ext uri="{FF2B5EF4-FFF2-40B4-BE49-F238E27FC236}">
              <a16:creationId xmlns:a16="http://schemas.microsoft.com/office/drawing/2014/main" id="{EF32C8F5-5827-46D6-856B-A9B90C028117}"/>
            </a:ext>
          </a:extLst>
        </xdr:cNvPr>
        <xdr:cNvSpPr/>
      </xdr:nvSpPr>
      <xdr:spPr>
        <a:xfrm>
          <a:off x="0" y="29455409"/>
          <a:ext cx="126492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81</xdr:row>
      <xdr:rowOff>126029</xdr:rowOff>
    </xdr:from>
    <xdr:to>
      <xdr:col>3</xdr:col>
      <xdr:colOff>0</xdr:colOff>
      <xdr:row>84</xdr:row>
      <xdr:rowOff>195613</xdr:rowOff>
    </xdr:to>
    <xdr:sp macro="" textlink="">
      <xdr:nvSpPr>
        <xdr:cNvPr id="325" name="Isosceles Triangle 324">
          <a:extLst>
            <a:ext uri="{FF2B5EF4-FFF2-40B4-BE49-F238E27FC236}">
              <a16:creationId xmlns:a16="http://schemas.microsoft.com/office/drawing/2014/main" id="{93C4B166-5FA4-46A8-9DB6-D651EE71CD84}"/>
            </a:ext>
          </a:extLst>
        </xdr:cNvPr>
        <xdr:cNvSpPr/>
      </xdr:nvSpPr>
      <xdr:spPr>
        <a:xfrm>
          <a:off x="2011680" y="26148329"/>
          <a:ext cx="102108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81</xdr:row>
      <xdr:rowOff>126029</xdr:rowOff>
    </xdr:from>
    <xdr:to>
      <xdr:col>5</xdr:col>
      <xdr:colOff>0</xdr:colOff>
      <xdr:row>84</xdr:row>
      <xdr:rowOff>195613</xdr:rowOff>
    </xdr:to>
    <xdr:sp macro="" textlink="">
      <xdr:nvSpPr>
        <xdr:cNvPr id="326" name="Isosceles Triangle 325">
          <a:extLst>
            <a:ext uri="{FF2B5EF4-FFF2-40B4-BE49-F238E27FC236}">
              <a16:creationId xmlns:a16="http://schemas.microsoft.com/office/drawing/2014/main" id="{42E2DD02-2589-4AF3-AE97-86101F23BA96}"/>
            </a:ext>
          </a:extLst>
        </xdr:cNvPr>
        <xdr:cNvSpPr/>
      </xdr:nvSpPr>
      <xdr:spPr>
        <a:xfrm>
          <a:off x="4076700" y="26148329"/>
          <a:ext cx="119634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81</xdr:row>
      <xdr:rowOff>126029</xdr:rowOff>
    </xdr:from>
    <xdr:to>
      <xdr:col>7</xdr:col>
      <xdr:colOff>0</xdr:colOff>
      <xdr:row>84</xdr:row>
      <xdr:rowOff>195613</xdr:rowOff>
    </xdr:to>
    <xdr:sp macro="" textlink="">
      <xdr:nvSpPr>
        <xdr:cNvPr id="327" name="Isosceles Triangle 326">
          <a:extLst>
            <a:ext uri="{FF2B5EF4-FFF2-40B4-BE49-F238E27FC236}">
              <a16:creationId xmlns:a16="http://schemas.microsoft.com/office/drawing/2014/main" id="{FDAE5ACF-D4F8-4543-89DA-BA5C7ABD7E66}"/>
            </a:ext>
          </a:extLst>
        </xdr:cNvPr>
        <xdr:cNvSpPr/>
      </xdr:nvSpPr>
      <xdr:spPr>
        <a:xfrm>
          <a:off x="6309360" y="26148329"/>
          <a:ext cx="11125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81</xdr:row>
      <xdr:rowOff>126029</xdr:rowOff>
    </xdr:from>
    <xdr:to>
      <xdr:col>9</xdr:col>
      <xdr:colOff>0</xdr:colOff>
      <xdr:row>84</xdr:row>
      <xdr:rowOff>195613</xdr:rowOff>
    </xdr:to>
    <xdr:sp macro="" textlink="">
      <xdr:nvSpPr>
        <xdr:cNvPr id="328" name="Isosceles Triangle 327">
          <a:extLst>
            <a:ext uri="{FF2B5EF4-FFF2-40B4-BE49-F238E27FC236}">
              <a16:creationId xmlns:a16="http://schemas.microsoft.com/office/drawing/2014/main" id="{EBEEB277-B21D-43AE-B50A-4B9E94C2773C}"/>
            </a:ext>
          </a:extLst>
        </xdr:cNvPr>
        <xdr:cNvSpPr/>
      </xdr:nvSpPr>
      <xdr:spPr>
        <a:xfrm>
          <a:off x="8298180" y="26148329"/>
          <a:ext cx="127254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81</xdr:row>
      <xdr:rowOff>126029</xdr:rowOff>
    </xdr:from>
    <xdr:to>
      <xdr:col>11</xdr:col>
      <xdr:colOff>0</xdr:colOff>
      <xdr:row>84</xdr:row>
      <xdr:rowOff>195613</xdr:rowOff>
    </xdr:to>
    <xdr:sp macro="" textlink="">
      <xdr:nvSpPr>
        <xdr:cNvPr id="329" name="Isosceles Triangle 328">
          <a:extLst>
            <a:ext uri="{FF2B5EF4-FFF2-40B4-BE49-F238E27FC236}">
              <a16:creationId xmlns:a16="http://schemas.microsoft.com/office/drawing/2014/main" id="{A7CB5553-1B47-4994-80CF-15869A2F3E2E}"/>
            </a:ext>
          </a:extLst>
        </xdr:cNvPr>
        <xdr:cNvSpPr/>
      </xdr:nvSpPr>
      <xdr:spPr>
        <a:xfrm>
          <a:off x="10195560" y="26148329"/>
          <a:ext cx="94488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81</xdr:row>
      <xdr:rowOff>126029</xdr:rowOff>
    </xdr:from>
    <xdr:to>
      <xdr:col>13</xdr:col>
      <xdr:colOff>0</xdr:colOff>
      <xdr:row>84</xdr:row>
      <xdr:rowOff>195613</xdr:rowOff>
    </xdr:to>
    <xdr:sp macro="" textlink="">
      <xdr:nvSpPr>
        <xdr:cNvPr id="330" name="Isosceles Triangle 329">
          <a:extLst>
            <a:ext uri="{FF2B5EF4-FFF2-40B4-BE49-F238E27FC236}">
              <a16:creationId xmlns:a16="http://schemas.microsoft.com/office/drawing/2014/main" id="{A960054D-41C5-4F06-980E-D20B6CDBABBB}"/>
            </a:ext>
          </a:extLst>
        </xdr:cNvPr>
        <xdr:cNvSpPr/>
      </xdr:nvSpPr>
      <xdr:spPr>
        <a:xfrm>
          <a:off x="11765280" y="26148329"/>
          <a:ext cx="10134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81</xdr:row>
      <xdr:rowOff>126029</xdr:rowOff>
    </xdr:from>
    <xdr:to>
      <xdr:col>17</xdr:col>
      <xdr:colOff>0</xdr:colOff>
      <xdr:row>84</xdr:row>
      <xdr:rowOff>195613</xdr:rowOff>
    </xdr:to>
    <xdr:sp macro="" textlink="">
      <xdr:nvSpPr>
        <xdr:cNvPr id="331" name="Isosceles Triangle 330">
          <a:extLst>
            <a:ext uri="{FF2B5EF4-FFF2-40B4-BE49-F238E27FC236}">
              <a16:creationId xmlns:a16="http://schemas.microsoft.com/office/drawing/2014/main" id="{A1BA0F56-03DD-4A41-BD24-74D5293A820C}"/>
            </a:ext>
          </a:extLst>
        </xdr:cNvPr>
        <xdr:cNvSpPr/>
      </xdr:nvSpPr>
      <xdr:spPr>
        <a:xfrm>
          <a:off x="15240000" y="26148329"/>
          <a:ext cx="114300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81</xdr:row>
      <xdr:rowOff>126029</xdr:rowOff>
    </xdr:from>
    <xdr:to>
      <xdr:col>19</xdr:col>
      <xdr:colOff>0</xdr:colOff>
      <xdr:row>84</xdr:row>
      <xdr:rowOff>195613</xdr:rowOff>
    </xdr:to>
    <xdr:sp macro="" textlink="">
      <xdr:nvSpPr>
        <xdr:cNvPr id="332" name="Isosceles Triangle 331">
          <a:extLst>
            <a:ext uri="{FF2B5EF4-FFF2-40B4-BE49-F238E27FC236}">
              <a16:creationId xmlns:a16="http://schemas.microsoft.com/office/drawing/2014/main" id="{89C72D49-16AD-4AA7-BEF7-3CAF11471EFB}"/>
            </a:ext>
          </a:extLst>
        </xdr:cNvPr>
        <xdr:cNvSpPr/>
      </xdr:nvSpPr>
      <xdr:spPr>
        <a:xfrm>
          <a:off x="17007840" y="26148329"/>
          <a:ext cx="9982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81</xdr:row>
      <xdr:rowOff>127000</xdr:rowOff>
    </xdr:from>
    <xdr:to>
      <xdr:col>15</xdr:col>
      <xdr:colOff>9072</xdr:colOff>
      <xdr:row>84</xdr:row>
      <xdr:rowOff>196584</xdr:rowOff>
    </xdr:to>
    <xdr:sp macro="" textlink="">
      <xdr:nvSpPr>
        <xdr:cNvPr id="333" name="Isosceles Triangle 332">
          <a:extLst>
            <a:ext uri="{FF2B5EF4-FFF2-40B4-BE49-F238E27FC236}">
              <a16:creationId xmlns:a16="http://schemas.microsoft.com/office/drawing/2014/main" id="{78FC105D-F931-4518-8A75-ABDEC252B02E}"/>
            </a:ext>
          </a:extLst>
        </xdr:cNvPr>
        <xdr:cNvSpPr/>
      </xdr:nvSpPr>
      <xdr:spPr>
        <a:xfrm>
          <a:off x="13555980" y="26149300"/>
          <a:ext cx="1053012"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81</xdr:row>
      <xdr:rowOff>126029</xdr:rowOff>
    </xdr:from>
    <xdr:to>
      <xdr:col>21</xdr:col>
      <xdr:colOff>0</xdr:colOff>
      <xdr:row>84</xdr:row>
      <xdr:rowOff>195613</xdr:rowOff>
    </xdr:to>
    <xdr:sp macro="" textlink="">
      <xdr:nvSpPr>
        <xdr:cNvPr id="334" name="Isosceles Triangle 333">
          <a:extLst>
            <a:ext uri="{FF2B5EF4-FFF2-40B4-BE49-F238E27FC236}">
              <a16:creationId xmlns:a16="http://schemas.microsoft.com/office/drawing/2014/main" id="{24577024-B69B-4840-BF14-89A3A62FBF69}"/>
            </a:ext>
          </a:extLst>
        </xdr:cNvPr>
        <xdr:cNvSpPr/>
      </xdr:nvSpPr>
      <xdr:spPr>
        <a:xfrm>
          <a:off x="18630900" y="26148329"/>
          <a:ext cx="10515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81</xdr:row>
      <xdr:rowOff>126029</xdr:rowOff>
    </xdr:from>
    <xdr:to>
      <xdr:col>23</xdr:col>
      <xdr:colOff>0</xdr:colOff>
      <xdr:row>84</xdr:row>
      <xdr:rowOff>195613</xdr:rowOff>
    </xdr:to>
    <xdr:sp macro="" textlink="">
      <xdr:nvSpPr>
        <xdr:cNvPr id="335" name="Isosceles Triangle 334">
          <a:extLst>
            <a:ext uri="{FF2B5EF4-FFF2-40B4-BE49-F238E27FC236}">
              <a16:creationId xmlns:a16="http://schemas.microsoft.com/office/drawing/2014/main" id="{71C3C9C2-3A37-434D-9A7C-BAE9A4A2D3BB}"/>
            </a:ext>
          </a:extLst>
        </xdr:cNvPr>
        <xdr:cNvSpPr/>
      </xdr:nvSpPr>
      <xdr:spPr>
        <a:xfrm>
          <a:off x="20589240" y="26148329"/>
          <a:ext cx="10134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0</xdr:col>
      <xdr:colOff>0</xdr:colOff>
      <xdr:row>81</xdr:row>
      <xdr:rowOff>126029</xdr:rowOff>
    </xdr:from>
    <xdr:to>
      <xdr:col>1</xdr:col>
      <xdr:colOff>0</xdr:colOff>
      <xdr:row>84</xdr:row>
      <xdr:rowOff>195613</xdr:rowOff>
    </xdr:to>
    <xdr:sp macro="" textlink="">
      <xdr:nvSpPr>
        <xdr:cNvPr id="336" name="Isosceles Triangle 335">
          <a:extLst>
            <a:ext uri="{FF2B5EF4-FFF2-40B4-BE49-F238E27FC236}">
              <a16:creationId xmlns:a16="http://schemas.microsoft.com/office/drawing/2014/main" id="{FAF5613A-6951-4A5D-B693-F257DBBE4969}"/>
            </a:ext>
          </a:extLst>
        </xdr:cNvPr>
        <xdr:cNvSpPr/>
      </xdr:nvSpPr>
      <xdr:spPr>
        <a:xfrm>
          <a:off x="0" y="26148329"/>
          <a:ext cx="12649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72</xdr:row>
      <xdr:rowOff>126029</xdr:rowOff>
    </xdr:from>
    <xdr:to>
      <xdr:col>3</xdr:col>
      <xdr:colOff>0</xdr:colOff>
      <xdr:row>75</xdr:row>
      <xdr:rowOff>195613</xdr:rowOff>
    </xdr:to>
    <xdr:sp macro="" textlink="">
      <xdr:nvSpPr>
        <xdr:cNvPr id="337" name="Isosceles Triangle 336">
          <a:extLst>
            <a:ext uri="{FF2B5EF4-FFF2-40B4-BE49-F238E27FC236}">
              <a16:creationId xmlns:a16="http://schemas.microsoft.com/office/drawing/2014/main" id="{BBE81BC6-D226-4EEB-97CE-669873B77487}"/>
            </a:ext>
          </a:extLst>
        </xdr:cNvPr>
        <xdr:cNvSpPr/>
      </xdr:nvSpPr>
      <xdr:spPr>
        <a:xfrm>
          <a:off x="2011680" y="22909829"/>
          <a:ext cx="102108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72</xdr:row>
      <xdr:rowOff>126029</xdr:rowOff>
    </xdr:from>
    <xdr:to>
      <xdr:col>5</xdr:col>
      <xdr:colOff>0</xdr:colOff>
      <xdr:row>75</xdr:row>
      <xdr:rowOff>195613</xdr:rowOff>
    </xdr:to>
    <xdr:sp macro="" textlink="">
      <xdr:nvSpPr>
        <xdr:cNvPr id="338" name="Isosceles Triangle 337">
          <a:extLst>
            <a:ext uri="{FF2B5EF4-FFF2-40B4-BE49-F238E27FC236}">
              <a16:creationId xmlns:a16="http://schemas.microsoft.com/office/drawing/2014/main" id="{280208C5-A917-4165-8351-FDB56493ACDC}"/>
            </a:ext>
          </a:extLst>
        </xdr:cNvPr>
        <xdr:cNvSpPr/>
      </xdr:nvSpPr>
      <xdr:spPr>
        <a:xfrm>
          <a:off x="4076700" y="22909829"/>
          <a:ext cx="119634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72</xdr:row>
      <xdr:rowOff>126029</xdr:rowOff>
    </xdr:from>
    <xdr:to>
      <xdr:col>7</xdr:col>
      <xdr:colOff>0</xdr:colOff>
      <xdr:row>75</xdr:row>
      <xdr:rowOff>195613</xdr:rowOff>
    </xdr:to>
    <xdr:sp macro="" textlink="">
      <xdr:nvSpPr>
        <xdr:cNvPr id="339" name="Isosceles Triangle 338">
          <a:extLst>
            <a:ext uri="{FF2B5EF4-FFF2-40B4-BE49-F238E27FC236}">
              <a16:creationId xmlns:a16="http://schemas.microsoft.com/office/drawing/2014/main" id="{20D2B821-B622-45DC-B0E2-3CF6484B7869}"/>
            </a:ext>
          </a:extLst>
        </xdr:cNvPr>
        <xdr:cNvSpPr/>
      </xdr:nvSpPr>
      <xdr:spPr>
        <a:xfrm>
          <a:off x="6309360" y="22909829"/>
          <a:ext cx="11125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72</xdr:row>
      <xdr:rowOff>126029</xdr:rowOff>
    </xdr:from>
    <xdr:to>
      <xdr:col>9</xdr:col>
      <xdr:colOff>0</xdr:colOff>
      <xdr:row>75</xdr:row>
      <xdr:rowOff>195613</xdr:rowOff>
    </xdr:to>
    <xdr:sp macro="" textlink="">
      <xdr:nvSpPr>
        <xdr:cNvPr id="340" name="Isosceles Triangle 339">
          <a:extLst>
            <a:ext uri="{FF2B5EF4-FFF2-40B4-BE49-F238E27FC236}">
              <a16:creationId xmlns:a16="http://schemas.microsoft.com/office/drawing/2014/main" id="{8B6FECD9-5F7D-4E1B-A410-8568C97247CC}"/>
            </a:ext>
          </a:extLst>
        </xdr:cNvPr>
        <xdr:cNvSpPr/>
      </xdr:nvSpPr>
      <xdr:spPr>
        <a:xfrm>
          <a:off x="8298180" y="22909829"/>
          <a:ext cx="127254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72</xdr:row>
      <xdr:rowOff>126029</xdr:rowOff>
    </xdr:from>
    <xdr:to>
      <xdr:col>11</xdr:col>
      <xdr:colOff>0</xdr:colOff>
      <xdr:row>75</xdr:row>
      <xdr:rowOff>195613</xdr:rowOff>
    </xdr:to>
    <xdr:sp macro="" textlink="">
      <xdr:nvSpPr>
        <xdr:cNvPr id="341" name="Isosceles Triangle 340">
          <a:extLst>
            <a:ext uri="{FF2B5EF4-FFF2-40B4-BE49-F238E27FC236}">
              <a16:creationId xmlns:a16="http://schemas.microsoft.com/office/drawing/2014/main" id="{B69A4384-24B3-4DB8-AECE-58BA45D18765}"/>
            </a:ext>
          </a:extLst>
        </xdr:cNvPr>
        <xdr:cNvSpPr/>
      </xdr:nvSpPr>
      <xdr:spPr>
        <a:xfrm>
          <a:off x="10195560" y="22909829"/>
          <a:ext cx="94488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72</xdr:row>
      <xdr:rowOff>126029</xdr:rowOff>
    </xdr:from>
    <xdr:to>
      <xdr:col>13</xdr:col>
      <xdr:colOff>0</xdr:colOff>
      <xdr:row>75</xdr:row>
      <xdr:rowOff>195613</xdr:rowOff>
    </xdr:to>
    <xdr:sp macro="" textlink="">
      <xdr:nvSpPr>
        <xdr:cNvPr id="342" name="Isosceles Triangle 341">
          <a:extLst>
            <a:ext uri="{FF2B5EF4-FFF2-40B4-BE49-F238E27FC236}">
              <a16:creationId xmlns:a16="http://schemas.microsoft.com/office/drawing/2014/main" id="{5FA8CF8A-3769-4920-9456-B5F07EF43B1A}"/>
            </a:ext>
          </a:extLst>
        </xdr:cNvPr>
        <xdr:cNvSpPr/>
      </xdr:nvSpPr>
      <xdr:spPr>
        <a:xfrm>
          <a:off x="11765280" y="22909829"/>
          <a:ext cx="10134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72</xdr:row>
      <xdr:rowOff>126029</xdr:rowOff>
    </xdr:from>
    <xdr:to>
      <xdr:col>17</xdr:col>
      <xdr:colOff>0</xdr:colOff>
      <xdr:row>75</xdr:row>
      <xdr:rowOff>195613</xdr:rowOff>
    </xdr:to>
    <xdr:sp macro="" textlink="">
      <xdr:nvSpPr>
        <xdr:cNvPr id="343" name="Isosceles Triangle 342">
          <a:extLst>
            <a:ext uri="{FF2B5EF4-FFF2-40B4-BE49-F238E27FC236}">
              <a16:creationId xmlns:a16="http://schemas.microsoft.com/office/drawing/2014/main" id="{956DAF75-B4FA-4696-B34B-325412154901}"/>
            </a:ext>
          </a:extLst>
        </xdr:cNvPr>
        <xdr:cNvSpPr/>
      </xdr:nvSpPr>
      <xdr:spPr>
        <a:xfrm>
          <a:off x="15240000" y="22909829"/>
          <a:ext cx="114300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72</xdr:row>
      <xdr:rowOff>126029</xdr:rowOff>
    </xdr:from>
    <xdr:to>
      <xdr:col>19</xdr:col>
      <xdr:colOff>0</xdr:colOff>
      <xdr:row>75</xdr:row>
      <xdr:rowOff>195613</xdr:rowOff>
    </xdr:to>
    <xdr:sp macro="" textlink="">
      <xdr:nvSpPr>
        <xdr:cNvPr id="344" name="Isosceles Triangle 343">
          <a:extLst>
            <a:ext uri="{FF2B5EF4-FFF2-40B4-BE49-F238E27FC236}">
              <a16:creationId xmlns:a16="http://schemas.microsoft.com/office/drawing/2014/main" id="{E6971BA0-0756-4EBD-B4A1-FD0C1CB391C1}"/>
            </a:ext>
          </a:extLst>
        </xdr:cNvPr>
        <xdr:cNvSpPr/>
      </xdr:nvSpPr>
      <xdr:spPr>
        <a:xfrm>
          <a:off x="17007840" y="22909829"/>
          <a:ext cx="9982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72</xdr:row>
      <xdr:rowOff>127000</xdr:rowOff>
    </xdr:from>
    <xdr:to>
      <xdr:col>15</xdr:col>
      <xdr:colOff>9072</xdr:colOff>
      <xdr:row>75</xdr:row>
      <xdr:rowOff>196584</xdr:rowOff>
    </xdr:to>
    <xdr:sp macro="" textlink="">
      <xdr:nvSpPr>
        <xdr:cNvPr id="345" name="Isosceles Triangle 344">
          <a:extLst>
            <a:ext uri="{FF2B5EF4-FFF2-40B4-BE49-F238E27FC236}">
              <a16:creationId xmlns:a16="http://schemas.microsoft.com/office/drawing/2014/main" id="{EFBD8C4A-5D19-4ADB-B023-CFE270C9246B}"/>
            </a:ext>
          </a:extLst>
        </xdr:cNvPr>
        <xdr:cNvSpPr/>
      </xdr:nvSpPr>
      <xdr:spPr>
        <a:xfrm>
          <a:off x="13555980" y="22910800"/>
          <a:ext cx="1053012"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72</xdr:row>
      <xdr:rowOff>126029</xdr:rowOff>
    </xdr:from>
    <xdr:to>
      <xdr:col>21</xdr:col>
      <xdr:colOff>0</xdr:colOff>
      <xdr:row>75</xdr:row>
      <xdr:rowOff>195613</xdr:rowOff>
    </xdr:to>
    <xdr:sp macro="" textlink="">
      <xdr:nvSpPr>
        <xdr:cNvPr id="346" name="Isosceles Triangle 345">
          <a:extLst>
            <a:ext uri="{FF2B5EF4-FFF2-40B4-BE49-F238E27FC236}">
              <a16:creationId xmlns:a16="http://schemas.microsoft.com/office/drawing/2014/main" id="{FF5627CD-357A-4F76-BE14-6DED10C603D5}"/>
            </a:ext>
          </a:extLst>
        </xdr:cNvPr>
        <xdr:cNvSpPr/>
      </xdr:nvSpPr>
      <xdr:spPr>
        <a:xfrm>
          <a:off x="18630900" y="22909829"/>
          <a:ext cx="10515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72</xdr:row>
      <xdr:rowOff>126029</xdr:rowOff>
    </xdr:from>
    <xdr:to>
      <xdr:col>23</xdr:col>
      <xdr:colOff>0</xdr:colOff>
      <xdr:row>75</xdr:row>
      <xdr:rowOff>195613</xdr:rowOff>
    </xdr:to>
    <xdr:sp macro="" textlink="">
      <xdr:nvSpPr>
        <xdr:cNvPr id="347" name="Isosceles Triangle 346">
          <a:extLst>
            <a:ext uri="{FF2B5EF4-FFF2-40B4-BE49-F238E27FC236}">
              <a16:creationId xmlns:a16="http://schemas.microsoft.com/office/drawing/2014/main" id="{9D50744E-8562-4764-9AED-C6A42C579D2A}"/>
            </a:ext>
          </a:extLst>
        </xdr:cNvPr>
        <xdr:cNvSpPr/>
      </xdr:nvSpPr>
      <xdr:spPr>
        <a:xfrm>
          <a:off x="20589240" y="22909829"/>
          <a:ext cx="10134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0</xdr:col>
      <xdr:colOff>0</xdr:colOff>
      <xdr:row>72</xdr:row>
      <xdr:rowOff>126029</xdr:rowOff>
    </xdr:from>
    <xdr:to>
      <xdr:col>1</xdr:col>
      <xdr:colOff>0</xdr:colOff>
      <xdr:row>75</xdr:row>
      <xdr:rowOff>195613</xdr:rowOff>
    </xdr:to>
    <xdr:sp macro="" textlink="">
      <xdr:nvSpPr>
        <xdr:cNvPr id="348" name="Isosceles Triangle 347">
          <a:extLst>
            <a:ext uri="{FF2B5EF4-FFF2-40B4-BE49-F238E27FC236}">
              <a16:creationId xmlns:a16="http://schemas.microsoft.com/office/drawing/2014/main" id="{7FF57C55-028D-449A-8B38-6ED8AE16A319}"/>
            </a:ext>
          </a:extLst>
        </xdr:cNvPr>
        <xdr:cNvSpPr/>
      </xdr:nvSpPr>
      <xdr:spPr>
        <a:xfrm>
          <a:off x="0" y="22909829"/>
          <a:ext cx="12649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62</xdr:row>
      <xdr:rowOff>126029</xdr:rowOff>
    </xdr:from>
    <xdr:to>
      <xdr:col>3</xdr:col>
      <xdr:colOff>0</xdr:colOff>
      <xdr:row>65</xdr:row>
      <xdr:rowOff>187993</xdr:rowOff>
    </xdr:to>
    <xdr:sp macro="" textlink="">
      <xdr:nvSpPr>
        <xdr:cNvPr id="349" name="Isosceles Triangle 348">
          <a:extLst>
            <a:ext uri="{FF2B5EF4-FFF2-40B4-BE49-F238E27FC236}">
              <a16:creationId xmlns:a16="http://schemas.microsoft.com/office/drawing/2014/main" id="{FFC9C6B2-B80B-4D3A-924E-30AF9C41458B}"/>
            </a:ext>
          </a:extLst>
        </xdr:cNvPr>
        <xdr:cNvSpPr/>
      </xdr:nvSpPr>
      <xdr:spPr>
        <a:xfrm>
          <a:off x="2011680" y="19496069"/>
          <a:ext cx="102108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62</xdr:row>
      <xdr:rowOff>126029</xdr:rowOff>
    </xdr:from>
    <xdr:to>
      <xdr:col>5</xdr:col>
      <xdr:colOff>0</xdr:colOff>
      <xdr:row>65</xdr:row>
      <xdr:rowOff>187993</xdr:rowOff>
    </xdr:to>
    <xdr:sp macro="" textlink="">
      <xdr:nvSpPr>
        <xdr:cNvPr id="350" name="Isosceles Triangle 349">
          <a:extLst>
            <a:ext uri="{FF2B5EF4-FFF2-40B4-BE49-F238E27FC236}">
              <a16:creationId xmlns:a16="http://schemas.microsoft.com/office/drawing/2014/main" id="{DDD9F0B6-2EA8-4AFE-ACCE-2FE8339FC9D5}"/>
            </a:ext>
          </a:extLst>
        </xdr:cNvPr>
        <xdr:cNvSpPr/>
      </xdr:nvSpPr>
      <xdr:spPr>
        <a:xfrm>
          <a:off x="4076700" y="19496069"/>
          <a:ext cx="119634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62</xdr:row>
      <xdr:rowOff>126029</xdr:rowOff>
    </xdr:from>
    <xdr:to>
      <xdr:col>7</xdr:col>
      <xdr:colOff>0</xdr:colOff>
      <xdr:row>65</xdr:row>
      <xdr:rowOff>187993</xdr:rowOff>
    </xdr:to>
    <xdr:sp macro="" textlink="">
      <xdr:nvSpPr>
        <xdr:cNvPr id="351" name="Isosceles Triangle 350">
          <a:extLst>
            <a:ext uri="{FF2B5EF4-FFF2-40B4-BE49-F238E27FC236}">
              <a16:creationId xmlns:a16="http://schemas.microsoft.com/office/drawing/2014/main" id="{F596C9D2-B140-432A-B13F-E16132C7E2E8}"/>
            </a:ext>
          </a:extLst>
        </xdr:cNvPr>
        <xdr:cNvSpPr/>
      </xdr:nvSpPr>
      <xdr:spPr>
        <a:xfrm>
          <a:off x="6309360" y="19496069"/>
          <a:ext cx="111252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62</xdr:row>
      <xdr:rowOff>126029</xdr:rowOff>
    </xdr:from>
    <xdr:to>
      <xdr:col>9</xdr:col>
      <xdr:colOff>0</xdr:colOff>
      <xdr:row>65</xdr:row>
      <xdr:rowOff>187993</xdr:rowOff>
    </xdr:to>
    <xdr:sp macro="" textlink="">
      <xdr:nvSpPr>
        <xdr:cNvPr id="352" name="Isosceles Triangle 351">
          <a:extLst>
            <a:ext uri="{FF2B5EF4-FFF2-40B4-BE49-F238E27FC236}">
              <a16:creationId xmlns:a16="http://schemas.microsoft.com/office/drawing/2014/main" id="{40DD00D4-7616-4CC7-B71D-EF08E41F3944}"/>
            </a:ext>
          </a:extLst>
        </xdr:cNvPr>
        <xdr:cNvSpPr/>
      </xdr:nvSpPr>
      <xdr:spPr>
        <a:xfrm>
          <a:off x="8298180" y="19496069"/>
          <a:ext cx="127254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62</xdr:row>
      <xdr:rowOff>126029</xdr:rowOff>
    </xdr:from>
    <xdr:to>
      <xdr:col>11</xdr:col>
      <xdr:colOff>0</xdr:colOff>
      <xdr:row>65</xdr:row>
      <xdr:rowOff>187993</xdr:rowOff>
    </xdr:to>
    <xdr:sp macro="" textlink="">
      <xdr:nvSpPr>
        <xdr:cNvPr id="353" name="Isosceles Triangle 352">
          <a:extLst>
            <a:ext uri="{FF2B5EF4-FFF2-40B4-BE49-F238E27FC236}">
              <a16:creationId xmlns:a16="http://schemas.microsoft.com/office/drawing/2014/main" id="{F6CFCF72-FD8C-4784-A0C2-B70943932316}"/>
            </a:ext>
          </a:extLst>
        </xdr:cNvPr>
        <xdr:cNvSpPr/>
      </xdr:nvSpPr>
      <xdr:spPr>
        <a:xfrm>
          <a:off x="10195560" y="19496069"/>
          <a:ext cx="94488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62</xdr:row>
      <xdr:rowOff>126029</xdr:rowOff>
    </xdr:from>
    <xdr:to>
      <xdr:col>13</xdr:col>
      <xdr:colOff>0</xdr:colOff>
      <xdr:row>65</xdr:row>
      <xdr:rowOff>187993</xdr:rowOff>
    </xdr:to>
    <xdr:sp macro="" textlink="">
      <xdr:nvSpPr>
        <xdr:cNvPr id="354" name="Isosceles Triangle 353">
          <a:extLst>
            <a:ext uri="{FF2B5EF4-FFF2-40B4-BE49-F238E27FC236}">
              <a16:creationId xmlns:a16="http://schemas.microsoft.com/office/drawing/2014/main" id="{20909E8A-D562-4EAB-B823-6E7D36747782}"/>
            </a:ext>
          </a:extLst>
        </xdr:cNvPr>
        <xdr:cNvSpPr/>
      </xdr:nvSpPr>
      <xdr:spPr>
        <a:xfrm>
          <a:off x="11765280" y="19496069"/>
          <a:ext cx="101346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62</xdr:row>
      <xdr:rowOff>126029</xdr:rowOff>
    </xdr:from>
    <xdr:to>
      <xdr:col>17</xdr:col>
      <xdr:colOff>0</xdr:colOff>
      <xdr:row>65</xdr:row>
      <xdr:rowOff>187993</xdr:rowOff>
    </xdr:to>
    <xdr:sp macro="" textlink="">
      <xdr:nvSpPr>
        <xdr:cNvPr id="355" name="Isosceles Triangle 354">
          <a:extLst>
            <a:ext uri="{FF2B5EF4-FFF2-40B4-BE49-F238E27FC236}">
              <a16:creationId xmlns:a16="http://schemas.microsoft.com/office/drawing/2014/main" id="{57056ADB-4B81-4442-BC74-290F1A9BDF95}"/>
            </a:ext>
          </a:extLst>
        </xdr:cNvPr>
        <xdr:cNvSpPr/>
      </xdr:nvSpPr>
      <xdr:spPr>
        <a:xfrm>
          <a:off x="15240000" y="19496069"/>
          <a:ext cx="114300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62</xdr:row>
      <xdr:rowOff>126029</xdr:rowOff>
    </xdr:from>
    <xdr:to>
      <xdr:col>19</xdr:col>
      <xdr:colOff>0</xdr:colOff>
      <xdr:row>65</xdr:row>
      <xdr:rowOff>187993</xdr:rowOff>
    </xdr:to>
    <xdr:sp macro="" textlink="">
      <xdr:nvSpPr>
        <xdr:cNvPr id="356" name="Isosceles Triangle 355">
          <a:extLst>
            <a:ext uri="{FF2B5EF4-FFF2-40B4-BE49-F238E27FC236}">
              <a16:creationId xmlns:a16="http://schemas.microsoft.com/office/drawing/2014/main" id="{F6C24397-51FB-4754-A9CF-E697AD78E8BB}"/>
            </a:ext>
          </a:extLst>
        </xdr:cNvPr>
        <xdr:cNvSpPr/>
      </xdr:nvSpPr>
      <xdr:spPr>
        <a:xfrm>
          <a:off x="17007840" y="19496069"/>
          <a:ext cx="99822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62</xdr:row>
      <xdr:rowOff>127000</xdr:rowOff>
    </xdr:from>
    <xdr:to>
      <xdr:col>15</xdr:col>
      <xdr:colOff>9072</xdr:colOff>
      <xdr:row>65</xdr:row>
      <xdr:rowOff>188964</xdr:rowOff>
    </xdr:to>
    <xdr:sp macro="" textlink="">
      <xdr:nvSpPr>
        <xdr:cNvPr id="357" name="Isosceles Triangle 356">
          <a:extLst>
            <a:ext uri="{FF2B5EF4-FFF2-40B4-BE49-F238E27FC236}">
              <a16:creationId xmlns:a16="http://schemas.microsoft.com/office/drawing/2014/main" id="{57E30CCE-6ED5-4A34-87C7-B0276B01432B}"/>
            </a:ext>
          </a:extLst>
        </xdr:cNvPr>
        <xdr:cNvSpPr/>
      </xdr:nvSpPr>
      <xdr:spPr>
        <a:xfrm>
          <a:off x="13555980" y="19497040"/>
          <a:ext cx="1053012"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62</xdr:row>
      <xdr:rowOff>126029</xdr:rowOff>
    </xdr:from>
    <xdr:to>
      <xdr:col>21</xdr:col>
      <xdr:colOff>0</xdr:colOff>
      <xdr:row>65</xdr:row>
      <xdr:rowOff>187993</xdr:rowOff>
    </xdr:to>
    <xdr:sp macro="" textlink="">
      <xdr:nvSpPr>
        <xdr:cNvPr id="358" name="Isosceles Triangle 357">
          <a:extLst>
            <a:ext uri="{FF2B5EF4-FFF2-40B4-BE49-F238E27FC236}">
              <a16:creationId xmlns:a16="http://schemas.microsoft.com/office/drawing/2014/main" id="{E76B86BE-D2EC-4C8F-87D5-B9862390C19F}"/>
            </a:ext>
          </a:extLst>
        </xdr:cNvPr>
        <xdr:cNvSpPr/>
      </xdr:nvSpPr>
      <xdr:spPr>
        <a:xfrm>
          <a:off x="18630900" y="19496069"/>
          <a:ext cx="105156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62</xdr:row>
      <xdr:rowOff>126029</xdr:rowOff>
    </xdr:from>
    <xdr:to>
      <xdr:col>23</xdr:col>
      <xdr:colOff>0</xdr:colOff>
      <xdr:row>65</xdr:row>
      <xdr:rowOff>187993</xdr:rowOff>
    </xdr:to>
    <xdr:sp macro="" textlink="">
      <xdr:nvSpPr>
        <xdr:cNvPr id="359" name="Isosceles Triangle 358">
          <a:extLst>
            <a:ext uri="{FF2B5EF4-FFF2-40B4-BE49-F238E27FC236}">
              <a16:creationId xmlns:a16="http://schemas.microsoft.com/office/drawing/2014/main" id="{C68F012E-CAD4-4E92-83E3-CCE57DE2BE12}"/>
            </a:ext>
          </a:extLst>
        </xdr:cNvPr>
        <xdr:cNvSpPr/>
      </xdr:nvSpPr>
      <xdr:spPr>
        <a:xfrm>
          <a:off x="20589240" y="19496069"/>
          <a:ext cx="101346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0</xdr:col>
      <xdr:colOff>0</xdr:colOff>
      <xdr:row>62</xdr:row>
      <xdr:rowOff>126029</xdr:rowOff>
    </xdr:from>
    <xdr:to>
      <xdr:col>1</xdr:col>
      <xdr:colOff>0</xdr:colOff>
      <xdr:row>65</xdr:row>
      <xdr:rowOff>187993</xdr:rowOff>
    </xdr:to>
    <xdr:sp macro="" textlink="">
      <xdr:nvSpPr>
        <xdr:cNvPr id="360" name="Isosceles Triangle 359">
          <a:extLst>
            <a:ext uri="{FF2B5EF4-FFF2-40B4-BE49-F238E27FC236}">
              <a16:creationId xmlns:a16="http://schemas.microsoft.com/office/drawing/2014/main" id="{18E89340-7E99-4F9E-A20E-37D4613717F6}"/>
            </a:ext>
          </a:extLst>
        </xdr:cNvPr>
        <xdr:cNvSpPr/>
      </xdr:nvSpPr>
      <xdr:spPr>
        <a:xfrm>
          <a:off x="0" y="19496069"/>
          <a:ext cx="126492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143</xdr:row>
      <xdr:rowOff>126029</xdr:rowOff>
    </xdr:from>
    <xdr:to>
      <xdr:col>3</xdr:col>
      <xdr:colOff>0</xdr:colOff>
      <xdr:row>146</xdr:row>
      <xdr:rowOff>180373</xdr:rowOff>
    </xdr:to>
    <xdr:sp macro="" textlink="">
      <xdr:nvSpPr>
        <xdr:cNvPr id="361" name="Isosceles Triangle 360">
          <a:extLst>
            <a:ext uri="{FF2B5EF4-FFF2-40B4-BE49-F238E27FC236}">
              <a16:creationId xmlns:a16="http://schemas.microsoft.com/office/drawing/2014/main" id="{A089D5CC-1AE3-4F9D-AE53-077C1D35806E}"/>
            </a:ext>
          </a:extLst>
        </xdr:cNvPr>
        <xdr:cNvSpPr/>
      </xdr:nvSpPr>
      <xdr:spPr>
        <a:xfrm>
          <a:off x="2011680" y="48939749"/>
          <a:ext cx="102108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143</xdr:row>
      <xdr:rowOff>126029</xdr:rowOff>
    </xdr:from>
    <xdr:to>
      <xdr:col>5</xdr:col>
      <xdr:colOff>0</xdr:colOff>
      <xdr:row>146</xdr:row>
      <xdr:rowOff>180373</xdr:rowOff>
    </xdr:to>
    <xdr:sp macro="" textlink="">
      <xdr:nvSpPr>
        <xdr:cNvPr id="362" name="Isosceles Triangle 361">
          <a:extLst>
            <a:ext uri="{FF2B5EF4-FFF2-40B4-BE49-F238E27FC236}">
              <a16:creationId xmlns:a16="http://schemas.microsoft.com/office/drawing/2014/main" id="{60DA7CC9-18E7-4811-945E-882E2F9EFBFC}"/>
            </a:ext>
          </a:extLst>
        </xdr:cNvPr>
        <xdr:cNvSpPr/>
      </xdr:nvSpPr>
      <xdr:spPr>
        <a:xfrm>
          <a:off x="4076700" y="48939749"/>
          <a:ext cx="119634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143</xdr:row>
      <xdr:rowOff>126029</xdr:rowOff>
    </xdr:from>
    <xdr:to>
      <xdr:col>7</xdr:col>
      <xdr:colOff>0</xdr:colOff>
      <xdr:row>146</xdr:row>
      <xdr:rowOff>180373</xdr:rowOff>
    </xdr:to>
    <xdr:sp macro="" textlink="">
      <xdr:nvSpPr>
        <xdr:cNvPr id="363" name="Isosceles Triangle 362">
          <a:extLst>
            <a:ext uri="{FF2B5EF4-FFF2-40B4-BE49-F238E27FC236}">
              <a16:creationId xmlns:a16="http://schemas.microsoft.com/office/drawing/2014/main" id="{90822936-5C7C-40E8-909C-C61EF9C7DE5B}"/>
            </a:ext>
          </a:extLst>
        </xdr:cNvPr>
        <xdr:cNvSpPr/>
      </xdr:nvSpPr>
      <xdr:spPr>
        <a:xfrm>
          <a:off x="6309360" y="48939749"/>
          <a:ext cx="111252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143</xdr:row>
      <xdr:rowOff>126029</xdr:rowOff>
    </xdr:from>
    <xdr:to>
      <xdr:col>9</xdr:col>
      <xdr:colOff>0</xdr:colOff>
      <xdr:row>146</xdr:row>
      <xdr:rowOff>180373</xdr:rowOff>
    </xdr:to>
    <xdr:sp macro="" textlink="">
      <xdr:nvSpPr>
        <xdr:cNvPr id="364" name="Isosceles Triangle 363">
          <a:extLst>
            <a:ext uri="{FF2B5EF4-FFF2-40B4-BE49-F238E27FC236}">
              <a16:creationId xmlns:a16="http://schemas.microsoft.com/office/drawing/2014/main" id="{09B053B9-4D4D-437B-8584-FFA47266CD61}"/>
            </a:ext>
          </a:extLst>
        </xdr:cNvPr>
        <xdr:cNvSpPr/>
      </xdr:nvSpPr>
      <xdr:spPr>
        <a:xfrm>
          <a:off x="8298180" y="48939749"/>
          <a:ext cx="127254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143</xdr:row>
      <xdr:rowOff>126029</xdr:rowOff>
    </xdr:from>
    <xdr:to>
      <xdr:col>11</xdr:col>
      <xdr:colOff>0</xdr:colOff>
      <xdr:row>146</xdr:row>
      <xdr:rowOff>180373</xdr:rowOff>
    </xdr:to>
    <xdr:sp macro="" textlink="">
      <xdr:nvSpPr>
        <xdr:cNvPr id="365" name="Isosceles Triangle 364">
          <a:extLst>
            <a:ext uri="{FF2B5EF4-FFF2-40B4-BE49-F238E27FC236}">
              <a16:creationId xmlns:a16="http://schemas.microsoft.com/office/drawing/2014/main" id="{C1EC2444-23F1-4F8E-8983-4065408B8C9C}"/>
            </a:ext>
          </a:extLst>
        </xdr:cNvPr>
        <xdr:cNvSpPr/>
      </xdr:nvSpPr>
      <xdr:spPr>
        <a:xfrm>
          <a:off x="10195560" y="48939749"/>
          <a:ext cx="94488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143</xdr:row>
      <xdr:rowOff>126029</xdr:rowOff>
    </xdr:from>
    <xdr:to>
      <xdr:col>13</xdr:col>
      <xdr:colOff>0</xdr:colOff>
      <xdr:row>146</xdr:row>
      <xdr:rowOff>180373</xdr:rowOff>
    </xdr:to>
    <xdr:sp macro="" textlink="">
      <xdr:nvSpPr>
        <xdr:cNvPr id="366" name="Isosceles Triangle 365">
          <a:extLst>
            <a:ext uri="{FF2B5EF4-FFF2-40B4-BE49-F238E27FC236}">
              <a16:creationId xmlns:a16="http://schemas.microsoft.com/office/drawing/2014/main" id="{5AAE2D09-0B29-486E-9394-3AFFAA9DD080}"/>
            </a:ext>
          </a:extLst>
        </xdr:cNvPr>
        <xdr:cNvSpPr/>
      </xdr:nvSpPr>
      <xdr:spPr>
        <a:xfrm>
          <a:off x="11765280" y="48939749"/>
          <a:ext cx="101346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143</xdr:row>
      <xdr:rowOff>126029</xdr:rowOff>
    </xdr:from>
    <xdr:to>
      <xdr:col>17</xdr:col>
      <xdr:colOff>0</xdr:colOff>
      <xdr:row>146</xdr:row>
      <xdr:rowOff>180373</xdr:rowOff>
    </xdr:to>
    <xdr:sp macro="" textlink="">
      <xdr:nvSpPr>
        <xdr:cNvPr id="367" name="Isosceles Triangle 366">
          <a:extLst>
            <a:ext uri="{FF2B5EF4-FFF2-40B4-BE49-F238E27FC236}">
              <a16:creationId xmlns:a16="http://schemas.microsoft.com/office/drawing/2014/main" id="{4957861A-2D3D-4E14-8BEE-AA1044BDFEE8}"/>
            </a:ext>
          </a:extLst>
        </xdr:cNvPr>
        <xdr:cNvSpPr/>
      </xdr:nvSpPr>
      <xdr:spPr>
        <a:xfrm>
          <a:off x="15240000" y="48939749"/>
          <a:ext cx="114300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143</xdr:row>
      <xdr:rowOff>126029</xdr:rowOff>
    </xdr:from>
    <xdr:to>
      <xdr:col>19</xdr:col>
      <xdr:colOff>0</xdr:colOff>
      <xdr:row>146</xdr:row>
      <xdr:rowOff>180373</xdr:rowOff>
    </xdr:to>
    <xdr:sp macro="" textlink="">
      <xdr:nvSpPr>
        <xdr:cNvPr id="368" name="Isosceles Triangle 367">
          <a:extLst>
            <a:ext uri="{FF2B5EF4-FFF2-40B4-BE49-F238E27FC236}">
              <a16:creationId xmlns:a16="http://schemas.microsoft.com/office/drawing/2014/main" id="{50DCAF92-F433-4099-B731-4D4720A77FBB}"/>
            </a:ext>
          </a:extLst>
        </xdr:cNvPr>
        <xdr:cNvSpPr/>
      </xdr:nvSpPr>
      <xdr:spPr>
        <a:xfrm>
          <a:off x="17007840" y="48939749"/>
          <a:ext cx="99822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143</xdr:row>
      <xdr:rowOff>127000</xdr:rowOff>
    </xdr:from>
    <xdr:to>
      <xdr:col>15</xdr:col>
      <xdr:colOff>9072</xdr:colOff>
      <xdr:row>146</xdr:row>
      <xdr:rowOff>181344</xdr:rowOff>
    </xdr:to>
    <xdr:sp macro="" textlink="">
      <xdr:nvSpPr>
        <xdr:cNvPr id="369" name="Isosceles Triangle 368">
          <a:extLst>
            <a:ext uri="{FF2B5EF4-FFF2-40B4-BE49-F238E27FC236}">
              <a16:creationId xmlns:a16="http://schemas.microsoft.com/office/drawing/2014/main" id="{AA13D35F-FA23-4943-9F67-A5D83F75BB35}"/>
            </a:ext>
          </a:extLst>
        </xdr:cNvPr>
        <xdr:cNvSpPr/>
      </xdr:nvSpPr>
      <xdr:spPr>
        <a:xfrm>
          <a:off x="13555980" y="48940720"/>
          <a:ext cx="1053012"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143</xdr:row>
      <xdr:rowOff>126029</xdr:rowOff>
    </xdr:from>
    <xdr:to>
      <xdr:col>21</xdr:col>
      <xdr:colOff>0</xdr:colOff>
      <xdr:row>146</xdr:row>
      <xdr:rowOff>180373</xdr:rowOff>
    </xdr:to>
    <xdr:sp macro="" textlink="">
      <xdr:nvSpPr>
        <xdr:cNvPr id="370" name="Isosceles Triangle 369">
          <a:extLst>
            <a:ext uri="{FF2B5EF4-FFF2-40B4-BE49-F238E27FC236}">
              <a16:creationId xmlns:a16="http://schemas.microsoft.com/office/drawing/2014/main" id="{13131151-28F4-46AA-8682-C291A456039C}"/>
            </a:ext>
          </a:extLst>
        </xdr:cNvPr>
        <xdr:cNvSpPr/>
      </xdr:nvSpPr>
      <xdr:spPr>
        <a:xfrm>
          <a:off x="18630900" y="48939749"/>
          <a:ext cx="105156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143</xdr:row>
      <xdr:rowOff>126029</xdr:rowOff>
    </xdr:from>
    <xdr:to>
      <xdr:col>23</xdr:col>
      <xdr:colOff>0</xdr:colOff>
      <xdr:row>146</xdr:row>
      <xdr:rowOff>180373</xdr:rowOff>
    </xdr:to>
    <xdr:sp macro="" textlink="">
      <xdr:nvSpPr>
        <xdr:cNvPr id="371" name="Isosceles Triangle 370">
          <a:extLst>
            <a:ext uri="{FF2B5EF4-FFF2-40B4-BE49-F238E27FC236}">
              <a16:creationId xmlns:a16="http://schemas.microsoft.com/office/drawing/2014/main" id="{2531A995-C0C9-4E3B-A9E4-098CDBC23DAC}"/>
            </a:ext>
          </a:extLst>
        </xdr:cNvPr>
        <xdr:cNvSpPr/>
      </xdr:nvSpPr>
      <xdr:spPr>
        <a:xfrm>
          <a:off x="20589240" y="48939749"/>
          <a:ext cx="101346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0</xdr:col>
      <xdr:colOff>0</xdr:colOff>
      <xdr:row>143</xdr:row>
      <xdr:rowOff>126029</xdr:rowOff>
    </xdr:from>
    <xdr:to>
      <xdr:col>1</xdr:col>
      <xdr:colOff>0</xdr:colOff>
      <xdr:row>146</xdr:row>
      <xdr:rowOff>180373</xdr:rowOff>
    </xdr:to>
    <xdr:sp macro="" textlink="">
      <xdr:nvSpPr>
        <xdr:cNvPr id="372" name="Isosceles Triangle 371">
          <a:extLst>
            <a:ext uri="{FF2B5EF4-FFF2-40B4-BE49-F238E27FC236}">
              <a16:creationId xmlns:a16="http://schemas.microsoft.com/office/drawing/2014/main" id="{7CD05B36-2F5B-4053-997E-ACE81B105E3E}"/>
            </a:ext>
          </a:extLst>
        </xdr:cNvPr>
        <xdr:cNvSpPr/>
      </xdr:nvSpPr>
      <xdr:spPr>
        <a:xfrm>
          <a:off x="0" y="48939749"/>
          <a:ext cx="126492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133</xdr:row>
      <xdr:rowOff>126029</xdr:rowOff>
    </xdr:from>
    <xdr:to>
      <xdr:col>3</xdr:col>
      <xdr:colOff>0</xdr:colOff>
      <xdr:row>136</xdr:row>
      <xdr:rowOff>195613</xdr:rowOff>
    </xdr:to>
    <xdr:sp macro="" textlink="">
      <xdr:nvSpPr>
        <xdr:cNvPr id="373" name="Isosceles Triangle 372">
          <a:extLst>
            <a:ext uri="{FF2B5EF4-FFF2-40B4-BE49-F238E27FC236}">
              <a16:creationId xmlns:a16="http://schemas.microsoft.com/office/drawing/2014/main" id="{03897B90-2127-4D01-AD20-DB3103D3D1E2}"/>
            </a:ext>
          </a:extLst>
        </xdr:cNvPr>
        <xdr:cNvSpPr/>
      </xdr:nvSpPr>
      <xdr:spPr>
        <a:xfrm>
          <a:off x="2011680" y="45289769"/>
          <a:ext cx="102108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133</xdr:row>
      <xdr:rowOff>126029</xdr:rowOff>
    </xdr:from>
    <xdr:to>
      <xdr:col>5</xdr:col>
      <xdr:colOff>0</xdr:colOff>
      <xdr:row>136</xdr:row>
      <xdr:rowOff>195613</xdr:rowOff>
    </xdr:to>
    <xdr:sp macro="" textlink="">
      <xdr:nvSpPr>
        <xdr:cNvPr id="374" name="Isosceles Triangle 373">
          <a:extLst>
            <a:ext uri="{FF2B5EF4-FFF2-40B4-BE49-F238E27FC236}">
              <a16:creationId xmlns:a16="http://schemas.microsoft.com/office/drawing/2014/main" id="{59AFD3B6-C398-47A8-94F8-F311A99319CA}"/>
            </a:ext>
          </a:extLst>
        </xdr:cNvPr>
        <xdr:cNvSpPr/>
      </xdr:nvSpPr>
      <xdr:spPr>
        <a:xfrm>
          <a:off x="4076700" y="45289769"/>
          <a:ext cx="119634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133</xdr:row>
      <xdr:rowOff>126029</xdr:rowOff>
    </xdr:from>
    <xdr:to>
      <xdr:col>7</xdr:col>
      <xdr:colOff>0</xdr:colOff>
      <xdr:row>136</xdr:row>
      <xdr:rowOff>195613</xdr:rowOff>
    </xdr:to>
    <xdr:sp macro="" textlink="">
      <xdr:nvSpPr>
        <xdr:cNvPr id="375" name="Isosceles Triangle 374">
          <a:extLst>
            <a:ext uri="{FF2B5EF4-FFF2-40B4-BE49-F238E27FC236}">
              <a16:creationId xmlns:a16="http://schemas.microsoft.com/office/drawing/2014/main" id="{78F7250E-4005-4960-B7BC-0CD7D0B0D62D}"/>
            </a:ext>
          </a:extLst>
        </xdr:cNvPr>
        <xdr:cNvSpPr/>
      </xdr:nvSpPr>
      <xdr:spPr>
        <a:xfrm>
          <a:off x="6309360" y="45289769"/>
          <a:ext cx="11125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133</xdr:row>
      <xdr:rowOff>126029</xdr:rowOff>
    </xdr:from>
    <xdr:to>
      <xdr:col>9</xdr:col>
      <xdr:colOff>0</xdr:colOff>
      <xdr:row>136</xdr:row>
      <xdr:rowOff>195613</xdr:rowOff>
    </xdr:to>
    <xdr:sp macro="" textlink="">
      <xdr:nvSpPr>
        <xdr:cNvPr id="376" name="Isosceles Triangle 375">
          <a:extLst>
            <a:ext uri="{FF2B5EF4-FFF2-40B4-BE49-F238E27FC236}">
              <a16:creationId xmlns:a16="http://schemas.microsoft.com/office/drawing/2014/main" id="{326C8EA2-77E4-4D81-B220-BBAE4889CD25}"/>
            </a:ext>
          </a:extLst>
        </xdr:cNvPr>
        <xdr:cNvSpPr/>
      </xdr:nvSpPr>
      <xdr:spPr>
        <a:xfrm>
          <a:off x="8298180" y="45289769"/>
          <a:ext cx="127254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133</xdr:row>
      <xdr:rowOff>126029</xdr:rowOff>
    </xdr:from>
    <xdr:to>
      <xdr:col>11</xdr:col>
      <xdr:colOff>0</xdr:colOff>
      <xdr:row>136</xdr:row>
      <xdr:rowOff>195613</xdr:rowOff>
    </xdr:to>
    <xdr:sp macro="" textlink="">
      <xdr:nvSpPr>
        <xdr:cNvPr id="377" name="Isosceles Triangle 376">
          <a:extLst>
            <a:ext uri="{FF2B5EF4-FFF2-40B4-BE49-F238E27FC236}">
              <a16:creationId xmlns:a16="http://schemas.microsoft.com/office/drawing/2014/main" id="{8B3A1792-D19E-43DB-8BC4-DB19F87A05C5}"/>
            </a:ext>
          </a:extLst>
        </xdr:cNvPr>
        <xdr:cNvSpPr/>
      </xdr:nvSpPr>
      <xdr:spPr>
        <a:xfrm>
          <a:off x="10195560" y="45289769"/>
          <a:ext cx="94488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133</xdr:row>
      <xdr:rowOff>126029</xdr:rowOff>
    </xdr:from>
    <xdr:to>
      <xdr:col>13</xdr:col>
      <xdr:colOff>0</xdr:colOff>
      <xdr:row>136</xdr:row>
      <xdr:rowOff>195613</xdr:rowOff>
    </xdr:to>
    <xdr:sp macro="" textlink="">
      <xdr:nvSpPr>
        <xdr:cNvPr id="378" name="Isosceles Triangle 377">
          <a:extLst>
            <a:ext uri="{FF2B5EF4-FFF2-40B4-BE49-F238E27FC236}">
              <a16:creationId xmlns:a16="http://schemas.microsoft.com/office/drawing/2014/main" id="{3A3BBB21-F248-4BE7-AD1A-DA2C3CF9242A}"/>
            </a:ext>
          </a:extLst>
        </xdr:cNvPr>
        <xdr:cNvSpPr/>
      </xdr:nvSpPr>
      <xdr:spPr>
        <a:xfrm>
          <a:off x="11765280" y="45289769"/>
          <a:ext cx="10134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133</xdr:row>
      <xdr:rowOff>126029</xdr:rowOff>
    </xdr:from>
    <xdr:to>
      <xdr:col>17</xdr:col>
      <xdr:colOff>0</xdr:colOff>
      <xdr:row>136</xdr:row>
      <xdr:rowOff>195613</xdr:rowOff>
    </xdr:to>
    <xdr:sp macro="" textlink="">
      <xdr:nvSpPr>
        <xdr:cNvPr id="379" name="Isosceles Triangle 378">
          <a:extLst>
            <a:ext uri="{FF2B5EF4-FFF2-40B4-BE49-F238E27FC236}">
              <a16:creationId xmlns:a16="http://schemas.microsoft.com/office/drawing/2014/main" id="{31841D58-7F04-4B81-9F9A-AB701C162C84}"/>
            </a:ext>
          </a:extLst>
        </xdr:cNvPr>
        <xdr:cNvSpPr/>
      </xdr:nvSpPr>
      <xdr:spPr>
        <a:xfrm>
          <a:off x="15240000" y="45289769"/>
          <a:ext cx="114300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133</xdr:row>
      <xdr:rowOff>126029</xdr:rowOff>
    </xdr:from>
    <xdr:to>
      <xdr:col>19</xdr:col>
      <xdr:colOff>0</xdr:colOff>
      <xdr:row>136</xdr:row>
      <xdr:rowOff>195613</xdr:rowOff>
    </xdr:to>
    <xdr:sp macro="" textlink="">
      <xdr:nvSpPr>
        <xdr:cNvPr id="380" name="Isosceles Triangle 379">
          <a:extLst>
            <a:ext uri="{FF2B5EF4-FFF2-40B4-BE49-F238E27FC236}">
              <a16:creationId xmlns:a16="http://schemas.microsoft.com/office/drawing/2014/main" id="{4242DA92-0CC7-4551-B33F-C024C3FA6269}"/>
            </a:ext>
          </a:extLst>
        </xdr:cNvPr>
        <xdr:cNvSpPr/>
      </xdr:nvSpPr>
      <xdr:spPr>
        <a:xfrm>
          <a:off x="17007840" y="45289769"/>
          <a:ext cx="9982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133</xdr:row>
      <xdr:rowOff>127000</xdr:rowOff>
    </xdr:from>
    <xdr:to>
      <xdr:col>15</xdr:col>
      <xdr:colOff>9072</xdr:colOff>
      <xdr:row>136</xdr:row>
      <xdr:rowOff>196584</xdr:rowOff>
    </xdr:to>
    <xdr:sp macro="" textlink="">
      <xdr:nvSpPr>
        <xdr:cNvPr id="381" name="Isosceles Triangle 380">
          <a:extLst>
            <a:ext uri="{FF2B5EF4-FFF2-40B4-BE49-F238E27FC236}">
              <a16:creationId xmlns:a16="http://schemas.microsoft.com/office/drawing/2014/main" id="{E1B81B69-8FC1-4A8B-AC6B-2A4DD945CD1A}"/>
            </a:ext>
          </a:extLst>
        </xdr:cNvPr>
        <xdr:cNvSpPr/>
      </xdr:nvSpPr>
      <xdr:spPr>
        <a:xfrm>
          <a:off x="13555980" y="45290740"/>
          <a:ext cx="1053012"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133</xdr:row>
      <xdr:rowOff>126029</xdr:rowOff>
    </xdr:from>
    <xdr:to>
      <xdr:col>21</xdr:col>
      <xdr:colOff>0</xdr:colOff>
      <xdr:row>136</xdr:row>
      <xdr:rowOff>195613</xdr:rowOff>
    </xdr:to>
    <xdr:sp macro="" textlink="">
      <xdr:nvSpPr>
        <xdr:cNvPr id="382" name="Isosceles Triangle 381">
          <a:extLst>
            <a:ext uri="{FF2B5EF4-FFF2-40B4-BE49-F238E27FC236}">
              <a16:creationId xmlns:a16="http://schemas.microsoft.com/office/drawing/2014/main" id="{7804CB36-8E39-46C7-B939-7219393FD5DE}"/>
            </a:ext>
          </a:extLst>
        </xdr:cNvPr>
        <xdr:cNvSpPr/>
      </xdr:nvSpPr>
      <xdr:spPr>
        <a:xfrm>
          <a:off x="18630900" y="45289769"/>
          <a:ext cx="10515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133</xdr:row>
      <xdr:rowOff>126029</xdr:rowOff>
    </xdr:from>
    <xdr:to>
      <xdr:col>23</xdr:col>
      <xdr:colOff>0</xdr:colOff>
      <xdr:row>136</xdr:row>
      <xdr:rowOff>195613</xdr:rowOff>
    </xdr:to>
    <xdr:sp macro="" textlink="">
      <xdr:nvSpPr>
        <xdr:cNvPr id="383" name="Isosceles Triangle 382">
          <a:extLst>
            <a:ext uri="{FF2B5EF4-FFF2-40B4-BE49-F238E27FC236}">
              <a16:creationId xmlns:a16="http://schemas.microsoft.com/office/drawing/2014/main" id="{BB98DAD9-2EDC-4EBD-8F00-E9DA5F104A51}"/>
            </a:ext>
          </a:extLst>
        </xdr:cNvPr>
        <xdr:cNvSpPr/>
      </xdr:nvSpPr>
      <xdr:spPr>
        <a:xfrm>
          <a:off x="20589240" y="45289769"/>
          <a:ext cx="10134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0</xdr:col>
      <xdr:colOff>0</xdr:colOff>
      <xdr:row>133</xdr:row>
      <xdr:rowOff>126029</xdr:rowOff>
    </xdr:from>
    <xdr:to>
      <xdr:col>1</xdr:col>
      <xdr:colOff>0</xdr:colOff>
      <xdr:row>136</xdr:row>
      <xdr:rowOff>195613</xdr:rowOff>
    </xdr:to>
    <xdr:sp macro="" textlink="">
      <xdr:nvSpPr>
        <xdr:cNvPr id="384" name="Isosceles Triangle 383">
          <a:extLst>
            <a:ext uri="{FF2B5EF4-FFF2-40B4-BE49-F238E27FC236}">
              <a16:creationId xmlns:a16="http://schemas.microsoft.com/office/drawing/2014/main" id="{5A023D83-DA84-4E0C-AD66-699C4785E841}"/>
            </a:ext>
          </a:extLst>
        </xdr:cNvPr>
        <xdr:cNvSpPr/>
      </xdr:nvSpPr>
      <xdr:spPr>
        <a:xfrm>
          <a:off x="0" y="45289769"/>
          <a:ext cx="12649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124</xdr:row>
      <xdr:rowOff>126029</xdr:rowOff>
    </xdr:from>
    <xdr:to>
      <xdr:col>3</xdr:col>
      <xdr:colOff>0</xdr:colOff>
      <xdr:row>127</xdr:row>
      <xdr:rowOff>165133</xdr:rowOff>
    </xdr:to>
    <xdr:sp macro="" textlink="">
      <xdr:nvSpPr>
        <xdr:cNvPr id="385" name="Isosceles Triangle 384">
          <a:extLst>
            <a:ext uri="{FF2B5EF4-FFF2-40B4-BE49-F238E27FC236}">
              <a16:creationId xmlns:a16="http://schemas.microsoft.com/office/drawing/2014/main" id="{473BC555-DA21-4AA7-82DE-A3E149DADD82}"/>
            </a:ext>
          </a:extLst>
        </xdr:cNvPr>
        <xdr:cNvSpPr/>
      </xdr:nvSpPr>
      <xdr:spPr>
        <a:xfrm>
          <a:off x="2011680" y="42028409"/>
          <a:ext cx="102108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124</xdr:row>
      <xdr:rowOff>126029</xdr:rowOff>
    </xdr:from>
    <xdr:to>
      <xdr:col>5</xdr:col>
      <xdr:colOff>0</xdr:colOff>
      <xdr:row>127</xdr:row>
      <xdr:rowOff>165133</xdr:rowOff>
    </xdr:to>
    <xdr:sp macro="" textlink="">
      <xdr:nvSpPr>
        <xdr:cNvPr id="386" name="Isosceles Triangle 385">
          <a:extLst>
            <a:ext uri="{FF2B5EF4-FFF2-40B4-BE49-F238E27FC236}">
              <a16:creationId xmlns:a16="http://schemas.microsoft.com/office/drawing/2014/main" id="{A50AE713-99E3-4D0E-9F83-E316360EEB03}"/>
            </a:ext>
          </a:extLst>
        </xdr:cNvPr>
        <xdr:cNvSpPr/>
      </xdr:nvSpPr>
      <xdr:spPr>
        <a:xfrm>
          <a:off x="4076700" y="42028409"/>
          <a:ext cx="119634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124</xdr:row>
      <xdr:rowOff>126029</xdr:rowOff>
    </xdr:from>
    <xdr:to>
      <xdr:col>7</xdr:col>
      <xdr:colOff>0</xdr:colOff>
      <xdr:row>127</xdr:row>
      <xdr:rowOff>165133</xdr:rowOff>
    </xdr:to>
    <xdr:sp macro="" textlink="">
      <xdr:nvSpPr>
        <xdr:cNvPr id="387" name="Isosceles Triangle 386">
          <a:extLst>
            <a:ext uri="{FF2B5EF4-FFF2-40B4-BE49-F238E27FC236}">
              <a16:creationId xmlns:a16="http://schemas.microsoft.com/office/drawing/2014/main" id="{D59B380C-EC37-4353-A292-4B605F7D7591}"/>
            </a:ext>
          </a:extLst>
        </xdr:cNvPr>
        <xdr:cNvSpPr/>
      </xdr:nvSpPr>
      <xdr:spPr>
        <a:xfrm>
          <a:off x="6309360" y="42028409"/>
          <a:ext cx="111252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124</xdr:row>
      <xdr:rowOff>126029</xdr:rowOff>
    </xdr:from>
    <xdr:to>
      <xdr:col>9</xdr:col>
      <xdr:colOff>0</xdr:colOff>
      <xdr:row>127</xdr:row>
      <xdr:rowOff>165133</xdr:rowOff>
    </xdr:to>
    <xdr:sp macro="" textlink="">
      <xdr:nvSpPr>
        <xdr:cNvPr id="388" name="Isosceles Triangle 387">
          <a:extLst>
            <a:ext uri="{FF2B5EF4-FFF2-40B4-BE49-F238E27FC236}">
              <a16:creationId xmlns:a16="http://schemas.microsoft.com/office/drawing/2014/main" id="{3F3D9496-2066-4481-A458-C24FF39AF399}"/>
            </a:ext>
          </a:extLst>
        </xdr:cNvPr>
        <xdr:cNvSpPr/>
      </xdr:nvSpPr>
      <xdr:spPr>
        <a:xfrm>
          <a:off x="8298180" y="42028409"/>
          <a:ext cx="127254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124</xdr:row>
      <xdr:rowOff>126029</xdr:rowOff>
    </xdr:from>
    <xdr:to>
      <xdr:col>11</xdr:col>
      <xdr:colOff>0</xdr:colOff>
      <xdr:row>127</xdr:row>
      <xdr:rowOff>165133</xdr:rowOff>
    </xdr:to>
    <xdr:sp macro="" textlink="">
      <xdr:nvSpPr>
        <xdr:cNvPr id="389" name="Isosceles Triangle 388">
          <a:extLst>
            <a:ext uri="{FF2B5EF4-FFF2-40B4-BE49-F238E27FC236}">
              <a16:creationId xmlns:a16="http://schemas.microsoft.com/office/drawing/2014/main" id="{6B3BE4DF-D8DA-4DD3-9AF5-1527AAA639CF}"/>
            </a:ext>
          </a:extLst>
        </xdr:cNvPr>
        <xdr:cNvSpPr/>
      </xdr:nvSpPr>
      <xdr:spPr>
        <a:xfrm>
          <a:off x="10195560" y="42028409"/>
          <a:ext cx="94488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21167</xdr:colOff>
      <xdr:row>124</xdr:row>
      <xdr:rowOff>147196</xdr:rowOff>
    </xdr:from>
    <xdr:to>
      <xdr:col>13</xdr:col>
      <xdr:colOff>21167</xdr:colOff>
      <xdr:row>128</xdr:row>
      <xdr:rowOff>15697</xdr:rowOff>
    </xdr:to>
    <xdr:sp macro="" textlink="">
      <xdr:nvSpPr>
        <xdr:cNvPr id="390" name="Isosceles Triangle 389">
          <a:extLst>
            <a:ext uri="{FF2B5EF4-FFF2-40B4-BE49-F238E27FC236}">
              <a16:creationId xmlns:a16="http://schemas.microsoft.com/office/drawing/2014/main" id="{A77799B6-8AA9-40D4-A28E-6E8C46A9E376}"/>
            </a:ext>
          </a:extLst>
        </xdr:cNvPr>
        <xdr:cNvSpPr/>
      </xdr:nvSpPr>
      <xdr:spPr>
        <a:xfrm>
          <a:off x="11786447" y="42049576"/>
          <a:ext cx="1013460" cy="1133421"/>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124</xdr:row>
      <xdr:rowOff>126029</xdr:rowOff>
    </xdr:from>
    <xdr:to>
      <xdr:col>17</xdr:col>
      <xdr:colOff>0</xdr:colOff>
      <xdr:row>127</xdr:row>
      <xdr:rowOff>165133</xdr:rowOff>
    </xdr:to>
    <xdr:sp macro="" textlink="">
      <xdr:nvSpPr>
        <xdr:cNvPr id="391" name="Isosceles Triangle 390">
          <a:extLst>
            <a:ext uri="{FF2B5EF4-FFF2-40B4-BE49-F238E27FC236}">
              <a16:creationId xmlns:a16="http://schemas.microsoft.com/office/drawing/2014/main" id="{C5DA5893-2F71-40EC-91CB-41F833420874}"/>
            </a:ext>
          </a:extLst>
        </xdr:cNvPr>
        <xdr:cNvSpPr/>
      </xdr:nvSpPr>
      <xdr:spPr>
        <a:xfrm>
          <a:off x="15240000" y="42028409"/>
          <a:ext cx="114300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124</xdr:row>
      <xdr:rowOff>126029</xdr:rowOff>
    </xdr:from>
    <xdr:to>
      <xdr:col>19</xdr:col>
      <xdr:colOff>0</xdr:colOff>
      <xdr:row>127</xdr:row>
      <xdr:rowOff>165133</xdr:rowOff>
    </xdr:to>
    <xdr:sp macro="" textlink="">
      <xdr:nvSpPr>
        <xdr:cNvPr id="392" name="Isosceles Triangle 391">
          <a:extLst>
            <a:ext uri="{FF2B5EF4-FFF2-40B4-BE49-F238E27FC236}">
              <a16:creationId xmlns:a16="http://schemas.microsoft.com/office/drawing/2014/main" id="{9B5CDBE5-D1BD-4F79-9C43-46C27A087653}"/>
            </a:ext>
          </a:extLst>
        </xdr:cNvPr>
        <xdr:cNvSpPr/>
      </xdr:nvSpPr>
      <xdr:spPr>
        <a:xfrm>
          <a:off x="17007840" y="42028409"/>
          <a:ext cx="99822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124</xdr:row>
      <xdr:rowOff>127000</xdr:rowOff>
    </xdr:from>
    <xdr:to>
      <xdr:col>15</xdr:col>
      <xdr:colOff>9072</xdr:colOff>
      <xdr:row>127</xdr:row>
      <xdr:rowOff>166104</xdr:rowOff>
    </xdr:to>
    <xdr:sp macro="" textlink="">
      <xdr:nvSpPr>
        <xdr:cNvPr id="393" name="Isosceles Triangle 392">
          <a:extLst>
            <a:ext uri="{FF2B5EF4-FFF2-40B4-BE49-F238E27FC236}">
              <a16:creationId xmlns:a16="http://schemas.microsoft.com/office/drawing/2014/main" id="{345E32E8-723E-4007-96FC-B6986CC430E4}"/>
            </a:ext>
          </a:extLst>
        </xdr:cNvPr>
        <xdr:cNvSpPr/>
      </xdr:nvSpPr>
      <xdr:spPr>
        <a:xfrm>
          <a:off x="13555980" y="42029380"/>
          <a:ext cx="1053012"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124</xdr:row>
      <xdr:rowOff>126029</xdr:rowOff>
    </xdr:from>
    <xdr:to>
      <xdr:col>21</xdr:col>
      <xdr:colOff>0</xdr:colOff>
      <xdr:row>127</xdr:row>
      <xdr:rowOff>165133</xdr:rowOff>
    </xdr:to>
    <xdr:sp macro="" textlink="">
      <xdr:nvSpPr>
        <xdr:cNvPr id="394" name="Isosceles Triangle 393">
          <a:extLst>
            <a:ext uri="{FF2B5EF4-FFF2-40B4-BE49-F238E27FC236}">
              <a16:creationId xmlns:a16="http://schemas.microsoft.com/office/drawing/2014/main" id="{172A8B9F-B874-4CA5-9CF7-6614369D1D16}"/>
            </a:ext>
          </a:extLst>
        </xdr:cNvPr>
        <xdr:cNvSpPr/>
      </xdr:nvSpPr>
      <xdr:spPr>
        <a:xfrm>
          <a:off x="18630900" y="42028409"/>
          <a:ext cx="105156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124</xdr:row>
      <xdr:rowOff>126029</xdr:rowOff>
    </xdr:from>
    <xdr:to>
      <xdr:col>23</xdr:col>
      <xdr:colOff>0</xdr:colOff>
      <xdr:row>127</xdr:row>
      <xdr:rowOff>165133</xdr:rowOff>
    </xdr:to>
    <xdr:sp macro="" textlink="">
      <xdr:nvSpPr>
        <xdr:cNvPr id="395" name="Isosceles Triangle 394">
          <a:extLst>
            <a:ext uri="{FF2B5EF4-FFF2-40B4-BE49-F238E27FC236}">
              <a16:creationId xmlns:a16="http://schemas.microsoft.com/office/drawing/2014/main" id="{D28F358F-B5F1-41F7-9DA7-5A918A9C00E5}"/>
            </a:ext>
          </a:extLst>
        </xdr:cNvPr>
        <xdr:cNvSpPr/>
      </xdr:nvSpPr>
      <xdr:spPr>
        <a:xfrm>
          <a:off x="20589240" y="42028409"/>
          <a:ext cx="101346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0</xdr:col>
      <xdr:colOff>0</xdr:colOff>
      <xdr:row>124</xdr:row>
      <xdr:rowOff>126029</xdr:rowOff>
    </xdr:from>
    <xdr:to>
      <xdr:col>1</xdr:col>
      <xdr:colOff>0</xdr:colOff>
      <xdr:row>127</xdr:row>
      <xdr:rowOff>165133</xdr:rowOff>
    </xdr:to>
    <xdr:sp macro="" textlink="">
      <xdr:nvSpPr>
        <xdr:cNvPr id="396" name="Isosceles Triangle 395">
          <a:extLst>
            <a:ext uri="{FF2B5EF4-FFF2-40B4-BE49-F238E27FC236}">
              <a16:creationId xmlns:a16="http://schemas.microsoft.com/office/drawing/2014/main" id="{B834A094-635D-4E98-885E-A85C9BE388BE}"/>
            </a:ext>
          </a:extLst>
        </xdr:cNvPr>
        <xdr:cNvSpPr/>
      </xdr:nvSpPr>
      <xdr:spPr>
        <a:xfrm>
          <a:off x="0" y="42028409"/>
          <a:ext cx="126492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9</xdr:col>
      <xdr:colOff>0</xdr:colOff>
      <xdr:row>6</xdr:row>
      <xdr:rowOff>165719</xdr:rowOff>
    </xdr:from>
    <xdr:to>
      <xdr:col>10</xdr:col>
      <xdr:colOff>0</xdr:colOff>
      <xdr:row>10</xdr:row>
      <xdr:rowOff>2469</xdr:rowOff>
    </xdr:to>
    <xdr:sp macro="" textlink="">
      <xdr:nvSpPr>
        <xdr:cNvPr id="397" name="Isosceles Triangle 396">
          <a:extLst>
            <a:ext uri="{FF2B5EF4-FFF2-40B4-BE49-F238E27FC236}">
              <a16:creationId xmlns:a16="http://schemas.microsoft.com/office/drawing/2014/main" id="{D0AD51E0-0EC2-4A66-A7C3-D1CADBC32AE7}"/>
            </a:ext>
          </a:extLst>
        </xdr:cNvPr>
        <xdr:cNvSpPr/>
      </xdr:nvSpPr>
      <xdr:spPr>
        <a:xfrm>
          <a:off x="9570720" y="1735439"/>
          <a:ext cx="624840" cy="62923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9</xdr:col>
      <xdr:colOff>525276</xdr:colOff>
      <xdr:row>8</xdr:row>
      <xdr:rowOff>156882</xdr:rowOff>
    </xdr:from>
    <xdr:to>
      <xdr:col>12</xdr:col>
      <xdr:colOff>620059</xdr:colOff>
      <xdr:row>9</xdr:row>
      <xdr:rowOff>67703</xdr:rowOff>
    </xdr:to>
    <xdr:cxnSp macro="">
      <xdr:nvCxnSpPr>
        <xdr:cNvPr id="398" name="Straight Arrow Connector 397">
          <a:extLst>
            <a:ext uri="{FF2B5EF4-FFF2-40B4-BE49-F238E27FC236}">
              <a16:creationId xmlns:a16="http://schemas.microsoft.com/office/drawing/2014/main" id="{C1EFC51C-DE84-4090-9A84-AA12109BD34B}"/>
            </a:ext>
          </a:extLst>
        </xdr:cNvPr>
        <xdr:cNvCxnSpPr/>
      </xdr:nvCxnSpPr>
      <xdr:spPr>
        <a:xfrm flipV="1">
          <a:off x="10095996" y="2122842"/>
          <a:ext cx="2289343" cy="108941"/>
        </a:xfrm>
        <a:prstGeom prst="straightConnector1">
          <a:avLst/>
        </a:prstGeom>
        <a:ln w="9525">
          <a:solidFill>
            <a:sysClr val="windowText" lastClr="000000"/>
          </a:solidFill>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9</xdr:col>
      <xdr:colOff>560917</xdr:colOff>
      <xdr:row>11</xdr:row>
      <xdr:rowOff>31750</xdr:rowOff>
    </xdr:from>
    <xdr:to>
      <xdr:col>12</xdr:col>
      <xdr:colOff>857250</xdr:colOff>
      <xdr:row>11</xdr:row>
      <xdr:rowOff>42333</xdr:rowOff>
    </xdr:to>
    <xdr:cxnSp macro="">
      <xdr:nvCxnSpPr>
        <xdr:cNvPr id="399" name="Straight Arrow Connector 398">
          <a:extLst>
            <a:ext uri="{FF2B5EF4-FFF2-40B4-BE49-F238E27FC236}">
              <a16:creationId xmlns:a16="http://schemas.microsoft.com/office/drawing/2014/main" id="{F56DE293-63BE-4BF7-9C52-279DD9708224}"/>
            </a:ext>
          </a:extLst>
        </xdr:cNvPr>
        <xdr:cNvCxnSpPr/>
      </xdr:nvCxnSpPr>
      <xdr:spPr>
        <a:xfrm>
          <a:off x="10131637" y="2592070"/>
          <a:ext cx="2490893" cy="10583"/>
        </a:xfrm>
        <a:prstGeom prst="straightConnector1">
          <a:avLst/>
        </a:prstGeom>
        <a:ln w="9525">
          <a:solidFill>
            <a:sysClr val="windowText" lastClr="000000"/>
          </a:solidFill>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10</xdr:col>
      <xdr:colOff>116416</xdr:colOff>
      <xdr:row>13</xdr:row>
      <xdr:rowOff>42332</xdr:rowOff>
    </xdr:from>
    <xdr:to>
      <xdr:col>13</xdr:col>
      <xdr:colOff>63500</xdr:colOff>
      <xdr:row>13</xdr:row>
      <xdr:rowOff>50270</xdr:rowOff>
    </xdr:to>
    <xdr:cxnSp macro="">
      <xdr:nvCxnSpPr>
        <xdr:cNvPr id="400" name="Straight Arrow Connector 399">
          <a:extLst>
            <a:ext uri="{FF2B5EF4-FFF2-40B4-BE49-F238E27FC236}">
              <a16:creationId xmlns:a16="http://schemas.microsoft.com/office/drawing/2014/main" id="{E5EA2F92-5572-4B92-9725-9CFA0927554D}"/>
            </a:ext>
          </a:extLst>
        </xdr:cNvPr>
        <xdr:cNvCxnSpPr/>
      </xdr:nvCxnSpPr>
      <xdr:spPr>
        <a:xfrm flipV="1">
          <a:off x="10311976" y="2998892"/>
          <a:ext cx="2530264" cy="7938"/>
        </a:xfrm>
        <a:prstGeom prst="straightConnector1">
          <a:avLst/>
        </a:prstGeom>
        <a:ln w="9525">
          <a:solidFill>
            <a:sysClr val="windowText" lastClr="000000"/>
          </a:solidFill>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0</xdr:colOff>
      <xdr:row>6</xdr:row>
      <xdr:rowOff>165719</xdr:rowOff>
    </xdr:from>
    <xdr:to>
      <xdr:col>8</xdr:col>
      <xdr:colOff>0</xdr:colOff>
      <xdr:row>9</xdr:row>
      <xdr:rowOff>197203</xdr:rowOff>
    </xdr:to>
    <xdr:sp macro="" textlink="">
      <xdr:nvSpPr>
        <xdr:cNvPr id="401" name="Isosceles Triangle 400">
          <a:extLst>
            <a:ext uri="{FF2B5EF4-FFF2-40B4-BE49-F238E27FC236}">
              <a16:creationId xmlns:a16="http://schemas.microsoft.com/office/drawing/2014/main" id="{73760968-33E1-4EE4-8319-2610CFCAF8F8}"/>
            </a:ext>
          </a:extLst>
        </xdr:cNvPr>
        <xdr:cNvSpPr/>
      </xdr:nvSpPr>
      <xdr:spPr>
        <a:xfrm>
          <a:off x="7421880" y="1735439"/>
          <a:ext cx="876300" cy="625844"/>
        </a:xfrm>
        <a:prstGeom prst="triangle">
          <a:avLst/>
        </a:prstGeom>
        <a:solidFill>
          <a:srgbClr val="FFFF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455085</xdr:colOff>
      <xdr:row>7</xdr:row>
      <xdr:rowOff>169333</xdr:rowOff>
    </xdr:from>
    <xdr:to>
      <xdr:col>9</xdr:col>
      <xdr:colOff>264584</xdr:colOff>
      <xdr:row>9</xdr:row>
      <xdr:rowOff>2864</xdr:rowOff>
    </xdr:to>
    <xdr:sp macro="" textlink="">
      <xdr:nvSpPr>
        <xdr:cNvPr id="402" name="Freeform 60">
          <a:extLst>
            <a:ext uri="{FF2B5EF4-FFF2-40B4-BE49-F238E27FC236}">
              <a16:creationId xmlns:a16="http://schemas.microsoft.com/office/drawing/2014/main" id="{9A74A204-3A25-4911-9CDE-E18B6A0054CC}"/>
            </a:ext>
          </a:extLst>
        </xdr:cNvPr>
        <xdr:cNvSpPr>
          <a:spLocks/>
        </xdr:cNvSpPr>
      </xdr:nvSpPr>
      <xdr:spPr bwMode="auto">
        <a:xfrm>
          <a:off x="7876965" y="1937173"/>
          <a:ext cx="1958339" cy="229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headEnd/>
          <a:tailEnd/>
        </a:ln>
      </xdr:spPr>
    </xdr:sp>
    <xdr:clientData/>
  </xdr:twoCellAnchor>
  <xdr:twoCellAnchor>
    <xdr:from>
      <xdr:col>9</xdr:col>
      <xdr:colOff>370416</xdr:colOff>
      <xdr:row>4</xdr:row>
      <xdr:rowOff>190499</xdr:rowOff>
    </xdr:from>
    <xdr:to>
      <xdr:col>12</xdr:col>
      <xdr:colOff>836083</xdr:colOff>
      <xdr:row>6</xdr:row>
      <xdr:rowOff>148167</xdr:rowOff>
    </xdr:to>
    <xdr:cxnSp macro="">
      <xdr:nvCxnSpPr>
        <xdr:cNvPr id="403" name="Straight Arrow Connector 402">
          <a:extLst>
            <a:ext uri="{FF2B5EF4-FFF2-40B4-BE49-F238E27FC236}">
              <a16:creationId xmlns:a16="http://schemas.microsoft.com/office/drawing/2014/main" id="{0988D74C-6F6E-421D-ADE8-F7D0EE55E667}"/>
            </a:ext>
          </a:extLst>
        </xdr:cNvPr>
        <xdr:cNvCxnSpPr/>
      </xdr:nvCxnSpPr>
      <xdr:spPr>
        <a:xfrm flipV="1">
          <a:off x="9941136" y="1363979"/>
          <a:ext cx="2660227" cy="353908"/>
        </a:xfrm>
        <a:prstGeom prst="straightConnector1">
          <a:avLst/>
        </a:prstGeom>
        <a:ln w="9525">
          <a:solidFill>
            <a:sysClr val="windowText" lastClr="000000"/>
          </a:solidFill>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17</xdr:col>
      <xdr:colOff>584726</xdr:colOff>
      <xdr:row>0</xdr:row>
      <xdr:rowOff>214283</xdr:rowOff>
    </xdr:from>
    <xdr:to>
      <xdr:col>18</xdr:col>
      <xdr:colOff>228599</xdr:colOff>
      <xdr:row>5</xdr:row>
      <xdr:rowOff>63500</xdr:rowOff>
    </xdr:to>
    <xdr:sp macro="" textlink="">
      <xdr:nvSpPr>
        <xdr:cNvPr id="404" name="AutoShape 10734">
          <a:extLst>
            <a:ext uri="{FF2B5EF4-FFF2-40B4-BE49-F238E27FC236}">
              <a16:creationId xmlns:a16="http://schemas.microsoft.com/office/drawing/2014/main" id="{8623B212-C88D-4B7C-8CD3-3A6394F14626}"/>
            </a:ext>
          </a:extLst>
        </xdr:cNvPr>
        <xdr:cNvSpPr>
          <a:spLocks noChangeArrowheads="1"/>
        </xdr:cNvSpPr>
      </xdr:nvSpPr>
      <xdr:spPr bwMode="auto">
        <a:xfrm rot="5400000">
          <a:off x="16491674" y="690335"/>
          <a:ext cx="1220817" cy="268713"/>
        </a:xfrm>
        <a:prstGeom prst="rightArrow">
          <a:avLst>
            <a:gd name="adj1" fmla="val 50000"/>
            <a:gd name="adj2" fmla="val 140822"/>
          </a:avLst>
        </a:prstGeom>
        <a:solidFill>
          <a:srgbClr val="9999FF"/>
        </a:solidFill>
        <a:ln w="9525" algn="ctr">
          <a:solidFill>
            <a:srgbClr val="9999FF"/>
          </a:solidFill>
          <a:miter lim="800000"/>
          <a:headEnd/>
          <a:tailEnd/>
        </a:ln>
      </xdr:spPr>
    </xdr:sp>
    <xdr:clientData/>
  </xdr:twoCellAnchor>
  <xdr:twoCellAnchor>
    <xdr:from>
      <xdr:col>10</xdr:col>
      <xdr:colOff>15875</xdr:colOff>
      <xdr:row>11</xdr:row>
      <xdr:rowOff>174628</xdr:rowOff>
    </xdr:from>
    <xdr:to>
      <xdr:col>10</xdr:col>
      <xdr:colOff>150812</xdr:colOff>
      <xdr:row>13</xdr:row>
      <xdr:rowOff>79378</xdr:rowOff>
    </xdr:to>
    <xdr:sp macro="" textlink="">
      <xdr:nvSpPr>
        <xdr:cNvPr id="405" name="Bent Arrow 809">
          <a:extLst>
            <a:ext uri="{FF2B5EF4-FFF2-40B4-BE49-F238E27FC236}">
              <a16:creationId xmlns:a16="http://schemas.microsoft.com/office/drawing/2014/main" id="{6FEE9D6B-B092-4846-A111-5596892085C6}"/>
            </a:ext>
          </a:extLst>
        </xdr:cNvPr>
        <xdr:cNvSpPr/>
      </xdr:nvSpPr>
      <xdr:spPr>
        <a:xfrm rot="5400000">
          <a:off x="10128409" y="2817974"/>
          <a:ext cx="30099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8</xdr:col>
      <xdr:colOff>7938</xdr:colOff>
      <xdr:row>11</xdr:row>
      <xdr:rowOff>111127</xdr:rowOff>
    </xdr:from>
    <xdr:to>
      <xdr:col>8</xdr:col>
      <xdr:colOff>142875</xdr:colOff>
      <xdr:row>13</xdr:row>
      <xdr:rowOff>15877</xdr:rowOff>
    </xdr:to>
    <xdr:sp macro="" textlink="">
      <xdr:nvSpPr>
        <xdr:cNvPr id="406" name="Bent Arrow 809">
          <a:extLst>
            <a:ext uri="{FF2B5EF4-FFF2-40B4-BE49-F238E27FC236}">
              <a16:creationId xmlns:a16="http://schemas.microsoft.com/office/drawing/2014/main" id="{7F02FCDB-2B35-4FD1-93D3-FC0418563436}"/>
            </a:ext>
          </a:extLst>
        </xdr:cNvPr>
        <xdr:cNvSpPr/>
      </xdr:nvSpPr>
      <xdr:spPr>
        <a:xfrm rot="5400000">
          <a:off x="8223092" y="2754473"/>
          <a:ext cx="30099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oneCellAnchor>
    <xdr:from>
      <xdr:col>20</xdr:col>
      <xdr:colOff>582093</xdr:colOff>
      <xdr:row>2</xdr:row>
      <xdr:rowOff>215362</xdr:rowOff>
    </xdr:from>
    <xdr:ext cx="359824" cy="940961"/>
    <xdr:pic>
      <xdr:nvPicPr>
        <xdr:cNvPr id="407" name="Picture 1129" descr="LADDER">
          <a:extLst>
            <a:ext uri="{FF2B5EF4-FFF2-40B4-BE49-F238E27FC236}">
              <a16:creationId xmlns:a16="http://schemas.microsoft.com/office/drawing/2014/main" id="{79FA487F-9FCF-455A-A7E6-D7D7EB9101D3}"/>
            </a:ext>
          </a:extLst>
        </xdr:cNvPr>
        <xdr:cNvPicPr>
          <a:picLocks noChangeAspect="1" noChangeArrowheads="1"/>
        </xdr:cNvPicPr>
      </xdr:nvPicPr>
      <xdr:blipFill>
        <a:blip xmlns:r="http://schemas.openxmlformats.org/officeDocument/2006/relationships" r:embed="rId1" cstate="print">
          <a:duotone>
            <a:prstClr val="black"/>
            <a:srgbClr val="7030A0">
              <a:tint val="45000"/>
              <a:satMod val="400000"/>
            </a:srgbClr>
          </a:duotone>
        </a:blip>
        <a:srcRect/>
        <a:stretch>
          <a:fillRect/>
        </a:stretch>
      </xdr:blipFill>
      <xdr:spPr bwMode="auto">
        <a:xfrm>
          <a:off x="19212993" y="687802"/>
          <a:ext cx="359824" cy="940961"/>
        </a:xfrm>
        <a:prstGeom prst="rect">
          <a:avLst/>
        </a:prstGeom>
        <a:solidFill>
          <a:schemeClr val="accent2"/>
        </a:solidFill>
        <a:ln>
          <a:noFill/>
        </a:ln>
      </xdr:spPr>
    </xdr:pic>
    <xdr:clientData/>
  </xdr:oneCellAnchor>
  <xdr:twoCellAnchor>
    <xdr:from>
      <xdr:col>9</xdr:col>
      <xdr:colOff>246063</xdr:colOff>
      <xdr:row>8</xdr:row>
      <xdr:rowOff>69102</xdr:rowOff>
    </xdr:from>
    <xdr:to>
      <xdr:col>9</xdr:col>
      <xdr:colOff>381000</xdr:colOff>
      <xdr:row>8</xdr:row>
      <xdr:rowOff>195015</xdr:rowOff>
    </xdr:to>
    <xdr:sp macro="" textlink="">
      <xdr:nvSpPr>
        <xdr:cNvPr id="408" name="7-Point Star 651">
          <a:extLst>
            <a:ext uri="{FF2B5EF4-FFF2-40B4-BE49-F238E27FC236}">
              <a16:creationId xmlns:a16="http://schemas.microsoft.com/office/drawing/2014/main" id="{203C848C-8189-427F-A925-3C7CADB5300B}"/>
            </a:ext>
          </a:extLst>
        </xdr:cNvPr>
        <xdr:cNvSpPr/>
      </xdr:nvSpPr>
      <xdr:spPr>
        <a:xfrm>
          <a:off x="9816783" y="2035062"/>
          <a:ext cx="134937" cy="125913"/>
        </a:xfrm>
        <a:prstGeom prst="star7">
          <a:avLst/>
        </a:prstGeom>
        <a:solidFill>
          <a:srgbClr val="FFFF00"/>
        </a:solidFill>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US" sz="1100"/>
        </a:p>
      </xdr:txBody>
    </xdr:sp>
    <xdr:clientData/>
  </xdr:twoCellAnchor>
  <xdr:twoCellAnchor>
    <xdr:from>
      <xdr:col>9</xdr:col>
      <xdr:colOff>246063</xdr:colOff>
      <xdr:row>6</xdr:row>
      <xdr:rowOff>158751</xdr:rowOff>
    </xdr:from>
    <xdr:to>
      <xdr:col>13</xdr:col>
      <xdr:colOff>31750</xdr:colOff>
      <xdr:row>8</xdr:row>
      <xdr:rowOff>155795</xdr:rowOff>
    </xdr:to>
    <xdr:cxnSp macro="">
      <xdr:nvCxnSpPr>
        <xdr:cNvPr id="409" name="Straight Arrow Connector 408">
          <a:extLst>
            <a:ext uri="{FF2B5EF4-FFF2-40B4-BE49-F238E27FC236}">
              <a16:creationId xmlns:a16="http://schemas.microsoft.com/office/drawing/2014/main" id="{DC9EF602-BE5E-40EE-B395-3786DB5850EE}"/>
            </a:ext>
          </a:extLst>
        </xdr:cNvPr>
        <xdr:cNvCxnSpPr>
          <a:stCxn id="408" idx="4"/>
        </xdr:cNvCxnSpPr>
      </xdr:nvCxnSpPr>
      <xdr:spPr>
        <a:xfrm flipV="1">
          <a:off x="9816783" y="1728471"/>
          <a:ext cx="2993707" cy="393284"/>
        </a:xfrm>
        <a:prstGeom prst="straightConnector1">
          <a:avLst/>
        </a:prstGeom>
        <a:ln w="9525">
          <a:solidFill>
            <a:sysClr val="windowText" lastClr="000000"/>
          </a:solidFill>
          <a:tailEnd type="arrow"/>
        </a:ln>
      </xdr:spPr>
      <xdr:style>
        <a:lnRef idx="1">
          <a:schemeClr val="dk1"/>
        </a:lnRef>
        <a:fillRef idx="0">
          <a:schemeClr val="dk1"/>
        </a:fillRef>
        <a:effectRef idx="0">
          <a:schemeClr val="dk1"/>
        </a:effectRef>
        <a:fontRef idx="minor">
          <a:schemeClr val="tx1"/>
        </a:fontRef>
      </xdr:style>
    </xdr:cxnSp>
    <xdr:clientData/>
  </xdr:twoCellAnchor>
  <xdr:twoCellAnchor editAs="oneCell">
    <xdr:from>
      <xdr:col>3</xdr:col>
      <xdr:colOff>340650</xdr:colOff>
      <xdr:row>164</xdr:row>
      <xdr:rowOff>47626</xdr:rowOff>
    </xdr:from>
    <xdr:to>
      <xdr:col>3</xdr:col>
      <xdr:colOff>659131</xdr:colOff>
      <xdr:row>171</xdr:row>
      <xdr:rowOff>47004</xdr:rowOff>
    </xdr:to>
    <xdr:pic>
      <xdr:nvPicPr>
        <xdr:cNvPr id="410" name="Picture 409">
          <a:extLst>
            <a:ext uri="{FF2B5EF4-FFF2-40B4-BE49-F238E27FC236}">
              <a16:creationId xmlns:a16="http://schemas.microsoft.com/office/drawing/2014/main" id="{A1B494F9-CD28-4FE7-A72F-0B80D598CB82}"/>
            </a:ext>
          </a:extLst>
        </xdr:cNvPr>
        <xdr:cNvPicPr>
          <a:picLocks noChangeAspect="1"/>
        </xdr:cNvPicPr>
      </xdr:nvPicPr>
      <xdr:blipFill>
        <a:blip xmlns:r="http://schemas.openxmlformats.org/officeDocument/2006/relationships" r:embed="rId2"/>
        <a:stretch>
          <a:fillRect/>
        </a:stretch>
      </xdr:blipFill>
      <xdr:spPr>
        <a:xfrm>
          <a:off x="3373410" y="56275606"/>
          <a:ext cx="326101" cy="1066178"/>
        </a:xfrm>
        <a:prstGeom prst="rect">
          <a:avLst/>
        </a:prstGeom>
      </xdr:spPr>
    </xdr:pic>
    <xdr:clientData/>
  </xdr:twoCellAnchor>
  <xdr:twoCellAnchor editAs="oneCell">
    <xdr:from>
      <xdr:col>21</xdr:col>
      <xdr:colOff>7938</xdr:colOff>
      <xdr:row>176</xdr:row>
      <xdr:rowOff>0</xdr:rowOff>
    </xdr:from>
    <xdr:to>
      <xdr:col>21</xdr:col>
      <xdr:colOff>166448</xdr:colOff>
      <xdr:row>179</xdr:row>
      <xdr:rowOff>24967</xdr:rowOff>
    </xdr:to>
    <xdr:pic>
      <xdr:nvPicPr>
        <xdr:cNvPr id="411" name="Picture 410">
          <a:extLst>
            <a:ext uri="{FF2B5EF4-FFF2-40B4-BE49-F238E27FC236}">
              <a16:creationId xmlns:a16="http://schemas.microsoft.com/office/drawing/2014/main" id="{E0F3FFE2-C636-43CD-8362-A1A763242197}"/>
            </a:ext>
          </a:extLst>
        </xdr:cNvPr>
        <xdr:cNvPicPr>
          <a:picLocks noChangeAspect="1"/>
        </xdr:cNvPicPr>
      </xdr:nvPicPr>
      <xdr:blipFill>
        <a:blip xmlns:r="http://schemas.openxmlformats.org/officeDocument/2006/relationships" r:embed="rId3"/>
        <a:stretch>
          <a:fillRect/>
        </a:stretch>
      </xdr:blipFill>
      <xdr:spPr>
        <a:xfrm>
          <a:off x="19690398" y="60571380"/>
          <a:ext cx="158510" cy="413587"/>
        </a:xfrm>
        <a:prstGeom prst="rect">
          <a:avLst/>
        </a:prstGeom>
      </xdr:spPr>
    </xdr:pic>
    <xdr:clientData/>
  </xdr:twoCellAnchor>
  <xdr:twoCellAnchor editAs="oneCell">
    <xdr:from>
      <xdr:col>19</xdr:col>
      <xdr:colOff>23812</xdr:colOff>
      <xdr:row>176</xdr:row>
      <xdr:rowOff>0</xdr:rowOff>
    </xdr:from>
    <xdr:to>
      <xdr:col>19</xdr:col>
      <xdr:colOff>182322</xdr:colOff>
      <xdr:row>179</xdr:row>
      <xdr:rowOff>24967</xdr:rowOff>
    </xdr:to>
    <xdr:pic>
      <xdr:nvPicPr>
        <xdr:cNvPr id="412" name="Picture 411">
          <a:extLst>
            <a:ext uri="{FF2B5EF4-FFF2-40B4-BE49-F238E27FC236}">
              <a16:creationId xmlns:a16="http://schemas.microsoft.com/office/drawing/2014/main" id="{B7CDD973-1BDA-4F61-9241-9F8522F2FC3D}"/>
            </a:ext>
          </a:extLst>
        </xdr:cNvPr>
        <xdr:cNvPicPr>
          <a:picLocks noChangeAspect="1"/>
        </xdr:cNvPicPr>
      </xdr:nvPicPr>
      <xdr:blipFill>
        <a:blip xmlns:r="http://schemas.openxmlformats.org/officeDocument/2006/relationships" r:embed="rId3"/>
        <a:stretch>
          <a:fillRect/>
        </a:stretch>
      </xdr:blipFill>
      <xdr:spPr>
        <a:xfrm>
          <a:off x="18029872" y="60571380"/>
          <a:ext cx="158510" cy="413587"/>
        </a:xfrm>
        <a:prstGeom prst="rect">
          <a:avLst/>
        </a:prstGeom>
      </xdr:spPr>
    </xdr:pic>
    <xdr:clientData/>
  </xdr:twoCellAnchor>
  <xdr:twoCellAnchor editAs="oneCell">
    <xdr:from>
      <xdr:col>1</xdr:col>
      <xdr:colOff>0</xdr:colOff>
      <xdr:row>185</xdr:row>
      <xdr:rowOff>0</xdr:rowOff>
    </xdr:from>
    <xdr:to>
      <xdr:col>1</xdr:col>
      <xdr:colOff>158510</xdr:colOff>
      <xdr:row>187</xdr:row>
      <xdr:rowOff>245950</xdr:rowOff>
    </xdr:to>
    <xdr:pic>
      <xdr:nvPicPr>
        <xdr:cNvPr id="413" name="Picture 412">
          <a:extLst>
            <a:ext uri="{FF2B5EF4-FFF2-40B4-BE49-F238E27FC236}">
              <a16:creationId xmlns:a16="http://schemas.microsoft.com/office/drawing/2014/main" id="{A279947E-AEE0-44A8-9FA9-229DBF261D98}"/>
            </a:ext>
          </a:extLst>
        </xdr:cNvPr>
        <xdr:cNvPicPr>
          <a:picLocks noChangeAspect="1"/>
        </xdr:cNvPicPr>
      </xdr:nvPicPr>
      <xdr:blipFill>
        <a:blip xmlns:r="http://schemas.openxmlformats.org/officeDocument/2006/relationships" r:embed="rId3"/>
        <a:stretch>
          <a:fillRect/>
        </a:stretch>
      </xdr:blipFill>
      <xdr:spPr>
        <a:xfrm>
          <a:off x="1264920" y="63886080"/>
          <a:ext cx="158510" cy="413590"/>
        </a:xfrm>
        <a:prstGeom prst="rect">
          <a:avLst/>
        </a:prstGeom>
      </xdr:spPr>
    </xdr:pic>
    <xdr:clientData/>
  </xdr:twoCellAnchor>
  <xdr:twoCellAnchor editAs="oneCell">
    <xdr:from>
      <xdr:col>2</xdr:col>
      <xdr:colOff>857250</xdr:colOff>
      <xdr:row>185</xdr:row>
      <xdr:rowOff>0</xdr:rowOff>
    </xdr:from>
    <xdr:to>
      <xdr:col>3</xdr:col>
      <xdr:colOff>1559</xdr:colOff>
      <xdr:row>187</xdr:row>
      <xdr:rowOff>245950</xdr:rowOff>
    </xdr:to>
    <xdr:pic>
      <xdr:nvPicPr>
        <xdr:cNvPr id="414" name="Picture 413">
          <a:extLst>
            <a:ext uri="{FF2B5EF4-FFF2-40B4-BE49-F238E27FC236}">
              <a16:creationId xmlns:a16="http://schemas.microsoft.com/office/drawing/2014/main" id="{E6D02467-5864-4F1A-8FEC-BE5E06A9CAE5}"/>
            </a:ext>
          </a:extLst>
        </xdr:cNvPr>
        <xdr:cNvPicPr>
          <a:picLocks noChangeAspect="1"/>
        </xdr:cNvPicPr>
      </xdr:nvPicPr>
      <xdr:blipFill>
        <a:blip xmlns:r="http://schemas.openxmlformats.org/officeDocument/2006/relationships" r:embed="rId3"/>
        <a:stretch>
          <a:fillRect/>
        </a:stretch>
      </xdr:blipFill>
      <xdr:spPr>
        <a:xfrm>
          <a:off x="2868930" y="63886080"/>
          <a:ext cx="165389" cy="413590"/>
        </a:xfrm>
        <a:prstGeom prst="rect">
          <a:avLst/>
        </a:prstGeom>
      </xdr:spPr>
    </xdr:pic>
    <xdr:clientData/>
  </xdr:twoCellAnchor>
  <xdr:twoCellAnchor>
    <xdr:from>
      <xdr:col>13</xdr:col>
      <xdr:colOff>235771</xdr:colOff>
      <xdr:row>192</xdr:row>
      <xdr:rowOff>100064</xdr:rowOff>
    </xdr:from>
    <xdr:to>
      <xdr:col>13</xdr:col>
      <xdr:colOff>441272</xdr:colOff>
      <xdr:row>195</xdr:row>
      <xdr:rowOff>75340</xdr:rowOff>
    </xdr:to>
    <xdr:sp macro="" textlink="">
      <xdr:nvSpPr>
        <xdr:cNvPr id="415" name="AutoShape 10734">
          <a:extLst>
            <a:ext uri="{FF2B5EF4-FFF2-40B4-BE49-F238E27FC236}">
              <a16:creationId xmlns:a16="http://schemas.microsoft.com/office/drawing/2014/main" id="{F4F35091-3736-4050-9415-B38991052492}"/>
            </a:ext>
          </a:extLst>
        </xdr:cNvPr>
        <xdr:cNvSpPr>
          <a:spLocks noChangeArrowheads="1"/>
        </xdr:cNvSpPr>
      </xdr:nvSpPr>
      <xdr:spPr bwMode="auto">
        <a:xfrm rot="5400000">
          <a:off x="12565744" y="66858071"/>
          <a:ext cx="1103036" cy="205501"/>
        </a:xfrm>
        <a:prstGeom prst="rightArrow">
          <a:avLst>
            <a:gd name="adj1" fmla="val 50000"/>
            <a:gd name="adj2" fmla="val 140822"/>
          </a:avLst>
        </a:prstGeom>
        <a:solidFill>
          <a:srgbClr val="9999FF"/>
        </a:solidFill>
        <a:ln w="9525" algn="ctr">
          <a:solidFill>
            <a:srgbClr val="9999FF"/>
          </a:solidFill>
          <a:miter lim="800000"/>
          <a:headEnd/>
          <a:tailEnd/>
        </a:ln>
      </xdr:spPr>
    </xdr:sp>
    <xdr:clientData/>
  </xdr:twoCellAnchor>
  <xdr:twoCellAnchor>
    <xdr:from>
      <xdr:col>7</xdr:col>
      <xdr:colOff>7937</xdr:colOff>
      <xdr:row>203</xdr:row>
      <xdr:rowOff>0</xdr:rowOff>
    </xdr:from>
    <xdr:to>
      <xdr:col>7</xdr:col>
      <xdr:colOff>142874</xdr:colOff>
      <xdr:row>203</xdr:row>
      <xdr:rowOff>0</xdr:rowOff>
    </xdr:to>
    <xdr:sp macro="" textlink="">
      <xdr:nvSpPr>
        <xdr:cNvPr id="416" name="Bent Arrow 809">
          <a:extLst>
            <a:ext uri="{FF2B5EF4-FFF2-40B4-BE49-F238E27FC236}">
              <a16:creationId xmlns:a16="http://schemas.microsoft.com/office/drawing/2014/main" id="{D9E6BD91-12F8-4D62-932B-98BC94CC4D5B}"/>
            </a:ext>
          </a:extLst>
        </xdr:cNvPr>
        <xdr:cNvSpPr/>
      </xdr:nvSpPr>
      <xdr:spPr>
        <a:xfrm rot="5400000">
          <a:off x="7497286"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203</xdr:row>
      <xdr:rowOff>0</xdr:rowOff>
    </xdr:from>
    <xdr:to>
      <xdr:col>13</xdr:col>
      <xdr:colOff>134937</xdr:colOff>
      <xdr:row>203</xdr:row>
      <xdr:rowOff>0</xdr:rowOff>
    </xdr:to>
    <xdr:sp macro="" textlink="">
      <xdr:nvSpPr>
        <xdr:cNvPr id="417" name="Bent Arrow 809">
          <a:extLst>
            <a:ext uri="{FF2B5EF4-FFF2-40B4-BE49-F238E27FC236}">
              <a16:creationId xmlns:a16="http://schemas.microsoft.com/office/drawing/2014/main" id="{05A52E55-67E2-4D42-98EA-93001362B3D2}"/>
            </a:ext>
          </a:extLst>
        </xdr:cNvPr>
        <xdr:cNvSpPr/>
      </xdr:nvSpPr>
      <xdr:spPr>
        <a:xfrm rot="5400000">
          <a:off x="12846209"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203</xdr:row>
      <xdr:rowOff>0</xdr:rowOff>
    </xdr:from>
    <xdr:to>
      <xdr:col>21</xdr:col>
      <xdr:colOff>134937</xdr:colOff>
      <xdr:row>203</xdr:row>
      <xdr:rowOff>0</xdr:rowOff>
    </xdr:to>
    <xdr:sp macro="" textlink="">
      <xdr:nvSpPr>
        <xdr:cNvPr id="418" name="Bent Arrow 809">
          <a:extLst>
            <a:ext uri="{FF2B5EF4-FFF2-40B4-BE49-F238E27FC236}">
              <a16:creationId xmlns:a16="http://schemas.microsoft.com/office/drawing/2014/main" id="{985106CB-6D89-4618-9A11-8A95D6EBF489}"/>
            </a:ext>
          </a:extLst>
        </xdr:cNvPr>
        <xdr:cNvSpPr/>
      </xdr:nvSpPr>
      <xdr:spPr>
        <a:xfrm rot="5400000">
          <a:off x="19749929"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23813</xdr:colOff>
      <xdr:row>212</xdr:row>
      <xdr:rowOff>0</xdr:rowOff>
    </xdr:from>
    <xdr:to>
      <xdr:col>5</xdr:col>
      <xdr:colOff>158750</xdr:colOff>
      <xdr:row>212</xdr:row>
      <xdr:rowOff>111126</xdr:rowOff>
    </xdr:to>
    <xdr:sp macro="" textlink="">
      <xdr:nvSpPr>
        <xdr:cNvPr id="419" name="Bent Arrow 809">
          <a:extLst>
            <a:ext uri="{FF2B5EF4-FFF2-40B4-BE49-F238E27FC236}">
              <a16:creationId xmlns:a16="http://schemas.microsoft.com/office/drawing/2014/main" id="{F2598495-7DD9-4DF8-BF50-20C8F72406C0}"/>
            </a:ext>
          </a:extLst>
        </xdr:cNvPr>
        <xdr:cNvSpPr/>
      </xdr:nvSpPr>
      <xdr:spPr>
        <a:xfrm rot="5400000">
          <a:off x="5308759" y="73383934"/>
          <a:ext cx="111126"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23812</xdr:colOff>
      <xdr:row>212</xdr:row>
      <xdr:rowOff>0</xdr:rowOff>
    </xdr:from>
    <xdr:to>
      <xdr:col>3</xdr:col>
      <xdr:colOff>158749</xdr:colOff>
      <xdr:row>212</xdr:row>
      <xdr:rowOff>111126</xdr:rowOff>
    </xdr:to>
    <xdr:sp macro="" textlink="">
      <xdr:nvSpPr>
        <xdr:cNvPr id="420" name="Bent Arrow 809">
          <a:extLst>
            <a:ext uri="{FF2B5EF4-FFF2-40B4-BE49-F238E27FC236}">
              <a16:creationId xmlns:a16="http://schemas.microsoft.com/office/drawing/2014/main" id="{701A8A4E-8BC7-4CE4-9E20-71A2A8CBA13F}"/>
            </a:ext>
          </a:extLst>
        </xdr:cNvPr>
        <xdr:cNvSpPr/>
      </xdr:nvSpPr>
      <xdr:spPr>
        <a:xfrm rot="5400000">
          <a:off x="3068478" y="73383934"/>
          <a:ext cx="111126"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212</xdr:row>
      <xdr:rowOff>0</xdr:rowOff>
    </xdr:from>
    <xdr:to>
      <xdr:col>13</xdr:col>
      <xdr:colOff>134937</xdr:colOff>
      <xdr:row>212</xdr:row>
      <xdr:rowOff>0</xdr:rowOff>
    </xdr:to>
    <xdr:sp macro="" textlink="">
      <xdr:nvSpPr>
        <xdr:cNvPr id="421" name="Bent Arrow 809">
          <a:extLst>
            <a:ext uri="{FF2B5EF4-FFF2-40B4-BE49-F238E27FC236}">
              <a16:creationId xmlns:a16="http://schemas.microsoft.com/office/drawing/2014/main" id="{4D576DAF-8ADA-4286-B185-110819A7EE22}"/>
            </a:ext>
          </a:extLst>
        </xdr:cNvPr>
        <xdr:cNvSpPr/>
      </xdr:nvSpPr>
      <xdr:spPr>
        <a:xfrm rot="5400000">
          <a:off x="1284620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212</xdr:row>
      <xdr:rowOff>0</xdr:rowOff>
    </xdr:from>
    <xdr:to>
      <xdr:col>15</xdr:col>
      <xdr:colOff>134937</xdr:colOff>
      <xdr:row>212</xdr:row>
      <xdr:rowOff>0</xdr:rowOff>
    </xdr:to>
    <xdr:sp macro="" textlink="">
      <xdr:nvSpPr>
        <xdr:cNvPr id="422" name="Bent Arrow 809">
          <a:extLst>
            <a:ext uri="{FF2B5EF4-FFF2-40B4-BE49-F238E27FC236}">
              <a16:creationId xmlns:a16="http://schemas.microsoft.com/office/drawing/2014/main" id="{0AA2828E-3015-4053-A62F-6F6561AA5791}"/>
            </a:ext>
          </a:extLst>
        </xdr:cNvPr>
        <xdr:cNvSpPr/>
      </xdr:nvSpPr>
      <xdr:spPr>
        <a:xfrm rot="5400000">
          <a:off x="1466738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212</xdr:row>
      <xdr:rowOff>0</xdr:rowOff>
    </xdr:from>
    <xdr:to>
      <xdr:col>17</xdr:col>
      <xdr:colOff>134937</xdr:colOff>
      <xdr:row>212</xdr:row>
      <xdr:rowOff>0</xdr:rowOff>
    </xdr:to>
    <xdr:sp macro="" textlink="">
      <xdr:nvSpPr>
        <xdr:cNvPr id="423" name="Bent Arrow 809">
          <a:extLst>
            <a:ext uri="{FF2B5EF4-FFF2-40B4-BE49-F238E27FC236}">
              <a16:creationId xmlns:a16="http://schemas.microsoft.com/office/drawing/2014/main" id="{1F332452-A683-480F-A878-9EFCE469C48B}"/>
            </a:ext>
          </a:extLst>
        </xdr:cNvPr>
        <xdr:cNvSpPr/>
      </xdr:nvSpPr>
      <xdr:spPr>
        <a:xfrm rot="5400000">
          <a:off x="1645046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212</xdr:row>
      <xdr:rowOff>0</xdr:rowOff>
    </xdr:from>
    <xdr:to>
      <xdr:col>19</xdr:col>
      <xdr:colOff>134937</xdr:colOff>
      <xdr:row>212</xdr:row>
      <xdr:rowOff>0</xdr:rowOff>
    </xdr:to>
    <xdr:sp macro="" textlink="">
      <xdr:nvSpPr>
        <xdr:cNvPr id="424" name="Bent Arrow 809">
          <a:extLst>
            <a:ext uri="{FF2B5EF4-FFF2-40B4-BE49-F238E27FC236}">
              <a16:creationId xmlns:a16="http://schemas.microsoft.com/office/drawing/2014/main" id="{D210AEE5-B802-4F1A-A126-891DDAD17BB6}"/>
            </a:ext>
          </a:extLst>
        </xdr:cNvPr>
        <xdr:cNvSpPr/>
      </xdr:nvSpPr>
      <xdr:spPr>
        <a:xfrm rot="5400000">
          <a:off x="1807352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212</xdr:row>
      <xdr:rowOff>0</xdr:rowOff>
    </xdr:from>
    <xdr:to>
      <xdr:col>21</xdr:col>
      <xdr:colOff>134937</xdr:colOff>
      <xdr:row>212</xdr:row>
      <xdr:rowOff>0</xdr:rowOff>
    </xdr:to>
    <xdr:sp macro="" textlink="">
      <xdr:nvSpPr>
        <xdr:cNvPr id="425" name="Bent Arrow 809">
          <a:extLst>
            <a:ext uri="{FF2B5EF4-FFF2-40B4-BE49-F238E27FC236}">
              <a16:creationId xmlns:a16="http://schemas.microsoft.com/office/drawing/2014/main" id="{70A3C27D-7CC1-4073-A1C6-EB39C15B3D56}"/>
            </a:ext>
          </a:extLst>
        </xdr:cNvPr>
        <xdr:cNvSpPr/>
      </xdr:nvSpPr>
      <xdr:spPr>
        <a:xfrm rot="5400000">
          <a:off x="1974992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7938</xdr:colOff>
      <xdr:row>212</xdr:row>
      <xdr:rowOff>0</xdr:rowOff>
    </xdr:from>
    <xdr:to>
      <xdr:col>9</xdr:col>
      <xdr:colOff>142875</xdr:colOff>
      <xdr:row>212</xdr:row>
      <xdr:rowOff>95251</xdr:rowOff>
    </xdr:to>
    <xdr:sp macro="" textlink="">
      <xdr:nvSpPr>
        <xdr:cNvPr id="426" name="Bent Arrow 809">
          <a:extLst>
            <a:ext uri="{FF2B5EF4-FFF2-40B4-BE49-F238E27FC236}">
              <a16:creationId xmlns:a16="http://schemas.microsoft.com/office/drawing/2014/main" id="{BAFD81F8-277C-4750-AC0F-E2E2FF64A0C8}"/>
            </a:ext>
          </a:extLst>
        </xdr:cNvPr>
        <xdr:cNvSpPr/>
      </xdr:nvSpPr>
      <xdr:spPr>
        <a:xfrm rot="5400000">
          <a:off x="9598501" y="73375997"/>
          <a:ext cx="95251"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15875</xdr:colOff>
      <xdr:row>221</xdr:row>
      <xdr:rowOff>0</xdr:rowOff>
    </xdr:from>
    <xdr:to>
      <xdr:col>5</xdr:col>
      <xdr:colOff>150812</xdr:colOff>
      <xdr:row>221</xdr:row>
      <xdr:rowOff>0</xdr:rowOff>
    </xdr:to>
    <xdr:sp macro="" textlink="">
      <xdr:nvSpPr>
        <xdr:cNvPr id="427" name="Bent Arrow 809">
          <a:extLst>
            <a:ext uri="{FF2B5EF4-FFF2-40B4-BE49-F238E27FC236}">
              <a16:creationId xmlns:a16="http://schemas.microsoft.com/office/drawing/2014/main" id="{F6DE98D8-C61B-460E-A9B4-A7878D3BB811}"/>
            </a:ext>
          </a:extLst>
        </xdr:cNvPr>
        <xdr:cNvSpPr/>
      </xdr:nvSpPr>
      <xdr:spPr>
        <a:xfrm rot="5400000">
          <a:off x="5356384"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19844</xdr:colOff>
      <xdr:row>240</xdr:row>
      <xdr:rowOff>0</xdr:rowOff>
    </xdr:from>
    <xdr:to>
      <xdr:col>17</xdr:col>
      <xdr:colOff>154781</xdr:colOff>
      <xdr:row>240</xdr:row>
      <xdr:rowOff>0</xdr:rowOff>
    </xdr:to>
    <xdr:sp macro="" textlink="">
      <xdr:nvSpPr>
        <xdr:cNvPr id="428" name="Bent Arrow 809">
          <a:extLst>
            <a:ext uri="{FF2B5EF4-FFF2-40B4-BE49-F238E27FC236}">
              <a16:creationId xmlns:a16="http://schemas.microsoft.com/office/drawing/2014/main" id="{EC6ADF66-501E-420E-9268-05077CD902ED}"/>
            </a:ext>
          </a:extLst>
        </xdr:cNvPr>
        <xdr:cNvSpPr/>
      </xdr:nvSpPr>
      <xdr:spPr>
        <a:xfrm rot="5400000">
          <a:off x="16470313" y="8321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3</xdr:col>
      <xdr:colOff>15875</xdr:colOff>
      <xdr:row>240</xdr:row>
      <xdr:rowOff>0</xdr:rowOff>
    </xdr:from>
    <xdr:to>
      <xdr:col>3</xdr:col>
      <xdr:colOff>206374</xdr:colOff>
      <xdr:row>240</xdr:row>
      <xdr:rowOff>0</xdr:rowOff>
    </xdr:to>
    <xdr:sp macro="" textlink="">
      <xdr:nvSpPr>
        <xdr:cNvPr id="429" name="Bent Arrow 809">
          <a:extLst>
            <a:ext uri="{FF2B5EF4-FFF2-40B4-BE49-F238E27FC236}">
              <a16:creationId xmlns:a16="http://schemas.microsoft.com/office/drawing/2014/main" id="{2556D98B-BA68-4AB4-9472-07B1F8BFE207}"/>
            </a:ext>
          </a:extLst>
        </xdr:cNvPr>
        <xdr:cNvSpPr/>
      </xdr:nvSpPr>
      <xdr:spPr>
        <a:xfrm rot="5400000">
          <a:off x="3143885" y="83191350"/>
          <a:ext cx="0" cy="190499"/>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19</xdr:col>
      <xdr:colOff>15875</xdr:colOff>
      <xdr:row>248</xdr:row>
      <xdr:rowOff>0</xdr:rowOff>
    </xdr:from>
    <xdr:to>
      <xdr:col>19</xdr:col>
      <xdr:colOff>150812</xdr:colOff>
      <xdr:row>248</xdr:row>
      <xdr:rowOff>0</xdr:rowOff>
    </xdr:to>
    <xdr:sp macro="" textlink="">
      <xdr:nvSpPr>
        <xdr:cNvPr id="430" name="Bent Arrow 809">
          <a:extLst>
            <a:ext uri="{FF2B5EF4-FFF2-40B4-BE49-F238E27FC236}">
              <a16:creationId xmlns:a16="http://schemas.microsoft.com/office/drawing/2014/main" id="{33A1AF3F-B944-4F44-82D4-77892E88BEE2}"/>
            </a:ext>
          </a:extLst>
        </xdr:cNvPr>
        <xdr:cNvSpPr/>
      </xdr:nvSpPr>
      <xdr:spPr>
        <a:xfrm rot="5400000">
          <a:off x="18089404"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23813</xdr:colOff>
      <xdr:row>256</xdr:row>
      <xdr:rowOff>0</xdr:rowOff>
    </xdr:from>
    <xdr:to>
      <xdr:col>3</xdr:col>
      <xdr:colOff>158750</xdr:colOff>
      <xdr:row>256</xdr:row>
      <xdr:rowOff>0</xdr:rowOff>
    </xdr:to>
    <xdr:sp macro="" textlink="">
      <xdr:nvSpPr>
        <xdr:cNvPr id="431" name="Bent Arrow 809">
          <a:extLst>
            <a:ext uri="{FF2B5EF4-FFF2-40B4-BE49-F238E27FC236}">
              <a16:creationId xmlns:a16="http://schemas.microsoft.com/office/drawing/2014/main" id="{3E3C591B-D090-4F29-BDC9-FC0AFB8F44EA}"/>
            </a:ext>
          </a:extLst>
        </xdr:cNvPr>
        <xdr:cNvSpPr/>
      </xdr:nvSpPr>
      <xdr:spPr>
        <a:xfrm rot="5400000">
          <a:off x="3124042"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editAs="oneCell">
    <xdr:from>
      <xdr:col>16</xdr:col>
      <xdr:colOff>644149</xdr:colOff>
      <xdr:row>6</xdr:row>
      <xdr:rowOff>28772</xdr:rowOff>
    </xdr:from>
    <xdr:to>
      <xdr:col>16</xdr:col>
      <xdr:colOff>904513</xdr:colOff>
      <xdr:row>10</xdr:row>
      <xdr:rowOff>109913</xdr:rowOff>
    </xdr:to>
    <xdr:pic>
      <xdr:nvPicPr>
        <xdr:cNvPr id="432" name="Picture 431">
          <a:extLst>
            <a:ext uri="{FF2B5EF4-FFF2-40B4-BE49-F238E27FC236}">
              <a16:creationId xmlns:a16="http://schemas.microsoft.com/office/drawing/2014/main" id="{921AE25A-1FD9-44C1-BD70-CFC6A1650F00}"/>
            </a:ext>
          </a:extLst>
        </xdr:cNvPr>
        <xdr:cNvPicPr>
          <a:picLocks noChangeAspect="1"/>
        </xdr:cNvPicPr>
      </xdr:nvPicPr>
      <xdr:blipFill>
        <a:blip xmlns:r="http://schemas.openxmlformats.org/officeDocument/2006/relationships" r:embed="rId4"/>
        <a:stretch>
          <a:fillRect/>
        </a:stretch>
      </xdr:blipFill>
      <xdr:spPr>
        <a:xfrm>
          <a:off x="15884149" y="1598492"/>
          <a:ext cx="260364" cy="812661"/>
        </a:xfrm>
        <a:prstGeom prst="rect">
          <a:avLst/>
        </a:prstGeom>
      </xdr:spPr>
    </xdr:pic>
    <xdr:clientData/>
  </xdr:twoCellAnchor>
  <xdr:twoCellAnchor editAs="oneCell">
    <xdr:from>
      <xdr:col>19</xdr:col>
      <xdr:colOff>389042</xdr:colOff>
      <xdr:row>9</xdr:row>
      <xdr:rowOff>174425</xdr:rowOff>
    </xdr:from>
    <xdr:to>
      <xdr:col>20</xdr:col>
      <xdr:colOff>841587</xdr:colOff>
      <xdr:row>13</xdr:row>
      <xdr:rowOff>23523</xdr:rowOff>
    </xdr:to>
    <xdr:pic>
      <xdr:nvPicPr>
        <xdr:cNvPr id="433" name="Picture 432">
          <a:extLst>
            <a:ext uri="{FF2B5EF4-FFF2-40B4-BE49-F238E27FC236}">
              <a16:creationId xmlns:a16="http://schemas.microsoft.com/office/drawing/2014/main" id="{A7CDAD7C-2C5B-4E6D-B39E-6D07C698F348}"/>
            </a:ext>
          </a:extLst>
        </xdr:cNvPr>
        <xdr:cNvPicPr>
          <a:picLocks noChangeAspect="1"/>
        </xdr:cNvPicPr>
      </xdr:nvPicPr>
      <xdr:blipFill>
        <a:blip xmlns:r="http://schemas.openxmlformats.org/officeDocument/2006/relationships" r:embed="rId5"/>
        <a:stretch>
          <a:fillRect/>
        </a:stretch>
      </xdr:blipFill>
      <xdr:spPr>
        <a:xfrm>
          <a:off x="18395102" y="2338505"/>
          <a:ext cx="1092625" cy="580618"/>
        </a:xfrm>
        <a:prstGeom prst="rect">
          <a:avLst/>
        </a:prstGeom>
      </xdr:spPr>
    </xdr:pic>
    <xdr:clientData/>
  </xdr:twoCellAnchor>
  <xdr:twoCellAnchor>
    <xdr:from>
      <xdr:col>9</xdr:col>
      <xdr:colOff>9921</xdr:colOff>
      <xdr:row>248</xdr:row>
      <xdr:rowOff>0</xdr:rowOff>
    </xdr:from>
    <xdr:to>
      <xdr:col>9</xdr:col>
      <xdr:colOff>144858</xdr:colOff>
      <xdr:row>248</xdr:row>
      <xdr:rowOff>0</xdr:rowOff>
    </xdr:to>
    <xdr:sp macro="" textlink="">
      <xdr:nvSpPr>
        <xdr:cNvPr id="434" name="Bent Arrow 809">
          <a:extLst>
            <a:ext uri="{FF2B5EF4-FFF2-40B4-BE49-F238E27FC236}">
              <a16:creationId xmlns:a16="http://schemas.microsoft.com/office/drawing/2014/main" id="{CD774A72-EA1B-41A0-B8CB-F35DD5AB8645}"/>
            </a:ext>
          </a:extLst>
        </xdr:cNvPr>
        <xdr:cNvSpPr/>
      </xdr:nvSpPr>
      <xdr:spPr>
        <a:xfrm rot="5400000">
          <a:off x="9648110"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9922</xdr:colOff>
      <xdr:row>148</xdr:row>
      <xdr:rowOff>0</xdr:rowOff>
    </xdr:from>
    <xdr:to>
      <xdr:col>17</xdr:col>
      <xdr:colOff>144859</xdr:colOff>
      <xdr:row>148</xdr:row>
      <xdr:rowOff>103189</xdr:rowOff>
    </xdr:to>
    <xdr:sp macro="" textlink="">
      <xdr:nvSpPr>
        <xdr:cNvPr id="435" name="Bent Arrow 809">
          <a:extLst>
            <a:ext uri="{FF2B5EF4-FFF2-40B4-BE49-F238E27FC236}">
              <a16:creationId xmlns:a16="http://schemas.microsoft.com/office/drawing/2014/main" id="{CC6325F1-BF4B-48C5-A739-F31B100440B8}"/>
            </a:ext>
          </a:extLst>
        </xdr:cNvPr>
        <xdr:cNvSpPr/>
      </xdr:nvSpPr>
      <xdr:spPr>
        <a:xfrm rot="5400000">
          <a:off x="16408796" y="50649506"/>
          <a:ext cx="103189"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editAs="oneCell">
    <xdr:from>
      <xdr:col>11</xdr:col>
      <xdr:colOff>148829</xdr:colOff>
      <xdr:row>146</xdr:row>
      <xdr:rowOff>39688</xdr:rowOff>
    </xdr:from>
    <xdr:to>
      <xdr:col>11</xdr:col>
      <xdr:colOff>468267</xdr:colOff>
      <xdr:row>152</xdr:row>
      <xdr:rowOff>207130</xdr:rowOff>
    </xdr:to>
    <xdr:pic>
      <xdr:nvPicPr>
        <xdr:cNvPr id="436" name="Picture 435">
          <a:extLst>
            <a:ext uri="{FF2B5EF4-FFF2-40B4-BE49-F238E27FC236}">
              <a16:creationId xmlns:a16="http://schemas.microsoft.com/office/drawing/2014/main" id="{87578508-7787-4EAC-89CF-B9A2EC7E21EF}"/>
            </a:ext>
          </a:extLst>
        </xdr:cNvPr>
        <xdr:cNvPicPr>
          <a:picLocks noChangeAspect="1"/>
        </xdr:cNvPicPr>
      </xdr:nvPicPr>
      <xdr:blipFill>
        <a:blip xmlns:r="http://schemas.openxmlformats.org/officeDocument/2006/relationships" r:embed="rId2"/>
        <a:stretch>
          <a:fillRect/>
        </a:stretch>
      </xdr:blipFill>
      <xdr:spPr>
        <a:xfrm>
          <a:off x="11289269" y="49950688"/>
          <a:ext cx="319438" cy="1051362"/>
        </a:xfrm>
        <a:prstGeom prst="rect">
          <a:avLst/>
        </a:prstGeom>
      </xdr:spPr>
    </xdr:pic>
    <xdr:clientData/>
  </xdr:twoCellAnchor>
  <xdr:twoCellAnchor>
    <xdr:from>
      <xdr:col>15</xdr:col>
      <xdr:colOff>9922</xdr:colOff>
      <xdr:row>230</xdr:row>
      <xdr:rowOff>0</xdr:rowOff>
    </xdr:from>
    <xdr:to>
      <xdr:col>15</xdr:col>
      <xdr:colOff>144859</xdr:colOff>
      <xdr:row>230</xdr:row>
      <xdr:rowOff>73423</xdr:rowOff>
    </xdr:to>
    <xdr:sp macro="" textlink="">
      <xdr:nvSpPr>
        <xdr:cNvPr id="437" name="Bent Arrow 809">
          <a:extLst>
            <a:ext uri="{FF2B5EF4-FFF2-40B4-BE49-F238E27FC236}">
              <a16:creationId xmlns:a16="http://schemas.microsoft.com/office/drawing/2014/main" id="{0CE3E39E-281F-4B25-819A-BC396F92A35A}"/>
            </a:ext>
          </a:extLst>
        </xdr:cNvPr>
        <xdr:cNvSpPr/>
      </xdr:nvSpPr>
      <xdr:spPr>
        <a:xfrm rot="5400000">
          <a:off x="14640599" y="79445843"/>
          <a:ext cx="73423"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2</xdr:col>
      <xdr:colOff>0</xdr:colOff>
      <xdr:row>320</xdr:row>
      <xdr:rowOff>126029</xdr:rowOff>
    </xdr:from>
    <xdr:to>
      <xdr:col>3</xdr:col>
      <xdr:colOff>0</xdr:colOff>
      <xdr:row>323</xdr:row>
      <xdr:rowOff>195613</xdr:rowOff>
    </xdr:to>
    <xdr:sp macro="" textlink="">
      <xdr:nvSpPr>
        <xdr:cNvPr id="438" name="Isosceles Triangle 437">
          <a:extLst>
            <a:ext uri="{FF2B5EF4-FFF2-40B4-BE49-F238E27FC236}">
              <a16:creationId xmlns:a16="http://schemas.microsoft.com/office/drawing/2014/main" id="{7C6AE003-0D35-4CFA-AE9F-F1B3EFF40C82}"/>
            </a:ext>
          </a:extLst>
        </xdr:cNvPr>
        <xdr:cNvSpPr/>
      </xdr:nvSpPr>
      <xdr:spPr>
        <a:xfrm>
          <a:off x="2011680" y="112071449"/>
          <a:ext cx="10210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320</xdr:row>
      <xdr:rowOff>126029</xdr:rowOff>
    </xdr:from>
    <xdr:to>
      <xdr:col>5</xdr:col>
      <xdr:colOff>0</xdr:colOff>
      <xdr:row>323</xdr:row>
      <xdr:rowOff>195613</xdr:rowOff>
    </xdr:to>
    <xdr:sp macro="" textlink="">
      <xdr:nvSpPr>
        <xdr:cNvPr id="439" name="Isosceles Triangle 438">
          <a:extLst>
            <a:ext uri="{FF2B5EF4-FFF2-40B4-BE49-F238E27FC236}">
              <a16:creationId xmlns:a16="http://schemas.microsoft.com/office/drawing/2014/main" id="{5F79F1C7-C148-496B-A8E8-FAD8507B6F99}"/>
            </a:ext>
          </a:extLst>
        </xdr:cNvPr>
        <xdr:cNvSpPr/>
      </xdr:nvSpPr>
      <xdr:spPr>
        <a:xfrm>
          <a:off x="4076700" y="112071449"/>
          <a:ext cx="11963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320</xdr:row>
      <xdr:rowOff>126029</xdr:rowOff>
    </xdr:from>
    <xdr:to>
      <xdr:col>7</xdr:col>
      <xdr:colOff>0</xdr:colOff>
      <xdr:row>323</xdr:row>
      <xdr:rowOff>195613</xdr:rowOff>
    </xdr:to>
    <xdr:sp macro="" textlink="">
      <xdr:nvSpPr>
        <xdr:cNvPr id="440" name="Isosceles Triangle 439">
          <a:extLst>
            <a:ext uri="{FF2B5EF4-FFF2-40B4-BE49-F238E27FC236}">
              <a16:creationId xmlns:a16="http://schemas.microsoft.com/office/drawing/2014/main" id="{114EEE94-80D1-43CE-A039-5446AD378ECD}"/>
            </a:ext>
          </a:extLst>
        </xdr:cNvPr>
        <xdr:cNvSpPr/>
      </xdr:nvSpPr>
      <xdr:spPr>
        <a:xfrm>
          <a:off x="6309360" y="112071449"/>
          <a:ext cx="11125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320</xdr:row>
      <xdr:rowOff>126029</xdr:rowOff>
    </xdr:from>
    <xdr:to>
      <xdr:col>9</xdr:col>
      <xdr:colOff>0</xdr:colOff>
      <xdr:row>323</xdr:row>
      <xdr:rowOff>195613</xdr:rowOff>
    </xdr:to>
    <xdr:sp macro="" textlink="">
      <xdr:nvSpPr>
        <xdr:cNvPr id="441" name="Isosceles Triangle 440">
          <a:extLst>
            <a:ext uri="{FF2B5EF4-FFF2-40B4-BE49-F238E27FC236}">
              <a16:creationId xmlns:a16="http://schemas.microsoft.com/office/drawing/2014/main" id="{93DFB82C-DB2D-4DA2-B16F-0E710240CAA4}"/>
            </a:ext>
          </a:extLst>
        </xdr:cNvPr>
        <xdr:cNvSpPr/>
      </xdr:nvSpPr>
      <xdr:spPr>
        <a:xfrm>
          <a:off x="8298180" y="112071449"/>
          <a:ext cx="12725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320</xdr:row>
      <xdr:rowOff>126029</xdr:rowOff>
    </xdr:from>
    <xdr:to>
      <xdr:col>11</xdr:col>
      <xdr:colOff>0</xdr:colOff>
      <xdr:row>323</xdr:row>
      <xdr:rowOff>195613</xdr:rowOff>
    </xdr:to>
    <xdr:sp macro="" textlink="">
      <xdr:nvSpPr>
        <xdr:cNvPr id="442" name="Isosceles Triangle 441">
          <a:extLst>
            <a:ext uri="{FF2B5EF4-FFF2-40B4-BE49-F238E27FC236}">
              <a16:creationId xmlns:a16="http://schemas.microsoft.com/office/drawing/2014/main" id="{00B57CB1-67E1-4CD8-B1FE-A16F6029622A}"/>
            </a:ext>
          </a:extLst>
        </xdr:cNvPr>
        <xdr:cNvSpPr/>
      </xdr:nvSpPr>
      <xdr:spPr>
        <a:xfrm>
          <a:off x="10195560" y="112071449"/>
          <a:ext cx="9448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320</xdr:row>
      <xdr:rowOff>126029</xdr:rowOff>
    </xdr:from>
    <xdr:to>
      <xdr:col>13</xdr:col>
      <xdr:colOff>0</xdr:colOff>
      <xdr:row>323</xdr:row>
      <xdr:rowOff>195613</xdr:rowOff>
    </xdr:to>
    <xdr:sp macro="" textlink="">
      <xdr:nvSpPr>
        <xdr:cNvPr id="443" name="Isosceles Triangle 442">
          <a:extLst>
            <a:ext uri="{FF2B5EF4-FFF2-40B4-BE49-F238E27FC236}">
              <a16:creationId xmlns:a16="http://schemas.microsoft.com/office/drawing/2014/main" id="{6716E8D3-C9BC-4C29-A6B3-3E7C4724D5B8}"/>
            </a:ext>
          </a:extLst>
        </xdr:cNvPr>
        <xdr:cNvSpPr/>
      </xdr:nvSpPr>
      <xdr:spPr>
        <a:xfrm>
          <a:off x="11765280" y="112071449"/>
          <a:ext cx="10134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320</xdr:row>
      <xdr:rowOff>126029</xdr:rowOff>
    </xdr:from>
    <xdr:to>
      <xdr:col>17</xdr:col>
      <xdr:colOff>0</xdr:colOff>
      <xdr:row>323</xdr:row>
      <xdr:rowOff>195613</xdr:rowOff>
    </xdr:to>
    <xdr:sp macro="" textlink="">
      <xdr:nvSpPr>
        <xdr:cNvPr id="444" name="Isosceles Triangle 443">
          <a:extLst>
            <a:ext uri="{FF2B5EF4-FFF2-40B4-BE49-F238E27FC236}">
              <a16:creationId xmlns:a16="http://schemas.microsoft.com/office/drawing/2014/main" id="{57247820-3340-4890-A2AA-2C6B17ABF6C9}"/>
            </a:ext>
          </a:extLst>
        </xdr:cNvPr>
        <xdr:cNvSpPr/>
      </xdr:nvSpPr>
      <xdr:spPr>
        <a:xfrm>
          <a:off x="15240000" y="112071449"/>
          <a:ext cx="114300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320</xdr:row>
      <xdr:rowOff>126029</xdr:rowOff>
    </xdr:from>
    <xdr:to>
      <xdr:col>19</xdr:col>
      <xdr:colOff>0</xdr:colOff>
      <xdr:row>323</xdr:row>
      <xdr:rowOff>195613</xdr:rowOff>
    </xdr:to>
    <xdr:sp macro="" textlink="">
      <xdr:nvSpPr>
        <xdr:cNvPr id="445" name="Isosceles Triangle 444">
          <a:extLst>
            <a:ext uri="{FF2B5EF4-FFF2-40B4-BE49-F238E27FC236}">
              <a16:creationId xmlns:a16="http://schemas.microsoft.com/office/drawing/2014/main" id="{A24EE0A5-1099-4A59-A93C-77CD50CF6B45}"/>
            </a:ext>
          </a:extLst>
        </xdr:cNvPr>
        <xdr:cNvSpPr/>
      </xdr:nvSpPr>
      <xdr:spPr>
        <a:xfrm>
          <a:off x="17007840" y="11207144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320</xdr:row>
      <xdr:rowOff>127000</xdr:rowOff>
    </xdr:from>
    <xdr:to>
      <xdr:col>15</xdr:col>
      <xdr:colOff>9072</xdr:colOff>
      <xdr:row>323</xdr:row>
      <xdr:rowOff>196584</xdr:rowOff>
    </xdr:to>
    <xdr:sp macro="" textlink="">
      <xdr:nvSpPr>
        <xdr:cNvPr id="446" name="Isosceles Triangle 445">
          <a:extLst>
            <a:ext uri="{FF2B5EF4-FFF2-40B4-BE49-F238E27FC236}">
              <a16:creationId xmlns:a16="http://schemas.microsoft.com/office/drawing/2014/main" id="{C8F4FED9-50A2-43B3-85C9-1F1F4AB4D09E}"/>
            </a:ext>
          </a:extLst>
        </xdr:cNvPr>
        <xdr:cNvSpPr/>
      </xdr:nvSpPr>
      <xdr:spPr>
        <a:xfrm>
          <a:off x="13555980" y="112072420"/>
          <a:ext cx="1053012"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320</xdr:row>
      <xdr:rowOff>126029</xdr:rowOff>
    </xdr:from>
    <xdr:to>
      <xdr:col>21</xdr:col>
      <xdr:colOff>0</xdr:colOff>
      <xdr:row>323</xdr:row>
      <xdr:rowOff>195613</xdr:rowOff>
    </xdr:to>
    <xdr:sp macro="" textlink="">
      <xdr:nvSpPr>
        <xdr:cNvPr id="447" name="Isosceles Triangle 446">
          <a:extLst>
            <a:ext uri="{FF2B5EF4-FFF2-40B4-BE49-F238E27FC236}">
              <a16:creationId xmlns:a16="http://schemas.microsoft.com/office/drawing/2014/main" id="{BAE58C46-2C7D-4FE7-9239-EB21AC3069B6}"/>
            </a:ext>
          </a:extLst>
        </xdr:cNvPr>
        <xdr:cNvSpPr/>
      </xdr:nvSpPr>
      <xdr:spPr>
        <a:xfrm>
          <a:off x="18630900" y="112071449"/>
          <a:ext cx="10515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320</xdr:row>
      <xdr:rowOff>126029</xdr:rowOff>
    </xdr:from>
    <xdr:to>
      <xdr:col>23</xdr:col>
      <xdr:colOff>0</xdr:colOff>
      <xdr:row>323</xdr:row>
      <xdr:rowOff>195613</xdr:rowOff>
    </xdr:to>
    <xdr:sp macro="" textlink="">
      <xdr:nvSpPr>
        <xdr:cNvPr id="448" name="Isosceles Triangle 447">
          <a:extLst>
            <a:ext uri="{FF2B5EF4-FFF2-40B4-BE49-F238E27FC236}">
              <a16:creationId xmlns:a16="http://schemas.microsoft.com/office/drawing/2014/main" id="{50E77F16-AD7E-4082-A33E-A8DF7C5C759F}"/>
            </a:ext>
          </a:extLst>
        </xdr:cNvPr>
        <xdr:cNvSpPr/>
      </xdr:nvSpPr>
      <xdr:spPr>
        <a:xfrm>
          <a:off x="20589240" y="112071449"/>
          <a:ext cx="10134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0</xdr:col>
      <xdr:colOff>7620</xdr:colOff>
      <xdr:row>320</xdr:row>
      <xdr:rowOff>126029</xdr:rowOff>
    </xdr:from>
    <xdr:to>
      <xdr:col>1</xdr:col>
      <xdr:colOff>7620</xdr:colOff>
      <xdr:row>323</xdr:row>
      <xdr:rowOff>195613</xdr:rowOff>
    </xdr:to>
    <xdr:sp macro="" textlink="">
      <xdr:nvSpPr>
        <xdr:cNvPr id="449" name="Isosceles Triangle 448">
          <a:extLst>
            <a:ext uri="{FF2B5EF4-FFF2-40B4-BE49-F238E27FC236}">
              <a16:creationId xmlns:a16="http://schemas.microsoft.com/office/drawing/2014/main" id="{C704C6E9-A39C-4AB3-A7F2-1E08B195CCBF}"/>
            </a:ext>
          </a:extLst>
        </xdr:cNvPr>
        <xdr:cNvSpPr/>
      </xdr:nvSpPr>
      <xdr:spPr>
        <a:xfrm>
          <a:off x="7620" y="11207144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310</xdr:row>
      <xdr:rowOff>126029</xdr:rowOff>
    </xdr:from>
    <xdr:to>
      <xdr:col>3</xdr:col>
      <xdr:colOff>0</xdr:colOff>
      <xdr:row>313</xdr:row>
      <xdr:rowOff>165133</xdr:rowOff>
    </xdr:to>
    <xdr:sp macro="" textlink="">
      <xdr:nvSpPr>
        <xdr:cNvPr id="450" name="Isosceles Triangle 449">
          <a:extLst>
            <a:ext uri="{FF2B5EF4-FFF2-40B4-BE49-F238E27FC236}">
              <a16:creationId xmlns:a16="http://schemas.microsoft.com/office/drawing/2014/main" id="{46404FBA-6D6B-4FC5-81CB-F0F5422A337F}"/>
            </a:ext>
          </a:extLst>
        </xdr:cNvPr>
        <xdr:cNvSpPr/>
      </xdr:nvSpPr>
      <xdr:spPr>
        <a:xfrm>
          <a:off x="2011680" y="108238589"/>
          <a:ext cx="10210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310</xdr:row>
      <xdr:rowOff>126029</xdr:rowOff>
    </xdr:from>
    <xdr:to>
      <xdr:col>5</xdr:col>
      <xdr:colOff>0</xdr:colOff>
      <xdr:row>313</xdr:row>
      <xdr:rowOff>165133</xdr:rowOff>
    </xdr:to>
    <xdr:sp macro="" textlink="">
      <xdr:nvSpPr>
        <xdr:cNvPr id="451" name="Isosceles Triangle 450">
          <a:extLst>
            <a:ext uri="{FF2B5EF4-FFF2-40B4-BE49-F238E27FC236}">
              <a16:creationId xmlns:a16="http://schemas.microsoft.com/office/drawing/2014/main" id="{6BD14EFD-6FA0-46AF-A2DA-0E3752EFC395}"/>
            </a:ext>
          </a:extLst>
        </xdr:cNvPr>
        <xdr:cNvSpPr/>
      </xdr:nvSpPr>
      <xdr:spPr>
        <a:xfrm>
          <a:off x="4076700" y="108238589"/>
          <a:ext cx="119634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310</xdr:row>
      <xdr:rowOff>126029</xdr:rowOff>
    </xdr:from>
    <xdr:to>
      <xdr:col>7</xdr:col>
      <xdr:colOff>0</xdr:colOff>
      <xdr:row>313</xdr:row>
      <xdr:rowOff>165133</xdr:rowOff>
    </xdr:to>
    <xdr:sp macro="" textlink="">
      <xdr:nvSpPr>
        <xdr:cNvPr id="452" name="Isosceles Triangle 451">
          <a:extLst>
            <a:ext uri="{FF2B5EF4-FFF2-40B4-BE49-F238E27FC236}">
              <a16:creationId xmlns:a16="http://schemas.microsoft.com/office/drawing/2014/main" id="{4DE474F4-E0DF-46A0-8F20-43F5F8EB57D5}"/>
            </a:ext>
          </a:extLst>
        </xdr:cNvPr>
        <xdr:cNvSpPr/>
      </xdr:nvSpPr>
      <xdr:spPr>
        <a:xfrm>
          <a:off x="6309360" y="108238589"/>
          <a:ext cx="11125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310</xdr:row>
      <xdr:rowOff>126029</xdr:rowOff>
    </xdr:from>
    <xdr:to>
      <xdr:col>9</xdr:col>
      <xdr:colOff>0</xdr:colOff>
      <xdr:row>313</xdr:row>
      <xdr:rowOff>165133</xdr:rowOff>
    </xdr:to>
    <xdr:sp macro="" textlink="">
      <xdr:nvSpPr>
        <xdr:cNvPr id="453" name="Isosceles Triangle 452">
          <a:extLst>
            <a:ext uri="{FF2B5EF4-FFF2-40B4-BE49-F238E27FC236}">
              <a16:creationId xmlns:a16="http://schemas.microsoft.com/office/drawing/2014/main" id="{084555C9-F883-46F7-BE02-3261832C0230}"/>
            </a:ext>
          </a:extLst>
        </xdr:cNvPr>
        <xdr:cNvSpPr/>
      </xdr:nvSpPr>
      <xdr:spPr>
        <a:xfrm>
          <a:off x="8298180" y="108238589"/>
          <a:ext cx="1272540" cy="1136384"/>
        </a:xfrm>
        <a:prstGeom prst="triangle">
          <a:avLst/>
        </a:prstGeom>
        <a:solidFill>
          <a:srgbClr val="FFFF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310</xdr:row>
      <xdr:rowOff>126029</xdr:rowOff>
    </xdr:from>
    <xdr:to>
      <xdr:col>11</xdr:col>
      <xdr:colOff>0</xdr:colOff>
      <xdr:row>313</xdr:row>
      <xdr:rowOff>165133</xdr:rowOff>
    </xdr:to>
    <xdr:sp macro="" textlink="">
      <xdr:nvSpPr>
        <xdr:cNvPr id="454" name="Isosceles Triangle 453">
          <a:extLst>
            <a:ext uri="{FF2B5EF4-FFF2-40B4-BE49-F238E27FC236}">
              <a16:creationId xmlns:a16="http://schemas.microsoft.com/office/drawing/2014/main" id="{F690F910-D37A-45C3-BECF-6C6F8C63D3CD}"/>
            </a:ext>
          </a:extLst>
        </xdr:cNvPr>
        <xdr:cNvSpPr/>
      </xdr:nvSpPr>
      <xdr:spPr>
        <a:xfrm>
          <a:off x="10195560" y="108238589"/>
          <a:ext cx="9448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310</xdr:row>
      <xdr:rowOff>126029</xdr:rowOff>
    </xdr:from>
    <xdr:to>
      <xdr:col>13</xdr:col>
      <xdr:colOff>0</xdr:colOff>
      <xdr:row>313</xdr:row>
      <xdr:rowOff>165133</xdr:rowOff>
    </xdr:to>
    <xdr:sp macro="" textlink="">
      <xdr:nvSpPr>
        <xdr:cNvPr id="455" name="Isosceles Triangle 454">
          <a:extLst>
            <a:ext uri="{FF2B5EF4-FFF2-40B4-BE49-F238E27FC236}">
              <a16:creationId xmlns:a16="http://schemas.microsoft.com/office/drawing/2014/main" id="{D034B7AE-5455-4A85-A8EB-E51AF415BF16}"/>
            </a:ext>
          </a:extLst>
        </xdr:cNvPr>
        <xdr:cNvSpPr/>
      </xdr:nvSpPr>
      <xdr:spPr>
        <a:xfrm>
          <a:off x="11765280" y="108238589"/>
          <a:ext cx="10134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310</xdr:row>
      <xdr:rowOff>126029</xdr:rowOff>
    </xdr:from>
    <xdr:to>
      <xdr:col>17</xdr:col>
      <xdr:colOff>0</xdr:colOff>
      <xdr:row>313</xdr:row>
      <xdr:rowOff>165133</xdr:rowOff>
    </xdr:to>
    <xdr:sp macro="" textlink="">
      <xdr:nvSpPr>
        <xdr:cNvPr id="456" name="Isosceles Triangle 455">
          <a:extLst>
            <a:ext uri="{FF2B5EF4-FFF2-40B4-BE49-F238E27FC236}">
              <a16:creationId xmlns:a16="http://schemas.microsoft.com/office/drawing/2014/main" id="{2C17C5AD-A890-4B81-B18E-B7B8A69E1B38}"/>
            </a:ext>
          </a:extLst>
        </xdr:cNvPr>
        <xdr:cNvSpPr/>
      </xdr:nvSpPr>
      <xdr:spPr>
        <a:xfrm>
          <a:off x="15240000" y="108238589"/>
          <a:ext cx="11430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310</xdr:row>
      <xdr:rowOff>126029</xdr:rowOff>
    </xdr:from>
    <xdr:to>
      <xdr:col>19</xdr:col>
      <xdr:colOff>0</xdr:colOff>
      <xdr:row>313</xdr:row>
      <xdr:rowOff>165133</xdr:rowOff>
    </xdr:to>
    <xdr:sp macro="" textlink="">
      <xdr:nvSpPr>
        <xdr:cNvPr id="457" name="Isosceles Triangle 456">
          <a:extLst>
            <a:ext uri="{FF2B5EF4-FFF2-40B4-BE49-F238E27FC236}">
              <a16:creationId xmlns:a16="http://schemas.microsoft.com/office/drawing/2014/main" id="{278BBD3C-F669-4C16-8BF0-0A50DAEF60A0}"/>
            </a:ext>
          </a:extLst>
        </xdr:cNvPr>
        <xdr:cNvSpPr/>
      </xdr:nvSpPr>
      <xdr:spPr>
        <a:xfrm>
          <a:off x="17007840" y="108238589"/>
          <a:ext cx="9982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310</xdr:row>
      <xdr:rowOff>127000</xdr:rowOff>
    </xdr:from>
    <xdr:to>
      <xdr:col>15</xdr:col>
      <xdr:colOff>9072</xdr:colOff>
      <xdr:row>313</xdr:row>
      <xdr:rowOff>166104</xdr:rowOff>
    </xdr:to>
    <xdr:sp macro="" textlink="">
      <xdr:nvSpPr>
        <xdr:cNvPr id="458" name="Isosceles Triangle 457">
          <a:extLst>
            <a:ext uri="{FF2B5EF4-FFF2-40B4-BE49-F238E27FC236}">
              <a16:creationId xmlns:a16="http://schemas.microsoft.com/office/drawing/2014/main" id="{73640EB1-05F8-4A7E-931E-6FF293DF43A0}"/>
            </a:ext>
          </a:extLst>
        </xdr:cNvPr>
        <xdr:cNvSpPr/>
      </xdr:nvSpPr>
      <xdr:spPr>
        <a:xfrm>
          <a:off x="13555980" y="108239560"/>
          <a:ext cx="1053012"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310</xdr:row>
      <xdr:rowOff>126029</xdr:rowOff>
    </xdr:from>
    <xdr:to>
      <xdr:col>21</xdr:col>
      <xdr:colOff>0</xdr:colOff>
      <xdr:row>313</xdr:row>
      <xdr:rowOff>165133</xdr:rowOff>
    </xdr:to>
    <xdr:sp macro="" textlink="">
      <xdr:nvSpPr>
        <xdr:cNvPr id="459" name="Isosceles Triangle 458">
          <a:extLst>
            <a:ext uri="{FF2B5EF4-FFF2-40B4-BE49-F238E27FC236}">
              <a16:creationId xmlns:a16="http://schemas.microsoft.com/office/drawing/2014/main" id="{2867953B-E9B0-4791-B32D-522D16FD50A5}"/>
            </a:ext>
          </a:extLst>
        </xdr:cNvPr>
        <xdr:cNvSpPr/>
      </xdr:nvSpPr>
      <xdr:spPr>
        <a:xfrm>
          <a:off x="18630900" y="108238589"/>
          <a:ext cx="105156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310</xdr:row>
      <xdr:rowOff>126029</xdr:rowOff>
    </xdr:from>
    <xdr:to>
      <xdr:col>23</xdr:col>
      <xdr:colOff>0</xdr:colOff>
      <xdr:row>313</xdr:row>
      <xdr:rowOff>165133</xdr:rowOff>
    </xdr:to>
    <xdr:sp macro="" textlink="">
      <xdr:nvSpPr>
        <xdr:cNvPr id="460" name="Isosceles Triangle 459">
          <a:extLst>
            <a:ext uri="{FF2B5EF4-FFF2-40B4-BE49-F238E27FC236}">
              <a16:creationId xmlns:a16="http://schemas.microsoft.com/office/drawing/2014/main" id="{BF17E2EE-BB90-4841-8945-B2872DA41A5E}"/>
            </a:ext>
          </a:extLst>
        </xdr:cNvPr>
        <xdr:cNvSpPr/>
      </xdr:nvSpPr>
      <xdr:spPr>
        <a:xfrm>
          <a:off x="20589240" y="108238589"/>
          <a:ext cx="10134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0</xdr:col>
      <xdr:colOff>0</xdr:colOff>
      <xdr:row>310</xdr:row>
      <xdr:rowOff>126029</xdr:rowOff>
    </xdr:from>
    <xdr:to>
      <xdr:col>1</xdr:col>
      <xdr:colOff>0</xdr:colOff>
      <xdr:row>313</xdr:row>
      <xdr:rowOff>165133</xdr:rowOff>
    </xdr:to>
    <xdr:sp macro="" textlink="">
      <xdr:nvSpPr>
        <xdr:cNvPr id="461" name="Isosceles Triangle 460">
          <a:extLst>
            <a:ext uri="{FF2B5EF4-FFF2-40B4-BE49-F238E27FC236}">
              <a16:creationId xmlns:a16="http://schemas.microsoft.com/office/drawing/2014/main" id="{E973A04E-CF08-4E17-9CC1-2C796FF17FE3}"/>
            </a:ext>
          </a:extLst>
        </xdr:cNvPr>
        <xdr:cNvSpPr/>
      </xdr:nvSpPr>
      <xdr:spPr>
        <a:xfrm>
          <a:off x="0" y="108238589"/>
          <a:ext cx="126492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25400</xdr:colOff>
      <xdr:row>301</xdr:row>
      <xdr:rowOff>214929</xdr:rowOff>
    </xdr:from>
    <xdr:to>
      <xdr:col>3</xdr:col>
      <xdr:colOff>25400</xdr:colOff>
      <xdr:row>304</xdr:row>
      <xdr:rowOff>180373</xdr:rowOff>
    </xdr:to>
    <xdr:sp macro="" textlink="">
      <xdr:nvSpPr>
        <xdr:cNvPr id="462" name="Isosceles Triangle 461">
          <a:extLst>
            <a:ext uri="{FF2B5EF4-FFF2-40B4-BE49-F238E27FC236}">
              <a16:creationId xmlns:a16="http://schemas.microsoft.com/office/drawing/2014/main" id="{83293A6D-43BA-498F-A420-8BB2E7926CD4}"/>
            </a:ext>
          </a:extLst>
        </xdr:cNvPr>
        <xdr:cNvSpPr/>
      </xdr:nvSpPr>
      <xdr:spPr>
        <a:xfrm>
          <a:off x="2037080" y="105104229"/>
          <a:ext cx="1021080" cy="10627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301</xdr:row>
      <xdr:rowOff>126029</xdr:rowOff>
    </xdr:from>
    <xdr:to>
      <xdr:col>5</xdr:col>
      <xdr:colOff>0</xdr:colOff>
      <xdr:row>304</xdr:row>
      <xdr:rowOff>180373</xdr:rowOff>
    </xdr:to>
    <xdr:sp macro="" textlink="">
      <xdr:nvSpPr>
        <xdr:cNvPr id="463" name="Isosceles Triangle 462">
          <a:extLst>
            <a:ext uri="{FF2B5EF4-FFF2-40B4-BE49-F238E27FC236}">
              <a16:creationId xmlns:a16="http://schemas.microsoft.com/office/drawing/2014/main" id="{3386513A-F7BC-4DD5-935A-C195BE2BE928}"/>
            </a:ext>
          </a:extLst>
        </xdr:cNvPr>
        <xdr:cNvSpPr/>
      </xdr:nvSpPr>
      <xdr:spPr>
        <a:xfrm>
          <a:off x="4076700" y="105015329"/>
          <a:ext cx="119634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301</xdr:row>
      <xdr:rowOff>126029</xdr:rowOff>
    </xdr:from>
    <xdr:to>
      <xdr:col>7</xdr:col>
      <xdr:colOff>0</xdr:colOff>
      <xdr:row>304</xdr:row>
      <xdr:rowOff>180373</xdr:rowOff>
    </xdr:to>
    <xdr:sp macro="" textlink="">
      <xdr:nvSpPr>
        <xdr:cNvPr id="464" name="Isosceles Triangle 463">
          <a:extLst>
            <a:ext uri="{FF2B5EF4-FFF2-40B4-BE49-F238E27FC236}">
              <a16:creationId xmlns:a16="http://schemas.microsoft.com/office/drawing/2014/main" id="{7A94B36E-5C5B-4DAC-BF2C-9C4150B26AC6}"/>
            </a:ext>
          </a:extLst>
        </xdr:cNvPr>
        <xdr:cNvSpPr/>
      </xdr:nvSpPr>
      <xdr:spPr>
        <a:xfrm>
          <a:off x="6309360" y="105015329"/>
          <a:ext cx="111252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301</xdr:row>
      <xdr:rowOff>126029</xdr:rowOff>
    </xdr:from>
    <xdr:to>
      <xdr:col>9</xdr:col>
      <xdr:colOff>0</xdr:colOff>
      <xdr:row>304</xdr:row>
      <xdr:rowOff>180373</xdr:rowOff>
    </xdr:to>
    <xdr:sp macro="" textlink="">
      <xdr:nvSpPr>
        <xdr:cNvPr id="465" name="Isosceles Triangle 464">
          <a:extLst>
            <a:ext uri="{FF2B5EF4-FFF2-40B4-BE49-F238E27FC236}">
              <a16:creationId xmlns:a16="http://schemas.microsoft.com/office/drawing/2014/main" id="{E1F38AF8-596B-49A3-AEAD-0C110549FDB1}"/>
            </a:ext>
          </a:extLst>
        </xdr:cNvPr>
        <xdr:cNvSpPr/>
      </xdr:nvSpPr>
      <xdr:spPr>
        <a:xfrm>
          <a:off x="8298180" y="105015329"/>
          <a:ext cx="1272540" cy="1151624"/>
        </a:xfrm>
        <a:prstGeom prst="triangle">
          <a:avLst/>
        </a:prstGeom>
        <a:solidFill>
          <a:srgbClr val="FFFF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301</xdr:row>
      <xdr:rowOff>126029</xdr:rowOff>
    </xdr:from>
    <xdr:to>
      <xdr:col>11</xdr:col>
      <xdr:colOff>0</xdr:colOff>
      <xdr:row>304</xdr:row>
      <xdr:rowOff>180373</xdr:rowOff>
    </xdr:to>
    <xdr:sp macro="" textlink="">
      <xdr:nvSpPr>
        <xdr:cNvPr id="466" name="Isosceles Triangle 465">
          <a:extLst>
            <a:ext uri="{FF2B5EF4-FFF2-40B4-BE49-F238E27FC236}">
              <a16:creationId xmlns:a16="http://schemas.microsoft.com/office/drawing/2014/main" id="{B7F1F789-0043-49C8-B11D-B17049357E28}"/>
            </a:ext>
          </a:extLst>
        </xdr:cNvPr>
        <xdr:cNvSpPr/>
      </xdr:nvSpPr>
      <xdr:spPr>
        <a:xfrm>
          <a:off x="10195560" y="105015329"/>
          <a:ext cx="94488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301</xdr:row>
      <xdr:rowOff>126029</xdr:rowOff>
    </xdr:from>
    <xdr:to>
      <xdr:col>13</xdr:col>
      <xdr:colOff>0</xdr:colOff>
      <xdr:row>304</xdr:row>
      <xdr:rowOff>180373</xdr:rowOff>
    </xdr:to>
    <xdr:sp macro="" textlink="">
      <xdr:nvSpPr>
        <xdr:cNvPr id="467" name="Isosceles Triangle 466">
          <a:extLst>
            <a:ext uri="{FF2B5EF4-FFF2-40B4-BE49-F238E27FC236}">
              <a16:creationId xmlns:a16="http://schemas.microsoft.com/office/drawing/2014/main" id="{200E4863-64ED-4555-8936-358AD50ED77C}"/>
            </a:ext>
          </a:extLst>
        </xdr:cNvPr>
        <xdr:cNvSpPr/>
      </xdr:nvSpPr>
      <xdr:spPr>
        <a:xfrm>
          <a:off x="11765280" y="105015329"/>
          <a:ext cx="101346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301</xdr:row>
      <xdr:rowOff>126029</xdr:rowOff>
    </xdr:from>
    <xdr:to>
      <xdr:col>17</xdr:col>
      <xdr:colOff>0</xdr:colOff>
      <xdr:row>304</xdr:row>
      <xdr:rowOff>180373</xdr:rowOff>
    </xdr:to>
    <xdr:sp macro="" textlink="">
      <xdr:nvSpPr>
        <xdr:cNvPr id="468" name="Isosceles Triangle 467">
          <a:extLst>
            <a:ext uri="{FF2B5EF4-FFF2-40B4-BE49-F238E27FC236}">
              <a16:creationId xmlns:a16="http://schemas.microsoft.com/office/drawing/2014/main" id="{85F0EB2C-A13D-4397-996C-388494A003C1}"/>
            </a:ext>
          </a:extLst>
        </xdr:cNvPr>
        <xdr:cNvSpPr/>
      </xdr:nvSpPr>
      <xdr:spPr>
        <a:xfrm>
          <a:off x="15240000" y="105015329"/>
          <a:ext cx="114300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301</xdr:row>
      <xdr:rowOff>126029</xdr:rowOff>
    </xdr:from>
    <xdr:to>
      <xdr:col>19</xdr:col>
      <xdr:colOff>0</xdr:colOff>
      <xdr:row>304</xdr:row>
      <xdr:rowOff>180373</xdr:rowOff>
    </xdr:to>
    <xdr:sp macro="" textlink="">
      <xdr:nvSpPr>
        <xdr:cNvPr id="469" name="Isosceles Triangle 468">
          <a:extLst>
            <a:ext uri="{FF2B5EF4-FFF2-40B4-BE49-F238E27FC236}">
              <a16:creationId xmlns:a16="http://schemas.microsoft.com/office/drawing/2014/main" id="{3D492707-BAD7-4175-AE1D-C1177B91BB7F}"/>
            </a:ext>
          </a:extLst>
        </xdr:cNvPr>
        <xdr:cNvSpPr/>
      </xdr:nvSpPr>
      <xdr:spPr>
        <a:xfrm>
          <a:off x="17007840" y="105015329"/>
          <a:ext cx="99822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301</xdr:row>
      <xdr:rowOff>127000</xdr:rowOff>
    </xdr:from>
    <xdr:to>
      <xdr:col>15</xdr:col>
      <xdr:colOff>9072</xdr:colOff>
      <xdr:row>304</xdr:row>
      <xdr:rowOff>181344</xdr:rowOff>
    </xdr:to>
    <xdr:sp macro="" textlink="">
      <xdr:nvSpPr>
        <xdr:cNvPr id="470" name="Isosceles Triangle 469">
          <a:extLst>
            <a:ext uri="{FF2B5EF4-FFF2-40B4-BE49-F238E27FC236}">
              <a16:creationId xmlns:a16="http://schemas.microsoft.com/office/drawing/2014/main" id="{6CC36E4A-3545-492E-85BF-0716214AC908}"/>
            </a:ext>
          </a:extLst>
        </xdr:cNvPr>
        <xdr:cNvSpPr/>
      </xdr:nvSpPr>
      <xdr:spPr>
        <a:xfrm>
          <a:off x="13555980" y="105016300"/>
          <a:ext cx="1053012"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301</xdr:row>
      <xdr:rowOff>126029</xdr:rowOff>
    </xdr:from>
    <xdr:to>
      <xdr:col>21</xdr:col>
      <xdr:colOff>0</xdr:colOff>
      <xdr:row>304</xdr:row>
      <xdr:rowOff>180373</xdr:rowOff>
    </xdr:to>
    <xdr:sp macro="" textlink="">
      <xdr:nvSpPr>
        <xdr:cNvPr id="471" name="Isosceles Triangle 470">
          <a:extLst>
            <a:ext uri="{FF2B5EF4-FFF2-40B4-BE49-F238E27FC236}">
              <a16:creationId xmlns:a16="http://schemas.microsoft.com/office/drawing/2014/main" id="{370D9E4A-BC83-4561-A075-2FAAE0E8EE97}"/>
            </a:ext>
          </a:extLst>
        </xdr:cNvPr>
        <xdr:cNvSpPr/>
      </xdr:nvSpPr>
      <xdr:spPr>
        <a:xfrm>
          <a:off x="18630900" y="105015329"/>
          <a:ext cx="10515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301</xdr:row>
      <xdr:rowOff>126029</xdr:rowOff>
    </xdr:from>
    <xdr:to>
      <xdr:col>23</xdr:col>
      <xdr:colOff>0</xdr:colOff>
      <xdr:row>304</xdr:row>
      <xdr:rowOff>180373</xdr:rowOff>
    </xdr:to>
    <xdr:sp macro="" textlink="">
      <xdr:nvSpPr>
        <xdr:cNvPr id="472" name="Isosceles Triangle 471">
          <a:extLst>
            <a:ext uri="{FF2B5EF4-FFF2-40B4-BE49-F238E27FC236}">
              <a16:creationId xmlns:a16="http://schemas.microsoft.com/office/drawing/2014/main" id="{FD42A422-46EE-4918-A434-634D44E33C68}"/>
            </a:ext>
          </a:extLst>
        </xdr:cNvPr>
        <xdr:cNvSpPr/>
      </xdr:nvSpPr>
      <xdr:spPr>
        <a:xfrm>
          <a:off x="20589240" y="105015329"/>
          <a:ext cx="101346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293</xdr:row>
      <xdr:rowOff>126029</xdr:rowOff>
    </xdr:from>
    <xdr:to>
      <xdr:col>3</xdr:col>
      <xdr:colOff>0</xdr:colOff>
      <xdr:row>296</xdr:row>
      <xdr:rowOff>187993</xdr:rowOff>
    </xdr:to>
    <xdr:sp macro="" textlink="">
      <xdr:nvSpPr>
        <xdr:cNvPr id="473" name="Isosceles Triangle 472">
          <a:extLst>
            <a:ext uri="{FF2B5EF4-FFF2-40B4-BE49-F238E27FC236}">
              <a16:creationId xmlns:a16="http://schemas.microsoft.com/office/drawing/2014/main" id="{12F7CDD6-7D35-43E2-8FCE-C9769FAAEAEC}"/>
            </a:ext>
          </a:extLst>
        </xdr:cNvPr>
        <xdr:cNvSpPr/>
      </xdr:nvSpPr>
      <xdr:spPr>
        <a:xfrm>
          <a:off x="2011680" y="102104489"/>
          <a:ext cx="102108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293</xdr:row>
      <xdr:rowOff>126029</xdr:rowOff>
    </xdr:from>
    <xdr:to>
      <xdr:col>5</xdr:col>
      <xdr:colOff>0</xdr:colOff>
      <xdr:row>296</xdr:row>
      <xdr:rowOff>187993</xdr:rowOff>
    </xdr:to>
    <xdr:sp macro="" textlink="">
      <xdr:nvSpPr>
        <xdr:cNvPr id="474" name="Isosceles Triangle 473">
          <a:extLst>
            <a:ext uri="{FF2B5EF4-FFF2-40B4-BE49-F238E27FC236}">
              <a16:creationId xmlns:a16="http://schemas.microsoft.com/office/drawing/2014/main" id="{E6FA1A3A-7689-4008-AD4D-007C537BFA4E}"/>
            </a:ext>
          </a:extLst>
        </xdr:cNvPr>
        <xdr:cNvSpPr/>
      </xdr:nvSpPr>
      <xdr:spPr>
        <a:xfrm>
          <a:off x="4076700" y="102104489"/>
          <a:ext cx="119634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293</xdr:row>
      <xdr:rowOff>126029</xdr:rowOff>
    </xdr:from>
    <xdr:to>
      <xdr:col>7</xdr:col>
      <xdr:colOff>0</xdr:colOff>
      <xdr:row>296</xdr:row>
      <xdr:rowOff>187993</xdr:rowOff>
    </xdr:to>
    <xdr:sp macro="" textlink="">
      <xdr:nvSpPr>
        <xdr:cNvPr id="475" name="Isosceles Triangle 474">
          <a:extLst>
            <a:ext uri="{FF2B5EF4-FFF2-40B4-BE49-F238E27FC236}">
              <a16:creationId xmlns:a16="http://schemas.microsoft.com/office/drawing/2014/main" id="{77A927E9-DEAA-4098-BF03-5F51F1F2C30D}"/>
            </a:ext>
          </a:extLst>
        </xdr:cNvPr>
        <xdr:cNvSpPr/>
      </xdr:nvSpPr>
      <xdr:spPr>
        <a:xfrm>
          <a:off x="6309360" y="102104489"/>
          <a:ext cx="111252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293</xdr:row>
      <xdr:rowOff>126029</xdr:rowOff>
    </xdr:from>
    <xdr:to>
      <xdr:col>9</xdr:col>
      <xdr:colOff>0</xdr:colOff>
      <xdr:row>296</xdr:row>
      <xdr:rowOff>187993</xdr:rowOff>
    </xdr:to>
    <xdr:sp macro="" textlink="">
      <xdr:nvSpPr>
        <xdr:cNvPr id="476" name="Isosceles Triangle 475">
          <a:extLst>
            <a:ext uri="{FF2B5EF4-FFF2-40B4-BE49-F238E27FC236}">
              <a16:creationId xmlns:a16="http://schemas.microsoft.com/office/drawing/2014/main" id="{34E0CDAE-365B-49FB-B0A4-E622B26491FF}"/>
            </a:ext>
          </a:extLst>
        </xdr:cNvPr>
        <xdr:cNvSpPr/>
      </xdr:nvSpPr>
      <xdr:spPr>
        <a:xfrm>
          <a:off x="8298180" y="102104489"/>
          <a:ext cx="127254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293</xdr:row>
      <xdr:rowOff>126029</xdr:rowOff>
    </xdr:from>
    <xdr:to>
      <xdr:col>11</xdr:col>
      <xdr:colOff>0</xdr:colOff>
      <xdr:row>296</xdr:row>
      <xdr:rowOff>187993</xdr:rowOff>
    </xdr:to>
    <xdr:sp macro="" textlink="">
      <xdr:nvSpPr>
        <xdr:cNvPr id="477" name="Isosceles Triangle 476">
          <a:extLst>
            <a:ext uri="{FF2B5EF4-FFF2-40B4-BE49-F238E27FC236}">
              <a16:creationId xmlns:a16="http://schemas.microsoft.com/office/drawing/2014/main" id="{C2DF48BE-9D8B-4AFC-B391-322FD4943353}"/>
            </a:ext>
          </a:extLst>
        </xdr:cNvPr>
        <xdr:cNvSpPr/>
      </xdr:nvSpPr>
      <xdr:spPr>
        <a:xfrm>
          <a:off x="10195560" y="102104489"/>
          <a:ext cx="94488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293</xdr:row>
      <xdr:rowOff>126029</xdr:rowOff>
    </xdr:from>
    <xdr:to>
      <xdr:col>13</xdr:col>
      <xdr:colOff>0</xdr:colOff>
      <xdr:row>296</xdr:row>
      <xdr:rowOff>187993</xdr:rowOff>
    </xdr:to>
    <xdr:sp macro="" textlink="">
      <xdr:nvSpPr>
        <xdr:cNvPr id="478" name="Isosceles Triangle 477">
          <a:extLst>
            <a:ext uri="{FF2B5EF4-FFF2-40B4-BE49-F238E27FC236}">
              <a16:creationId xmlns:a16="http://schemas.microsoft.com/office/drawing/2014/main" id="{50545D90-D742-4013-B958-AAB31D843EEB}"/>
            </a:ext>
          </a:extLst>
        </xdr:cNvPr>
        <xdr:cNvSpPr/>
      </xdr:nvSpPr>
      <xdr:spPr>
        <a:xfrm>
          <a:off x="11765280" y="102104489"/>
          <a:ext cx="101346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293</xdr:row>
      <xdr:rowOff>126029</xdr:rowOff>
    </xdr:from>
    <xdr:to>
      <xdr:col>17</xdr:col>
      <xdr:colOff>0</xdr:colOff>
      <xdr:row>296</xdr:row>
      <xdr:rowOff>187993</xdr:rowOff>
    </xdr:to>
    <xdr:sp macro="" textlink="">
      <xdr:nvSpPr>
        <xdr:cNvPr id="479" name="Isosceles Triangle 478">
          <a:extLst>
            <a:ext uri="{FF2B5EF4-FFF2-40B4-BE49-F238E27FC236}">
              <a16:creationId xmlns:a16="http://schemas.microsoft.com/office/drawing/2014/main" id="{8EEC7E7A-190B-48E9-B165-582536368A3C}"/>
            </a:ext>
          </a:extLst>
        </xdr:cNvPr>
        <xdr:cNvSpPr/>
      </xdr:nvSpPr>
      <xdr:spPr>
        <a:xfrm>
          <a:off x="15240000" y="102104489"/>
          <a:ext cx="114300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293</xdr:row>
      <xdr:rowOff>126029</xdr:rowOff>
    </xdr:from>
    <xdr:to>
      <xdr:col>19</xdr:col>
      <xdr:colOff>0</xdr:colOff>
      <xdr:row>296</xdr:row>
      <xdr:rowOff>187993</xdr:rowOff>
    </xdr:to>
    <xdr:sp macro="" textlink="">
      <xdr:nvSpPr>
        <xdr:cNvPr id="480" name="Isosceles Triangle 479">
          <a:extLst>
            <a:ext uri="{FF2B5EF4-FFF2-40B4-BE49-F238E27FC236}">
              <a16:creationId xmlns:a16="http://schemas.microsoft.com/office/drawing/2014/main" id="{782F4674-D8F1-4268-A852-327E1A05303B}"/>
            </a:ext>
          </a:extLst>
        </xdr:cNvPr>
        <xdr:cNvSpPr/>
      </xdr:nvSpPr>
      <xdr:spPr>
        <a:xfrm>
          <a:off x="17007840" y="102104489"/>
          <a:ext cx="99822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293</xdr:row>
      <xdr:rowOff>127000</xdr:rowOff>
    </xdr:from>
    <xdr:to>
      <xdr:col>15</xdr:col>
      <xdr:colOff>9072</xdr:colOff>
      <xdr:row>296</xdr:row>
      <xdr:rowOff>188964</xdr:rowOff>
    </xdr:to>
    <xdr:sp macro="" textlink="">
      <xdr:nvSpPr>
        <xdr:cNvPr id="481" name="Isosceles Triangle 480">
          <a:extLst>
            <a:ext uri="{FF2B5EF4-FFF2-40B4-BE49-F238E27FC236}">
              <a16:creationId xmlns:a16="http://schemas.microsoft.com/office/drawing/2014/main" id="{5333C144-8683-4EBD-B665-123DDE88F9EE}"/>
            </a:ext>
          </a:extLst>
        </xdr:cNvPr>
        <xdr:cNvSpPr/>
      </xdr:nvSpPr>
      <xdr:spPr>
        <a:xfrm>
          <a:off x="13555980" y="102105460"/>
          <a:ext cx="1053012"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293</xdr:row>
      <xdr:rowOff>126029</xdr:rowOff>
    </xdr:from>
    <xdr:to>
      <xdr:col>21</xdr:col>
      <xdr:colOff>0</xdr:colOff>
      <xdr:row>296</xdr:row>
      <xdr:rowOff>187993</xdr:rowOff>
    </xdr:to>
    <xdr:sp macro="" textlink="">
      <xdr:nvSpPr>
        <xdr:cNvPr id="482" name="Isosceles Triangle 481">
          <a:extLst>
            <a:ext uri="{FF2B5EF4-FFF2-40B4-BE49-F238E27FC236}">
              <a16:creationId xmlns:a16="http://schemas.microsoft.com/office/drawing/2014/main" id="{AA71ACDC-CAD4-4C0E-9FB2-284D34BD6487}"/>
            </a:ext>
          </a:extLst>
        </xdr:cNvPr>
        <xdr:cNvSpPr/>
      </xdr:nvSpPr>
      <xdr:spPr>
        <a:xfrm>
          <a:off x="18630900" y="102104489"/>
          <a:ext cx="105156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293</xdr:row>
      <xdr:rowOff>126029</xdr:rowOff>
    </xdr:from>
    <xdr:to>
      <xdr:col>23</xdr:col>
      <xdr:colOff>0</xdr:colOff>
      <xdr:row>296</xdr:row>
      <xdr:rowOff>187993</xdr:rowOff>
    </xdr:to>
    <xdr:sp macro="" textlink="">
      <xdr:nvSpPr>
        <xdr:cNvPr id="483" name="Isosceles Triangle 482">
          <a:extLst>
            <a:ext uri="{FF2B5EF4-FFF2-40B4-BE49-F238E27FC236}">
              <a16:creationId xmlns:a16="http://schemas.microsoft.com/office/drawing/2014/main" id="{8A8F36F7-447C-4154-B2FC-B2FF5D7916A4}"/>
            </a:ext>
          </a:extLst>
        </xdr:cNvPr>
        <xdr:cNvSpPr/>
      </xdr:nvSpPr>
      <xdr:spPr>
        <a:xfrm>
          <a:off x="20589240" y="102104489"/>
          <a:ext cx="101346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0</xdr:col>
      <xdr:colOff>0</xdr:colOff>
      <xdr:row>293</xdr:row>
      <xdr:rowOff>126029</xdr:rowOff>
    </xdr:from>
    <xdr:to>
      <xdr:col>1</xdr:col>
      <xdr:colOff>0</xdr:colOff>
      <xdr:row>296</xdr:row>
      <xdr:rowOff>187993</xdr:rowOff>
    </xdr:to>
    <xdr:sp macro="" textlink="">
      <xdr:nvSpPr>
        <xdr:cNvPr id="484" name="Isosceles Triangle 483">
          <a:extLst>
            <a:ext uri="{FF2B5EF4-FFF2-40B4-BE49-F238E27FC236}">
              <a16:creationId xmlns:a16="http://schemas.microsoft.com/office/drawing/2014/main" id="{368D9BC9-92F8-4E66-9C79-A1F9E3A8B160}"/>
            </a:ext>
          </a:extLst>
        </xdr:cNvPr>
        <xdr:cNvSpPr/>
      </xdr:nvSpPr>
      <xdr:spPr>
        <a:xfrm>
          <a:off x="0" y="102104489"/>
          <a:ext cx="126492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345</xdr:row>
      <xdr:rowOff>126029</xdr:rowOff>
    </xdr:from>
    <xdr:to>
      <xdr:col>3</xdr:col>
      <xdr:colOff>0</xdr:colOff>
      <xdr:row>348</xdr:row>
      <xdr:rowOff>149893</xdr:rowOff>
    </xdr:to>
    <xdr:sp macro="" textlink="">
      <xdr:nvSpPr>
        <xdr:cNvPr id="485" name="Isosceles Triangle 484">
          <a:extLst>
            <a:ext uri="{FF2B5EF4-FFF2-40B4-BE49-F238E27FC236}">
              <a16:creationId xmlns:a16="http://schemas.microsoft.com/office/drawing/2014/main" id="{BC2B7E53-4025-4452-9C34-814537A2D4E6}"/>
            </a:ext>
          </a:extLst>
        </xdr:cNvPr>
        <xdr:cNvSpPr/>
      </xdr:nvSpPr>
      <xdr:spPr>
        <a:xfrm>
          <a:off x="2011680" y="121444049"/>
          <a:ext cx="1021080" cy="11211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345</xdr:row>
      <xdr:rowOff>126029</xdr:rowOff>
    </xdr:from>
    <xdr:to>
      <xdr:col>5</xdr:col>
      <xdr:colOff>0</xdr:colOff>
      <xdr:row>348</xdr:row>
      <xdr:rowOff>149893</xdr:rowOff>
    </xdr:to>
    <xdr:sp macro="" textlink="">
      <xdr:nvSpPr>
        <xdr:cNvPr id="486" name="Isosceles Triangle 485">
          <a:extLst>
            <a:ext uri="{FF2B5EF4-FFF2-40B4-BE49-F238E27FC236}">
              <a16:creationId xmlns:a16="http://schemas.microsoft.com/office/drawing/2014/main" id="{5B62897C-82D8-4564-B6BB-9D9F6D0D51DA}"/>
            </a:ext>
          </a:extLst>
        </xdr:cNvPr>
        <xdr:cNvSpPr/>
      </xdr:nvSpPr>
      <xdr:spPr>
        <a:xfrm>
          <a:off x="4076700" y="121444049"/>
          <a:ext cx="119634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345</xdr:row>
      <xdr:rowOff>126029</xdr:rowOff>
    </xdr:from>
    <xdr:to>
      <xdr:col>7</xdr:col>
      <xdr:colOff>0</xdr:colOff>
      <xdr:row>348</xdr:row>
      <xdr:rowOff>149893</xdr:rowOff>
    </xdr:to>
    <xdr:sp macro="" textlink="">
      <xdr:nvSpPr>
        <xdr:cNvPr id="487" name="Isosceles Triangle 486">
          <a:extLst>
            <a:ext uri="{FF2B5EF4-FFF2-40B4-BE49-F238E27FC236}">
              <a16:creationId xmlns:a16="http://schemas.microsoft.com/office/drawing/2014/main" id="{A68E9207-F53D-450F-B767-D42248B7659E}"/>
            </a:ext>
          </a:extLst>
        </xdr:cNvPr>
        <xdr:cNvSpPr/>
      </xdr:nvSpPr>
      <xdr:spPr>
        <a:xfrm>
          <a:off x="6309360" y="121444049"/>
          <a:ext cx="11125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345</xdr:row>
      <xdr:rowOff>126029</xdr:rowOff>
    </xdr:from>
    <xdr:to>
      <xdr:col>9</xdr:col>
      <xdr:colOff>0</xdr:colOff>
      <xdr:row>348</xdr:row>
      <xdr:rowOff>149893</xdr:rowOff>
    </xdr:to>
    <xdr:sp macro="" textlink="">
      <xdr:nvSpPr>
        <xdr:cNvPr id="488" name="Isosceles Triangle 487">
          <a:extLst>
            <a:ext uri="{FF2B5EF4-FFF2-40B4-BE49-F238E27FC236}">
              <a16:creationId xmlns:a16="http://schemas.microsoft.com/office/drawing/2014/main" id="{D0E6B2D8-6582-48B7-96A1-D5AC8479396E}"/>
            </a:ext>
          </a:extLst>
        </xdr:cNvPr>
        <xdr:cNvSpPr/>
      </xdr:nvSpPr>
      <xdr:spPr>
        <a:xfrm>
          <a:off x="8298180" y="121444049"/>
          <a:ext cx="127254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345</xdr:row>
      <xdr:rowOff>138729</xdr:rowOff>
    </xdr:from>
    <xdr:to>
      <xdr:col>11</xdr:col>
      <xdr:colOff>0</xdr:colOff>
      <xdr:row>349</xdr:row>
      <xdr:rowOff>5113</xdr:rowOff>
    </xdr:to>
    <xdr:sp macro="" textlink="">
      <xdr:nvSpPr>
        <xdr:cNvPr id="489" name="Isosceles Triangle 488">
          <a:extLst>
            <a:ext uri="{FF2B5EF4-FFF2-40B4-BE49-F238E27FC236}">
              <a16:creationId xmlns:a16="http://schemas.microsoft.com/office/drawing/2014/main" id="{8849D376-72B8-450C-9EFD-26F81C2E1654}"/>
            </a:ext>
          </a:extLst>
        </xdr:cNvPr>
        <xdr:cNvSpPr/>
      </xdr:nvSpPr>
      <xdr:spPr>
        <a:xfrm>
          <a:off x="10195560" y="121456749"/>
          <a:ext cx="944880" cy="1116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345</xdr:row>
      <xdr:rowOff>126029</xdr:rowOff>
    </xdr:from>
    <xdr:to>
      <xdr:col>13</xdr:col>
      <xdr:colOff>0</xdr:colOff>
      <xdr:row>348</xdr:row>
      <xdr:rowOff>149893</xdr:rowOff>
    </xdr:to>
    <xdr:sp macro="" textlink="">
      <xdr:nvSpPr>
        <xdr:cNvPr id="490" name="Isosceles Triangle 489">
          <a:extLst>
            <a:ext uri="{FF2B5EF4-FFF2-40B4-BE49-F238E27FC236}">
              <a16:creationId xmlns:a16="http://schemas.microsoft.com/office/drawing/2014/main" id="{F7F3D59A-CA33-416D-8AB0-D788BC7C4923}"/>
            </a:ext>
          </a:extLst>
        </xdr:cNvPr>
        <xdr:cNvSpPr/>
      </xdr:nvSpPr>
      <xdr:spPr>
        <a:xfrm>
          <a:off x="11765280" y="12144404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12700</xdr:colOff>
      <xdr:row>345</xdr:row>
      <xdr:rowOff>126029</xdr:rowOff>
    </xdr:from>
    <xdr:to>
      <xdr:col>17</xdr:col>
      <xdr:colOff>12700</xdr:colOff>
      <xdr:row>348</xdr:row>
      <xdr:rowOff>149893</xdr:rowOff>
    </xdr:to>
    <xdr:sp macro="" textlink="">
      <xdr:nvSpPr>
        <xdr:cNvPr id="491" name="Isosceles Triangle 490">
          <a:extLst>
            <a:ext uri="{FF2B5EF4-FFF2-40B4-BE49-F238E27FC236}">
              <a16:creationId xmlns:a16="http://schemas.microsoft.com/office/drawing/2014/main" id="{8C680AB0-CC36-4DD7-8B7E-39CC4BC2C349}"/>
            </a:ext>
          </a:extLst>
        </xdr:cNvPr>
        <xdr:cNvSpPr/>
      </xdr:nvSpPr>
      <xdr:spPr>
        <a:xfrm>
          <a:off x="15252700" y="121444049"/>
          <a:ext cx="11430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345</xdr:row>
      <xdr:rowOff>126029</xdr:rowOff>
    </xdr:from>
    <xdr:to>
      <xdr:col>19</xdr:col>
      <xdr:colOff>0</xdr:colOff>
      <xdr:row>348</xdr:row>
      <xdr:rowOff>149893</xdr:rowOff>
    </xdr:to>
    <xdr:sp macro="" textlink="">
      <xdr:nvSpPr>
        <xdr:cNvPr id="492" name="Isosceles Triangle 491">
          <a:extLst>
            <a:ext uri="{FF2B5EF4-FFF2-40B4-BE49-F238E27FC236}">
              <a16:creationId xmlns:a16="http://schemas.microsoft.com/office/drawing/2014/main" id="{B6A7709F-5364-4020-9BE0-7110BE62C219}"/>
            </a:ext>
          </a:extLst>
        </xdr:cNvPr>
        <xdr:cNvSpPr/>
      </xdr:nvSpPr>
      <xdr:spPr>
        <a:xfrm>
          <a:off x="17007840" y="121444049"/>
          <a:ext cx="9982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345</xdr:row>
      <xdr:rowOff>127000</xdr:rowOff>
    </xdr:from>
    <xdr:to>
      <xdr:col>15</xdr:col>
      <xdr:colOff>9072</xdr:colOff>
      <xdr:row>348</xdr:row>
      <xdr:rowOff>150864</xdr:rowOff>
    </xdr:to>
    <xdr:sp macro="" textlink="">
      <xdr:nvSpPr>
        <xdr:cNvPr id="493" name="Isosceles Triangle 492">
          <a:extLst>
            <a:ext uri="{FF2B5EF4-FFF2-40B4-BE49-F238E27FC236}">
              <a16:creationId xmlns:a16="http://schemas.microsoft.com/office/drawing/2014/main" id="{40780994-E361-4B0C-8687-FE65D5AA6B15}"/>
            </a:ext>
          </a:extLst>
        </xdr:cNvPr>
        <xdr:cNvSpPr/>
      </xdr:nvSpPr>
      <xdr:spPr>
        <a:xfrm>
          <a:off x="13555980" y="121445020"/>
          <a:ext cx="1053012"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345</xdr:row>
      <xdr:rowOff>126029</xdr:rowOff>
    </xdr:from>
    <xdr:to>
      <xdr:col>21</xdr:col>
      <xdr:colOff>0</xdr:colOff>
      <xdr:row>348</xdr:row>
      <xdr:rowOff>149893</xdr:rowOff>
    </xdr:to>
    <xdr:sp macro="" textlink="">
      <xdr:nvSpPr>
        <xdr:cNvPr id="494" name="Isosceles Triangle 493">
          <a:extLst>
            <a:ext uri="{FF2B5EF4-FFF2-40B4-BE49-F238E27FC236}">
              <a16:creationId xmlns:a16="http://schemas.microsoft.com/office/drawing/2014/main" id="{21F68AB5-0A0B-4AC2-AC8D-10652D7F940F}"/>
            </a:ext>
          </a:extLst>
        </xdr:cNvPr>
        <xdr:cNvSpPr/>
      </xdr:nvSpPr>
      <xdr:spPr>
        <a:xfrm>
          <a:off x="18630900" y="121444049"/>
          <a:ext cx="10515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345</xdr:row>
      <xdr:rowOff>126029</xdr:rowOff>
    </xdr:from>
    <xdr:to>
      <xdr:col>23</xdr:col>
      <xdr:colOff>0</xdr:colOff>
      <xdr:row>348</xdr:row>
      <xdr:rowOff>149893</xdr:rowOff>
    </xdr:to>
    <xdr:sp macro="" textlink="">
      <xdr:nvSpPr>
        <xdr:cNvPr id="495" name="Isosceles Triangle 494">
          <a:extLst>
            <a:ext uri="{FF2B5EF4-FFF2-40B4-BE49-F238E27FC236}">
              <a16:creationId xmlns:a16="http://schemas.microsoft.com/office/drawing/2014/main" id="{A3BF40F1-47DB-4B32-9E74-00DBC8F715D8}"/>
            </a:ext>
          </a:extLst>
        </xdr:cNvPr>
        <xdr:cNvSpPr/>
      </xdr:nvSpPr>
      <xdr:spPr>
        <a:xfrm>
          <a:off x="20589240" y="12144404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0</xdr:col>
      <xdr:colOff>0</xdr:colOff>
      <xdr:row>345</xdr:row>
      <xdr:rowOff>126029</xdr:rowOff>
    </xdr:from>
    <xdr:to>
      <xdr:col>1</xdr:col>
      <xdr:colOff>0</xdr:colOff>
      <xdr:row>348</xdr:row>
      <xdr:rowOff>149893</xdr:rowOff>
    </xdr:to>
    <xdr:sp macro="" textlink="">
      <xdr:nvSpPr>
        <xdr:cNvPr id="496" name="Isosceles Triangle 495">
          <a:extLst>
            <a:ext uri="{FF2B5EF4-FFF2-40B4-BE49-F238E27FC236}">
              <a16:creationId xmlns:a16="http://schemas.microsoft.com/office/drawing/2014/main" id="{1A2AE373-7299-4B5B-807B-A0BBA953F551}"/>
            </a:ext>
          </a:extLst>
        </xdr:cNvPr>
        <xdr:cNvSpPr/>
      </xdr:nvSpPr>
      <xdr:spPr>
        <a:xfrm>
          <a:off x="0" y="121444049"/>
          <a:ext cx="12649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337</xdr:row>
      <xdr:rowOff>126029</xdr:rowOff>
    </xdr:from>
    <xdr:to>
      <xdr:col>3</xdr:col>
      <xdr:colOff>0</xdr:colOff>
      <xdr:row>340</xdr:row>
      <xdr:rowOff>187993</xdr:rowOff>
    </xdr:to>
    <xdr:sp macro="" textlink="">
      <xdr:nvSpPr>
        <xdr:cNvPr id="497" name="Isosceles Triangle 496">
          <a:extLst>
            <a:ext uri="{FF2B5EF4-FFF2-40B4-BE49-F238E27FC236}">
              <a16:creationId xmlns:a16="http://schemas.microsoft.com/office/drawing/2014/main" id="{179A99E0-C030-43D3-9BE7-56C698B2AC72}"/>
            </a:ext>
          </a:extLst>
        </xdr:cNvPr>
        <xdr:cNvSpPr/>
      </xdr:nvSpPr>
      <xdr:spPr>
        <a:xfrm>
          <a:off x="2011680" y="118533209"/>
          <a:ext cx="102108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337</xdr:row>
      <xdr:rowOff>126029</xdr:rowOff>
    </xdr:from>
    <xdr:to>
      <xdr:col>5</xdr:col>
      <xdr:colOff>0</xdr:colOff>
      <xdr:row>340</xdr:row>
      <xdr:rowOff>187993</xdr:rowOff>
    </xdr:to>
    <xdr:sp macro="" textlink="">
      <xdr:nvSpPr>
        <xdr:cNvPr id="498" name="Isosceles Triangle 497">
          <a:extLst>
            <a:ext uri="{FF2B5EF4-FFF2-40B4-BE49-F238E27FC236}">
              <a16:creationId xmlns:a16="http://schemas.microsoft.com/office/drawing/2014/main" id="{FDCE8A01-67B9-42B6-9FB5-D71608ABF219}"/>
            </a:ext>
          </a:extLst>
        </xdr:cNvPr>
        <xdr:cNvSpPr/>
      </xdr:nvSpPr>
      <xdr:spPr>
        <a:xfrm>
          <a:off x="4076700" y="118533209"/>
          <a:ext cx="119634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337</xdr:row>
      <xdr:rowOff>126029</xdr:rowOff>
    </xdr:from>
    <xdr:to>
      <xdr:col>7</xdr:col>
      <xdr:colOff>0</xdr:colOff>
      <xdr:row>340</xdr:row>
      <xdr:rowOff>187993</xdr:rowOff>
    </xdr:to>
    <xdr:sp macro="" textlink="">
      <xdr:nvSpPr>
        <xdr:cNvPr id="499" name="Isosceles Triangle 498">
          <a:extLst>
            <a:ext uri="{FF2B5EF4-FFF2-40B4-BE49-F238E27FC236}">
              <a16:creationId xmlns:a16="http://schemas.microsoft.com/office/drawing/2014/main" id="{EA85EB20-6AE9-47D8-96D1-F9A02437AFA3}"/>
            </a:ext>
          </a:extLst>
        </xdr:cNvPr>
        <xdr:cNvSpPr/>
      </xdr:nvSpPr>
      <xdr:spPr>
        <a:xfrm>
          <a:off x="6309360" y="118533209"/>
          <a:ext cx="11125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337</xdr:row>
      <xdr:rowOff>126029</xdr:rowOff>
    </xdr:from>
    <xdr:to>
      <xdr:col>9</xdr:col>
      <xdr:colOff>0</xdr:colOff>
      <xdr:row>340</xdr:row>
      <xdr:rowOff>187993</xdr:rowOff>
    </xdr:to>
    <xdr:sp macro="" textlink="">
      <xdr:nvSpPr>
        <xdr:cNvPr id="500" name="Isosceles Triangle 499">
          <a:extLst>
            <a:ext uri="{FF2B5EF4-FFF2-40B4-BE49-F238E27FC236}">
              <a16:creationId xmlns:a16="http://schemas.microsoft.com/office/drawing/2014/main" id="{C805D733-8303-46CA-8B9A-95B2AAE7C46B}"/>
            </a:ext>
          </a:extLst>
        </xdr:cNvPr>
        <xdr:cNvSpPr/>
      </xdr:nvSpPr>
      <xdr:spPr>
        <a:xfrm>
          <a:off x="8298180" y="118533209"/>
          <a:ext cx="127254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337</xdr:row>
      <xdr:rowOff>126029</xdr:rowOff>
    </xdr:from>
    <xdr:to>
      <xdr:col>11</xdr:col>
      <xdr:colOff>0</xdr:colOff>
      <xdr:row>340</xdr:row>
      <xdr:rowOff>187993</xdr:rowOff>
    </xdr:to>
    <xdr:sp macro="" textlink="">
      <xdr:nvSpPr>
        <xdr:cNvPr id="501" name="Isosceles Triangle 500">
          <a:extLst>
            <a:ext uri="{FF2B5EF4-FFF2-40B4-BE49-F238E27FC236}">
              <a16:creationId xmlns:a16="http://schemas.microsoft.com/office/drawing/2014/main" id="{F3DCDD5C-47F5-4694-A998-02E66FE55BE4}"/>
            </a:ext>
          </a:extLst>
        </xdr:cNvPr>
        <xdr:cNvSpPr/>
      </xdr:nvSpPr>
      <xdr:spPr>
        <a:xfrm>
          <a:off x="10195560" y="118533209"/>
          <a:ext cx="94488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337</xdr:row>
      <xdr:rowOff>126029</xdr:rowOff>
    </xdr:from>
    <xdr:to>
      <xdr:col>13</xdr:col>
      <xdr:colOff>0</xdr:colOff>
      <xdr:row>340</xdr:row>
      <xdr:rowOff>187993</xdr:rowOff>
    </xdr:to>
    <xdr:sp macro="" textlink="">
      <xdr:nvSpPr>
        <xdr:cNvPr id="502" name="Isosceles Triangle 501">
          <a:extLst>
            <a:ext uri="{FF2B5EF4-FFF2-40B4-BE49-F238E27FC236}">
              <a16:creationId xmlns:a16="http://schemas.microsoft.com/office/drawing/2014/main" id="{7F5AE86B-0678-4F3D-A0BD-CBF50BDC19A8}"/>
            </a:ext>
          </a:extLst>
        </xdr:cNvPr>
        <xdr:cNvSpPr/>
      </xdr:nvSpPr>
      <xdr:spPr>
        <a:xfrm>
          <a:off x="11765280" y="118533209"/>
          <a:ext cx="10134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337</xdr:row>
      <xdr:rowOff>126029</xdr:rowOff>
    </xdr:from>
    <xdr:to>
      <xdr:col>17</xdr:col>
      <xdr:colOff>0</xdr:colOff>
      <xdr:row>340</xdr:row>
      <xdr:rowOff>187993</xdr:rowOff>
    </xdr:to>
    <xdr:sp macro="" textlink="">
      <xdr:nvSpPr>
        <xdr:cNvPr id="503" name="Isosceles Triangle 502">
          <a:extLst>
            <a:ext uri="{FF2B5EF4-FFF2-40B4-BE49-F238E27FC236}">
              <a16:creationId xmlns:a16="http://schemas.microsoft.com/office/drawing/2014/main" id="{85216338-B1F8-44CC-9AE3-4E525C4352B7}"/>
            </a:ext>
          </a:extLst>
        </xdr:cNvPr>
        <xdr:cNvSpPr/>
      </xdr:nvSpPr>
      <xdr:spPr>
        <a:xfrm>
          <a:off x="15240000" y="118533209"/>
          <a:ext cx="114300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337</xdr:row>
      <xdr:rowOff>126029</xdr:rowOff>
    </xdr:from>
    <xdr:to>
      <xdr:col>19</xdr:col>
      <xdr:colOff>0</xdr:colOff>
      <xdr:row>340</xdr:row>
      <xdr:rowOff>187993</xdr:rowOff>
    </xdr:to>
    <xdr:sp macro="" textlink="">
      <xdr:nvSpPr>
        <xdr:cNvPr id="504" name="Isosceles Triangle 503">
          <a:extLst>
            <a:ext uri="{FF2B5EF4-FFF2-40B4-BE49-F238E27FC236}">
              <a16:creationId xmlns:a16="http://schemas.microsoft.com/office/drawing/2014/main" id="{060999E3-0EDF-4049-B027-CDD6C4B24E6B}"/>
            </a:ext>
          </a:extLst>
        </xdr:cNvPr>
        <xdr:cNvSpPr/>
      </xdr:nvSpPr>
      <xdr:spPr>
        <a:xfrm>
          <a:off x="17007840" y="118533209"/>
          <a:ext cx="9982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337</xdr:row>
      <xdr:rowOff>127000</xdr:rowOff>
    </xdr:from>
    <xdr:to>
      <xdr:col>15</xdr:col>
      <xdr:colOff>9072</xdr:colOff>
      <xdr:row>340</xdr:row>
      <xdr:rowOff>188964</xdr:rowOff>
    </xdr:to>
    <xdr:sp macro="" textlink="">
      <xdr:nvSpPr>
        <xdr:cNvPr id="505" name="Isosceles Triangle 504">
          <a:extLst>
            <a:ext uri="{FF2B5EF4-FFF2-40B4-BE49-F238E27FC236}">
              <a16:creationId xmlns:a16="http://schemas.microsoft.com/office/drawing/2014/main" id="{646BD8E8-A471-40D0-87E6-EA050EDE19C8}"/>
            </a:ext>
          </a:extLst>
        </xdr:cNvPr>
        <xdr:cNvSpPr/>
      </xdr:nvSpPr>
      <xdr:spPr>
        <a:xfrm>
          <a:off x="13555980" y="118534180"/>
          <a:ext cx="1053012"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337</xdr:row>
      <xdr:rowOff>126029</xdr:rowOff>
    </xdr:from>
    <xdr:to>
      <xdr:col>21</xdr:col>
      <xdr:colOff>0</xdr:colOff>
      <xdr:row>340</xdr:row>
      <xdr:rowOff>187993</xdr:rowOff>
    </xdr:to>
    <xdr:sp macro="" textlink="">
      <xdr:nvSpPr>
        <xdr:cNvPr id="506" name="Isosceles Triangle 505">
          <a:extLst>
            <a:ext uri="{FF2B5EF4-FFF2-40B4-BE49-F238E27FC236}">
              <a16:creationId xmlns:a16="http://schemas.microsoft.com/office/drawing/2014/main" id="{B9F9800B-5B10-4267-B3CE-90EF20B81C49}"/>
            </a:ext>
          </a:extLst>
        </xdr:cNvPr>
        <xdr:cNvSpPr/>
      </xdr:nvSpPr>
      <xdr:spPr>
        <a:xfrm>
          <a:off x="18630900" y="118533209"/>
          <a:ext cx="10515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337</xdr:row>
      <xdr:rowOff>126029</xdr:rowOff>
    </xdr:from>
    <xdr:to>
      <xdr:col>23</xdr:col>
      <xdr:colOff>0</xdr:colOff>
      <xdr:row>340</xdr:row>
      <xdr:rowOff>187993</xdr:rowOff>
    </xdr:to>
    <xdr:sp macro="" textlink="">
      <xdr:nvSpPr>
        <xdr:cNvPr id="507" name="Isosceles Triangle 506">
          <a:extLst>
            <a:ext uri="{FF2B5EF4-FFF2-40B4-BE49-F238E27FC236}">
              <a16:creationId xmlns:a16="http://schemas.microsoft.com/office/drawing/2014/main" id="{662CFA61-C426-4888-B911-040D50A2ABDC}"/>
            </a:ext>
          </a:extLst>
        </xdr:cNvPr>
        <xdr:cNvSpPr/>
      </xdr:nvSpPr>
      <xdr:spPr>
        <a:xfrm>
          <a:off x="20589240" y="118533209"/>
          <a:ext cx="10134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0</xdr:col>
      <xdr:colOff>0</xdr:colOff>
      <xdr:row>337</xdr:row>
      <xdr:rowOff>126029</xdr:rowOff>
    </xdr:from>
    <xdr:to>
      <xdr:col>1</xdr:col>
      <xdr:colOff>0</xdr:colOff>
      <xdr:row>340</xdr:row>
      <xdr:rowOff>187993</xdr:rowOff>
    </xdr:to>
    <xdr:sp macro="" textlink="">
      <xdr:nvSpPr>
        <xdr:cNvPr id="508" name="Isosceles Triangle 507">
          <a:extLst>
            <a:ext uri="{FF2B5EF4-FFF2-40B4-BE49-F238E27FC236}">
              <a16:creationId xmlns:a16="http://schemas.microsoft.com/office/drawing/2014/main" id="{170FE717-0D16-44DD-8A7F-38A33B53A663}"/>
            </a:ext>
          </a:extLst>
        </xdr:cNvPr>
        <xdr:cNvSpPr/>
      </xdr:nvSpPr>
      <xdr:spPr>
        <a:xfrm>
          <a:off x="0" y="118533209"/>
          <a:ext cx="12649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329</xdr:row>
      <xdr:rowOff>261139</xdr:rowOff>
    </xdr:from>
    <xdr:to>
      <xdr:col>3</xdr:col>
      <xdr:colOff>0</xdr:colOff>
      <xdr:row>332</xdr:row>
      <xdr:rowOff>189153</xdr:rowOff>
    </xdr:to>
    <xdr:sp macro="" textlink="">
      <xdr:nvSpPr>
        <xdr:cNvPr id="509" name="Isosceles Triangle 508">
          <a:extLst>
            <a:ext uri="{FF2B5EF4-FFF2-40B4-BE49-F238E27FC236}">
              <a16:creationId xmlns:a16="http://schemas.microsoft.com/office/drawing/2014/main" id="{12C2E6CA-F4E9-42F9-88DC-16F33ADB99C5}"/>
            </a:ext>
          </a:extLst>
        </xdr:cNvPr>
        <xdr:cNvSpPr/>
      </xdr:nvSpPr>
      <xdr:spPr>
        <a:xfrm>
          <a:off x="2040106" y="97078373"/>
          <a:ext cx="1040320" cy="738652"/>
        </a:xfrm>
        <a:prstGeom prst="triangle">
          <a:avLst/>
        </a:prstGeom>
        <a:solidFill>
          <a:srgbClr val="FFFF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ysClr val="windowText" lastClr="000000"/>
            </a:solidFill>
          </a:endParaRPr>
        </a:p>
      </xdr:txBody>
    </xdr:sp>
    <xdr:clientData/>
  </xdr:twoCellAnchor>
  <xdr:twoCellAnchor>
    <xdr:from>
      <xdr:col>4</xdr:col>
      <xdr:colOff>0</xdr:colOff>
      <xdr:row>329</xdr:row>
      <xdr:rowOff>126029</xdr:rowOff>
    </xdr:from>
    <xdr:to>
      <xdr:col>5</xdr:col>
      <xdr:colOff>0</xdr:colOff>
      <xdr:row>332</xdr:row>
      <xdr:rowOff>195613</xdr:rowOff>
    </xdr:to>
    <xdr:sp macro="" textlink="">
      <xdr:nvSpPr>
        <xdr:cNvPr id="510" name="Isosceles Triangle 509">
          <a:extLst>
            <a:ext uri="{FF2B5EF4-FFF2-40B4-BE49-F238E27FC236}">
              <a16:creationId xmlns:a16="http://schemas.microsoft.com/office/drawing/2014/main" id="{A665B061-7F5B-4274-BE85-8B022F681771}"/>
            </a:ext>
          </a:extLst>
        </xdr:cNvPr>
        <xdr:cNvSpPr/>
      </xdr:nvSpPr>
      <xdr:spPr>
        <a:xfrm>
          <a:off x="4076700" y="115492829"/>
          <a:ext cx="11963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329</xdr:row>
      <xdr:rowOff>126029</xdr:rowOff>
    </xdr:from>
    <xdr:to>
      <xdr:col>7</xdr:col>
      <xdr:colOff>0</xdr:colOff>
      <xdr:row>332</xdr:row>
      <xdr:rowOff>195613</xdr:rowOff>
    </xdr:to>
    <xdr:sp macro="" textlink="">
      <xdr:nvSpPr>
        <xdr:cNvPr id="511" name="Isosceles Triangle 510">
          <a:extLst>
            <a:ext uri="{FF2B5EF4-FFF2-40B4-BE49-F238E27FC236}">
              <a16:creationId xmlns:a16="http://schemas.microsoft.com/office/drawing/2014/main" id="{AD25B884-8506-4E44-9DE2-AE1B8023F17D}"/>
            </a:ext>
          </a:extLst>
        </xdr:cNvPr>
        <xdr:cNvSpPr/>
      </xdr:nvSpPr>
      <xdr:spPr>
        <a:xfrm>
          <a:off x="6309360" y="115492829"/>
          <a:ext cx="11125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329</xdr:row>
      <xdr:rowOff>126029</xdr:rowOff>
    </xdr:from>
    <xdr:to>
      <xdr:col>9</xdr:col>
      <xdr:colOff>0</xdr:colOff>
      <xdr:row>332</xdr:row>
      <xdr:rowOff>195613</xdr:rowOff>
    </xdr:to>
    <xdr:sp macro="" textlink="">
      <xdr:nvSpPr>
        <xdr:cNvPr id="512" name="Isosceles Triangle 511">
          <a:extLst>
            <a:ext uri="{FF2B5EF4-FFF2-40B4-BE49-F238E27FC236}">
              <a16:creationId xmlns:a16="http://schemas.microsoft.com/office/drawing/2014/main" id="{3397A0AB-C546-46EF-9ABB-41936715A78F}"/>
            </a:ext>
          </a:extLst>
        </xdr:cNvPr>
        <xdr:cNvSpPr/>
      </xdr:nvSpPr>
      <xdr:spPr>
        <a:xfrm>
          <a:off x="8298180" y="115492829"/>
          <a:ext cx="12725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329</xdr:row>
      <xdr:rowOff>126029</xdr:rowOff>
    </xdr:from>
    <xdr:to>
      <xdr:col>11</xdr:col>
      <xdr:colOff>0</xdr:colOff>
      <xdr:row>332</xdr:row>
      <xdr:rowOff>195613</xdr:rowOff>
    </xdr:to>
    <xdr:sp macro="" textlink="">
      <xdr:nvSpPr>
        <xdr:cNvPr id="513" name="Isosceles Triangle 512">
          <a:extLst>
            <a:ext uri="{FF2B5EF4-FFF2-40B4-BE49-F238E27FC236}">
              <a16:creationId xmlns:a16="http://schemas.microsoft.com/office/drawing/2014/main" id="{571B787D-4968-42AA-9308-00CFC254D851}"/>
            </a:ext>
          </a:extLst>
        </xdr:cNvPr>
        <xdr:cNvSpPr/>
      </xdr:nvSpPr>
      <xdr:spPr>
        <a:xfrm>
          <a:off x="10195560" y="115492829"/>
          <a:ext cx="9448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329</xdr:row>
      <xdr:rowOff>126029</xdr:rowOff>
    </xdr:from>
    <xdr:to>
      <xdr:col>13</xdr:col>
      <xdr:colOff>0</xdr:colOff>
      <xdr:row>332</xdr:row>
      <xdr:rowOff>195613</xdr:rowOff>
    </xdr:to>
    <xdr:sp macro="" textlink="">
      <xdr:nvSpPr>
        <xdr:cNvPr id="514" name="Isosceles Triangle 513">
          <a:extLst>
            <a:ext uri="{FF2B5EF4-FFF2-40B4-BE49-F238E27FC236}">
              <a16:creationId xmlns:a16="http://schemas.microsoft.com/office/drawing/2014/main" id="{8812A52A-AFF0-4153-8183-C5E6E1B54DC9}"/>
            </a:ext>
          </a:extLst>
        </xdr:cNvPr>
        <xdr:cNvSpPr/>
      </xdr:nvSpPr>
      <xdr:spPr>
        <a:xfrm>
          <a:off x="11765280" y="11549282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329</xdr:row>
      <xdr:rowOff>126029</xdr:rowOff>
    </xdr:from>
    <xdr:to>
      <xdr:col>17</xdr:col>
      <xdr:colOff>0</xdr:colOff>
      <xdr:row>332</xdr:row>
      <xdr:rowOff>195613</xdr:rowOff>
    </xdr:to>
    <xdr:sp macro="" textlink="">
      <xdr:nvSpPr>
        <xdr:cNvPr id="515" name="Isosceles Triangle 514">
          <a:extLst>
            <a:ext uri="{FF2B5EF4-FFF2-40B4-BE49-F238E27FC236}">
              <a16:creationId xmlns:a16="http://schemas.microsoft.com/office/drawing/2014/main" id="{7A4C4E40-1DF2-4084-AEB3-57B96DCE2F23}"/>
            </a:ext>
          </a:extLst>
        </xdr:cNvPr>
        <xdr:cNvSpPr/>
      </xdr:nvSpPr>
      <xdr:spPr>
        <a:xfrm>
          <a:off x="15240000" y="115492829"/>
          <a:ext cx="114300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329</xdr:row>
      <xdr:rowOff>126029</xdr:rowOff>
    </xdr:from>
    <xdr:to>
      <xdr:col>19</xdr:col>
      <xdr:colOff>0</xdr:colOff>
      <xdr:row>332</xdr:row>
      <xdr:rowOff>195613</xdr:rowOff>
    </xdr:to>
    <xdr:sp macro="" textlink="">
      <xdr:nvSpPr>
        <xdr:cNvPr id="516" name="Isosceles Triangle 515">
          <a:extLst>
            <a:ext uri="{FF2B5EF4-FFF2-40B4-BE49-F238E27FC236}">
              <a16:creationId xmlns:a16="http://schemas.microsoft.com/office/drawing/2014/main" id="{431C0AEE-5A86-4C24-B0ED-99C9568574F9}"/>
            </a:ext>
          </a:extLst>
        </xdr:cNvPr>
        <xdr:cNvSpPr/>
      </xdr:nvSpPr>
      <xdr:spPr>
        <a:xfrm>
          <a:off x="17007840" y="115492829"/>
          <a:ext cx="9982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329</xdr:row>
      <xdr:rowOff>127000</xdr:rowOff>
    </xdr:from>
    <xdr:to>
      <xdr:col>15</xdr:col>
      <xdr:colOff>9072</xdr:colOff>
      <xdr:row>332</xdr:row>
      <xdr:rowOff>196584</xdr:rowOff>
    </xdr:to>
    <xdr:sp macro="" textlink="">
      <xdr:nvSpPr>
        <xdr:cNvPr id="517" name="Isosceles Triangle 516">
          <a:extLst>
            <a:ext uri="{FF2B5EF4-FFF2-40B4-BE49-F238E27FC236}">
              <a16:creationId xmlns:a16="http://schemas.microsoft.com/office/drawing/2014/main" id="{B498A30B-CA90-488E-B17B-5B44C3D5DE2F}"/>
            </a:ext>
          </a:extLst>
        </xdr:cNvPr>
        <xdr:cNvSpPr/>
      </xdr:nvSpPr>
      <xdr:spPr>
        <a:xfrm>
          <a:off x="13555980" y="115493800"/>
          <a:ext cx="1053012"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329</xdr:row>
      <xdr:rowOff>126029</xdr:rowOff>
    </xdr:from>
    <xdr:to>
      <xdr:col>21</xdr:col>
      <xdr:colOff>0</xdr:colOff>
      <xdr:row>332</xdr:row>
      <xdr:rowOff>195613</xdr:rowOff>
    </xdr:to>
    <xdr:sp macro="" textlink="">
      <xdr:nvSpPr>
        <xdr:cNvPr id="518" name="Isosceles Triangle 517">
          <a:extLst>
            <a:ext uri="{FF2B5EF4-FFF2-40B4-BE49-F238E27FC236}">
              <a16:creationId xmlns:a16="http://schemas.microsoft.com/office/drawing/2014/main" id="{7B94A340-BDFB-4877-BEEE-8E67FE3DBCBF}"/>
            </a:ext>
          </a:extLst>
        </xdr:cNvPr>
        <xdr:cNvSpPr/>
      </xdr:nvSpPr>
      <xdr:spPr>
        <a:xfrm>
          <a:off x="18630900" y="11549282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329</xdr:row>
      <xdr:rowOff>126029</xdr:rowOff>
    </xdr:from>
    <xdr:to>
      <xdr:col>23</xdr:col>
      <xdr:colOff>0</xdr:colOff>
      <xdr:row>332</xdr:row>
      <xdr:rowOff>195613</xdr:rowOff>
    </xdr:to>
    <xdr:sp macro="" textlink="">
      <xdr:nvSpPr>
        <xdr:cNvPr id="519" name="Isosceles Triangle 518">
          <a:extLst>
            <a:ext uri="{FF2B5EF4-FFF2-40B4-BE49-F238E27FC236}">
              <a16:creationId xmlns:a16="http://schemas.microsoft.com/office/drawing/2014/main" id="{D27353B0-867F-4EA3-BCF6-5401D1E80797}"/>
            </a:ext>
          </a:extLst>
        </xdr:cNvPr>
        <xdr:cNvSpPr/>
      </xdr:nvSpPr>
      <xdr:spPr>
        <a:xfrm>
          <a:off x="20589240" y="11549282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0</xdr:col>
      <xdr:colOff>0</xdr:colOff>
      <xdr:row>329</xdr:row>
      <xdr:rowOff>126029</xdr:rowOff>
    </xdr:from>
    <xdr:to>
      <xdr:col>1</xdr:col>
      <xdr:colOff>0</xdr:colOff>
      <xdr:row>332</xdr:row>
      <xdr:rowOff>195613</xdr:rowOff>
    </xdr:to>
    <xdr:sp macro="" textlink="">
      <xdr:nvSpPr>
        <xdr:cNvPr id="520" name="Isosceles Triangle 519">
          <a:extLst>
            <a:ext uri="{FF2B5EF4-FFF2-40B4-BE49-F238E27FC236}">
              <a16:creationId xmlns:a16="http://schemas.microsoft.com/office/drawing/2014/main" id="{7B8BBDB9-D45B-4BB2-B311-74C17B982166}"/>
            </a:ext>
          </a:extLst>
        </xdr:cNvPr>
        <xdr:cNvSpPr/>
      </xdr:nvSpPr>
      <xdr:spPr>
        <a:xfrm>
          <a:off x="0" y="11549282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354</xdr:row>
      <xdr:rowOff>126029</xdr:rowOff>
    </xdr:from>
    <xdr:to>
      <xdr:col>3</xdr:col>
      <xdr:colOff>0</xdr:colOff>
      <xdr:row>357</xdr:row>
      <xdr:rowOff>180373</xdr:rowOff>
    </xdr:to>
    <xdr:sp macro="" textlink="">
      <xdr:nvSpPr>
        <xdr:cNvPr id="521" name="Isosceles Triangle 520">
          <a:extLst>
            <a:ext uri="{FF2B5EF4-FFF2-40B4-BE49-F238E27FC236}">
              <a16:creationId xmlns:a16="http://schemas.microsoft.com/office/drawing/2014/main" id="{9B52C39A-9A66-4907-877C-B797CAC14B67}"/>
            </a:ext>
          </a:extLst>
        </xdr:cNvPr>
        <xdr:cNvSpPr/>
      </xdr:nvSpPr>
      <xdr:spPr>
        <a:xfrm>
          <a:off x="2011680" y="124629209"/>
          <a:ext cx="102108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354</xdr:row>
      <xdr:rowOff>126029</xdr:rowOff>
    </xdr:from>
    <xdr:to>
      <xdr:col>5</xdr:col>
      <xdr:colOff>0</xdr:colOff>
      <xdr:row>357</xdr:row>
      <xdr:rowOff>180373</xdr:rowOff>
    </xdr:to>
    <xdr:sp macro="" textlink="">
      <xdr:nvSpPr>
        <xdr:cNvPr id="522" name="Isosceles Triangle 521">
          <a:extLst>
            <a:ext uri="{FF2B5EF4-FFF2-40B4-BE49-F238E27FC236}">
              <a16:creationId xmlns:a16="http://schemas.microsoft.com/office/drawing/2014/main" id="{BB629FC7-19EB-40AA-96EE-B2D237D12720}"/>
            </a:ext>
          </a:extLst>
        </xdr:cNvPr>
        <xdr:cNvSpPr/>
      </xdr:nvSpPr>
      <xdr:spPr>
        <a:xfrm>
          <a:off x="4076700" y="124629209"/>
          <a:ext cx="119634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354</xdr:row>
      <xdr:rowOff>126029</xdr:rowOff>
    </xdr:from>
    <xdr:to>
      <xdr:col>7</xdr:col>
      <xdr:colOff>0</xdr:colOff>
      <xdr:row>357</xdr:row>
      <xdr:rowOff>180373</xdr:rowOff>
    </xdr:to>
    <xdr:sp macro="" textlink="">
      <xdr:nvSpPr>
        <xdr:cNvPr id="523" name="Isosceles Triangle 522">
          <a:extLst>
            <a:ext uri="{FF2B5EF4-FFF2-40B4-BE49-F238E27FC236}">
              <a16:creationId xmlns:a16="http://schemas.microsoft.com/office/drawing/2014/main" id="{D2E36B08-07A7-4A15-A291-8CC9810A250D}"/>
            </a:ext>
          </a:extLst>
        </xdr:cNvPr>
        <xdr:cNvSpPr/>
      </xdr:nvSpPr>
      <xdr:spPr>
        <a:xfrm>
          <a:off x="6309360" y="124629209"/>
          <a:ext cx="111252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354</xdr:row>
      <xdr:rowOff>138729</xdr:rowOff>
    </xdr:from>
    <xdr:to>
      <xdr:col>9</xdr:col>
      <xdr:colOff>0</xdr:colOff>
      <xdr:row>358</xdr:row>
      <xdr:rowOff>5113</xdr:rowOff>
    </xdr:to>
    <xdr:sp macro="" textlink="">
      <xdr:nvSpPr>
        <xdr:cNvPr id="524" name="Isosceles Triangle 523">
          <a:extLst>
            <a:ext uri="{FF2B5EF4-FFF2-40B4-BE49-F238E27FC236}">
              <a16:creationId xmlns:a16="http://schemas.microsoft.com/office/drawing/2014/main" id="{205654EC-E556-49DF-899C-365B47ADF372}"/>
            </a:ext>
          </a:extLst>
        </xdr:cNvPr>
        <xdr:cNvSpPr/>
      </xdr:nvSpPr>
      <xdr:spPr>
        <a:xfrm>
          <a:off x="8298180" y="124641909"/>
          <a:ext cx="1272540" cy="11465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354</xdr:row>
      <xdr:rowOff>126029</xdr:rowOff>
    </xdr:from>
    <xdr:to>
      <xdr:col>11</xdr:col>
      <xdr:colOff>0</xdr:colOff>
      <xdr:row>357</xdr:row>
      <xdr:rowOff>180373</xdr:rowOff>
    </xdr:to>
    <xdr:sp macro="" textlink="">
      <xdr:nvSpPr>
        <xdr:cNvPr id="525" name="Isosceles Triangle 524">
          <a:extLst>
            <a:ext uri="{FF2B5EF4-FFF2-40B4-BE49-F238E27FC236}">
              <a16:creationId xmlns:a16="http://schemas.microsoft.com/office/drawing/2014/main" id="{9FBAF213-F7EE-44B1-8148-0BEFEB99750B}"/>
            </a:ext>
          </a:extLst>
        </xdr:cNvPr>
        <xdr:cNvSpPr/>
      </xdr:nvSpPr>
      <xdr:spPr>
        <a:xfrm>
          <a:off x="10195560" y="124629209"/>
          <a:ext cx="94488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354</xdr:row>
      <xdr:rowOff>126029</xdr:rowOff>
    </xdr:from>
    <xdr:to>
      <xdr:col>13</xdr:col>
      <xdr:colOff>0</xdr:colOff>
      <xdr:row>357</xdr:row>
      <xdr:rowOff>180373</xdr:rowOff>
    </xdr:to>
    <xdr:sp macro="" textlink="">
      <xdr:nvSpPr>
        <xdr:cNvPr id="526" name="Isosceles Triangle 525">
          <a:extLst>
            <a:ext uri="{FF2B5EF4-FFF2-40B4-BE49-F238E27FC236}">
              <a16:creationId xmlns:a16="http://schemas.microsoft.com/office/drawing/2014/main" id="{8038CCD9-4BEF-4AFB-AA1E-A6EB60C209F7}"/>
            </a:ext>
          </a:extLst>
        </xdr:cNvPr>
        <xdr:cNvSpPr/>
      </xdr:nvSpPr>
      <xdr:spPr>
        <a:xfrm>
          <a:off x="11765280" y="12462920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354</xdr:row>
      <xdr:rowOff>126029</xdr:rowOff>
    </xdr:from>
    <xdr:to>
      <xdr:col>17</xdr:col>
      <xdr:colOff>0</xdr:colOff>
      <xdr:row>357</xdr:row>
      <xdr:rowOff>180373</xdr:rowOff>
    </xdr:to>
    <xdr:sp macro="" textlink="">
      <xdr:nvSpPr>
        <xdr:cNvPr id="527" name="Isosceles Triangle 526">
          <a:extLst>
            <a:ext uri="{FF2B5EF4-FFF2-40B4-BE49-F238E27FC236}">
              <a16:creationId xmlns:a16="http://schemas.microsoft.com/office/drawing/2014/main" id="{0311F0A7-C13B-4A22-B646-01AAABDAC52E}"/>
            </a:ext>
          </a:extLst>
        </xdr:cNvPr>
        <xdr:cNvSpPr/>
      </xdr:nvSpPr>
      <xdr:spPr>
        <a:xfrm>
          <a:off x="15240000" y="124629209"/>
          <a:ext cx="1143000" cy="1151624"/>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354</xdr:row>
      <xdr:rowOff>126029</xdr:rowOff>
    </xdr:from>
    <xdr:to>
      <xdr:col>19</xdr:col>
      <xdr:colOff>0</xdr:colOff>
      <xdr:row>357</xdr:row>
      <xdr:rowOff>180373</xdr:rowOff>
    </xdr:to>
    <xdr:sp macro="" textlink="">
      <xdr:nvSpPr>
        <xdr:cNvPr id="528" name="Isosceles Triangle 527">
          <a:extLst>
            <a:ext uri="{FF2B5EF4-FFF2-40B4-BE49-F238E27FC236}">
              <a16:creationId xmlns:a16="http://schemas.microsoft.com/office/drawing/2014/main" id="{E433CB62-28DE-492D-B0FF-7F1F2E49369C}"/>
            </a:ext>
          </a:extLst>
        </xdr:cNvPr>
        <xdr:cNvSpPr/>
      </xdr:nvSpPr>
      <xdr:spPr>
        <a:xfrm>
          <a:off x="17007840" y="124629209"/>
          <a:ext cx="99822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354</xdr:row>
      <xdr:rowOff>127000</xdr:rowOff>
    </xdr:from>
    <xdr:to>
      <xdr:col>15</xdr:col>
      <xdr:colOff>9072</xdr:colOff>
      <xdr:row>357</xdr:row>
      <xdr:rowOff>181344</xdr:rowOff>
    </xdr:to>
    <xdr:sp macro="" textlink="">
      <xdr:nvSpPr>
        <xdr:cNvPr id="529" name="Isosceles Triangle 528">
          <a:extLst>
            <a:ext uri="{FF2B5EF4-FFF2-40B4-BE49-F238E27FC236}">
              <a16:creationId xmlns:a16="http://schemas.microsoft.com/office/drawing/2014/main" id="{D4CF7205-6ADF-4C85-B74D-A0FB3A5476BF}"/>
            </a:ext>
          </a:extLst>
        </xdr:cNvPr>
        <xdr:cNvSpPr/>
      </xdr:nvSpPr>
      <xdr:spPr>
        <a:xfrm>
          <a:off x="13555980" y="124630180"/>
          <a:ext cx="1053012"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354</xdr:row>
      <xdr:rowOff>126029</xdr:rowOff>
    </xdr:from>
    <xdr:to>
      <xdr:col>21</xdr:col>
      <xdr:colOff>0</xdr:colOff>
      <xdr:row>357</xdr:row>
      <xdr:rowOff>180373</xdr:rowOff>
    </xdr:to>
    <xdr:sp macro="" textlink="">
      <xdr:nvSpPr>
        <xdr:cNvPr id="530" name="Isosceles Triangle 529">
          <a:extLst>
            <a:ext uri="{FF2B5EF4-FFF2-40B4-BE49-F238E27FC236}">
              <a16:creationId xmlns:a16="http://schemas.microsoft.com/office/drawing/2014/main" id="{C8E60CD4-6527-4907-B6D7-E431543C3265}"/>
            </a:ext>
          </a:extLst>
        </xdr:cNvPr>
        <xdr:cNvSpPr/>
      </xdr:nvSpPr>
      <xdr:spPr>
        <a:xfrm>
          <a:off x="18630900" y="124629209"/>
          <a:ext cx="10515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354</xdr:row>
      <xdr:rowOff>126029</xdr:rowOff>
    </xdr:from>
    <xdr:to>
      <xdr:col>23</xdr:col>
      <xdr:colOff>0</xdr:colOff>
      <xdr:row>357</xdr:row>
      <xdr:rowOff>180373</xdr:rowOff>
    </xdr:to>
    <xdr:sp macro="" textlink="">
      <xdr:nvSpPr>
        <xdr:cNvPr id="531" name="Isosceles Triangle 530">
          <a:extLst>
            <a:ext uri="{FF2B5EF4-FFF2-40B4-BE49-F238E27FC236}">
              <a16:creationId xmlns:a16="http://schemas.microsoft.com/office/drawing/2014/main" id="{6E9742EE-0B98-4DBE-8166-536F74A0DA20}"/>
            </a:ext>
          </a:extLst>
        </xdr:cNvPr>
        <xdr:cNvSpPr/>
      </xdr:nvSpPr>
      <xdr:spPr>
        <a:xfrm>
          <a:off x="20589240" y="12462920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0</xdr:col>
      <xdr:colOff>0</xdr:colOff>
      <xdr:row>354</xdr:row>
      <xdr:rowOff>138729</xdr:rowOff>
    </xdr:from>
    <xdr:to>
      <xdr:col>1</xdr:col>
      <xdr:colOff>0</xdr:colOff>
      <xdr:row>358</xdr:row>
      <xdr:rowOff>5113</xdr:rowOff>
    </xdr:to>
    <xdr:sp macro="" textlink="">
      <xdr:nvSpPr>
        <xdr:cNvPr id="532" name="Isosceles Triangle 531">
          <a:extLst>
            <a:ext uri="{FF2B5EF4-FFF2-40B4-BE49-F238E27FC236}">
              <a16:creationId xmlns:a16="http://schemas.microsoft.com/office/drawing/2014/main" id="{E8834022-7D47-463D-BFEE-A9438AE15159}"/>
            </a:ext>
          </a:extLst>
        </xdr:cNvPr>
        <xdr:cNvSpPr/>
      </xdr:nvSpPr>
      <xdr:spPr>
        <a:xfrm>
          <a:off x="0" y="124641909"/>
          <a:ext cx="1264920" cy="11465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362</xdr:row>
      <xdr:rowOff>126029</xdr:rowOff>
    </xdr:from>
    <xdr:to>
      <xdr:col>3</xdr:col>
      <xdr:colOff>0</xdr:colOff>
      <xdr:row>365</xdr:row>
      <xdr:rowOff>142273</xdr:rowOff>
    </xdr:to>
    <xdr:sp macro="" textlink="">
      <xdr:nvSpPr>
        <xdr:cNvPr id="533" name="Isosceles Triangle 532">
          <a:extLst>
            <a:ext uri="{FF2B5EF4-FFF2-40B4-BE49-F238E27FC236}">
              <a16:creationId xmlns:a16="http://schemas.microsoft.com/office/drawing/2014/main" id="{281144FA-7A35-4301-9718-C944886D40BC}"/>
            </a:ext>
          </a:extLst>
        </xdr:cNvPr>
        <xdr:cNvSpPr/>
      </xdr:nvSpPr>
      <xdr:spPr>
        <a:xfrm>
          <a:off x="2011680" y="127532429"/>
          <a:ext cx="102108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362</xdr:row>
      <xdr:rowOff>126029</xdr:rowOff>
    </xdr:from>
    <xdr:to>
      <xdr:col>5</xdr:col>
      <xdr:colOff>0</xdr:colOff>
      <xdr:row>365</xdr:row>
      <xdr:rowOff>142273</xdr:rowOff>
    </xdr:to>
    <xdr:sp macro="" textlink="">
      <xdr:nvSpPr>
        <xdr:cNvPr id="534" name="Isosceles Triangle 533">
          <a:extLst>
            <a:ext uri="{FF2B5EF4-FFF2-40B4-BE49-F238E27FC236}">
              <a16:creationId xmlns:a16="http://schemas.microsoft.com/office/drawing/2014/main" id="{21A68972-5293-4E32-8E19-61AE88B08DF5}"/>
            </a:ext>
          </a:extLst>
        </xdr:cNvPr>
        <xdr:cNvSpPr/>
      </xdr:nvSpPr>
      <xdr:spPr>
        <a:xfrm>
          <a:off x="4076700" y="127532429"/>
          <a:ext cx="119634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362</xdr:row>
      <xdr:rowOff>126029</xdr:rowOff>
    </xdr:from>
    <xdr:to>
      <xdr:col>7</xdr:col>
      <xdr:colOff>0</xdr:colOff>
      <xdr:row>365</xdr:row>
      <xdr:rowOff>142273</xdr:rowOff>
    </xdr:to>
    <xdr:sp macro="" textlink="">
      <xdr:nvSpPr>
        <xdr:cNvPr id="535" name="Isosceles Triangle 534">
          <a:extLst>
            <a:ext uri="{FF2B5EF4-FFF2-40B4-BE49-F238E27FC236}">
              <a16:creationId xmlns:a16="http://schemas.microsoft.com/office/drawing/2014/main" id="{EF69B420-3E50-4DC9-8870-FF70326487C3}"/>
            </a:ext>
          </a:extLst>
        </xdr:cNvPr>
        <xdr:cNvSpPr/>
      </xdr:nvSpPr>
      <xdr:spPr>
        <a:xfrm>
          <a:off x="6309360" y="127532429"/>
          <a:ext cx="111252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362</xdr:row>
      <xdr:rowOff>126029</xdr:rowOff>
    </xdr:from>
    <xdr:to>
      <xdr:col>9</xdr:col>
      <xdr:colOff>0</xdr:colOff>
      <xdr:row>365</xdr:row>
      <xdr:rowOff>142273</xdr:rowOff>
    </xdr:to>
    <xdr:sp macro="" textlink="">
      <xdr:nvSpPr>
        <xdr:cNvPr id="536" name="Isosceles Triangle 535">
          <a:extLst>
            <a:ext uri="{FF2B5EF4-FFF2-40B4-BE49-F238E27FC236}">
              <a16:creationId xmlns:a16="http://schemas.microsoft.com/office/drawing/2014/main" id="{0B128EFD-3C24-4EC5-A9B7-24D1F1FE9022}"/>
            </a:ext>
          </a:extLst>
        </xdr:cNvPr>
        <xdr:cNvSpPr/>
      </xdr:nvSpPr>
      <xdr:spPr>
        <a:xfrm>
          <a:off x="8298180" y="127532429"/>
          <a:ext cx="127254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362</xdr:row>
      <xdr:rowOff>126029</xdr:rowOff>
    </xdr:from>
    <xdr:to>
      <xdr:col>11</xdr:col>
      <xdr:colOff>0</xdr:colOff>
      <xdr:row>365</xdr:row>
      <xdr:rowOff>142273</xdr:rowOff>
    </xdr:to>
    <xdr:sp macro="" textlink="">
      <xdr:nvSpPr>
        <xdr:cNvPr id="537" name="Isosceles Triangle 536">
          <a:extLst>
            <a:ext uri="{FF2B5EF4-FFF2-40B4-BE49-F238E27FC236}">
              <a16:creationId xmlns:a16="http://schemas.microsoft.com/office/drawing/2014/main" id="{A1BFB9B3-A46F-4D2C-9B1F-E6F3858E087A}"/>
            </a:ext>
          </a:extLst>
        </xdr:cNvPr>
        <xdr:cNvSpPr/>
      </xdr:nvSpPr>
      <xdr:spPr>
        <a:xfrm>
          <a:off x="10195560" y="127532429"/>
          <a:ext cx="944880" cy="11135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362</xdr:row>
      <xdr:rowOff>126029</xdr:rowOff>
    </xdr:from>
    <xdr:to>
      <xdr:col>13</xdr:col>
      <xdr:colOff>0</xdr:colOff>
      <xdr:row>365</xdr:row>
      <xdr:rowOff>142273</xdr:rowOff>
    </xdr:to>
    <xdr:sp macro="" textlink="">
      <xdr:nvSpPr>
        <xdr:cNvPr id="538" name="Isosceles Triangle 537">
          <a:extLst>
            <a:ext uri="{FF2B5EF4-FFF2-40B4-BE49-F238E27FC236}">
              <a16:creationId xmlns:a16="http://schemas.microsoft.com/office/drawing/2014/main" id="{5B96BAB4-4D92-41C3-B993-3517D587900E}"/>
            </a:ext>
          </a:extLst>
        </xdr:cNvPr>
        <xdr:cNvSpPr/>
      </xdr:nvSpPr>
      <xdr:spPr>
        <a:xfrm>
          <a:off x="11765280" y="127532429"/>
          <a:ext cx="101346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362</xdr:row>
      <xdr:rowOff>126029</xdr:rowOff>
    </xdr:from>
    <xdr:to>
      <xdr:col>17</xdr:col>
      <xdr:colOff>0</xdr:colOff>
      <xdr:row>365</xdr:row>
      <xdr:rowOff>142273</xdr:rowOff>
    </xdr:to>
    <xdr:sp macro="" textlink="">
      <xdr:nvSpPr>
        <xdr:cNvPr id="539" name="Isosceles Triangle 538">
          <a:extLst>
            <a:ext uri="{FF2B5EF4-FFF2-40B4-BE49-F238E27FC236}">
              <a16:creationId xmlns:a16="http://schemas.microsoft.com/office/drawing/2014/main" id="{1B38832B-A362-44F0-87D4-24490E39EA6B}"/>
            </a:ext>
          </a:extLst>
        </xdr:cNvPr>
        <xdr:cNvSpPr/>
      </xdr:nvSpPr>
      <xdr:spPr>
        <a:xfrm>
          <a:off x="15240000" y="127532429"/>
          <a:ext cx="1143000" cy="11135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362</xdr:row>
      <xdr:rowOff>126029</xdr:rowOff>
    </xdr:from>
    <xdr:to>
      <xdr:col>19</xdr:col>
      <xdr:colOff>0</xdr:colOff>
      <xdr:row>365</xdr:row>
      <xdr:rowOff>142273</xdr:rowOff>
    </xdr:to>
    <xdr:sp macro="" textlink="">
      <xdr:nvSpPr>
        <xdr:cNvPr id="540" name="Isosceles Triangle 539">
          <a:extLst>
            <a:ext uri="{FF2B5EF4-FFF2-40B4-BE49-F238E27FC236}">
              <a16:creationId xmlns:a16="http://schemas.microsoft.com/office/drawing/2014/main" id="{4C416673-5FBC-4930-AEE7-EF662DF075C7}"/>
            </a:ext>
          </a:extLst>
        </xdr:cNvPr>
        <xdr:cNvSpPr/>
      </xdr:nvSpPr>
      <xdr:spPr>
        <a:xfrm>
          <a:off x="17007840" y="127532429"/>
          <a:ext cx="998220" cy="11135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362</xdr:row>
      <xdr:rowOff>127000</xdr:rowOff>
    </xdr:from>
    <xdr:to>
      <xdr:col>15</xdr:col>
      <xdr:colOff>9072</xdr:colOff>
      <xdr:row>365</xdr:row>
      <xdr:rowOff>143244</xdr:rowOff>
    </xdr:to>
    <xdr:sp macro="" textlink="">
      <xdr:nvSpPr>
        <xdr:cNvPr id="541" name="Isosceles Triangle 540">
          <a:extLst>
            <a:ext uri="{FF2B5EF4-FFF2-40B4-BE49-F238E27FC236}">
              <a16:creationId xmlns:a16="http://schemas.microsoft.com/office/drawing/2014/main" id="{A1E878BB-AA00-4CE3-AB5C-BDDF03208DBA}"/>
            </a:ext>
          </a:extLst>
        </xdr:cNvPr>
        <xdr:cNvSpPr/>
      </xdr:nvSpPr>
      <xdr:spPr>
        <a:xfrm>
          <a:off x="13555980" y="127533400"/>
          <a:ext cx="1053012"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362</xdr:row>
      <xdr:rowOff>126029</xdr:rowOff>
    </xdr:from>
    <xdr:to>
      <xdr:col>21</xdr:col>
      <xdr:colOff>0</xdr:colOff>
      <xdr:row>365</xdr:row>
      <xdr:rowOff>142273</xdr:rowOff>
    </xdr:to>
    <xdr:sp macro="" textlink="">
      <xdr:nvSpPr>
        <xdr:cNvPr id="542" name="Isosceles Triangle 541">
          <a:extLst>
            <a:ext uri="{FF2B5EF4-FFF2-40B4-BE49-F238E27FC236}">
              <a16:creationId xmlns:a16="http://schemas.microsoft.com/office/drawing/2014/main" id="{C523A7E0-2A77-488F-BA0C-2AB0DEC923D3}"/>
            </a:ext>
          </a:extLst>
        </xdr:cNvPr>
        <xdr:cNvSpPr/>
      </xdr:nvSpPr>
      <xdr:spPr>
        <a:xfrm>
          <a:off x="18630900" y="127532429"/>
          <a:ext cx="1051560" cy="11135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362</xdr:row>
      <xdr:rowOff>126029</xdr:rowOff>
    </xdr:from>
    <xdr:to>
      <xdr:col>23</xdr:col>
      <xdr:colOff>0</xdr:colOff>
      <xdr:row>365</xdr:row>
      <xdr:rowOff>142273</xdr:rowOff>
    </xdr:to>
    <xdr:sp macro="" textlink="">
      <xdr:nvSpPr>
        <xdr:cNvPr id="543" name="Isosceles Triangle 542">
          <a:extLst>
            <a:ext uri="{FF2B5EF4-FFF2-40B4-BE49-F238E27FC236}">
              <a16:creationId xmlns:a16="http://schemas.microsoft.com/office/drawing/2014/main" id="{64A506BC-7C08-4977-988D-414EC59C94ED}"/>
            </a:ext>
          </a:extLst>
        </xdr:cNvPr>
        <xdr:cNvSpPr/>
      </xdr:nvSpPr>
      <xdr:spPr>
        <a:xfrm>
          <a:off x="20589240" y="127532429"/>
          <a:ext cx="1013460" cy="1113524"/>
        </a:xfrm>
        <a:prstGeom prst="triangle">
          <a:avLst/>
        </a:prstGeom>
        <a:solidFill>
          <a:srgbClr val="FFFF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23</xdr:col>
      <xdr:colOff>0</xdr:colOff>
      <xdr:row>367</xdr:row>
      <xdr:rowOff>0</xdr:rowOff>
    </xdr:from>
    <xdr:to>
      <xdr:col>23</xdr:col>
      <xdr:colOff>134937</xdr:colOff>
      <xdr:row>367</xdr:row>
      <xdr:rowOff>79381</xdr:rowOff>
    </xdr:to>
    <xdr:sp macro="" textlink="">
      <xdr:nvSpPr>
        <xdr:cNvPr id="544" name="Bent Arrow 809">
          <a:extLst>
            <a:ext uri="{FF2B5EF4-FFF2-40B4-BE49-F238E27FC236}">
              <a16:creationId xmlns:a16="http://schemas.microsoft.com/office/drawing/2014/main" id="{9F6A25FB-E419-4E27-BDE2-D07D6DBFF3C0}"/>
            </a:ext>
          </a:extLst>
        </xdr:cNvPr>
        <xdr:cNvSpPr/>
      </xdr:nvSpPr>
      <xdr:spPr>
        <a:xfrm rot="5400000">
          <a:off x="21630478" y="129283622"/>
          <a:ext cx="79381"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0</xdr:col>
      <xdr:colOff>0</xdr:colOff>
      <xdr:row>362</xdr:row>
      <xdr:rowOff>126029</xdr:rowOff>
    </xdr:from>
    <xdr:to>
      <xdr:col>1</xdr:col>
      <xdr:colOff>0</xdr:colOff>
      <xdr:row>365</xdr:row>
      <xdr:rowOff>142273</xdr:rowOff>
    </xdr:to>
    <xdr:sp macro="" textlink="">
      <xdr:nvSpPr>
        <xdr:cNvPr id="545" name="Isosceles Triangle 544">
          <a:extLst>
            <a:ext uri="{FF2B5EF4-FFF2-40B4-BE49-F238E27FC236}">
              <a16:creationId xmlns:a16="http://schemas.microsoft.com/office/drawing/2014/main" id="{0A4C20F9-2942-47C9-A6C5-AC6D55CFA333}"/>
            </a:ext>
          </a:extLst>
        </xdr:cNvPr>
        <xdr:cNvSpPr/>
      </xdr:nvSpPr>
      <xdr:spPr>
        <a:xfrm>
          <a:off x="0" y="127532429"/>
          <a:ext cx="126492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13</xdr:col>
      <xdr:colOff>19843</xdr:colOff>
      <xdr:row>289</xdr:row>
      <xdr:rowOff>0</xdr:rowOff>
    </xdr:from>
    <xdr:to>
      <xdr:col>13</xdr:col>
      <xdr:colOff>154780</xdr:colOff>
      <xdr:row>289</xdr:row>
      <xdr:rowOff>103188</xdr:rowOff>
    </xdr:to>
    <xdr:sp macro="" textlink="">
      <xdr:nvSpPr>
        <xdr:cNvPr id="546" name="Bent Arrow 809">
          <a:extLst>
            <a:ext uri="{FF2B5EF4-FFF2-40B4-BE49-F238E27FC236}">
              <a16:creationId xmlns:a16="http://schemas.microsoft.com/office/drawing/2014/main" id="{F622F21A-B6C5-4390-BDFA-5B4582FDBC3D}"/>
            </a:ext>
          </a:extLst>
        </xdr:cNvPr>
        <xdr:cNvSpPr/>
      </xdr:nvSpPr>
      <xdr:spPr>
        <a:xfrm rot="5400000">
          <a:off x="12814458" y="100766245"/>
          <a:ext cx="103188"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32288</xdr:colOff>
      <xdr:row>148</xdr:row>
      <xdr:rowOff>0</xdr:rowOff>
    </xdr:from>
    <xdr:to>
      <xdr:col>19</xdr:col>
      <xdr:colOff>167225</xdr:colOff>
      <xdr:row>148</xdr:row>
      <xdr:rowOff>134804</xdr:rowOff>
    </xdr:to>
    <xdr:sp macro="" textlink="">
      <xdr:nvSpPr>
        <xdr:cNvPr id="547" name="Bent Arrow 809">
          <a:extLst>
            <a:ext uri="{FF2B5EF4-FFF2-40B4-BE49-F238E27FC236}">
              <a16:creationId xmlns:a16="http://schemas.microsoft.com/office/drawing/2014/main" id="{03CBD02C-E75F-4AA2-A920-225BD807FDD7}"/>
            </a:ext>
          </a:extLst>
        </xdr:cNvPr>
        <xdr:cNvSpPr/>
      </xdr:nvSpPr>
      <xdr:spPr>
        <a:xfrm rot="5400000">
          <a:off x="18038415" y="50665313"/>
          <a:ext cx="134804"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21526</xdr:colOff>
      <xdr:row>176</xdr:row>
      <xdr:rowOff>0</xdr:rowOff>
    </xdr:from>
    <xdr:to>
      <xdr:col>5</xdr:col>
      <xdr:colOff>156463</xdr:colOff>
      <xdr:row>176</xdr:row>
      <xdr:rowOff>0</xdr:rowOff>
    </xdr:to>
    <xdr:sp macro="" textlink="">
      <xdr:nvSpPr>
        <xdr:cNvPr id="548" name="Bent Arrow 809">
          <a:extLst>
            <a:ext uri="{FF2B5EF4-FFF2-40B4-BE49-F238E27FC236}">
              <a16:creationId xmlns:a16="http://schemas.microsoft.com/office/drawing/2014/main" id="{B9459E08-4622-4830-A789-588165EC2FF8}"/>
            </a:ext>
          </a:extLst>
        </xdr:cNvPr>
        <xdr:cNvSpPr/>
      </xdr:nvSpPr>
      <xdr:spPr>
        <a:xfrm rot="5400000">
          <a:off x="5362035" y="60503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10762</xdr:colOff>
      <xdr:row>289</xdr:row>
      <xdr:rowOff>0</xdr:rowOff>
    </xdr:from>
    <xdr:to>
      <xdr:col>15</xdr:col>
      <xdr:colOff>145699</xdr:colOff>
      <xdr:row>289</xdr:row>
      <xdr:rowOff>113279</xdr:rowOff>
    </xdr:to>
    <xdr:sp macro="" textlink="">
      <xdr:nvSpPr>
        <xdr:cNvPr id="549" name="Bent Arrow 809">
          <a:extLst>
            <a:ext uri="{FF2B5EF4-FFF2-40B4-BE49-F238E27FC236}">
              <a16:creationId xmlns:a16="http://schemas.microsoft.com/office/drawing/2014/main" id="{C11F223D-E863-45DE-8F0D-9B898ABD4917}"/>
            </a:ext>
          </a:extLst>
        </xdr:cNvPr>
        <xdr:cNvSpPr/>
      </xdr:nvSpPr>
      <xdr:spPr>
        <a:xfrm rot="5400000">
          <a:off x="14621511" y="100771291"/>
          <a:ext cx="113279"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oneCellAnchor>
    <xdr:from>
      <xdr:col>19</xdr:col>
      <xdr:colOff>172203</xdr:colOff>
      <xdr:row>365</xdr:row>
      <xdr:rowOff>32288</xdr:rowOff>
    </xdr:from>
    <xdr:ext cx="284997" cy="940961"/>
    <xdr:pic>
      <xdr:nvPicPr>
        <xdr:cNvPr id="550" name="Picture 1129" descr="LADDER">
          <a:extLst>
            <a:ext uri="{FF2B5EF4-FFF2-40B4-BE49-F238E27FC236}">
              <a16:creationId xmlns:a16="http://schemas.microsoft.com/office/drawing/2014/main" id="{9549B13C-C904-489A-81C9-B42C0B2A3C65}"/>
            </a:ext>
          </a:extLst>
        </xdr:cNvPr>
        <xdr:cNvPicPr>
          <a:picLocks noChangeAspect="1" noChangeArrowheads="1"/>
        </xdr:cNvPicPr>
      </xdr:nvPicPr>
      <xdr:blipFill>
        <a:blip xmlns:r="http://schemas.openxmlformats.org/officeDocument/2006/relationships" r:embed="rId1" cstate="print">
          <a:duotone>
            <a:prstClr val="black"/>
            <a:srgbClr val="7030A0">
              <a:tint val="45000"/>
              <a:satMod val="400000"/>
            </a:srgbClr>
          </a:duotone>
        </a:blip>
        <a:srcRect/>
        <a:stretch>
          <a:fillRect/>
        </a:stretch>
      </xdr:blipFill>
      <xdr:spPr bwMode="auto">
        <a:xfrm>
          <a:off x="18178263" y="128535968"/>
          <a:ext cx="284997" cy="940961"/>
        </a:xfrm>
        <a:prstGeom prst="rect">
          <a:avLst/>
        </a:prstGeom>
        <a:solidFill>
          <a:srgbClr val="00B0F0"/>
        </a:solidFill>
        <a:ln>
          <a:noFill/>
        </a:ln>
      </xdr:spPr>
    </xdr:pic>
    <xdr:clientData/>
  </xdr:oneCellAnchor>
  <xdr:twoCellAnchor editAs="oneCell">
    <xdr:from>
      <xdr:col>23</xdr:col>
      <xdr:colOff>211666</xdr:colOff>
      <xdr:row>365</xdr:row>
      <xdr:rowOff>28271</xdr:rowOff>
    </xdr:from>
    <xdr:to>
      <xdr:col>23</xdr:col>
      <xdr:colOff>423333</xdr:colOff>
      <xdr:row>368</xdr:row>
      <xdr:rowOff>266111</xdr:rowOff>
    </xdr:to>
    <xdr:pic>
      <xdr:nvPicPr>
        <xdr:cNvPr id="551" name="Picture 550">
          <a:extLst>
            <a:ext uri="{FF2B5EF4-FFF2-40B4-BE49-F238E27FC236}">
              <a16:creationId xmlns:a16="http://schemas.microsoft.com/office/drawing/2014/main" id="{83D782F5-ADC2-4D4F-BBB2-AE79266B7C26}"/>
            </a:ext>
          </a:extLst>
        </xdr:cNvPr>
        <xdr:cNvPicPr>
          <a:picLocks noChangeAspect="1"/>
        </xdr:cNvPicPr>
      </xdr:nvPicPr>
      <xdr:blipFill>
        <a:blip xmlns:r="http://schemas.openxmlformats.org/officeDocument/2006/relationships" r:embed="rId4"/>
        <a:stretch>
          <a:fillRect/>
        </a:stretch>
      </xdr:blipFill>
      <xdr:spPr>
        <a:xfrm>
          <a:off x="21814366" y="128531951"/>
          <a:ext cx="211667" cy="687420"/>
        </a:xfrm>
        <a:prstGeom prst="rect">
          <a:avLst/>
        </a:prstGeom>
      </xdr:spPr>
    </xdr:pic>
    <xdr:clientData/>
  </xdr:twoCellAnchor>
  <xdr:twoCellAnchor editAs="oneCell">
    <xdr:from>
      <xdr:col>1</xdr:col>
      <xdr:colOff>292101</xdr:colOff>
      <xdr:row>348</xdr:row>
      <xdr:rowOff>29671</xdr:rowOff>
    </xdr:from>
    <xdr:to>
      <xdr:col>1</xdr:col>
      <xdr:colOff>640081</xdr:colOff>
      <xdr:row>352</xdr:row>
      <xdr:rowOff>159175</xdr:rowOff>
    </xdr:to>
    <xdr:pic>
      <xdr:nvPicPr>
        <xdr:cNvPr id="552" name="Picture 551">
          <a:extLst>
            <a:ext uri="{FF2B5EF4-FFF2-40B4-BE49-F238E27FC236}">
              <a16:creationId xmlns:a16="http://schemas.microsoft.com/office/drawing/2014/main" id="{797BB02A-4B80-42B3-A4FD-A834B0F1795F}"/>
            </a:ext>
          </a:extLst>
        </xdr:cNvPr>
        <xdr:cNvPicPr>
          <a:picLocks noChangeAspect="1"/>
        </xdr:cNvPicPr>
      </xdr:nvPicPr>
      <xdr:blipFill>
        <a:blip xmlns:r="http://schemas.openxmlformats.org/officeDocument/2006/relationships" r:embed="rId4"/>
        <a:stretch>
          <a:fillRect/>
        </a:stretch>
      </xdr:blipFill>
      <xdr:spPr>
        <a:xfrm>
          <a:off x="1557021" y="122444971"/>
          <a:ext cx="355600" cy="761964"/>
        </a:xfrm>
        <a:prstGeom prst="rect">
          <a:avLst/>
        </a:prstGeom>
      </xdr:spPr>
    </xdr:pic>
    <xdr:clientData/>
  </xdr:twoCellAnchor>
  <xdr:twoCellAnchor editAs="oneCell">
    <xdr:from>
      <xdr:col>7</xdr:col>
      <xdr:colOff>345053</xdr:colOff>
      <xdr:row>278</xdr:row>
      <xdr:rowOff>218440</xdr:rowOff>
    </xdr:from>
    <xdr:to>
      <xdr:col>7</xdr:col>
      <xdr:colOff>604147</xdr:colOff>
      <xdr:row>284</xdr:row>
      <xdr:rowOff>133472</xdr:rowOff>
    </xdr:to>
    <xdr:pic>
      <xdr:nvPicPr>
        <xdr:cNvPr id="553" name="Picture 552">
          <a:extLst>
            <a:ext uri="{FF2B5EF4-FFF2-40B4-BE49-F238E27FC236}">
              <a16:creationId xmlns:a16="http://schemas.microsoft.com/office/drawing/2014/main" id="{FCB5029C-77D5-4C65-89F7-7B04E34AE6E2}"/>
            </a:ext>
          </a:extLst>
        </xdr:cNvPr>
        <xdr:cNvPicPr>
          <a:picLocks noChangeAspect="1"/>
        </xdr:cNvPicPr>
      </xdr:nvPicPr>
      <xdr:blipFill>
        <a:blip xmlns:r="http://schemas.openxmlformats.org/officeDocument/2006/relationships" r:embed="rId4"/>
        <a:stretch>
          <a:fillRect/>
        </a:stretch>
      </xdr:blipFill>
      <xdr:spPr>
        <a:xfrm>
          <a:off x="7766933" y="96702880"/>
          <a:ext cx="266714" cy="837052"/>
        </a:xfrm>
        <a:prstGeom prst="rect">
          <a:avLst/>
        </a:prstGeom>
      </xdr:spPr>
    </xdr:pic>
    <xdr:clientData/>
  </xdr:twoCellAnchor>
  <xdr:twoCellAnchor>
    <xdr:from>
      <xdr:col>21</xdr:col>
      <xdr:colOff>215899</xdr:colOff>
      <xdr:row>287</xdr:row>
      <xdr:rowOff>38099</xdr:rowOff>
    </xdr:from>
    <xdr:to>
      <xdr:col>21</xdr:col>
      <xdr:colOff>469898</xdr:colOff>
      <xdr:row>289</xdr:row>
      <xdr:rowOff>187532</xdr:rowOff>
    </xdr:to>
    <xdr:sp macro="" textlink="">
      <xdr:nvSpPr>
        <xdr:cNvPr id="554" name="AutoShape 10734">
          <a:extLst>
            <a:ext uri="{FF2B5EF4-FFF2-40B4-BE49-F238E27FC236}">
              <a16:creationId xmlns:a16="http://schemas.microsoft.com/office/drawing/2014/main" id="{80A2BF39-E6C2-471D-AF79-D8F9604B9B1F}"/>
            </a:ext>
          </a:extLst>
        </xdr:cNvPr>
        <xdr:cNvSpPr>
          <a:spLocks noChangeArrowheads="1"/>
        </xdr:cNvSpPr>
      </xdr:nvSpPr>
      <xdr:spPr bwMode="auto">
        <a:xfrm rot="5400000">
          <a:off x="19470582" y="100287876"/>
          <a:ext cx="1109553" cy="253999"/>
        </a:xfrm>
        <a:prstGeom prst="rightArrow">
          <a:avLst>
            <a:gd name="adj1" fmla="val 50000"/>
            <a:gd name="adj2" fmla="val 140822"/>
          </a:avLst>
        </a:prstGeom>
        <a:solidFill>
          <a:srgbClr val="9999FF"/>
        </a:solidFill>
        <a:ln w="9525" algn="ctr">
          <a:solidFill>
            <a:srgbClr val="9999FF"/>
          </a:solidFill>
          <a:miter lim="800000"/>
          <a:headEnd/>
          <a:tailEnd/>
        </a:ln>
      </xdr:spPr>
    </xdr:sp>
    <xdr:clientData/>
  </xdr:twoCellAnchor>
  <xdr:twoCellAnchor>
    <xdr:from>
      <xdr:col>17</xdr:col>
      <xdr:colOff>215254</xdr:colOff>
      <xdr:row>305</xdr:row>
      <xdr:rowOff>0</xdr:rowOff>
    </xdr:from>
    <xdr:to>
      <xdr:col>17</xdr:col>
      <xdr:colOff>495300</xdr:colOff>
      <xdr:row>306</xdr:row>
      <xdr:rowOff>101600</xdr:rowOff>
    </xdr:to>
    <xdr:sp macro="" textlink="">
      <xdr:nvSpPr>
        <xdr:cNvPr id="555" name="AutoShape 10734">
          <a:extLst>
            <a:ext uri="{FF2B5EF4-FFF2-40B4-BE49-F238E27FC236}">
              <a16:creationId xmlns:a16="http://schemas.microsoft.com/office/drawing/2014/main" id="{F47B0DED-085B-4490-B54C-7789DF0EFB33}"/>
            </a:ext>
          </a:extLst>
        </xdr:cNvPr>
        <xdr:cNvSpPr>
          <a:spLocks noChangeArrowheads="1"/>
        </xdr:cNvSpPr>
      </xdr:nvSpPr>
      <xdr:spPr bwMode="auto">
        <a:xfrm rot="5400000">
          <a:off x="16363627" y="88728227"/>
          <a:ext cx="723900" cy="280046"/>
        </a:xfrm>
        <a:prstGeom prst="rightArrow">
          <a:avLst>
            <a:gd name="adj1" fmla="val 50000"/>
            <a:gd name="adj2" fmla="val 140822"/>
          </a:avLst>
        </a:prstGeom>
        <a:solidFill>
          <a:srgbClr val="9999FF"/>
        </a:solidFill>
        <a:ln w="9525" algn="ctr">
          <a:solidFill>
            <a:srgbClr val="9999FF"/>
          </a:solidFill>
          <a:miter lim="800000"/>
          <a:headEnd/>
          <a:tailEnd/>
        </a:ln>
      </xdr:spPr>
    </xdr:sp>
    <xdr:clientData/>
  </xdr:twoCellAnchor>
  <xdr:twoCellAnchor>
    <xdr:from>
      <xdr:col>23</xdr:col>
      <xdr:colOff>280909</xdr:colOff>
      <xdr:row>237</xdr:row>
      <xdr:rowOff>281557</xdr:rowOff>
    </xdr:from>
    <xdr:to>
      <xdr:col>23</xdr:col>
      <xdr:colOff>431584</xdr:colOff>
      <xdr:row>239</xdr:row>
      <xdr:rowOff>584201</xdr:rowOff>
    </xdr:to>
    <xdr:sp macro="" textlink="">
      <xdr:nvSpPr>
        <xdr:cNvPr id="556" name="AutoShape 10734">
          <a:extLst>
            <a:ext uri="{FF2B5EF4-FFF2-40B4-BE49-F238E27FC236}">
              <a16:creationId xmlns:a16="http://schemas.microsoft.com/office/drawing/2014/main" id="{425F98EE-CF9B-422C-867A-D66853FAD6F4}"/>
            </a:ext>
          </a:extLst>
        </xdr:cNvPr>
        <xdr:cNvSpPr>
          <a:spLocks noChangeArrowheads="1"/>
        </xdr:cNvSpPr>
      </xdr:nvSpPr>
      <xdr:spPr bwMode="auto">
        <a:xfrm rot="5400000" flipV="1">
          <a:off x="21514255" y="82695451"/>
          <a:ext cx="889384" cy="150675"/>
        </a:xfrm>
        <a:prstGeom prst="rightArrow">
          <a:avLst>
            <a:gd name="adj1" fmla="val 50000"/>
            <a:gd name="adj2" fmla="val 136974"/>
          </a:avLst>
        </a:prstGeom>
        <a:solidFill>
          <a:srgbClr val="9999FF"/>
        </a:solidFill>
        <a:ln w="9525" algn="ctr">
          <a:solidFill>
            <a:srgbClr val="9999FF"/>
          </a:solidFill>
          <a:miter lim="800000"/>
          <a:headEnd/>
          <a:tailEnd/>
        </a:ln>
      </xdr:spPr>
    </xdr:sp>
    <xdr:clientData/>
  </xdr:twoCellAnchor>
  <xdr:twoCellAnchor>
    <xdr:from>
      <xdr:col>1</xdr:col>
      <xdr:colOff>236780</xdr:colOff>
      <xdr:row>157</xdr:row>
      <xdr:rowOff>21527</xdr:rowOff>
    </xdr:from>
    <xdr:to>
      <xdr:col>1</xdr:col>
      <xdr:colOff>382300</xdr:colOff>
      <xdr:row>158</xdr:row>
      <xdr:rowOff>50631</xdr:rowOff>
    </xdr:to>
    <xdr:sp macro="" textlink="">
      <xdr:nvSpPr>
        <xdr:cNvPr id="557" name="AutoShape 10734">
          <a:extLst>
            <a:ext uri="{FF2B5EF4-FFF2-40B4-BE49-F238E27FC236}">
              <a16:creationId xmlns:a16="http://schemas.microsoft.com/office/drawing/2014/main" id="{B331905D-25F2-48FD-A672-29369C53756F}"/>
            </a:ext>
          </a:extLst>
        </xdr:cNvPr>
        <xdr:cNvSpPr>
          <a:spLocks noChangeArrowheads="1"/>
        </xdr:cNvSpPr>
      </xdr:nvSpPr>
      <xdr:spPr bwMode="auto">
        <a:xfrm rot="5400000">
          <a:off x="1308448" y="53996739"/>
          <a:ext cx="532024" cy="145520"/>
        </a:xfrm>
        <a:prstGeom prst="rightArrow">
          <a:avLst>
            <a:gd name="adj1" fmla="val 50000"/>
            <a:gd name="adj2" fmla="val 140822"/>
          </a:avLst>
        </a:prstGeom>
        <a:solidFill>
          <a:srgbClr val="9999FF"/>
        </a:solidFill>
        <a:ln w="9525" algn="ctr">
          <a:solidFill>
            <a:srgbClr val="9999FF"/>
          </a:solidFill>
          <a:miter lim="800000"/>
          <a:headEnd/>
          <a:tailEnd/>
        </a:ln>
      </xdr:spPr>
    </xdr:sp>
    <xdr:clientData/>
  </xdr:twoCellAnchor>
  <xdr:twoCellAnchor>
    <xdr:from>
      <xdr:col>13</xdr:col>
      <xdr:colOff>274880</xdr:colOff>
      <xdr:row>357</xdr:row>
      <xdr:rowOff>177800</xdr:rowOff>
    </xdr:from>
    <xdr:to>
      <xdr:col>13</xdr:col>
      <xdr:colOff>508000</xdr:colOff>
      <xdr:row>358</xdr:row>
      <xdr:rowOff>673100</xdr:rowOff>
    </xdr:to>
    <xdr:sp macro="" textlink="">
      <xdr:nvSpPr>
        <xdr:cNvPr id="558" name="AutoShape 10734">
          <a:extLst>
            <a:ext uri="{FF2B5EF4-FFF2-40B4-BE49-F238E27FC236}">
              <a16:creationId xmlns:a16="http://schemas.microsoft.com/office/drawing/2014/main" id="{C0BDCCB1-4C5D-4188-9DC4-BC216AB6DAE2}"/>
            </a:ext>
          </a:extLst>
        </xdr:cNvPr>
        <xdr:cNvSpPr>
          <a:spLocks noChangeArrowheads="1"/>
        </xdr:cNvSpPr>
      </xdr:nvSpPr>
      <xdr:spPr bwMode="auto">
        <a:xfrm rot="5400000">
          <a:off x="12831090" y="126000790"/>
          <a:ext cx="678180" cy="233120"/>
        </a:xfrm>
        <a:prstGeom prst="rightArrow">
          <a:avLst>
            <a:gd name="adj1" fmla="val 50000"/>
            <a:gd name="adj2" fmla="val 140822"/>
          </a:avLst>
        </a:prstGeom>
        <a:solidFill>
          <a:srgbClr val="9999FF"/>
        </a:solidFill>
        <a:ln w="9525" algn="ctr">
          <a:solidFill>
            <a:srgbClr val="9999FF"/>
          </a:solidFill>
          <a:miter lim="800000"/>
          <a:headEnd/>
          <a:tailEnd/>
        </a:ln>
      </xdr:spPr>
    </xdr:sp>
    <xdr:clientData/>
  </xdr:twoCellAnchor>
  <xdr:twoCellAnchor editAs="oneCell">
    <xdr:from>
      <xdr:col>23</xdr:col>
      <xdr:colOff>97694</xdr:colOff>
      <xdr:row>111</xdr:row>
      <xdr:rowOff>24424</xdr:rowOff>
    </xdr:from>
    <xdr:to>
      <xdr:col>23</xdr:col>
      <xdr:colOff>435165</xdr:colOff>
      <xdr:row>114</xdr:row>
      <xdr:rowOff>106449</xdr:rowOff>
    </xdr:to>
    <xdr:pic>
      <xdr:nvPicPr>
        <xdr:cNvPr id="559" name="Picture 558">
          <a:extLst>
            <a:ext uri="{FF2B5EF4-FFF2-40B4-BE49-F238E27FC236}">
              <a16:creationId xmlns:a16="http://schemas.microsoft.com/office/drawing/2014/main" id="{9751F1DD-8842-49D1-A7CC-B76065D7ED88}"/>
            </a:ext>
          </a:extLst>
        </xdr:cNvPr>
        <xdr:cNvPicPr>
          <a:picLocks noChangeAspect="1"/>
        </xdr:cNvPicPr>
      </xdr:nvPicPr>
      <xdr:blipFill>
        <a:blip xmlns:r="http://schemas.openxmlformats.org/officeDocument/2006/relationships" r:embed="rId5"/>
        <a:stretch>
          <a:fillRect/>
        </a:stretch>
      </xdr:blipFill>
      <xdr:spPr>
        <a:xfrm rot="16200000">
          <a:off x="21553797" y="37021341"/>
          <a:ext cx="630665" cy="337471"/>
        </a:xfrm>
        <a:prstGeom prst="rect">
          <a:avLst/>
        </a:prstGeom>
      </xdr:spPr>
    </xdr:pic>
    <xdr:clientData/>
  </xdr:twoCellAnchor>
  <xdr:twoCellAnchor editAs="oneCell">
    <xdr:from>
      <xdr:col>7</xdr:col>
      <xdr:colOff>213361</xdr:colOff>
      <xdr:row>366</xdr:row>
      <xdr:rowOff>15240</xdr:rowOff>
    </xdr:from>
    <xdr:to>
      <xdr:col>7</xdr:col>
      <xdr:colOff>528877</xdr:colOff>
      <xdr:row>369</xdr:row>
      <xdr:rowOff>172149</xdr:rowOff>
    </xdr:to>
    <xdr:pic>
      <xdr:nvPicPr>
        <xdr:cNvPr id="560" name="Picture 559">
          <a:extLst>
            <a:ext uri="{FF2B5EF4-FFF2-40B4-BE49-F238E27FC236}">
              <a16:creationId xmlns:a16="http://schemas.microsoft.com/office/drawing/2014/main" id="{50EAB144-8110-40D5-9849-ADA1FD65B5BB}"/>
            </a:ext>
          </a:extLst>
        </xdr:cNvPr>
        <xdr:cNvPicPr>
          <a:picLocks noChangeAspect="1"/>
        </xdr:cNvPicPr>
      </xdr:nvPicPr>
      <xdr:blipFill>
        <a:blip xmlns:r="http://schemas.openxmlformats.org/officeDocument/2006/relationships" r:embed="rId5"/>
        <a:stretch>
          <a:fillRect/>
        </a:stretch>
      </xdr:blipFill>
      <xdr:spPr>
        <a:xfrm rot="16200000">
          <a:off x="7489754" y="128809187"/>
          <a:ext cx="606489" cy="315516"/>
        </a:xfrm>
        <a:prstGeom prst="rect">
          <a:avLst/>
        </a:prstGeom>
      </xdr:spPr>
    </xdr:pic>
    <xdr:clientData/>
  </xdr:twoCellAnchor>
  <xdr:twoCellAnchor editAs="oneCell">
    <xdr:from>
      <xdr:col>5</xdr:col>
      <xdr:colOff>355600</xdr:colOff>
      <xdr:row>323</xdr:row>
      <xdr:rowOff>63500</xdr:rowOff>
    </xdr:from>
    <xdr:to>
      <xdr:col>5</xdr:col>
      <xdr:colOff>663496</xdr:colOff>
      <xdr:row>326</xdr:row>
      <xdr:rowOff>205436</xdr:rowOff>
    </xdr:to>
    <xdr:pic>
      <xdr:nvPicPr>
        <xdr:cNvPr id="561" name="Picture 560">
          <a:extLst>
            <a:ext uri="{FF2B5EF4-FFF2-40B4-BE49-F238E27FC236}">
              <a16:creationId xmlns:a16="http://schemas.microsoft.com/office/drawing/2014/main" id="{500FFE1C-CCC4-4375-82F1-4D7B63779918}"/>
            </a:ext>
          </a:extLst>
        </xdr:cNvPr>
        <xdr:cNvPicPr>
          <a:picLocks noChangeAspect="1"/>
        </xdr:cNvPicPr>
      </xdr:nvPicPr>
      <xdr:blipFill>
        <a:blip xmlns:r="http://schemas.openxmlformats.org/officeDocument/2006/relationships" r:embed="rId5"/>
        <a:stretch>
          <a:fillRect/>
        </a:stretch>
      </xdr:blipFill>
      <xdr:spPr>
        <a:xfrm rot="16200000">
          <a:off x="5490640" y="113244200"/>
          <a:ext cx="591516" cy="315516"/>
        </a:xfrm>
        <a:prstGeom prst="rect">
          <a:avLst/>
        </a:prstGeom>
      </xdr:spPr>
    </xdr:pic>
    <xdr:clientData/>
  </xdr:twoCellAnchor>
  <xdr:twoCellAnchor editAs="oneCell">
    <xdr:from>
      <xdr:col>5</xdr:col>
      <xdr:colOff>317501</xdr:colOff>
      <xdr:row>101</xdr:row>
      <xdr:rowOff>330200</xdr:rowOff>
    </xdr:from>
    <xdr:to>
      <xdr:col>5</xdr:col>
      <xdr:colOff>647352</xdr:colOff>
      <xdr:row>105</xdr:row>
      <xdr:rowOff>219186</xdr:rowOff>
    </xdr:to>
    <xdr:pic>
      <xdr:nvPicPr>
        <xdr:cNvPr id="562" name="Picture 561">
          <a:extLst>
            <a:ext uri="{FF2B5EF4-FFF2-40B4-BE49-F238E27FC236}">
              <a16:creationId xmlns:a16="http://schemas.microsoft.com/office/drawing/2014/main" id="{9B6C23D0-A473-40A7-B583-2F184A725487}"/>
            </a:ext>
          </a:extLst>
        </xdr:cNvPr>
        <xdr:cNvPicPr>
          <a:picLocks noChangeAspect="1"/>
        </xdr:cNvPicPr>
      </xdr:nvPicPr>
      <xdr:blipFill>
        <a:blip xmlns:r="http://schemas.openxmlformats.org/officeDocument/2006/relationships" r:embed="rId5"/>
        <a:stretch>
          <a:fillRect/>
        </a:stretch>
      </xdr:blipFill>
      <xdr:spPr>
        <a:xfrm rot="16200000">
          <a:off x="5445214" y="33820647"/>
          <a:ext cx="628126" cy="337471"/>
        </a:xfrm>
        <a:prstGeom prst="rect">
          <a:avLst/>
        </a:prstGeom>
      </xdr:spPr>
    </xdr:pic>
    <xdr:clientData/>
  </xdr:twoCellAnchor>
  <xdr:twoCellAnchor editAs="oneCell">
    <xdr:from>
      <xdr:col>13</xdr:col>
      <xdr:colOff>196908</xdr:colOff>
      <xdr:row>27</xdr:row>
      <xdr:rowOff>126999</xdr:rowOff>
    </xdr:from>
    <xdr:to>
      <xdr:col>13</xdr:col>
      <xdr:colOff>532448</xdr:colOff>
      <xdr:row>31</xdr:row>
      <xdr:rowOff>100330</xdr:rowOff>
    </xdr:to>
    <xdr:pic>
      <xdr:nvPicPr>
        <xdr:cNvPr id="563" name="Picture 562">
          <a:extLst>
            <a:ext uri="{FF2B5EF4-FFF2-40B4-BE49-F238E27FC236}">
              <a16:creationId xmlns:a16="http://schemas.microsoft.com/office/drawing/2014/main" id="{3EE60A08-FEF7-4E9B-9145-41E92768D5DB}"/>
            </a:ext>
          </a:extLst>
        </xdr:cNvPr>
        <xdr:cNvPicPr>
          <a:picLocks noChangeAspect="1"/>
        </xdr:cNvPicPr>
      </xdr:nvPicPr>
      <xdr:blipFill>
        <a:blip xmlns:r="http://schemas.openxmlformats.org/officeDocument/2006/relationships" r:embed="rId4"/>
        <a:stretch>
          <a:fillRect/>
        </a:stretch>
      </xdr:blipFill>
      <xdr:spPr>
        <a:xfrm>
          <a:off x="12975648" y="7152639"/>
          <a:ext cx="335540" cy="605791"/>
        </a:xfrm>
        <a:prstGeom prst="rect">
          <a:avLst/>
        </a:prstGeom>
      </xdr:spPr>
    </xdr:pic>
    <xdr:clientData/>
  </xdr:twoCellAnchor>
  <xdr:twoCellAnchor editAs="oneCell">
    <xdr:from>
      <xdr:col>5</xdr:col>
      <xdr:colOff>431800</xdr:colOff>
      <xdr:row>93</xdr:row>
      <xdr:rowOff>50800</xdr:rowOff>
    </xdr:from>
    <xdr:to>
      <xdr:col>5</xdr:col>
      <xdr:colOff>622360</xdr:colOff>
      <xdr:row>96</xdr:row>
      <xdr:rowOff>213632</xdr:rowOff>
    </xdr:to>
    <xdr:pic>
      <xdr:nvPicPr>
        <xdr:cNvPr id="564" name="Picture 563">
          <a:extLst>
            <a:ext uri="{FF2B5EF4-FFF2-40B4-BE49-F238E27FC236}">
              <a16:creationId xmlns:a16="http://schemas.microsoft.com/office/drawing/2014/main" id="{D3E9818E-613A-46CB-B757-0287FD729CB5}"/>
            </a:ext>
          </a:extLst>
        </xdr:cNvPr>
        <xdr:cNvPicPr>
          <a:picLocks noChangeAspect="1"/>
        </xdr:cNvPicPr>
      </xdr:nvPicPr>
      <xdr:blipFill>
        <a:blip xmlns:r="http://schemas.openxmlformats.org/officeDocument/2006/relationships" r:embed="rId4"/>
        <a:stretch>
          <a:fillRect/>
        </a:stretch>
      </xdr:blipFill>
      <xdr:spPr>
        <a:xfrm>
          <a:off x="5704840" y="30477460"/>
          <a:ext cx="198180" cy="612412"/>
        </a:xfrm>
        <a:prstGeom prst="rect">
          <a:avLst/>
        </a:prstGeom>
      </xdr:spPr>
    </xdr:pic>
    <xdr:clientData/>
  </xdr:twoCellAnchor>
  <xdr:twoCellAnchor editAs="oneCell">
    <xdr:from>
      <xdr:col>9</xdr:col>
      <xdr:colOff>177800</xdr:colOff>
      <xdr:row>93</xdr:row>
      <xdr:rowOff>38100</xdr:rowOff>
    </xdr:from>
    <xdr:to>
      <xdr:col>9</xdr:col>
      <xdr:colOff>375980</xdr:colOff>
      <xdr:row>96</xdr:row>
      <xdr:rowOff>200932</xdr:rowOff>
    </xdr:to>
    <xdr:pic>
      <xdr:nvPicPr>
        <xdr:cNvPr id="565" name="Picture 564">
          <a:extLst>
            <a:ext uri="{FF2B5EF4-FFF2-40B4-BE49-F238E27FC236}">
              <a16:creationId xmlns:a16="http://schemas.microsoft.com/office/drawing/2014/main" id="{31019327-3F4B-4F9F-90A1-C238A4177157}"/>
            </a:ext>
          </a:extLst>
        </xdr:cNvPr>
        <xdr:cNvPicPr>
          <a:picLocks noChangeAspect="1"/>
        </xdr:cNvPicPr>
      </xdr:nvPicPr>
      <xdr:blipFill>
        <a:blip xmlns:r="http://schemas.openxmlformats.org/officeDocument/2006/relationships" r:embed="rId4"/>
        <a:stretch>
          <a:fillRect/>
        </a:stretch>
      </xdr:blipFill>
      <xdr:spPr>
        <a:xfrm>
          <a:off x="9748520" y="30464760"/>
          <a:ext cx="198180" cy="612412"/>
        </a:xfrm>
        <a:prstGeom prst="rect">
          <a:avLst/>
        </a:prstGeom>
      </xdr:spPr>
    </xdr:pic>
    <xdr:clientData/>
  </xdr:twoCellAnchor>
  <xdr:twoCellAnchor>
    <xdr:from>
      <xdr:col>17</xdr:col>
      <xdr:colOff>268654</xdr:colOff>
      <xdr:row>19</xdr:row>
      <xdr:rowOff>36634</xdr:rowOff>
    </xdr:from>
    <xdr:to>
      <xdr:col>17</xdr:col>
      <xdr:colOff>366346</xdr:colOff>
      <xdr:row>21</xdr:row>
      <xdr:rowOff>0</xdr:rowOff>
    </xdr:to>
    <xdr:sp macro="" textlink="">
      <xdr:nvSpPr>
        <xdr:cNvPr id="566" name="AutoShape 10734">
          <a:extLst>
            <a:ext uri="{FF2B5EF4-FFF2-40B4-BE49-F238E27FC236}">
              <a16:creationId xmlns:a16="http://schemas.microsoft.com/office/drawing/2014/main" id="{01FAC2F2-2D9C-4C4F-8679-29D8A1E3F87B}"/>
            </a:ext>
          </a:extLst>
        </xdr:cNvPr>
        <xdr:cNvSpPr>
          <a:spLocks noChangeArrowheads="1"/>
        </xdr:cNvSpPr>
      </xdr:nvSpPr>
      <xdr:spPr bwMode="auto">
        <a:xfrm rot="5400000">
          <a:off x="16364487" y="4804361"/>
          <a:ext cx="672026" cy="97692"/>
        </a:xfrm>
        <a:prstGeom prst="rightArrow">
          <a:avLst>
            <a:gd name="adj1" fmla="val 50000"/>
            <a:gd name="adj2" fmla="val 140822"/>
          </a:avLst>
        </a:prstGeom>
        <a:solidFill>
          <a:srgbClr val="9999FF"/>
        </a:solidFill>
        <a:ln w="9525" algn="ctr">
          <a:solidFill>
            <a:srgbClr val="9999FF"/>
          </a:solidFill>
          <a:miter lim="800000"/>
          <a:headEnd/>
          <a:tailEnd/>
        </a:ln>
      </xdr:spPr>
    </xdr:sp>
    <xdr:clientData/>
  </xdr:twoCellAnchor>
  <xdr:twoCellAnchor>
    <xdr:from>
      <xdr:col>7</xdr:col>
      <xdr:colOff>299916</xdr:colOff>
      <xdr:row>136</xdr:row>
      <xdr:rowOff>11238</xdr:rowOff>
    </xdr:from>
    <xdr:to>
      <xdr:col>7</xdr:col>
      <xdr:colOff>483090</xdr:colOff>
      <xdr:row>137</xdr:row>
      <xdr:rowOff>482600</xdr:rowOff>
    </xdr:to>
    <xdr:sp macro="" textlink="">
      <xdr:nvSpPr>
        <xdr:cNvPr id="567" name="AutoShape 10734">
          <a:extLst>
            <a:ext uri="{FF2B5EF4-FFF2-40B4-BE49-F238E27FC236}">
              <a16:creationId xmlns:a16="http://schemas.microsoft.com/office/drawing/2014/main" id="{D5F8E0FC-3239-4F26-9FD7-2F954699A847}"/>
            </a:ext>
          </a:extLst>
        </xdr:cNvPr>
        <xdr:cNvSpPr>
          <a:spLocks noChangeArrowheads="1"/>
        </xdr:cNvSpPr>
      </xdr:nvSpPr>
      <xdr:spPr bwMode="auto">
        <a:xfrm rot="5400000" flipV="1">
          <a:off x="7471022" y="46523032"/>
          <a:ext cx="684722" cy="183174"/>
        </a:xfrm>
        <a:prstGeom prst="rightArrow">
          <a:avLst>
            <a:gd name="adj1" fmla="val 50000"/>
            <a:gd name="adj2" fmla="val 140822"/>
          </a:avLst>
        </a:prstGeom>
        <a:solidFill>
          <a:srgbClr val="9999FF"/>
        </a:solidFill>
        <a:ln w="9525" algn="ctr">
          <a:solidFill>
            <a:srgbClr val="9999FF"/>
          </a:solidFill>
          <a:miter lim="800000"/>
          <a:headEnd/>
          <a:tailEnd/>
        </a:ln>
      </xdr:spPr>
    </xdr:sp>
    <xdr:clientData/>
  </xdr:twoCellAnchor>
  <xdr:twoCellAnchor editAs="oneCell">
    <xdr:from>
      <xdr:col>3</xdr:col>
      <xdr:colOff>311642</xdr:colOff>
      <xdr:row>263</xdr:row>
      <xdr:rowOff>60570</xdr:rowOff>
    </xdr:from>
    <xdr:to>
      <xdr:col>3</xdr:col>
      <xdr:colOff>779783</xdr:colOff>
      <xdr:row>267</xdr:row>
      <xdr:rowOff>45920</xdr:rowOff>
    </xdr:to>
    <xdr:pic>
      <xdr:nvPicPr>
        <xdr:cNvPr id="568" name="Picture 567">
          <a:extLst>
            <a:ext uri="{FF2B5EF4-FFF2-40B4-BE49-F238E27FC236}">
              <a16:creationId xmlns:a16="http://schemas.microsoft.com/office/drawing/2014/main" id="{E70672FB-DFF9-4A42-9B9C-ED32DF50DC90}"/>
            </a:ext>
          </a:extLst>
        </xdr:cNvPr>
        <xdr:cNvPicPr>
          <a:picLocks noChangeAspect="1"/>
        </xdr:cNvPicPr>
      </xdr:nvPicPr>
      <xdr:blipFill>
        <a:blip xmlns:r="http://schemas.openxmlformats.org/officeDocument/2006/relationships" r:embed="rId5"/>
        <a:stretch>
          <a:fillRect/>
        </a:stretch>
      </xdr:blipFill>
      <xdr:spPr>
        <a:xfrm rot="16200000">
          <a:off x="3269568" y="91262984"/>
          <a:ext cx="625430" cy="475761"/>
        </a:xfrm>
        <a:prstGeom prst="rect">
          <a:avLst/>
        </a:prstGeom>
      </xdr:spPr>
    </xdr:pic>
    <xdr:clientData/>
  </xdr:twoCellAnchor>
  <xdr:twoCellAnchor>
    <xdr:from>
      <xdr:col>7</xdr:col>
      <xdr:colOff>419100</xdr:colOff>
      <xdr:row>2</xdr:row>
      <xdr:rowOff>292100</xdr:rowOff>
    </xdr:from>
    <xdr:to>
      <xdr:col>7</xdr:col>
      <xdr:colOff>431800</xdr:colOff>
      <xdr:row>6</xdr:row>
      <xdr:rowOff>139700</xdr:rowOff>
    </xdr:to>
    <xdr:cxnSp macro="">
      <xdr:nvCxnSpPr>
        <xdr:cNvPr id="569" name="Straight Arrow Connector 568">
          <a:extLst>
            <a:ext uri="{FF2B5EF4-FFF2-40B4-BE49-F238E27FC236}">
              <a16:creationId xmlns:a16="http://schemas.microsoft.com/office/drawing/2014/main" id="{C8003E2F-70EF-4A96-9A97-B6F7E58A4A8B}"/>
            </a:ext>
          </a:extLst>
        </xdr:cNvPr>
        <xdr:cNvCxnSpPr/>
      </xdr:nvCxnSpPr>
      <xdr:spPr>
        <a:xfrm flipV="1">
          <a:off x="7840980" y="764540"/>
          <a:ext cx="12700" cy="944880"/>
        </a:xfrm>
        <a:prstGeom prst="straightConnector1">
          <a:avLst/>
        </a:prstGeom>
        <a:ln w="9525">
          <a:solidFill>
            <a:sysClr val="windowText" lastClr="000000"/>
          </a:solidFill>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23</xdr:col>
      <xdr:colOff>0</xdr:colOff>
      <xdr:row>221</xdr:row>
      <xdr:rowOff>0</xdr:rowOff>
    </xdr:from>
    <xdr:to>
      <xdr:col>23</xdr:col>
      <xdr:colOff>134937</xdr:colOff>
      <xdr:row>221</xdr:row>
      <xdr:rowOff>0</xdr:rowOff>
    </xdr:to>
    <xdr:sp macro="" textlink="">
      <xdr:nvSpPr>
        <xdr:cNvPr id="570" name="Bent Arrow 809">
          <a:extLst>
            <a:ext uri="{FF2B5EF4-FFF2-40B4-BE49-F238E27FC236}">
              <a16:creationId xmlns:a16="http://schemas.microsoft.com/office/drawing/2014/main" id="{79ECEAC9-AACB-471D-9CAC-FE229C295970}"/>
            </a:ext>
          </a:extLst>
        </xdr:cNvPr>
        <xdr:cNvSpPr/>
      </xdr:nvSpPr>
      <xdr:spPr>
        <a:xfrm rot="5400000">
          <a:off x="2167016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265</xdr:row>
      <xdr:rowOff>0</xdr:rowOff>
    </xdr:from>
    <xdr:to>
      <xdr:col>13</xdr:col>
      <xdr:colOff>134937</xdr:colOff>
      <xdr:row>265</xdr:row>
      <xdr:rowOff>0</xdr:rowOff>
    </xdr:to>
    <xdr:sp macro="" textlink="">
      <xdr:nvSpPr>
        <xdr:cNvPr id="571" name="Bent Arrow 809">
          <a:extLst>
            <a:ext uri="{FF2B5EF4-FFF2-40B4-BE49-F238E27FC236}">
              <a16:creationId xmlns:a16="http://schemas.microsoft.com/office/drawing/2014/main" id="{426F371A-A666-4050-8A31-4F26D77BF090}"/>
            </a:ext>
          </a:extLst>
        </xdr:cNvPr>
        <xdr:cNvSpPr/>
      </xdr:nvSpPr>
      <xdr:spPr>
        <a:xfrm rot="5400000">
          <a:off x="1284620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265</xdr:row>
      <xdr:rowOff>0</xdr:rowOff>
    </xdr:from>
    <xdr:to>
      <xdr:col>9</xdr:col>
      <xdr:colOff>134937</xdr:colOff>
      <xdr:row>265</xdr:row>
      <xdr:rowOff>0</xdr:rowOff>
    </xdr:to>
    <xdr:sp macro="" textlink="">
      <xdr:nvSpPr>
        <xdr:cNvPr id="572" name="Bent Arrow 809">
          <a:extLst>
            <a:ext uri="{FF2B5EF4-FFF2-40B4-BE49-F238E27FC236}">
              <a16:creationId xmlns:a16="http://schemas.microsoft.com/office/drawing/2014/main" id="{00B61741-70EE-4AA3-9B39-1433770AA37F}"/>
            </a:ext>
          </a:extLst>
        </xdr:cNvPr>
        <xdr:cNvSpPr/>
      </xdr:nvSpPr>
      <xdr:spPr>
        <a:xfrm rot="5400000">
          <a:off x="963818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273</xdr:row>
      <xdr:rowOff>0</xdr:rowOff>
    </xdr:from>
    <xdr:to>
      <xdr:col>13</xdr:col>
      <xdr:colOff>134937</xdr:colOff>
      <xdr:row>273</xdr:row>
      <xdr:rowOff>0</xdr:rowOff>
    </xdr:to>
    <xdr:sp macro="" textlink="">
      <xdr:nvSpPr>
        <xdr:cNvPr id="573" name="Bent Arrow 809">
          <a:extLst>
            <a:ext uri="{FF2B5EF4-FFF2-40B4-BE49-F238E27FC236}">
              <a16:creationId xmlns:a16="http://schemas.microsoft.com/office/drawing/2014/main" id="{A424377C-B3BE-489D-9D0F-C9295E3AF059}"/>
            </a:ext>
          </a:extLst>
        </xdr:cNvPr>
        <xdr:cNvSpPr/>
      </xdr:nvSpPr>
      <xdr:spPr>
        <a:xfrm rot="5400000">
          <a:off x="12846209" y="94740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256</xdr:row>
      <xdr:rowOff>0</xdr:rowOff>
    </xdr:from>
    <xdr:to>
      <xdr:col>5</xdr:col>
      <xdr:colOff>134937</xdr:colOff>
      <xdr:row>256</xdr:row>
      <xdr:rowOff>0</xdr:rowOff>
    </xdr:to>
    <xdr:sp macro="" textlink="">
      <xdr:nvSpPr>
        <xdr:cNvPr id="574" name="Bent Arrow 809">
          <a:extLst>
            <a:ext uri="{FF2B5EF4-FFF2-40B4-BE49-F238E27FC236}">
              <a16:creationId xmlns:a16="http://schemas.microsoft.com/office/drawing/2014/main" id="{DFBB4FC8-B604-4D2F-9DF0-3EED986814C1}"/>
            </a:ext>
          </a:extLst>
        </xdr:cNvPr>
        <xdr:cNvSpPr/>
      </xdr:nvSpPr>
      <xdr:spPr>
        <a:xfrm rot="5400000">
          <a:off x="534050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248</xdr:row>
      <xdr:rowOff>0</xdr:rowOff>
    </xdr:from>
    <xdr:to>
      <xdr:col>21</xdr:col>
      <xdr:colOff>134937</xdr:colOff>
      <xdr:row>248</xdr:row>
      <xdr:rowOff>0</xdr:rowOff>
    </xdr:to>
    <xdr:sp macro="" textlink="">
      <xdr:nvSpPr>
        <xdr:cNvPr id="575" name="Bent Arrow 809">
          <a:extLst>
            <a:ext uri="{FF2B5EF4-FFF2-40B4-BE49-F238E27FC236}">
              <a16:creationId xmlns:a16="http://schemas.microsoft.com/office/drawing/2014/main" id="{621ABCC3-3CB5-4436-9192-0AD485540538}"/>
            </a:ext>
          </a:extLst>
        </xdr:cNvPr>
        <xdr:cNvSpPr/>
      </xdr:nvSpPr>
      <xdr:spPr>
        <a:xfrm rot="5400000">
          <a:off x="1974992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230</xdr:row>
      <xdr:rowOff>0</xdr:rowOff>
    </xdr:from>
    <xdr:to>
      <xdr:col>5</xdr:col>
      <xdr:colOff>134937</xdr:colOff>
      <xdr:row>230</xdr:row>
      <xdr:rowOff>0</xdr:rowOff>
    </xdr:to>
    <xdr:sp macro="" textlink="">
      <xdr:nvSpPr>
        <xdr:cNvPr id="576" name="Bent Arrow 809">
          <a:extLst>
            <a:ext uri="{FF2B5EF4-FFF2-40B4-BE49-F238E27FC236}">
              <a16:creationId xmlns:a16="http://schemas.microsoft.com/office/drawing/2014/main" id="{75F8EDE3-0F0B-4EB5-A1CD-3576CECF6228}"/>
            </a:ext>
          </a:extLst>
        </xdr:cNvPr>
        <xdr:cNvSpPr/>
      </xdr:nvSpPr>
      <xdr:spPr>
        <a:xfrm rot="5400000">
          <a:off x="5340509" y="7940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350</xdr:row>
      <xdr:rowOff>0</xdr:rowOff>
    </xdr:from>
    <xdr:to>
      <xdr:col>23</xdr:col>
      <xdr:colOff>134937</xdr:colOff>
      <xdr:row>350</xdr:row>
      <xdr:rowOff>0</xdr:rowOff>
    </xdr:to>
    <xdr:sp macro="" textlink="">
      <xdr:nvSpPr>
        <xdr:cNvPr id="577" name="Bent Arrow 809">
          <a:extLst>
            <a:ext uri="{FF2B5EF4-FFF2-40B4-BE49-F238E27FC236}">
              <a16:creationId xmlns:a16="http://schemas.microsoft.com/office/drawing/2014/main" id="{3DF96C76-DC18-482D-9574-6F2A58878649}"/>
            </a:ext>
          </a:extLst>
        </xdr:cNvPr>
        <xdr:cNvSpPr/>
      </xdr:nvSpPr>
      <xdr:spPr>
        <a:xfrm rot="5400000">
          <a:off x="2167016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221</xdr:row>
      <xdr:rowOff>0</xdr:rowOff>
    </xdr:from>
    <xdr:to>
      <xdr:col>3</xdr:col>
      <xdr:colOff>134937</xdr:colOff>
      <xdr:row>221</xdr:row>
      <xdr:rowOff>0</xdr:rowOff>
    </xdr:to>
    <xdr:sp macro="" textlink="">
      <xdr:nvSpPr>
        <xdr:cNvPr id="578" name="Bent Arrow 809">
          <a:extLst>
            <a:ext uri="{FF2B5EF4-FFF2-40B4-BE49-F238E27FC236}">
              <a16:creationId xmlns:a16="http://schemas.microsoft.com/office/drawing/2014/main" id="{82735A68-7947-46BC-842A-EDAECCF28808}"/>
            </a:ext>
          </a:extLst>
        </xdr:cNvPr>
        <xdr:cNvSpPr/>
      </xdr:nvSpPr>
      <xdr:spPr>
        <a:xfrm rot="5400000">
          <a:off x="310022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212</xdr:row>
      <xdr:rowOff>0</xdr:rowOff>
    </xdr:from>
    <xdr:to>
      <xdr:col>23</xdr:col>
      <xdr:colOff>134937</xdr:colOff>
      <xdr:row>212</xdr:row>
      <xdr:rowOff>0</xdr:rowOff>
    </xdr:to>
    <xdr:sp macro="" textlink="">
      <xdr:nvSpPr>
        <xdr:cNvPr id="579" name="Bent Arrow 809">
          <a:extLst>
            <a:ext uri="{FF2B5EF4-FFF2-40B4-BE49-F238E27FC236}">
              <a16:creationId xmlns:a16="http://schemas.microsoft.com/office/drawing/2014/main" id="{9551AB98-E17B-49E0-A5E4-7109B3E27E33}"/>
            </a:ext>
          </a:extLst>
        </xdr:cNvPr>
        <xdr:cNvSpPr/>
      </xdr:nvSpPr>
      <xdr:spPr>
        <a:xfrm rot="5400000">
          <a:off x="2167016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230</xdr:row>
      <xdr:rowOff>0</xdr:rowOff>
    </xdr:from>
    <xdr:to>
      <xdr:col>3</xdr:col>
      <xdr:colOff>134937</xdr:colOff>
      <xdr:row>230</xdr:row>
      <xdr:rowOff>0</xdr:rowOff>
    </xdr:to>
    <xdr:sp macro="" textlink="">
      <xdr:nvSpPr>
        <xdr:cNvPr id="580" name="Bent Arrow 809">
          <a:extLst>
            <a:ext uri="{FF2B5EF4-FFF2-40B4-BE49-F238E27FC236}">
              <a16:creationId xmlns:a16="http://schemas.microsoft.com/office/drawing/2014/main" id="{7A194180-9409-4D08-AA39-7CD17AC0F5B1}"/>
            </a:ext>
          </a:extLst>
        </xdr:cNvPr>
        <xdr:cNvSpPr/>
      </xdr:nvSpPr>
      <xdr:spPr>
        <a:xfrm rot="5400000">
          <a:off x="3100229" y="7940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350</xdr:row>
      <xdr:rowOff>0</xdr:rowOff>
    </xdr:from>
    <xdr:to>
      <xdr:col>21</xdr:col>
      <xdr:colOff>134937</xdr:colOff>
      <xdr:row>350</xdr:row>
      <xdr:rowOff>0</xdr:rowOff>
    </xdr:to>
    <xdr:sp macro="" textlink="">
      <xdr:nvSpPr>
        <xdr:cNvPr id="581" name="Bent Arrow 809">
          <a:extLst>
            <a:ext uri="{FF2B5EF4-FFF2-40B4-BE49-F238E27FC236}">
              <a16:creationId xmlns:a16="http://schemas.microsoft.com/office/drawing/2014/main" id="{FBA6199B-DE56-4E08-B05A-62A9A8998D58}"/>
            </a:ext>
          </a:extLst>
        </xdr:cNvPr>
        <xdr:cNvSpPr/>
      </xdr:nvSpPr>
      <xdr:spPr>
        <a:xfrm rot="5400000">
          <a:off x="1974992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248</xdr:row>
      <xdr:rowOff>0</xdr:rowOff>
    </xdr:from>
    <xdr:to>
      <xdr:col>11</xdr:col>
      <xdr:colOff>134937</xdr:colOff>
      <xdr:row>248</xdr:row>
      <xdr:rowOff>0</xdr:rowOff>
    </xdr:to>
    <xdr:sp macro="" textlink="">
      <xdr:nvSpPr>
        <xdr:cNvPr id="582" name="Bent Arrow 809">
          <a:extLst>
            <a:ext uri="{FF2B5EF4-FFF2-40B4-BE49-F238E27FC236}">
              <a16:creationId xmlns:a16="http://schemas.microsoft.com/office/drawing/2014/main" id="{C50A329C-B236-4716-B765-3D36B0FD83C4}"/>
            </a:ext>
          </a:extLst>
        </xdr:cNvPr>
        <xdr:cNvSpPr/>
      </xdr:nvSpPr>
      <xdr:spPr>
        <a:xfrm rot="5400000">
          <a:off x="1120790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350</xdr:row>
      <xdr:rowOff>0</xdr:rowOff>
    </xdr:from>
    <xdr:to>
      <xdr:col>19</xdr:col>
      <xdr:colOff>134937</xdr:colOff>
      <xdr:row>350</xdr:row>
      <xdr:rowOff>0</xdr:rowOff>
    </xdr:to>
    <xdr:sp macro="" textlink="">
      <xdr:nvSpPr>
        <xdr:cNvPr id="583" name="Bent Arrow 809">
          <a:extLst>
            <a:ext uri="{FF2B5EF4-FFF2-40B4-BE49-F238E27FC236}">
              <a16:creationId xmlns:a16="http://schemas.microsoft.com/office/drawing/2014/main" id="{62377798-4E83-4714-851E-99FFB555FCE5}"/>
            </a:ext>
          </a:extLst>
        </xdr:cNvPr>
        <xdr:cNvSpPr/>
      </xdr:nvSpPr>
      <xdr:spPr>
        <a:xfrm rot="5400000">
          <a:off x="1807352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xdr:col>
      <xdr:colOff>0</xdr:colOff>
      <xdr:row>359</xdr:row>
      <xdr:rowOff>0</xdr:rowOff>
    </xdr:from>
    <xdr:to>
      <xdr:col>1</xdr:col>
      <xdr:colOff>134937</xdr:colOff>
      <xdr:row>359</xdr:row>
      <xdr:rowOff>0</xdr:rowOff>
    </xdr:to>
    <xdr:sp macro="" textlink="">
      <xdr:nvSpPr>
        <xdr:cNvPr id="584" name="Bent Arrow 809">
          <a:extLst>
            <a:ext uri="{FF2B5EF4-FFF2-40B4-BE49-F238E27FC236}">
              <a16:creationId xmlns:a16="http://schemas.microsoft.com/office/drawing/2014/main" id="{C54488FF-024C-4314-B202-019B490788CE}"/>
            </a:ext>
          </a:extLst>
        </xdr:cNvPr>
        <xdr:cNvSpPr/>
      </xdr:nvSpPr>
      <xdr:spPr>
        <a:xfrm rot="5400000">
          <a:off x="133238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359</xdr:row>
      <xdr:rowOff>0</xdr:rowOff>
    </xdr:from>
    <xdr:to>
      <xdr:col>9</xdr:col>
      <xdr:colOff>134937</xdr:colOff>
      <xdr:row>359</xdr:row>
      <xdr:rowOff>0</xdr:rowOff>
    </xdr:to>
    <xdr:sp macro="" textlink="">
      <xdr:nvSpPr>
        <xdr:cNvPr id="585" name="Bent Arrow 809">
          <a:extLst>
            <a:ext uri="{FF2B5EF4-FFF2-40B4-BE49-F238E27FC236}">
              <a16:creationId xmlns:a16="http://schemas.microsoft.com/office/drawing/2014/main" id="{929A07EF-B137-4C05-B43D-60635F560628}"/>
            </a:ext>
          </a:extLst>
        </xdr:cNvPr>
        <xdr:cNvSpPr/>
      </xdr:nvSpPr>
      <xdr:spPr>
        <a:xfrm rot="5400000">
          <a:off x="963818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16</xdr:col>
      <xdr:colOff>863600</xdr:colOff>
      <xdr:row>229</xdr:row>
      <xdr:rowOff>469901</xdr:rowOff>
    </xdr:from>
    <xdr:to>
      <xdr:col>17</xdr:col>
      <xdr:colOff>122237</xdr:colOff>
      <xdr:row>229</xdr:row>
      <xdr:rowOff>469901</xdr:rowOff>
    </xdr:to>
    <xdr:sp macro="" textlink="">
      <xdr:nvSpPr>
        <xdr:cNvPr id="586" name="Bent Arrow 809">
          <a:extLst>
            <a:ext uri="{FF2B5EF4-FFF2-40B4-BE49-F238E27FC236}">
              <a16:creationId xmlns:a16="http://schemas.microsoft.com/office/drawing/2014/main" id="{03D78A15-244F-45F4-9292-AB6644F43D04}"/>
            </a:ext>
          </a:extLst>
        </xdr:cNvPr>
        <xdr:cNvSpPr/>
      </xdr:nvSpPr>
      <xdr:spPr>
        <a:xfrm rot="5400000">
          <a:off x="16304419" y="79242762"/>
          <a:ext cx="0" cy="4016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359</xdr:row>
      <xdr:rowOff>0</xdr:rowOff>
    </xdr:from>
    <xdr:to>
      <xdr:col>11</xdr:col>
      <xdr:colOff>134937</xdr:colOff>
      <xdr:row>359</xdr:row>
      <xdr:rowOff>0</xdr:rowOff>
    </xdr:to>
    <xdr:sp macro="" textlink="">
      <xdr:nvSpPr>
        <xdr:cNvPr id="587" name="Bent Arrow 809">
          <a:extLst>
            <a:ext uri="{FF2B5EF4-FFF2-40B4-BE49-F238E27FC236}">
              <a16:creationId xmlns:a16="http://schemas.microsoft.com/office/drawing/2014/main" id="{8F7B69D8-4014-4D1D-A7E1-BFF40FB9F00B}"/>
            </a:ext>
          </a:extLst>
        </xdr:cNvPr>
        <xdr:cNvSpPr/>
      </xdr:nvSpPr>
      <xdr:spPr>
        <a:xfrm rot="5400000">
          <a:off x="1120790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350</xdr:row>
      <xdr:rowOff>0</xdr:rowOff>
    </xdr:from>
    <xdr:to>
      <xdr:col>15</xdr:col>
      <xdr:colOff>134937</xdr:colOff>
      <xdr:row>350</xdr:row>
      <xdr:rowOff>0</xdr:rowOff>
    </xdr:to>
    <xdr:sp macro="" textlink="">
      <xdr:nvSpPr>
        <xdr:cNvPr id="588" name="Bent Arrow 809">
          <a:extLst>
            <a:ext uri="{FF2B5EF4-FFF2-40B4-BE49-F238E27FC236}">
              <a16:creationId xmlns:a16="http://schemas.microsoft.com/office/drawing/2014/main" id="{ACB5D962-5165-4A5D-B296-157B5841458F}"/>
            </a:ext>
          </a:extLst>
        </xdr:cNvPr>
        <xdr:cNvSpPr/>
      </xdr:nvSpPr>
      <xdr:spPr>
        <a:xfrm rot="5400000">
          <a:off x="1466738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350</xdr:row>
      <xdr:rowOff>0</xdr:rowOff>
    </xdr:from>
    <xdr:to>
      <xdr:col>13</xdr:col>
      <xdr:colOff>134937</xdr:colOff>
      <xdr:row>350</xdr:row>
      <xdr:rowOff>0</xdr:rowOff>
    </xdr:to>
    <xdr:sp macro="" textlink="">
      <xdr:nvSpPr>
        <xdr:cNvPr id="589" name="Bent Arrow 809">
          <a:extLst>
            <a:ext uri="{FF2B5EF4-FFF2-40B4-BE49-F238E27FC236}">
              <a16:creationId xmlns:a16="http://schemas.microsoft.com/office/drawing/2014/main" id="{8F12B160-CDC1-4A4E-8752-7132683B092F}"/>
            </a:ext>
          </a:extLst>
        </xdr:cNvPr>
        <xdr:cNvSpPr/>
      </xdr:nvSpPr>
      <xdr:spPr>
        <a:xfrm rot="5400000">
          <a:off x="1284620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248</xdr:row>
      <xdr:rowOff>0</xdr:rowOff>
    </xdr:from>
    <xdr:to>
      <xdr:col>5</xdr:col>
      <xdr:colOff>134937</xdr:colOff>
      <xdr:row>248</xdr:row>
      <xdr:rowOff>0</xdr:rowOff>
    </xdr:to>
    <xdr:sp macro="" textlink="">
      <xdr:nvSpPr>
        <xdr:cNvPr id="590" name="Bent Arrow 809">
          <a:extLst>
            <a:ext uri="{FF2B5EF4-FFF2-40B4-BE49-F238E27FC236}">
              <a16:creationId xmlns:a16="http://schemas.microsoft.com/office/drawing/2014/main" id="{A6812200-D042-4D4C-9BCA-A04C2AEAA6D6}"/>
            </a:ext>
          </a:extLst>
        </xdr:cNvPr>
        <xdr:cNvSpPr/>
      </xdr:nvSpPr>
      <xdr:spPr>
        <a:xfrm rot="5400000">
          <a:off x="534050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212</xdr:row>
      <xdr:rowOff>0</xdr:rowOff>
    </xdr:from>
    <xdr:to>
      <xdr:col>11</xdr:col>
      <xdr:colOff>134937</xdr:colOff>
      <xdr:row>212</xdr:row>
      <xdr:rowOff>0</xdr:rowOff>
    </xdr:to>
    <xdr:sp macro="" textlink="">
      <xdr:nvSpPr>
        <xdr:cNvPr id="591" name="Bent Arrow 809">
          <a:extLst>
            <a:ext uri="{FF2B5EF4-FFF2-40B4-BE49-F238E27FC236}">
              <a16:creationId xmlns:a16="http://schemas.microsoft.com/office/drawing/2014/main" id="{BBAF1499-6105-4892-8BA6-5FC1F1FE4150}"/>
            </a:ext>
          </a:extLst>
        </xdr:cNvPr>
        <xdr:cNvSpPr/>
      </xdr:nvSpPr>
      <xdr:spPr>
        <a:xfrm rot="5400000">
          <a:off x="1120790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315</xdr:row>
      <xdr:rowOff>0</xdr:rowOff>
    </xdr:from>
    <xdr:to>
      <xdr:col>19</xdr:col>
      <xdr:colOff>134937</xdr:colOff>
      <xdr:row>315</xdr:row>
      <xdr:rowOff>0</xdr:rowOff>
    </xdr:to>
    <xdr:sp macro="" textlink="">
      <xdr:nvSpPr>
        <xdr:cNvPr id="592" name="Bent Arrow 809">
          <a:extLst>
            <a:ext uri="{FF2B5EF4-FFF2-40B4-BE49-F238E27FC236}">
              <a16:creationId xmlns:a16="http://schemas.microsoft.com/office/drawing/2014/main" id="{3AE8A34D-411B-47DB-8FDD-346CEE246DF6}"/>
            </a:ext>
          </a:extLst>
        </xdr:cNvPr>
        <xdr:cNvSpPr/>
      </xdr:nvSpPr>
      <xdr:spPr>
        <a:xfrm rot="5400000">
          <a:off x="1807352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248</xdr:row>
      <xdr:rowOff>0</xdr:rowOff>
    </xdr:from>
    <xdr:to>
      <xdr:col>3</xdr:col>
      <xdr:colOff>134937</xdr:colOff>
      <xdr:row>248</xdr:row>
      <xdr:rowOff>0</xdr:rowOff>
    </xdr:to>
    <xdr:sp macro="" textlink="">
      <xdr:nvSpPr>
        <xdr:cNvPr id="593" name="Bent Arrow 809">
          <a:extLst>
            <a:ext uri="{FF2B5EF4-FFF2-40B4-BE49-F238E27FC236}">
              <a16:creationId xmlns:a16="http://schemas.microsoft.com/office/drawing/2014/main" id="{45DE38BE-5612-48CA-8172-741327AF2C16}"/>
            </a:ext>
          </a:extLst>
        </xdr:cNvPr>
        <xdr:cNvSpPr/>
      </xdr:nvSpPr>
      <xdr:spPr>
        <a:xfrm rot="5400000">
          <a:off x="310022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325</xdr:row>
      <xdr:rowOff>0</xdr:rowOff>
    </xdr:from>
    <xdr:to>
      <xdr:col>3</xdr:col>
      <xdr:colOff>134937</xdr:colOff>
      <xdr:row>325</xdr:row>
      <xdr:rowOff>0</xdr:rowOff>
    </xdr:to>
    <xdr:sp macro="" textlink="">
      <xdr:nvSpPr>
        <xdr:cNvPr id="594" name="Bent Arrow 809">
          <a:extLst>
            <a:ext uri="{FF2B5EF4-FFF2-40B4-BE49-F238E27FC236}">
              <a16:creationId xmlns:a16="http://schemas.microsoft.com/office/drawing/2014/main" id="{5670D67A-88A7-4FD4-995C-01F053844EA5}"/>
            </a:ext>
          </a:extLst>
        </xdr:cNvPr>
        <xdr:cNvSpPr/>
      </xdr:nvSpPr>
      <xdr:spPr>
        <a:xfrm rot="5400000">
          <a:off x="310022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221</xdr:row>
      <xdr:rowOff>0</xdr:rowOff>
    </xdr:from>
    <xdr:to>
      <xdr:col>7</xdr:col>
      <xdr:colOff>134937</xdr:colOff>
      <xdr:row>221</xdr:row>
      <xdr:rowOff>0</xdr:rowOff>
    </xdr:to>
    <xdr:sp macro="" textlink="">
      <xdr:nvSpPr>
        <xdr:cNvPr id="595" name="Bent Arrow 809">
          <a:extLst>
            <a:ext uri="{FF2B5EF4-FFF2-40B4-BE49-F238E27FC236}">
              <a16:creationId xmlns:a16="http://schemas.microsoft.com/office/drawing/2014/main" id="{431D5820-0684-4FD7-AE07-6E5126BA4115}"/>
            </a:ext>
          </a:extLst>
        </xdr:cNvPr>
        <xdr:cNvSpPr/>
      </xdr:nvSpPr>
      <xdr:spPr>
        <a:xfrm rot="5400000">
          <a:off x="748934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256</xdr:row>
      <xdr:rowOff>0</xdr:rowOff>
    </xdr:from>
    <xdr:to>
      <xdr:col>21</xdr:col>
      <xdr:colOff>134937</xdr:colOff>
      <xdr:row>256</xdr:row>
      <xdr:rowOff>0</xdr:rowOff>
    </xdr:to>
    <xdr:sp macro="" textlink="">
      <xdr:nvSpPr>
        <xdr:cNvPr id="596" name="Bent Arrow 809">
          <a:extLst>
            <a:ext uri="{FF2B5EF4-FFF2-40B4-BE49-F238E27FC236}">
              <a16:creationId xmlns:a16="http://schemas.microsoft.com/office/drawing/2014/main" id="{2D387601-53E4-4AF8-816B-B363347DCF9A}"/>
            </a:ext>
          </a:extLst>
        </xdr:cNvPr>
        <xdr:cNvSpPr/>
      </xdr:nvSpPr>
      <xdr:spPr>
        <a:xfrm rot="5400000">
          <a:off x="1974992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315</xdr:row>
      <xdr:rowOff>0</xdr:rowOff>
    </xdr:from>
    <xdr:to>
      <xdr:col>13</xdr:col>
      <xdr:colOff>134937</xdr:colOff>
      <xdr:row>315</xdr:row>
      <xdr:rowOff>0</xdr:rowOff>
    </xdr:to>
    <xdr:sp macro="" textlink="">
      <xdr:nvSpPr>
        <xdr:cNvPr id="597" name="Bent Arrow 809">
          <a:extLst>
            <a:ext uri="{FF2B5EF4-FFF2-40B4-BE49-F238E27FC236}">
              <a16:creationId xmlns:a16="http://schemas.microsoft.com/office/drawing/2014/main" id="{5DAB04B8-6B98-4B80-B1E7-8C2760731860}"/>
            </a:ext>
          </a:extLst>
        </xdr:cNvPr>
        <xdr:cNvSpPr/>
      </xdr:nvSpPr>
      <xdr:spPr>
        <a:xfrm rot="5400000">
          <a:off x="1284620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256</xdr:row>
      <xdr:rowOff>0</xdr:rowOff>
    </xdr:from>
    <xdr:to>
      <xdr:col>9</xdr:col>
      <xdr:colOff>134937</xdr:colOff>
      <xdr:row>256</xdr:row>
      <xdr:rowOff>0</xdr:rowOff>
    </xdr:to>
    <xdr:sp macro="" textlink="">
      <xdr:nvSpPr>
        <xdr:cNvPr id="598" name="Bent Arrow 809">
          <a:extLst>
            <a:ext uri="{FF2B5EF4-FFF2-40B4-BE49-F238E27FC236}">
              <a16:creationId xmlns:a16="http://schemas.microsoft.com/office/drawing/2014/main" id="{3663FC9E-2948-4CB5-8542-A1A65B10EFE4}"/>
            </a:ext>
          </a:extLst>
        </xdr:cNvPr>
        <xdr:cNvSpPr/>
      </xdr:nvSpPr>
      <xdr:spPr>
        <a:xfrm rot="5400000">
          <a:off x="963818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212</xdr:row>
      <xdr:rowOff>0</xdr:rowOff>
    </xdr:from>
    <xdr:to>
      <xdr:col>7</xdr:col>
      <xdr:colOff>134937</xdr:colOff>
      <xdr:row>212</xdr:row>
      <xdr:rowOff>0</xdr:rowOff>
    </xdr:to>
    <xdr:sp macro="" textlink="">
      <xdr:nvSpPr>
        <xdr:cNvPr id="599" name="Bent Arrow 809">
          <a:extLst>
            <a:ext uri="{FF2B5EF4-FFF2-40B4-BE49-F238E27FC236}">
              <a16:creationId xmlns:a16="http://schemas.microsoft.com/office/drawing/2014/main" id="{FFB7B223-FC9A-4D51-BE6D-1442A5CF6C0C}"/>
            </a:ext>
          </a:extLst>
        </xdr:cNvPr>
        <xdr:cNvSpPr/>
      </xdr:nvSpPr>
      <xdr:spPr>
        <a:xfrm rot="5400000">
          <a:off x="748934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230</xdr:row>
      <xdr:rowOff>0</xdr:rowOff>
    </xdr:from>
    <xdr:to>
      <xdr:col>7</xdr:col>
      <xdr:colOff>134937</xdr:colOff>
      <xdr:row>230</xdr:row>
      <xdr:rowOff>0</xdr:rowOff>
    </xdr:to>
    <xdr:sp macro="" textlink="">
      <xdr:nvSpPr>
        <xdr:cNvPr id="600" name="Bent Arrow 809">
          <a:extLst>
            <a:ext uri="{FF2B5EF4-FFF2-40B4-BE49-F238E27FC236}">
              <a16:creationId xmlns:a16="http://schemas.microsoft.com/office/drawing/2014/main" id="{05F39B72-7B2C-4307-8381-EFFD5F0BB8FA}"/>
            </a:ext>
          </a:extLst>
        </xdr:cNvPr>
        <xdr:cNvSpPr/>
      </xdr:nvSpPr>
      <xdr:spPr>
        <a:xfrm rot="5400000">
          <a:off x="7489349" y="7940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315</xdr:row>
      <xdr:rowOff>0</xdr:rowOff>
    </xdr:from>
    <xdr:to>
      <xdr:col>15</xdr:col>
      <xdr:colOff>134937</xdr:colOff>
      <xdr:row>315</xdr:row>
      <xdr:rowOff>0</xdr:rowOff>
    </xdr:to>
    <xdr:sp macro="" textlink="">
      <xdr:nvSpPr>
        <xdr:cNvPr id="601" name="Bent Arrow 809">
          <a:extLst>
            <a:ext uri="{FF2B5EF4-FFF2-40B4-BE49-F238E27FC236}">
              <a16:creationId xmlns:a16="http://schemas.microsoft.com/office/drawing/2014/main" id="{CD6E67B0-BF8C-45DB-A83A-E206F7010D77}"/>
            </a:ext>
          </a:extLst>
        </xdr:cNvPr>
        <xdr:cNvSpPr/>
      </xdr:nvSpPr>
      <xdr:spPr>
        <a:xfrm rot="5400000">
          <a:off x="1466738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xdr:col>
      <xdr:colOff>0</xdr:colOff>
      <xdr:row>350</xdr:row>
      <xdr:rowOff>0</xdr:rowOff>
    </xdr:from>
    <xdr:to>
      <xdr:col>1</xdr:col>
      <xdr:colOff>134937</xdr:colOff>
      <xdr:row>350</xdr:row>
      <xdr:rowOff>0</xdr:rowOff>
    </xdr:to>
    <xdr:sp macro="" textlink="">
      <xdr:nvSpPr>
        <xdr:cNvPr id="602" name="Bent Arrow 809">
          <a:extLst>
            <a:ext uri="{FF2B5EF4-FFF2-40B4-BE49-F238E27FC236}">
              <a16:creationId xmlns:a16="http://schemas.microsoft.com/office/drawing/2014/main" id="{00F48197-B649-4B18-9B85-F88E0E3A98FF}"/>
            </a:ext>
          </a:extLst>
        </xdr:cNvPr>
        <xdr:cNvSpPr/>
      </xdr:nvSpPr>
      <xdr:spPr>
        <a:xfrm rot="5400000">
          <a:off x="133238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350</xdr:row>
      <xdr:rowOff>0</xdr:rowOff>
    </xdr:from>
    <xdr:to>
      <xdr:col>9</xdr:col>
      <xdr:colOff>134937</xdr:colOff>
      <xdr:row>350</xdr:row>
      <xdr:rowOff>0</xdr:rowOff>
    </xdr:to>
    <xdr:sp macro="" textlink="">
      <xdr:nvSpPr>
        <xdr:cNvPr id="603" name="Bent Arrow 809">
          <a:extLst>
            <a:ext uri="{FF2B5EF4-FFF2-40B4-BE49-F238E27FC236}">
              <a16:creationId xmlns:a16="http://schemas.microsoft.com/office/drawing/2014/main" id="{1CB1BC5F-8847-478B-9A0B-4C924E1FA89A}"/>
            </a:ext>
          </a:extLst>
        </xdr:cNvPr>
        <xdr:cNvSpPr/>
      </xdr:nvSpPr>
      <xdr:spPr>
        <a:xfrm rot="5400000">
          <a:off x="963818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342</xdr:row>
      <xdr:rowOff>0</xdr:rowOff>
    </xdr:from>
    <xdr:to>
      <xdr:col>19</xdr:col>
      <xdr:colOff>134937</xdr:colOff>
      <xdr:row>342</xdr:row>
      <xdr:rowOff>0</xdr:rowOff>
    </xdr:to>
    <xdr:sp macro="" textlink="">
      <xdr:nvSpPr>
        <xdr:cNvPr id="604" name="Bent Arrow 809">
          <a:extLst>
            <a:ext uri="{FF2B5EF4-FFF2-40B4-BE49-F238E27FC236}">
              <a16:creationId xmlns:a16="http://schemas.microsoft.com/office/drawing/2014/main" id="{145381BD-AB1C-4D70-8AA8-A633BA74B8F9}"/>
            </a:ext>
          </a:extLst>
        </xdr:cNvPr>
        <xdr:cNvSpPr/>
      </xdr:nvSpPr>
      <xdr:spPr>
        <a:xfrm rot="5400000">
          <a:off x="1807352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342</xdr:row>
      <xdr:rowOff>0</xdr:rowOff>
    </xdr:from>
    <xdr:to>
      <xdr:col>21</xdr:col>
      <xdr:colOff>134937</xdr:colOff>
      <xdr:row>342</xdr:row>
      <xdr:rowOff>0</xdr:rowOff>
    </xdr:to>
    <xdr:sp macro="" textlink="">
      <xdr:nvSpPr>
        <xdr:cNvPr id="605" name="Bent Arrow 809">
          <a:extLst>
            <a:ext uri="{FF2B5EF4-FFF2-40B4-BE49-F238E27FC236}">
              <a16:creationId xmlns:a16="http://schemas.microsoft.com/office/drawing/2014/main" id="{FA52508C-9003-48D0-BA32-283DBEF4B1E3}"/>
            </a:ext>
          </a:extLst>
        </xdr:cNvPr>
        <xdr:cNvSpPr/>
      </xdr:nvSpPr>
      <xdr:spPr>
        <a:xfrm rot="5400000">
          <a:off x="1974992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342</xdr:row>
      <xdr:rowOff>0</xdr:rowOff>
    </xdr:from>
    <xdr:to>
      <xdr:col>23</xdr:col>
      <xdr:colOff>134937</xdr:colOff>
      <xdr:row>342</xdr:row>
      <xdr:rowOff>0</xdr:rowOff>
    </xdr:to>
    <xdr:sp macro="" textlink="">
      <xdr:nvSpPr>
        <xdr:cNvPr id="606" name="Bent Arrow 809">
          <a:extLst>
            <a:ext uri="{FF2B5EF4-FFF2-40B4-BE49-F238E27FC236}">
              <a16:creationId xmlns:a16="http://schemas.microsoft.com/office/drawing/2014/main" id="{1851460C-C861-41B8-9462-D94D2678560F}"/>
            </a:ext>
          </a:extLst>
        </xdr:cNvPr>
        <xdr:cNvSpPr/>
      </xdr:nvSpPr>
      <xdr:spPr>
        <a:xfrm rot="5400000">
          <a:off x="2167016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350</xdr:row>
      <xdr:rowOff>0</xdr:rowOff>
    </xdr:from>
    <xdr:to>
      <xdr:col>3</xdr:col>
      <xdr:colOff>134937</xdr:colOff>
      <xdr:row>350</xdr:row>
      <xdr:rowOff>0</xdr:rowOff>
    </xdr:to>
    <xdr:sp macro="" textlink="">
      <xdr:nvSpPr>
        <xdr:cNvPr id="607" name="Bent Arrow 809">
          <a:extLst>
            <a:ext uri="{FF2B5EF4-FFF2-40B4-BE49-F238E27FC236}">
              <a16:creationId xmlns:a16="http://schemas.microsoft.com/office/drawing/2014/main" id="{EB1C9181-4803-46FD-9E55-803F685180B0}"/>
            </a:ext>
          </a:extLst>
        </xdr:cNvPr>
        <xdr:cNvSpPr/>
      </xdr:nvSpPr>
      <xdr:spPr>
        <a:xfrm rot="5400000">
          <a:off x="310022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265</xdr:row>
      <xdr:rowOff>0</xdr:rowOff>
    </xdr:from>
    <xdr:to>
      <xdr:col>21</xdr:col>
      <xdr:colOff>134937</xdr:colOff>
      <xdr:row>265</xdr:row>
      <xdr:rowOff>0</xdr:rowOff>
    </xdr:to>
    <xdr:sp macro="" textlink="">
      <xdr:nvSpPr>
        <xdr:cNvPr id="608" name="Bent Arrow 809">
          <a:extLst>
            <a:ext uri="{FF2B5EF4-FFF2-40B4-BE49-F238E27FC236}">
              <a16:creationId xmlns:a16="http://schemas.microsoft.com/office/drawing/2014/main" id="{962C768A-2EEE-4B3F-94A8-E3DFA1AF4169}"/>
            </a:ext>
          </a:extLst>
        </xdr:cNvPr>
        <xdr:cNvSpPr/>
      </xdr:nvSpPr>
      <xdr:spPr>
        <a:xfrm rot="5400000">
          <a:off x="1974992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xdr:col>
      <xdr:colOff>0</xdr:colOff>
      <xdr:row>256</xdr:row>
      <xdr:rowOff>0</xdr:rowOff>
    </xdr:from>
    <xdr:to>
      <xdr:col>1</xdr:col>
      <xdr:colOff>134937</xdr:colOff>
      <xdr:row>256</xdr:row>
      <xdr:rowOff>0</xdr:rowOff>
    </xdr:to>
    <xdr:sp macro="" textlink="">
      <xdr:nvSpPr>
        <xdr:cNvPr id="609" name="Bent Arrow 809">
          <a:extLst>
            <a:ext uri="{FF2B5EF4-FFF2-40B4-BE49-F238E27FC236}">
              <a16:creationId xmlns:a16="http://schemas.microsoft.com/office/drawing/2014/main" id="{C9137D96-9712-4516-9E5B-2D9CE6D97D0A}"/>
            </a:ext>
          </a:extLst>
        </xdr:cNvPr>
        <xdr:cNvSpPr/>
      </xdr:nvSpPr>
      <xdr:spPr>
        <a:xfrm rot="5400000">
          <a:off x="133238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256</xdr:row>
      <xdr:rowOff>0</xdr:rowOff>
    </xdr:from>
    <xdr:to>
      <xdr:col>15</xdr:col>
      <xdr:colOff>134937</xdr:colOff>
      <xdr:row>256</xdr:row>
      <xdr:rowOff>0</xdr:rowOff>
    </xdr:to>
    <xdr:sp macro="" textlink="">
      <xdr:nvSpPr>
        <xdr:cNvPr id="610" name="Bent Arrow 809">
          <a:extLst>
            <a:ext uri="{FF2B5EF4-FFF2-40B4-BE49-F238E27FC236}">
              <a16:creationId xmlns:a16="http://schemas.microsoft.com/office/drawing/2014/main" id="{7511051C-E606-471B-A19B-C8DB8FA2B716}"/>
            </a:ext>
          </a:extLst>
        </xdr:cNvPr>
        <xdr:cNvSpPr/>
      </xdr:nvSpPr>
      <xdr:spPr>
        <a:xfrm rot="5400000">
          <a:off x="1466738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342</xdr:row>
      <xdr:rowOff>0</xdr:rowOff>
    </xdr:from>
    <xdr:to>
      <xdr:col>11</xdr:col>
      <xdr:colOff>134937</xdr:colOff>
      <xdr:row>342</xdr:row>
      <xdr:rowOff>0</xdr:rowOff>
    </xdr:to>
    <xdr:sp macro="" textlink="">
      <xdr:nvSpPr>
        <xdr:cNvPr id="611" name="Bent Arrow 809">
          <a:extLst>
            <a:ext uri="{FF2B5EF4-FFF2-40B4-BE49-F238E27FC236}">
              <a16:creationId xmlns:a16="http://schemas.microsoft.com/office/drawing/2014/main" id="{53B1AD30-B316-49DD-9086-A6749EE97656}"/>
            </a:ext>
          </a:extLst>
        </xdr:cNvPr>
        <xdr:cNvSpPr/>
      </xdr:nvSpPr>
      <xdr:spPr>
        <a:xfrm rot="5400000">
          <a:off x="1120790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265</xdr:row>
      <xdr:rowOff>0</xdr:rowOff>
    </xdr:from>
    <xdr:to>
      <xdr:col>19</xdr:col>
      <xdr:colOff>134937</xdr:colOff>
      <xdr:row>265</xdr:row>
      <xdr:rowOff>0</xdr:rowOff>
    </xdr:to>
    <xdr:sp macro="" textlink="">
      <xdr:nvSpPr>
        <xdr:cNvPr id="612" name="Bent Arrow 809">
          <a:extLst>
            <a:ext uri="{FF2B5EF4-FFF2-40B4-BE49-F238E27FC236}">
              <a16:creationId xmlns:a16="http://schemas.microsoft.com/office/drawing/2014/main" id="{8A231811-5767-461F-AB0B-3AA76ACF979F}"/>
            </a:ext>
          </a:extLst>
        </xdr:cNvPr>
        <xdr:cNvSpPr/>
      </xdr:nvSpPr>
      <xdr:spPr>
        <a:xfrm rot="5400000">
          <a:off x="1807352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342</xdr:row>
      <xdr:rowOff>0</xdr:rowOff>
    </xdr:from>
    <xdr:to>
      <xdr:col>3</xdr:col>
      <xdr:colOff>134937</xdr:colOff>
      <xdr:row>342</xdr:row>
      <xdr:rowOff>0</xdr:rowOff>
    </xdr:to>
    <xdr:sp macro="" textlink="">
      <xdr:nvSpPr>
        <xdr:cNvPr id="613" name="Bent Arrow 809">
          <a:extLst>
            <a:ext uri="{FF2B5EF4-FFF2-40B4-BE49-F238E27FC236}">
              <a16:creationId xmlns:a16="http://schemas.microsoft.com/office/drawing/2014/main" id="{D1BBD5FB-85FD-466A-9CFF-8715B61B742E}"/>
            </a:ext>
          </a:extLst>
        </xdr:cNvPr>
        <xdr:cNvSpPr/>
      </xdr:nvSpPr>
      <xdr:spPr>
        <a:xfrm rot="5400000">
          <a:off x="310022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342</xdr:row>
      <xdr:rowOff>0</xdr:rowOff>
    </xdr:from>
    <xdr:to>
      <xdr:col>13</xdr:col>
      <xdr:colOff>134937</xdr:colOff>
      <xdr:row>342</xdr:row>
      <xdr:rowOff>0</xdr:rowOff>
    </xdr:to>
    <xdr:sp macro="" textlink="">
      <xdr:nvSpPr>
        <xdr:cNvPr id="614" name="Bent Arrow 809">
          <a:extLst>
            <a:ext uri="{FF2B5EF4-FFF2-40B4-BE49-F238E27FC236}">
              <a16:creationId xmlns:a16="http://schemas.microsoft.com/office/drawing/2014/main" id="{F71BBC22-65B4-4DEA-80A3-AE026FF1C4A5}"/>
            </a:ext>
          </a:extLst>
        </xdr:cNvPr>
        <xdr:cNvSpPr/>
      </xdr:nvSpPr>
      <xdr:spPr>
        <a:xfrm rot="5400000">
          <a:off x="1284620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325</xdr:row>
      <xdr:rowOff>0</xdr:rowOff>
    </xdr:from>
    <xdr:to>
      <xdr:col>15</xdr:col>
      <xdr:colOff>134937</xdr:colOff>
      <xdr:row>325</xdr:row>
      <xdr:rowOff>0</xdr:rowOff>
    </xdr:to>
    <xdr:sp macro="" textlink="">
      <xdr:nvSpPr>
        <xdr:cNvPr id="615" name="Bent Arrow 809">
          <a:extLst>
            <a:ext uri="{FF2B5EF4-FFF2-40B4-BE49-F238E27FC236}">
              <a16:creationId xmlns:a16="http://schemas.microsoft.com/office/drawing/2014/main" id="{8220842C-9D1F-4888-8FF2-1F8E98C75D03}"/>
            </a:ext>
          </a:extLst>
        </xdr:cNvPr>
        <xdr:cNvSpPr/>
      </xdr:nvSpPr>
      <xdr:spPr>
        <a:xfrm rot="5400000">
          <a:off x="1466738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298</xdr:row>
      <xdr:rowOff>0</xdr:rowOff>
    </xdr:from>
    <xdr:to>
      <xdr:col>11</xdr:col>
      <xdr:colOff>134937</xdr:colOff>
      <xdr:row>298</xdr:row>
      <xdr:rowOff>0</xdr:rowOff>
    </xdr:to>
    <xdr:sp macro="" textlink="">
      <xdr:nvSpPr>
        <xdr:cNvPr id="616" name="Bent Arrow 809">
          <a:extLst>
            <a:ext uri="{FF2B5EF4-FFF2-40B4-BE49-F238E27FC236}">
              <a16:creationId xmlns:a16="http://schemas.microsoft.com/office/drawing/2014/main" id="{53BCC0BA-E922-4B53-B16F-A21FF3F9BD58}"/>
            </a:ext>
          </a:extLst>
        </xdr:cNvPr>
        <xdr:cNvSpPr/>
      </xdr:nvSpPr>
      <xdr:spPr>
        <a:xfrm rot="5400000">
          <a:off x="1120790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298</xdr:row>
      <xdr:rowOff>0</xdr:rowOff>
    </xdr:from>
    <xdr:to>
      <xdr:col>9</xdr:col>
      <xdr:colOff>134937</xdr:colOff>
      <xdr:row>298</xdr:row>
      <xdr:rowOff>0</xdr:rowOff>
    </xdr:to>
    <xdr:sp macro="" textlink="">
      <xdr:nvSpPr>
        <xdr:cNvPr id="617" name="Bent Arrow 809">
          <a:extLst>
            <a:ext uri="{FF2B5EF4-FFF2-40B4-BE49-F238E27FC236}">
              <a16:creationId xmlns:a16="http://schemas.microsoft.com/office/drawing/2014/main" id="{4B774043-0014-4102-8448-5F9920D0177F}"/>
            </a:ext>
          </a:extLst>
        </xdr:cNvPr>
        <xdr:cNvSpPr/>
      </xdr:nvSpPr>
      <xdr:spPr>
        <a:xfrm rot="5400000">
          <a:off x="963818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298</xdr:row>
      <xdr:rowOff>0</xdr:rowOff>
    </xdr:from>
    <xdr:to>
      <xdr:col>17</xdr:col>
      <xdr:colOff>134937</xdr:colOff>
      <xdr:row>298</xdr:row>
      <xdr:rowOff>0</xdr:rowOff>
    </xdr:to>
    <xdr:sp macro="" textlink="">
      <xdr:nvSpPr>
        <xdr:cNvPr id="618" name="Bent Arrow 809">
          <a:extLst>
            <a:ext uri="{FF2B5EF4-FFF2-40B4-BE49-F238E27FC236}">
              <a16:creationId xmlns:a16="http://schemas.microsoft.com/office/drawing/2014/main" id="{6092D54F-1231-4CE7-8EF4-ACB2B2CEAD41}"/>
            </a:ext>
          </a:extLst>
        </xdr:cNvPr>
        <xdr:cNvSpPr/>
      </xdr:nvSpPr>
      <xdr:spPr>
        <a:xfrm rot="5400000">
          <a:off x="1645046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298</xdr:row>
      <xdr:rowOff>0</xdr:rowOff>
    </xdr:from>
    <xdr:to>
      <xdr:col>19</xdr:col>
      <xdr:colOff>134937</xdr:colOff>
      <xdr:row>298</xdr:row>
      <xdr:rowOff>0</xdr:rowOff>
    </xdr:to>
    <xdr:sp macro="" textlink="">
      <xdr:nvSpPr>
        <xdr:cNvPr id="619" name="Bent Arrow 809">
          <a:extLst>
            <a:ext uri="{FF2B5EF4-FFF2-40B4-BE49-F238E27FC236}">
              <a16:creationId xmlns:a16="http://schemas.microsoft.com/office/drawing/2014/main" id="{4EAE11A9-CA89-4B4C-8661-230867F3C816}"/>
            </a:ext>
          </a:extLst>
        </xdr:cNvPr>
        <xdr:cNvSpPr/>
      </xdr:nvSpPr>
      <xdr:spPr>
        <a:xfrm rot="5400000">
          <a:off x="1807352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298</xdr:row>
      <xdr:rowOff>0</xdr:rowOff>
    </xdr:from>
    <xdr:to>
      <xdr:col>21</xdr:col>
      <xdr:colOff>134937</xdr:colOff>
      <xdr:row>298</xdr:row>
      <xdr:rowOff>0</xdr:rowOff>
    </xdr:to>
    <xdr:sp macro="" textlink="">
      <xdr:nvSpPr>
        <xdr:cNvPr id="620" name="Bent Arrow 809">
          <a:extLst>
            <a:ext uri="{FF2B5EF4-FFF2-40B4-BE49-F238E27FC236}">
              <a16:creationId xmlns:a16="http://schemas.microsoft.com/office/drawing/2014/main" id="{018EAA36-001F-43D5-891F-7C6CD2A1C943}"/>
            </a:ext>
          </a:extLst>
        </xdr:cNvPr>
        <xdr:cNvSpPr/>
      </xdr:nvSpPr>
      <xdr:spPr>
        <a:xfrm rot="5400000">
          <a:off x="1974992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359</xdr:row>
      <xdr:rowOff>0</xdr:rowOff>
    </xdr:from>
    <xdr:to>
      <xdr:col>19</xdr:col>
      <xdr:colOff>134937</xdr:colOff>
      <xdr:row>359</xdr:row>
      <xdr:rowOff>0</xdr:rowOff>
    </xdr:to>
    <xdr:sp macro="" textlink="">
      <xdr:nvSpPr>
        <xdr:cNvPr id="621" name="Bent Arrow 809">
          <a:extLst>
            <a:ext uri="{FF2B5EF4-FFF2-40B4-BE49-F238E27FC236}">
              <a16:creationId xmlns:a16="http://schemas.microsoft.com/office/drawing/2014/main" id="{7A973FD0-CE85-4E5B-95DA-A4AC176F5BAF}"/>
            </a:ext>
          </a:extLst>
        </xdr:cNvPr>
        <xdr:cNvSpPr/>
      </xdr:nvSpPr>
      <xdr:spPr>
        <a:xfrm rot="5400000">
          <a:off x="1807352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359</xdr:row>
      <xdr:rowOff>0</xdr:rowOff>
    </xdr:from>
    <xdr:to>
      <xdr:col>21</xdr:col>
      <xdr:colOff>134937</xdr:colOff>
      <xdr:row>359</xdr:row>
      <xdr:rowOff>0</xdr:rowOff>
    </xdr:to>
    <xdr:sp macro="" textlink="">
      <xdr:nvSpPr>
        <xdr:cNvPr id="622" name="Bent Arrow 809">
          <a:extLst>
            <a:ext uri="{FF2B5EF4-FFF2-40B4-BE49-F238E27FC236}">
              <a16:creationId xmlns:a16="http://schemas.microsoft.com/office/drawing/2014/main" id="{102FDB59-042D-489E-813C-49453FBCCF86}"/>
            </a:ext>
          </a:extLst>
        </xdr:cNvPr>
        <xdr:cNvSpPr/>
      </xdr:nvSpPr>
      <xdr:spPr>
        <a:xfrm rot="5400000">
          <a:off x="1974992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221</xdr:row>
      <xdr:rowOff>0</xdr:rowOff>
    </xdr:from>
    <xdr:to>
      <xdr:col>9</xdr:col>
      <xdr:colOff>134937</xdr:colOff>
      <xdr:row>221</xdr:row>
      <xdr:rowOff>0</xdr:rowOff>
    </xdr:to>
    <xdr:sp macro="" textlink="">
      <xdr:nvSpPr>
        <xdr:cNvPr id="623" name="Bent Arrow 809">
          <a:extLst>
            <a:ext uri="{FF2B5EF4-FFF2-40B4-BE49-F238E27FC236}">
              <a16:creationId xmlns:a16="http://schemas.microsoft.com/office/drawing/2014/main" id="{3DF780E1-A581-4995-8048-16B636A365BA}"/>
            </a:ext>
          </a:extLst>
        </xdr:cNvPr>
        <xdr:cNvSpPr/>
      </xdr:nvSpPr>
      <xdr:spPr>
        <a:xfrm rot="5400000">
          <a:off x="963818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273</xdr:row>
      <xdr:rowOff>0</xdr:rowOff>
    </xdr:from>
    <xdr:to>
      <xdr:col>17</xdr:col>
      <xdr:colOff>134937</xdr:colOff>
      <xdr:row>273</xdr:row>
      <xdr:rowOff>0</xdr:rowOff>
    </xdr:to>
    <xdr:sp macro="" textlink="">
      <xdr:nvSpPr>
        <xdr:cNvPr id="624" name="Bent Arrow 809">
          <a:extLst>
            <a:ext uri="{FF2B5EF4-FFF2-40B4-BE49-F238E27FC236}">
              <a16:creationId xmlns:a16="http://schemas.microsoft.com/office/drawing/2014/main" id="{0EC5BB90-1C81-48B6-8BF4-D0CF68EF91BF}"/>
            </a:ext>
          </a:extLst>
        </xdr:cNvPr>
        <xdr:cNvSpPr/>
      </xdr:nvSpPr>
      <xdr:spPr>
        <a:xfrm rot="5400000">
          <a:off x="16450469" y="94740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xdr:col>
      <xdr:colOff>0</xdr:colOff>
      <xdr:row>203</xdr:row>
      <xdr:rowOff>0</xdr:rowOff>
    </xdr:from>
    <xdr:to>
      <xdr:col>1</xdr:col>
      <xdr:colOff>134937</xdr:colOff>
      <xdr:row>203</xdr:row>
      <xdr:rowOff>0</xdr:rowOff>
    </xdr:to>
    <xdr:sp macro="" textlink="">
      <xdr:nvSpPr>
        <xdr:cNvPr id="625" name="Bent Arrow 809">
          <a:extLst>
            <a:ext uri="{FF2B5EF4-FFF2-40B4-BE49-F238E27FC236}">
              <a16:creationId xmlns:a16="http://schemas.microsoft.com/office/drawing/2014/main" id="{7F318267-0F77-4550-A6D3-FCEEC84D2671}"/>
            </a:ext>
          </a:extLst>
        </xdr:cNvPr>
        <xdr:cNvSpPr/>
      </xdr:nvSpPr>
      <xdr:spPr>
        <a:xfrm rot="5400000">
          <a:off x="1332389"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xdr:col>
      <xdr:colOff>0</xdr:colOff>
      <xdr:row>289</xdr:row>
      <xdr:rowOff>0</xdr:rowOff>
    </xdr:from>
    <xdr:to>
      <xdr:col>1</xdr:col>
      <xdr:colOff>134937</xdr:colOff>
      <xdr:row>289</xdr:row>
      <xdr:rowOff>0</xdr:rowOff>
    </xdr:to>
    <xdr:sp macro="" textlink="">
      <xdr:nvSpPr>
        <xdr:cNvPr id="626" name="Bent Arrow 809">
          <a:extLst>
            <a:ext uri="{FF2B5EF4-FFF2-40B4-BE49-F238E27FC236}">
              <a16:creationId xmlns:a16="http://schemas.microsoft.com/office/drawing/2014/main" id="{A356ED14-1FA7-40A8-A619-F5E3C6C6D80D}"/>
            </a:ext>
          </a:extLst>
        </xdr:cNvPr>
        <xdr:cNvSpPr/>
      </xdr:nvSpPr>
      <xdr:spPr>
        <a:xfrm rot="5400000">
          <a:off x="1332389" y="10071465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xdr:col>
      <xdr:colOff>0</xdr:colOff>
      <xdr:row>265</xdr:row>
      <xdr:rowOff>0</xdr:rowOff>
    </xdr:from>
    <xdr:to>
      <xdr:col>1</xdr:col>
      <xdr:colOff>134937</xdr:colOff>
      <xdr:row>265</xdr:row>
      <xdr:rowOff>0</xdr:rowOff>
    </xdr:to>
    <xdr:sp macro="" textlink="">
      <xdr:nvSpPr>
        <xdr:cNvPr id="627" name="Bent Arrow 809">
          <a:extLst>
            <a:ext uri="{FF2B5EF4-FFF2-40B4-BE49-F238E27FC236}">
              <a16:creationId xmlns:a16="http://schemas.microsoft.com/office/drawing/2014/main" id="{0690DB1C-2ECF-4936-A909-85B61DA220B4}"/>
            </a:ext>
          </a:extLst>
        </xdr:cNvPr>
        <xdr:cNvSpPr/>
      </xdr:nvSpPr>
      <xdr:spPr>
        <a:xfrm rot="5400000">
          <a:off x="133238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325</xdr:row>
      <xdr:rowOff>0</xdr:rowOff>
    </xdr:from>
    <xdr:to>
      <xdr:col>19</xdr:col>
      <xdr:colOff>134937</xdr:colOff>
      <xdr:row>325</xdr:row>
      <xdr:rowOff>0</xdr:rowOff>
    </xdr:to>
    <xdr:sp macro="" textlink="">
      <xdr:nvSpPr>
        <xdr:cNvPr id="628" name="Bent Arrow 809">
          <a:extLst>
            <a:ext uri="{FF2B5EF4-FFF2-40B4-BE49-F238E27FC236}">
              <a16:creationId xmlns:a16="http://schemas.microsoft.com/office/drawing/2014/main" id="{5DB0AFEB-2683-4300-8663-49345E1CD17B}"/>
            </a:ext>
          </a:extLst>
        </xdr:cNvPr>
        <xdr:cNvSpPr/>
      </xdr:nvSpPr>
      <xdr:spPr>
        <a:xfrm rot="5400000">
          <a:off x="1807352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325</xdr:row>
      <xdr:rowOff>0</xdr:rowOff>
    </xdr:from>
    <xdr:to>
      <xdr:col>17</xdr:col>
      <xdr:colOff>134937</xdr:colOff>
      <xdr:row>325</xdr:row>
      <xdr:rowOff>0</xdr:rowOff>
    </xdr:to>
    <xdr:sp macro="" textlink="">
      <xdr:nvSpPr>
        <xdr:cNvPr id="629" name="Bent Arrow 809">
          <a:extLst>
            <a:ext uri="{FF2B5EF4-FFF2-40B4-BE49-F238E27FC236}">
              <a16:creationId xmlns:a16="http://schemas.microsoft.com/office/drawing/2014/main" id="{83F620BE-A1F3-4521-A11A-054A3EF30ECE}"/>
            </a:ext>
          </a:extLst>
        </xdr:cNvPr>
        <xdr:cNvSpPr/>
      </xdr:nvSpPr>
      <xdr:spPr>
        <a:xfrm rot="5400000">
          <a:off x="1645046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xdr:col>
      <xdr:colOff>0</xdr:colOff>
      <xdr:row>325</xdr:row>
      <xdr:rowOff>0</xdr:rowOff>
    </xdr:from>
    <xdr:to>
      <xdr:col>1</xdr:col>
      <xdr:colOff>134937</xdr:colOff>
      <xdr:row>325</xdr:row>
      <xdr:rowOff>0</xdr:rowOff>
    </xdr:to>
    <xdr:sp macro="" textlink="">
      <xdr:nvSpPr>
        <xdr:cNvPr id="630" name="Bent Arrow 809">
          <a:extLst>
            <a:ext uri="{FF2B5EF4-FFF2-40B4-BE49-F238E27FC236}">
              <a16:creationId xmlns:a16="http://schemas.microsoft.com/office/drawing/2014/main" id="{A8673982-7DD3-42B6-81A5-E622F18D0FEA}"/>
            </a:ext>
          </a:extLst>
        </xdr:cNvPr>
        <xdr:cNvSpPr/>
      </xdr:nvSpPr>
      <xdr:spPr>
        <a:xfrm rot="5400000">
          <a:off x="133238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315</xdr:row>
      <xdr:rowOff>0</xdr:rowOff>
    </xdr:from>
    <xdr:to>
      <xdr:col>21</xdr:col>
      <xdr:colOff>134937</xdr:colOff>
      <xdr:row>315</xdr:row>
      <xdr:rowOff>0</xdr:rowOff>
    </xdr:to>
    <xdr:sp macro="" textlink="">
      <xdr:nvSpPr>
        <xdr:cNvPr id="631" name="Bent Arrow 809">
          <a:extLst>
            <a:ext uri="{FF2B5EF4-FFF2-40B4-BE49-F238E27FC236}">
              <a16:creationId xmlns:a16="http://schemas.microsoft.com/office/drawing/2014/main" id="{F58158B8-AC55-4061-8EF1-9A9DE1792ECF}"/>
            </a:ext>
          </a:extLst>
        </xdr:cNvPr>
        <xdr:cNvSpPr/>
      </xdr:nvSpPr>
      <xdr:spPr>
        <a:xfrm rot="5400000">
          <a:off x="1974992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334</xdr:row>
      <xdr:rowOff>0</xdr:rowOff>
    </xdr:from>
    <xdr:to>
      <xdr:col>21</xdr:col>
      <xdr:colOff>134937</xdr:colOff>
      <xdr:row>334</xdr:row>
      <xdr:rowOff>0</xdr:rowOff>
    </xdr:to>
    <xdr:sp macro="" textlink="">
      <xdr:nvSpPr>
        <xdr:cNvPr id="632" name="Bent Arrow 809">
          <a:extLst>
            <a:ext uri="{FF2B5EF4-FFF2-40B4-BE49-F238E27FC236}">
              <a16:creationId xmlns:a16="http://schemas.microsoft.com/office/drawing/2014/main" id="{D304A082-6706-4F33-8B5E-9AF97BC3F893}"/>
            </a:ext>
          </a:extLst>
        </xdr:cNvPr>
        <xdr:cNvSpPr/>
      </xdr:nvSpPr>
      <xdr:spPr>
        <a:xfrm rot="5400000">
          <a:off x="1974992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334</xdr:row>
      <xdr:rowOff>0</xdr:rowOff>
    </xdr:from>
    <xdr:to>
      <xdr:col>23</xdr:col>
      <xdr:colOff>134937</xdr:colOff>
      <xdr:row>334</xdr:row>
      <xdr:rowOff>0</xdr:rowOff>
    </xdr:to>
    <xdr:sp macro="" textlink="">
      <xdr:nvSpPr>
        <xdr:cNvPr id="633" name="Bent Arrow 809">
          <a:extLst>
            <a:ext uri="{FF2B5EF4-FFF2-40B4-BE49-F238E27FC236}">
              <a16:creationId xmlns:a16="http://schemas.microsoft.com/office/drawing/2014/main" id="{FDAB8F09-F42D-419B-9D70-8EF167650BDD}"/>
            </a:ext>
          </a:extLst>
        </xdr:cNvPr>
        <xdr:cNvSpPr/>
      </xdr:nvSpPr>
      <xdr:spPr>
        <a:xfrm rot="5400000">
          <a:off x="2167016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6</xdr:col>
      <xdr:colOff>0</xdr:colOff>
      <xdr:row>372</xdr:row>
      <xdr:rowOff>126029</xdr:rowOff>
    </xdr:from>
    <xdr:to>
      <xdr:col>7</xdr:col>
      <xdr:colOff>0</xdr:colOff>
      <xdr:row>375</xdr:row>
      <xdr:rowOff>165133</xdr:rowOff>
    </xdr:to>
    <xdr:sp macro="" textlink="">
      <xdr:nvSpPr>
        <xdr:cNvPr id="634" name="Isosceles Triangle 633">
          <a:extLst>
            <a:ext uri="{FF2B5EF4-FFF2-40B4-BE49-F238E27FC236}">
              <a16:creationId xmlns:a16="http://schemas.microsoft.com/office/drawing/2014/main" id="{B990D29C-A230-4245-9A68-4DD6FCF73405}"/>
            </a:ext>
          </a:extLst>
        </xdr:cNvPr>
        <xdr:cNvSpPr/>
      </xdr:nvSpPr>
      <xdr:spPr>
        <a:xfrm>
          <a:off x="6309360" y="131243369"/>
          <a:ext cx="111252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372</xdr:row>
      <xdr:rowOff>126029</xdr:rowOff>
    </xdr:from>
    <xdr:to>
      <xdr:col>9</xdr:col>
      <xdr:colOff>0</xdr:colOff>
      <xdr:row>375</xdr:row>
      <xdr:rowOff>165133</xdr:rowOff>
    </xdr:to>
    <xdr:sp macro="" textlink="">
      <xdr:nvSpPr>
        <xdr:cNvPr id="635" name="Isosceles Triangle 634">
          <a:extLst>
            <a:ext uri="{FF2B5EF4-FFF2-40B4-BE49-F238E27FC236}">
              <a16:creationId xmlns:a16="http://schemas.microsoft.com/office/drawing/2014/main" id="{0E691155-C780-434C-9EB0-0C3FD7CF49E8}"/>
            </a:ext>
          </a:extLst>
        </xdr:cNvPr>
        <xdr:cNvSpPr/>
      </xdr:nvSpPr>
      <xdr:spPr>
        <a:xfrm>
          <a:off x="8298180" y="131243369"/>
          <a:ext cx="127254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editAs="oneCell">
    <xdr:from>
      <xdr:col>7</xdr:col>
      <xdr:colOff>255154</xdr:colOff>
      <xdr:row>374</xdr:row>
      <xdr:rowOff>323273</xdr:rowOff>
    </xdr:from>
    <xdr:to>
      <xdr:col>7</xdr:col>
      <xdr:colOff>524222</xdr:colOff>
      <xdr:row>379</xdr:row>
      <xdr:rowOff>91419</xdr:rowOff>
    </xdr:to>
    <xdr:pic>
      <xdr:nvPicPr>
        <xdr:cNvPr id="636" name="Picture 635">
          <a:extLst>
            <a:ext uri="{FF2B5EF4-FFF2-40B4-BE49-F238E27FC236}">
              <a16:creationId xmlns:a16="http://schemas.microsoft.com/office/drawing/2014/main" id="{A3F04BFA-F3BB-4AC2-BB09-72DED57DB293}"/>
            </a:ext>
          </a:extLst>
        </xdr:cNvPr>
        <xdr:cNvPicPr>
          <a:picLocks noChangeAspect="1"/>
        </xdr:cNvPicPr>
      </xdr:nvPicPr>
      <xdr:blipFill>
        <a:blip xmlns:r="http://schemas.openxmlformats.org/officeDocument/2006/relationships" r:embed="rId4"/>
        <a:stretch>
          <a:fillRect/>
        </a:stretch>
      </xdr:blipFill>
      <xdr:spPr>
        <a:xfrm>
          <a:off x="7677034" y="132172133"/>
          <a:ext cx="269068" cy="857806"/>
        </a:xfrm>
        <a:prstGeom prst="rect">
          <a:avLst/>
        </a:prstGeom>
      </xdr:spPr>
    </xdr:pic>
    <xdr:clientData/>
  </xdr:twoCellAnchor>
  <xdr:twoCellAnchor>
    <xdr:from>
      <xdr:col>16</xdr:col>
      <xdr:colOff>0</xdr:colOff>
      <xdr:row>354</xdr:row>
      <xdr:rowOff>113329</xdr:rowOff>
    </xdr:from>
    <xdr:to>
      <xdr:col>17</xdr:col>
      <xdr:colOff>9072</xdr:colOff>
      <xdr:row>358</xdr:row>
      <xdr:rowOff>33</xdr:rowOff>
    </xdr:to>
    <xdr:sp macro="" textlink="">
      <xdr:nvSpPr>
        <xdr:cNvPr id="637" name="Isosceles Triangle 636">
          <a:extLst>
            <a:ext uri="{FF2B5EF4-FFF2-40B4-BE49-F238E27FC236}">
              <a16:creationId xmlns:a16="http://schemas.microsoft.com/office/drawing/2014/main" id="{D4101773-693B-402C-A1CB-E5D172216420}"/>
            </a:ext>
          </a:extLst>
        </xdr:cNvPr>
        <xdr:cNvSpPr/>
      </xdr:nvSpPr>
      <xdr:spPr>
        <a:xfrm>
          <a:off x="15240000" y="124616509"/>
          <a:ext cx="1152072"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0</xdr:colOff>
      <xdr:row>325</xdr:row>
      <xdr:rowOff>0</xdr:rowOff>
    </xdr:from>
    <xdr:to>
      <xdr:col>11</xdr:col>
      <xdr:colOff>134937</xdr:colOff>
      <xdr:row>325</xdr:row>
      <xdr:rowOff>0</xdr:rowOff>
    </xdr:to>
    <xdr:sp macro="" textlink="">
      <xdr:nvSpPr>
        <xdr:cNvPr id="638" name="Bent Arrow 809">
          <a:extLst>
            <a:ext uri="{FF2B5EF4-FFF2-40B4-BE49-F238E27FC236}">
              <a16:creationId xmlns:a16="http://schemas.microsoft.com/office/drawing/2014/main" id="{41BE6100-A623-4B6B-BE4D-3419D8163EC5}"/>
            </a:ext>
          </a:extLst>
        </xdr:cNvPr>
        <xdr:cNvSpPr/>
      </xdr:nvSpPr>
      <xdr:spPr>
        <a:xfrm rot="5400000">
          <a:off x="1120790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325</xdr:row>
      <xdr:rowOff>0</xdr:rowOff>
    </xdr:from>
    <xdr:to>
      <xdr:col>9</xdr:col>
      <xdr:colOff>134937</xdr:colOff>
      <xdr:row>325</xdr:row>
      <xdr:rowOff>0</xdr:rowOff>
    </xdr:to>
    <xdr:sp macro="" textlink="">
      <xdr:nvSpPr>
        <xdr:cNvPr id="639" name="Bent Arrow 809">
          <a:extLst>
            <a:ext uri="{FF2B5EF4-FFF2-40B4-BE49-F238E27FC236}">
              <a16:creationId xmlns:a16="http://schemas.microsoft.com/office/drawing/2014/main" id="{1B653F25-EE6E-4A4E-A5CD-84E2652DEB98}"/>
            </a:ext>
          </a:extLst>
        </xdr:cNvPr>
        <xdr:cNvSpPr/>
      </xdr:nvSpPr>
      <xdr:spPr>
        <a:xfrm rot="5400000">
          <a:off x="963818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xdr:col>
      <xdr:colOff>0</xdr:colOff>
      <xdr:row>166</xdr:row>
      <xdr:rowOff>0</xdr:rowOff>
    </xdr:from>
    <xdr:to>
      <xdr:col>1</xdr:col>
      <xdr:colOff>134937</xdr:colOff>
      <xdr:row>166</xdr:row>
      <xdr:rowOff>0</xdr:rowOff>
    </xdr:to>
    <xdr:sp macro="" textlink="">
      <xdr:nvSpPr>
        <xdr:cNvPr id="640" name="Bent Arrow 809">
          <a:extLst>
            <a:ext uri="{FF2B5EF4-FFF2-40B4-BE49-F238E27FC236}">
              <a16:creationId xmlns:a16="http://schemas.microsoft.com/office/drawing/2014/main" id="{8406FE6C-DEA2-41A5-BAF8-2E55A0043A79}"/>
            </a:ext>
          </a:extLst>
        </xdr:cNvPr>
        <xdr:cNvSpPr/>
      </xdr:nvSpPr>
      <xdr:spPr>
        <a:xfrm rot="5400000">
          <a:off x="1332389" y="56876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221</xdr:row>
      <xdr:rowOff>0</xdr:rowOff>
    </xdr:from>
    <xdr:to>
      <xdr:col>13</xdr:col>
      <xdr:colOff>134937</xdr:colOff>
      <xdr:row>221</xdr:row>
      <xdr:rowOff>0</xdr:rowOff>
    </xdr:to>
    <xdr:sp macro="" textlink="">
      <xdr:nvSpPr>
        <xdr:cNvPr id="641" name="Bent Arrow 809">
          <a:extLst>
            <a:ext uri="{FF2B5EF4-FFF2-40B4-BE49-F238E27FC236}">
              <a16:creationId xmlns:a16="http://schemas.microsoft.com/office/drawing/2014/main" id="{F08A4CA2-336F-4F09-9722-424FD07F7413}"/>
            </a:ext>
          </a:extLst>
        </xdr:cNvPr>
        <xdr:cNvSpPr/>
      </xdr:nvSpPr>
      <xdr:spPr>
        <a:xfrm rot="5400000">
          <a:off x="1284620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166</xdr:row>
      <xdr:rowOff>0</xdr:rowOff>
    </xdr:from>
    <xdr:to>
      <xdr:col>3</xdr:col>
      <xdr:colOff>134937</xdr:colOff>
      <xdr:row>166</xdr:row>
      <xdr:rowOff>0</xdr:rowOff>
    </xdr:to>
    <xdr:sp macro="" textlink="">
      <xdr:nvSpPr>
        <xdr:cNvPr id="642" name="Bent Arrow 809">
          <a:extLst>
            <a:ext uri="{FF2B5EF4-FFF2-40B4-BE49-F238E27FC236}">
              <a16:creationId xmlns:a16="http://schemas.microsoft.com/office/drawing/2014/main" id="{8A24AF98-9FD5-4BA4-A466-1BCC96F7D65C}"/>
            </a:ext>
          </a:extLst>
        </xdr:cNvPr>
        <xdr:cNvSpPr/>
      </xdr:nvSpPr>
      <xdr:spPr>
        <a:xfrm rot="5400000">
          <a:off x="3100229" y="56876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166</xdr:row>
      <xdr:rowOff>0</xdr:rowOff>
    </xdr:from>
    <xdr:to>
      <xdr:col>5</xdr:col>
      <xdr:colOff>134937</xdr:colOff>
      <xdr:row>166</xdr:row>
      <xdr:rowOff>0</xdr:rowOff>
    </xdr:to>
    <xdr:sp macro="" textlink="">
      <xdr:nvSpPr>
        <xdr:cNvPr id="643" name="Bent Arrow 809">
          <a:extLst>
            <a:ext uri="{FF2B5EF4-FFF2-40B4-BE49-F238E27FC236}">
              <a16:creationId xmlns:a16="http://schemas.microsoft.com/office/drawing/2014/main" id="{B759A0E0-0F06-461F-8713-33830E6CBC09}"/>
            </a:ext>
          </a:extLst>
        </xdr:cNvPr>
        <xdr:cNvSpPr/>
      </xdr:nvSpPr>
      <xdr:spPr>
        <a:xfrm rot="5400000">
          <a:off x="5340509" y="56876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334</xdr:row>
      <xdr:rowOff>0</xdr:rowOff>
    </xdr:from>
    <xdr:to>
      <xdr:col>11</xdr:col>
      <xdr:colOff>134937</xdr:colOff>
      <xdr:row>334</xdr:row>
      <xdr:rowOff>0</xdr:rowOff>
    </xdr:to>
    <xdr:sp macro="" textlink="">
      <xdr:nvSpPr>
        <xdr:cNvPr id="644" name="Bent Arrow 809">
          <a:extLst>
            <a:ext uri="{FF2B5EF4-FFF2-40B4-BE49-F238E27FC236}">
              <a16:creationId xmlns:a16="http://schemas.microsoft.com/office/drawing/2014/main" id="{FD896312-7AF5-4894-9EF5-7C47F038934D}"/>
            </a:ext>
          </a:extLst>
        </xdr:cNvPr>
        <xdr:cNvSpPr/>
      </xdr:nvSpPr>
      <xdr:spPr>
        <a:xfrm rot="5400000">
          <a:off x="1120790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334</xdr:row>
      <xdr:rowOff>0</xdr:rowOff>
    </xdr:from>
    <xdr:to>
      <xdr:col>9</xdr:col>
      <xdr:colOff>134937</xdr:colOff>
      <xdr:row>334</xdr:row>
      <xdr:rowOff>0</xdr:rowOff>
    </xdr:to>
    <xdr:sp macro="" textlink="">
      <xdr:nvSpPr>
        <xdr:cNvPr id="645" name="Bent Arrow 809">
          <a:extLst>
            <a:ext uri="{FF2B5EF4-FFF2-40B4-BE49-F238E27FC236}">
              <a16:creationId xmlns:a16="http://schemas.microsoft.com/office/drawing/2014/main" id="{9405B5AA-AD47-49F7-9234-F3F6887CD367}"/>
            </a:ext>
          </a:extLst>
        </xdr:cNvPr>
        <xdr:cNvSpPr/>
      </xdr:nvSpPr>
      <xdr:spPr>
        <a:xfrm rot="5400000">
          <a:off x="963818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334</xdr:row>
      <xdr:rowOff>0</xdr:rowOff>
    </xdr:from>
    <xdr:to>
      <xdr:col>7</xdr:col>
      <xdr:colOff>134937</xdr:colOff>
      <xdr:row>334</xdr:row>
      <xdr:rowOff>0</xdr:rowOff>
    </xdr:to>
    <xdr:sp macro="" textlink="">
      <xdr:nvSpPr>
        <xdr:cNvPr id="646" name="Bent Arrow 809">
          <a:extLst>
            <a:ext uri="{FF2B5EF4-FFF2-40B4-BE49-F238E27FC236}">
              <a16:creationId xmlns:a16="http://schemas.microsoft.com/office/drawing/2014/main" id="{16F2C6F0-DA2C-4EDD-81E0-F711C7219E17}"/>
            </a:ext>
          </a:extLst>
        </xdr:cNvPr>
        <xdr:cNvSpPr/>
      </xdr:nvSpPr>
      <xdr:spPr>
        <a:xfrm rot="5400000">
          <a:off x="748934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334</xdr:row>
      <xdr:rowOff>0</xdr:rowOff>
    </xdr:from>
    <xdr:to>
      <xdr:col>5</xdr:col>
      <xdr:colOff>134937</xdr:colOff>
      <xdr:row>334</xdr:row>
      <xdr:rowOff>0</xdr:rowOff>
    </xdr:to>
    <xdr:sp macro="" textlink="">
      <xdr:nvSpPr>
        <xdr:cNvPr id="647" name="Bent Arrow 809">
          <a:extLst>
            <a:ext uri="{FF2B5EF4-FFF2-40B4-BE49-F238E27FC236}">
              <a16:creationId xmlns:a16="http://schemas.microsoft.com/office/drawing/2014/main" id="{72E99D01-A466-4359-BCCC-3E32C8388172}"/>
            </a:ext>
          </a:extLst>
        </xdr:cNvPr>
        <xdr:cNvSpPr/>
      </xdr:nvSpPr>
      <xdr:spPr>
        <a:xfrm rot="5400000">
          <a:off x="534050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253999</xdr:colOff>
      <xdr:row>6</xdr:row>
      <xdr:rowOff>171824</xdr:rowOff>
    </xdr:from>
    <xdr:to>
      <xdr:col>9</xdr:col>
      <xdr:colOff>303023</xdr:colOff>
      <xdr:row>8</xdr:row>
      <xdr:rowOff>3139</xdr:rowOff>
    </xdr:to>
    <xdr:sp macro="" textlink="">
      <xdr:nvSpPr>
        <xdr:cNvPr id="648" name="Freeform 60">
          <a:extLst>
            <a:ext uri="{FF2B5EF4-FFF2-40B4-BE49-F238E27FC236}">
              <a16:creationId xmlns:a16="http://schemas.microsoft.com/office/drawing/2014/main" id="{1F7ED8D0-62B1-4CC0-8846-19B59473BD42}"/>
            </a:ext>
          </a:extLst>
        </xdr:cNvPr>
        <xdr:cNvSpPr>
          <a:spLocks/>
        </xdr:cNvSpPr>
      </xdr:nvSpPr>
      <xdr:spPr bwMode="auto">
        <a:xfrm>
          <a:off x="7675879" y="1741544"/>
          <a:ext cx="2197864" cy="2275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8</xdr:col>
      <xdr:colOff>448236</xdr:colOff>
      <xdr:row>4</xdr:row>
      <xdr:rowOff>0</xdr:rowOff>
    </xdr:from>
    <xdr:to>
      <xdr:col>8</xdr:col>
      <xdr:colOff>470648</xdr:colOff>
      <xdr:row>7</xdr:row>
      <xdr:rowOff>52295</xdr:rowOff>
    </xdr:to>
    <xdr:cxnSp macro="">
      <xdr:nvCxnSpPr>
        <xdr:cNvPr id="649" name="Straight Arrow Connector 648">
          <a:extLst>
            <a:ext uri="{FF2B5EF4-FFF2-40B4-BE49-F238E27FC236}">
              <a16:creationId xmlns:a16="http://schemas.microsoft.com/office/drawing/2014/main" id="{25D98500-AC0E-481C-BD58-5989AE387131}"/>
            </a:ext>
          </a:extLst>
        </xdr:cNvPr>
        <xdr:cNvCxnSpPr/>
      </xdr:nvCxnSpPr>
      <xdr:spPr>
        <a:xfrm flipV="1">
          <a:off x="8746416" y="1173480"/>
          <a:ext cx="22412" cy="646655"/>
        </a:xfrm>
        <a:prstGeom prst="straightConnector1">
          <a:avLst/>
        </a:prstGeom>
        <a:ln w="9525">
          <a:solidFill>
            <a:sysClr val="windowText" lastClr="000000"/>
          </a:solidFill>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8</xdr:col>
      <xdr:colOff>558053</xdr:colOff>
      <xdr:row>4</xdr:row>
      <xdr:rowOff>2540</xdr:rowOff>
    </xdr:from>
    <xdr:to>
      <xdr:col>10</xdr:col>
      <xdr:colOff>177800</xdr:colOff>
      <xdr:row>8</xdr:row>
      <xdr:rowOff>89647</xdr:rowOff>
    </xdr:to>
    <xdr:cxnSp macro="">
      <xdr:nvCxnSpPr>
        <xdr:cNvPr id="650" name="Straight Arrow Connector 649">
          <a:extLst>
            <a:ext uri="{FF2B5EF4-FFF2-40B4-BE49-F238E27FC236}">
              <a16:creationId xmlns:a16="http://schemas.microsoft.com/office/drawing/2014/main" id="{0B6AAD37-D42C-444A-8918-B24FE00BF265}"/>
            </a:ext>
          </a:extLst>
        </xdr:cNvPr>
        <xdr:cNvCxnSpPr/>
      </xdr:nvCxnSpPr>
      <xdr:spPr>
        <a:xfrm flipV="1">
          <a:off x="8856233" y="1176020"/>
          <a:ext cx="1517127" cy="879587"/>
        </a:xfrm>
        <a:prstGeom prst="straightConnector1">
          <a:avLst/>
        </a:prstGeom>
        <a:ln w="9525">
          <a:solidFill>
            <a:sysClr val="windowText" lastClr="000000"/>
          </a:solidFill>
          <a:tailEnd type="arrow"/>
        </a:ln>
      </xdr:spPr>
      <xdr:style>
        <a:lnRef idx="1">
          <a:schemeClr val="dk1"/>
        </a:lnRef>
        <a:fillRef idx="0">
          <a:schemeClr val="dk1"/>
        </a:fillRef>
        <a:effectRef idx="0">
          <a:schemeClr val="dk1"/>
        </a:effectRef>
        <a:fontRef idx="minor">
          <a:schemeClr val="tx1"/>
        </a:fontRef>
      </xdr:style>
    </xdr:cxnSp>
    <xdr:clientData/>
  </xdr:twoCellAnchor>
  <xdr:twoCellAnchor editAs="oneCell">
    <xdr:from>
      <xdr:col>19</xdr:col>
      <xdr:colOff>0</xdr:colOff>
      <xdr:row>175</xdr:row>
      <xdr:rowOff>63500</xdr:rowOff>
    </xdr:from>
    <xdr:to>
      <xdr:col>19</xdr:col>
      <xdr:colOff>299110</xdr:colOff>
      <xdr:row>184</xdr:row>
      <xdr:rowOff>42244</xdr:rowOff>
    </xdr:to>
    <xdr:pic>
      <xdr:nvPicPr>
        <xdr:cNvPr id="651" name="Picture 650">
          <a:extLst>
            <a:ext uri="{FF2B5EF4-FFF2-40B4-BE49-F238E27FC236}">
              <a16:creationId xmlns:a16="http://schemas.microsoft.com/office/drawing/2014/main" id="{195823CF-E8E9-4FCE-9E17-65A997672C21}"/>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8006060" y="59979560"/>
          <a:ext cx="299110" cy="1220804"/>
        </a:xfrm>
        <a:prstGeom prst="rect">
          <a:avLst/>
        </a:prstGeom>
      </xdr:spPr>
    </xdr:pic>
    <xdr:clientData/>
  </xdr:twoCellAnchor>
  <xdr:twoCellAnchor editAs="oneCell">
    <xdr:from>
      <xdr:col>21</xdr:col>
      <xdr:colOff>63500</xdr:colOff>
      <xdr:row>175</xdr:row>
      <xdr:rowOff>101600</xdr:rowOff>
    </xdr:from>
    <xdr:to>
      <xdr:col>21</xdr:col>
      <xdr:colOff>362610</xdr:colOff>
      <xdr:row>184</xdr:row>
      <xdr:rowOff>80344</xdr:rowOff>
    </xdr:to>
    <xdr:pic>
      <xdr:nvPicPr>
        <xdr:cNvPr id="652" name="Picture 651">
          <a:extLst>
            <a:ext uri="{FF2B5EF4-FFF2-40B4-BE49-F238E27FC236}">
              <a16:creationId xmlns:a16="http://schemas.microsoft.com/office/drawing/2014/main" id="{911DFB93-BE5F-4827-B1BA-2CDF9F2D7EA7}"/>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9745960" y="60017660"/>
          <a:ext cx="299110" cy="1220804"/>
        </a:xfrm>
        <a:prstGeom prst="rect">
          <a:avLst/>
        </a:prstGeom>
      </xdr:spPr>
    </xdr:pic>
    <xdr:clientData/>
  </xdr:twoCellAnchor>
  <xdr:twoCellAnchor editAs="oneCell">
    <xdr:from>
      <xdr:col>1</xdr:col>
      <xdr:colOff>31750</xdr:colOff>
      <xdr:row>184</xdr:row>
      <xdr:rowOff>243417</xdr:rowOff>
    </xdr:from>
    <xdr:to>
      <xdr:col>1</xdr:col>
      <xdr:colOff>330860</xdr:colOff>
      <xdr:row>193</xdr:row>
      <xdr:rowOff>231012</xdr:rowOff>
    </xdr:to>
    <xdr:pic>
      <xdr:nvPicPr>
        <xdr:cNvPr id="653" name="Picture 652">
          <a:extLst>
            <a:ext uri="{FF2B5EF4-FFF2-40B4-BE49-F238E27FC236}">
              <a16:creationId xmlns:a16="http://schemas.microsoft.com/office/drawing/2014/main" id="{D0B6658C-728C-40B8-A78E-52FFC9781FFC}"/>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296670" y="63420837"/>
          <a:ext cx="299110" cy="1267755"/>
        </a:xfrm>
        <a:prstGeom prst="rect">
          <a:avLst/>
        </a:prstGeom>
      </xdr:spPr>
    </xdr:pic>
    <xdr:clientData/>
  </xdr:twoCellAnchor>
  <xdr:twoCellAnchor editAs="oneCell">
    <xdr:from>
      <xdr:col>3</xdr:col>
      <xdr:colOff>31750</xdr:colOff>
      <xdr:row>184</xdr:row>
      <xdr:rowOff>211668</xdr:rowOff>
    </xdr:from>
    <xdr:to>
      <xdr:col>3</xdr:col>
      <xdr:colOff>330860</xdr:colOff>
      <xdr:row>193</xdr:row>
      <xdr:rowOff>229743</xdr:rowOff>
    </xdr:to>
    <xdr:pic>
      <xdr:nvPicPr>
        <xdr:cNvPr id="654" name="Picture 653">
          <a:extLst>
            <a:ext uri="{FF2B5EF4-FFF2-40B4-BE49-F238E27FC236}">
              <a16:creationId xmlns:a16="http://schemas.microsoft.com/office/drawing/2014/main" id="{0EA388AA-08A4-438F-BFC0-0B1F9DB31082}"/>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3064510" y="63389088"/>
          <a:ext cx="299110" cy="1267755"/>
        </a:xfrm>
        <a:prstGeom prst="rect">
          <a:avLst/>
        </a:prstGeom>
      </xdr:spPr>
    </xdr:pic>
    <xdr:clientData/>
  </xdr:twoCellAnchor>
  <xdr:oneCellAnchor>
    <xdr:from>
      <xdr:col>23</xdr:col>
      <xdr:colOff>12700</xdr:colOff>
      <xdr:row>201</xdr:row>
      <xdr:rowOff>177800</xdr:rowOff>
    </xdr:from>
    <xdr:ext cx="299110" cy="1004825"/>
    <xdr:pic>
      <xdr:nvPicPr>
        <xdr:cNvPr id="655" name="Picture 654">
          <a:extLst>
            <a:ext uri="{FF2B5EF4-FFF2-40B4-BE49-F238E27FC236}">
              <a16:creationId xmlns:a16="http://schemas.microsoft.com/office/drawing/2014/main" id="{123DC64E-60C7-4ABF-A92D-A4C49227521F}"/>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21615400" y="69649340"/>
          <a:ext cx="299110" cy="1004825"/>
        </a:xfrm>
        <a:prstGeom prst="rect">
          <a:avLst/>
        </a:prstGeom>
      </xdr:spPr>
    </xdr:pic>
    <xdr:clientData/>
  </xdr:oneCellAnchor>
  <xdr:oneCellAnchor>
    <xdr:from>
      <xdr:col>21</xdr:col>
      <xdr:colOff>2540</xdr:colOff>
      <xdr:row>202</xdr:row>
      <xdr:rowOff>139700</xdr:rowOff>
    </xdr:from>
    <xdr:ext cx="299110" cy="1004825"/>
    <xdr:pic>
      <xdr:nvPicPr>
        <xdr:cNvPr id="656" name="Picture 655">
          <a:extLst>
            <a:ext uri="{FF2B5EF4-FFF2-40B4-BE49-F238E27FC236}">
              <a16:creationId xmlns:a16="http://schemas.microsoft.com/office/drawing/2014/main" id="{E141FCF1-4E26-48CA-9618-48304FB5CD11}"/>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9685000" y="69816980"/>
          <a:ext cx="299110" cy="1004825"/>
        </a:xfrm>
        <a:prstGeom prst="rect">
          <a:avLst/>
        </a:prstGeom>
      </xdr:spPr>
    </xdr:pic>
    <xdr:clientData/>
  </xdr:oneCellAnchor>
  <xdr:oneCellAnchor>
    <xdr:from>
      <xdr:col>17</xdr:col>
      <xdr:colOff>63500</xdr:colOff>
      <xdr:row>202</xdr:row>
      <xdr:rowOff>101600</xdr:rowOff>
    </xdr:from>
    <xdr:ext cx="299110" cy="1004825"/>
    <xdr:pic>
      <xdr:nvPicPr>
        <xdr:cNvPr id="657" name="Picture 656">
          <a:extLst>
            <a:ext uri="{FF2B5EF4-FFF2-40B4-BE49-F238E27FC236}">
              <a16:creationId xmlns:a16="http://schemas.microsoft.com/office/drawing/2014/main" id="{CEE2BB94-B2FF-46B8-872E-590470CA2A83}"/>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6446500" y="69778880"/>
          <a:ext cx="299110" cy="1004825"/>
        </a:xfrm>
        <a:prstGeom prst="rect">
          <a:avLst/>
        </a:prstGeom>
      </xdr:spPr>
    </xdr:pic>
    <xdr:clientData/>
  </xdr:oneCellAnchor>
  <xdr:oneCellAnchor>
    <xdr:from>
      <xdr:col>19</xdr:col>
      <xdr:colOff>0</xdr:colOff>
      <xdr:row>202</xdr:row>
      <xdr:rowOff>152400</xdr:rowOff>
    </xdr:from>
    <xdr:ext cx="299110" cy="1004825"/>
    <xdr:pic>
      <xdr:nvPicPr>
        <xdr:cNvPr id="658" name="Picture 657">
          <a:extLst>
            <a:ext uri="{FF2B5EF4-FFF2-40B4-BE49-F238E27FC236}">
              <a16:creationId xmlns:a16="http://schemas.microsoft.com/office/drawing/2014/main" id="{2B38B4BF-9CED-424B-BCA5-BECD62A71B67}"/>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8006060" y="69829680"/>
          <a:ext cx="299110" cy="1004825"/>
        </a:xfrm>
        <a:prstGeom prst="rect">
          <a:avLst/>
        </a:prstGeom>
      </xdr:spPr>
    </xdr:pic>
    <xdr:clientData/>
  </xdr:oneCellAnchor>
  <xdr:oneCellAnchor>
    <xdr:from>
      <xdr:col>7</xdr:col>
      <xdr:colOff>13853</xdr:colOff>
      <xdr:row>202</xdr:row>
      <xdr:rowOff>177800</xdr:rowOff>
    </xdr:from>
    <xdr:ext cx="299110" cy="1004825"/>
    <xdr:pic>
      <xdr:nvPicPr>
        <xdr:cNvPr id="659" name="Picture 658">
          <a:extLst>
            <a:ext uri="{FF2B5EF4-FFF2-40B4-BE49-F238E27FC236}">
              <a16:creationId xmlns:a16="http://schemas.microsoft.com/office/drawing/2014/main" id="{4F10D8C6-5842-4259-A766-D67513B3AA12}"/>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435733" y="69855080"/>
          <a:ext cx="299110" cy="1004825"/>
        </a:xfrm>
        <a:prstGeom prst="rect">
          <a:avLst/>
        </a:prstGeom>
      </xdr:spPr>
    </xdr:pic>
    <xdr:clientData/>
  </xdr:oneCellAnchor>
  <xdr:oneCellAnchor>
    <xdr:from>
      <xdr:col>3</xdr:col>
      <xdr:colOff>50800</xdr:colOff>
      <xdr:row>202</xdr:row>
      <xdr:rowOff>215900</xdr:rowOff>
    </xdr:from>
    <xdr:ext cx="299110" cy="1004825"/>
    <xdr:pic>
      <xdr:nvPicPr>
        <xdr:cNvPr id="660" name="Picture 659">
          <a:extLst>
            <a:ext uri="{FF2B5EF4-FFF2-40B4-BE49-F238E27FC236}">
              <a16:creationId xmlns:a16="http://schemas.microsoft.com/office/drawing/2014/main" id="{1ABCA57F-8467-4134-AE5C-D51249217CD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3083560" y="69893180"/>
          <a:ext cx="299110" cy="1004825"/>
        </a:xfrm>
        <a:prstGeom prst="rect">
          <a:avLst/>
        </a:prstGeom>
      </xdr:spPr>
    </xdr:pic>
    <xdr:clientData/>
  </xdr:oneCellAnchor>
  <xdr:oneCellAnchor>
    <xdr:from>
      <xdr:col>1</xdr:col>
      <xdr:colOff>12700</xdr:colOff>
      <xdr:row>202</xdr:row>
      <xdr:rowOff>88900</xdr:rowOff>
    </xdr:from>
    <xdr:ext cx="299110" cy="1004825"/>
    <xdr:pic>
      <xdr:nvPicPr>
        <xdr:cNvPr id="661" name="Picture 660">
          <a:extLst>
            <a:ext uri="{FF2B5EF4-FFF2-40B4-BE49-F238E27FC236}">
              <a16:creationId xmlns:a16="http://schemas.microsoft.com/office/drawing/2014/main" id="{859452C3-71AE-4728-A3FD-DA77E687F895}"/>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277620" y="69766180"/>
          <a:ext cx="299110" cy="1004825"/>
        </a:xfrm>
        <a:prstGeom prst="rect">
          <a:avLst/>
        </a:prstGeom>
      </xdr:spPr>
    </xdr:pic>
    <xdr:clientData/>
  </xdr:oneCellAnchor>
  <xdr:twoCellAnchor editAs="oneCell">
    <xdr:from>
      <xdr:col>3</xdr:col>
      <xdr:colOff>0</xdr:colOff>
      <xdr:row>211</xdr:row>
      <xdr:rowOff>88900</xdr:rowOff>
    </xdr:from>
    <xdr:to>
      <xdr:col>3</xdr:col>
      <xdr:colOff>286410</xdr:colOff>
      <xdr:row>219</xdr:row>
      <xdr:rowOff>178596</xdr:rowOff>
    </xdr:to>
    <xdr:pic>
      <xdr:nvPicPr>
        <xdr:cNvPr id="662" name="Picture 661">
          <a:extLst>
            <a:ext uri="{FF2B5EF4-FFF2-40B4-BE49-F238E27FC236}">
              <a16:creationId xmlns:a16="http://schemas.microsoft.com/office/drawing/2014/main" id="{E75D11D1-0259-4157-91B4-9CA2D1ABEED8}"/>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3032760" y="72981820"/>
          <a:ext cx="286410" cy="1240316"/>
        </a:xfrm>
        <a:prstGeom prst="rect">
          <a:avLst/>
        </a:prstGeom>
      </xdr:spPr>
    </xdr:pic>
    <xdr:clientData/>
  </xdr:twoCellAnchor>
  <xdr:twoCellAnchor editAs="oneCell">
    <xdr:from>
      <xdr:col>21</xdr:col>
      <xdr:colOff>12700</xdr:colOff>
      <xdr:row>211</xdr:row>
      <xdr:rowOff>165100</xdr:rowOff>
    </xdr:from>
    <xdr:to>
      <xdr:col>21</xdr:col>
      <xdr:colOff>311810</xdr:colOff>
      <xdr:row>220</xdr:row>
      <xdr:rowOff>64296</xdr:rowOff>
    </xdr:to>
    <xdr:pic>
      <xdr:nvPicPr>
        <xdr:cNvPr id="663" name="Picture 662">
          <a:extLst>
            <a:ext uri="{FF2B5EF4-FFF2-40B4-BE49-F238E27FC236}">
              <a16:creationId xmlns:a16="http://schemas.microsoft.com/office/drawing/2014/main" id="{2DC75E65-268E-487A-B6E2-5BD4E7F38A75}"/>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9695160" y="73058020"/>
          <a:ext cx="299110" cy="1240316"/>
        </a:xfrm>
        <a:prstGeom prst="rect">
          <a:avLst/>
        </a:prstGeom>
      </xdr:spPr>
    </xdr:pic>
    <xdr:clientData/>
  </xdr:twoCellAnchor>
  <xdr:twoCellAnchor editAs="oneCell">
    <xdr:from>
      <xdr:col>12</xdr:col>
      <xdr:colOff>1016000</xdr:colOff>
      <xdr:row>211</xdr:row>
      <xdr:rowOff>101600</xdr:rowOff>
    </xdr:from>
    <xdr:to>
      <xdr:col>13</xdr:col>
      <xdr:colOff>286410</xdr:colOff>
      <xdr:row>220</xdr:row>
      <xdr:rowOff>796</xdr:rowOff>
    </xdr:to>
    <xdr:pic>
      <xdr:nvPicPr>
        <xdr:cNvPr id="664" name="Picture 663">
          <a:extLst>
            <a:ext uri="{FF2B5EF4-FFF2-40B4-BE49-F238E27FC236}">
              <a16:creationId xmlns:a16="http://schemas.microsoft.com/office/drawing/2014/main" id="{CF2698F7-D192-40FF-9B4E-D50FC0D3B21C}"/>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2781280" y="72994520"/>
          <a:ext cx="283870" cy="1240316"/>
        </a:xfrm>
        <a:prstGeom prst="rect">
          <a:avLst/>
        </a:prstGeom>
      </xdr:spPr>
    </xdr:pic>
    <xdr:clientData/>
  </xdr:twoCellAnchor>
  <xdr:twoCellAnchor editAs="oneCell">
    <xdr:from>
      <xdr:col>19</xdr:col>
      <xdr:colOff>0</xdr:colOff>
      <xdr:row>211</xdr:row>
      <xdr:rowOff>88900</xdr:rowOff>
    </xdr:from>
    <xdr:to>
      <xdr:col>19</xdr:col>
      <xdr:colOff>299110</xdr:colOff>
      <xdr:row>219</xdr:row>
      <xdr:rowOff>178596</xdr:rowOff>
    </xdr:to>
    <xdr:pic>
      <xdr:nvPicPr>
        <xdr:cNvPr id="665" name="Picture 664">
          <a:extLst>
            <a:ext uri="{FF2B5EF4-FFF2-40B4-BE49-F238E27FC236}">
              <a16:creationId xmlns:a16="http://schemas.microsoft.com/office/drawing/2014/main" id="{DCFB54D0-8E2E-4FB6-ABD1-576B64799368}"/>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8006060" y="72981820"/>
          <a:ext cx="299110" cy="1240316"/>
        </a:xfrm>
        <a:prstGeom prst="rect">
          <a:avLst/>
        </a:prstGeom>
      </xdr:spPr>
    </xdr:pic>
    <xdr:clientData/>
  </xdr:twoCellAnchor>
  <xdr:twoCellAnchor editAs="oneCell">
    <xdr:from>
      <xdr:col>17</xdr:col>
      <xdr:colOff>38100</xdr:colOff>
      <xdr:row>211</xdr:row>
      <xdr:rowOff>88900</xdr:rowOff>
    </xdr:from>
    <xdr:to>
      <xdr:col>17</xdr:col>
      <xdr:colOff>337210</xdr:colOff>
      <xdr:row>219</xdr:row>
      <xdr:rowOff>178596</xdr:rowOff>
    </xdr:to>
    <xdr:pic>
      <xdr:nvPicPr>
        <xdr:cNvPr id="666" name="Picture 665">
          <a:extLst>
            <a:ext uri="{FF2B5EF4-FFF2-40B4-BE49-F238E27FC236}">
              <a16:creationId xmlns:a16="http://schemas.microsoft.com/office/drawing/2014/main" id="{4443FFCC-BC14-41C3-8DF0-461C7B56C9B4}"/>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6421100" y="72981820"/>
          <a:ext cx="299110" cy="1240316"/>
        </a:xfrm>
        <a:prstGeom prst="rect">
          <a:avLst/>
        </a:prstGeom>
      </xdr:spPr>
    </xdr:pic>
    <xdr:clientData/>
  </xdr:twoCellAnchor>
  <xdr:twoCellAnchor editAs="oneCell">
    <xdr:from>
      <xdr:col>15</xdr:col>
      <xdr:colOff>12700</xdr:colOff>
      <xdr:row>211</xdr:row>
      <xdr:rowOff>114300</xdr:rowOff>
    </xdr:from>
    <xdr:to>
      <xdr:col>15</xdr:col>
      <xdr:colOff>311810</xdr:colOff>
      <xdr:row>220</xdr:row>
      <xdr:rowOff>13496</xdr:rowOff>
    </xdr:to>
    <xdr:pic>
      <xdr:nvPicPr>
        <xdr:cNvPr id="667" name="Picture 666">
          <a:extLst>
            <a:ext uri="{FF2B5EF4-FFF2-40B4-BE49-F238E27FC236}">
              <a16:creationId xmlns:a16="http://schemas.microsoft.com/office/drawing/2014/main" id="{E1F9825A-ABA6-4495-A668-5CD463906278}"/>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4612620" y="73007220"/>
          <a:ext cx="299110" cy="1240316"/>
        </a:xfrm>
        <a:prstGeom prst="rect">
          <a:avLst/>
        </a:prstGeom>
      </xdr:spPr>
    </xdr:pic>
    <xdr:clientData/>
  </xdr:twoCellAnchor>
  <xdr:twoCellAnchor editAs="oneCell">
    <xdr:from>
      <xdr:col>9</xdr:col>
      <xdr:colOff>12700</xdr:colOff>
      <xdr:row>211</xdr:row>
      <xdr:rowOff>63500</xdr:rowOff>
    </xdr:from>
    <xdr:to>
      <xdr:col>9</xdr:col>
      <xdr:colOff>311810</xdr:colOff>
      <xdr:row>219</xdr:row>
      <xdr:rowOff>146846</xdr:rowOff>
    </xdr:to>
    <xdr:pic>
      <xdr:nvPicPr>
        <xdr:cNvPr id="668" name="Picture 667">
          <a:extLst>
            <a:ext uri="{FF2B5EF4-FFF2-40B4-BE49-F238E27FC236}">
              <a16:creationId xmlns:a16="http://schemas.microsoft.com/office/drawing/2014/main" id="{66C09654-B3E1-46B3-8CDC-6B40CBA75E3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9583420" y="72956420"/>
          <a:ext cx="299110" cy="1233966"/>
        </a:xfrm>
        <a:prstGeom prst="rect">
          <a:avLst/>
        </a:prstGeom>
      </xdr:spPr>
    </xdr:pic>
    <xdr:clientData/>
  </xdr:twoCellAnchor>
  <xdr:twoCellAnchor editAs="oneCell">
    <xdr:from>
      <xdr:col>7</xdr:col>
      <xdr:colOff>63500</xdr:colOff>
      <xdr:row>211</xdr:row>
      <xdr:rowOff>44450</xdr:rowOff>
    </xdr:from>
    <xdr:to>
      <xdr:col>7</xdr:col>
      <xdr:colOff>362610</xdr:colOff>
      <xdr:row>218</xdr:row>
      <xdr:rowOff>31911</xdr:rowOff>
    </xdr:to>
    <xdr:pic>
      <xdr:nvPicPr>
        <xdr:cNvPr id="669" name="Picture 668">
          <a:extLst>
            <a:ext uri="{FF2B5EF4-FFF2-40B4-BE49-F238E27FC236}">
              <a16:creationId xmlns:a16="http://schemas.microsoft.com/office/drawing/2014/main" id="{23045DC6-47B9-4753-A722-18AD6562E8CD}"/>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485380" y="72937370"/>
          <a:ext cx="299110" cy="1054261"/>
        </a:xfrm>
        <a:prstGeom prst="rect">
          <a:avLst/>
        </a:prstGeom>
      </xdr:spPr>
    </xdr:pic>
    <xdr:clientData/>
  </xdr:twoCellAnchor>
  <xdr:twoCellAnchor editAs="oneCell">
    <xdr:from>
      <xdr:col>11</xdr:col>
      <xdr:colOff>25400</xdr:colOff>
      <xdr:row>220</xdr:row>
      <xdr:rowOff>25401</xdr:rowOff>
    </xdr:from>
    <xdr:to>
      <xdr:col>11</xdr:col>
      <xdr:colOff>266223</xdr:colOff>
      <xdr:row>226</xdr:row>
      <xdr:rowOff>144781</xdr:rowOff>
    </xdr:to>
    <xdr:pic>
      <xdr:nvPicPr>
        <xdr:cNvPr id="670" name="Picture 669">
          <a:extLst>
            <a:ext uri="{FF2B5EF4-FFF2-40B4-BE49-F238E27FC236}">
              <a16:creationId xmlns:a16="http://schemas.microsoft.com/office/drawing/2014/main" id="{0308055F-3C7C-4A89-B5E3-AC5BCFD784EF}"/>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1165840" y="75890121"/>
          <a:ext cx="240823" cy="1003300"/>
        </a:xfrm>
        <a:prstGeom prst="rect">
          <a:avLst/>
        </a:prstGeom>
      </xdr:spPr>
    </xdr:pic>
    <xdr:clientData/>
  </xdr:twoCellAnchor>
  <xdr:twoCellAnchor editAs="oneCell">
    <xdr:from>
      <xdr:col>17</xdr:col>
      <xdr:colOff>38100</xdr:colOff>
      <xdr:row>220</xdr:row>
      <xdr:rowOff>1</xdr:rowOff>
    </xdr:from>
    <xdr:to>
      <xdr:col>17</xdr:col>
      <xdr:colOff>279400</xdr:colOff>
      <xdr:row>226</xdr:row>
      <xdr:rowOff>121393</xdr:rowOff>
    </xdr:to>
    <xdr:pic>
      <xdr:nvPicPr>
        <xdr:cNvPr id="671" name="Picture 670">
          <a:extLst>
            <a:ext uri="{FF2B5EF4-FFF2-40B4-BE49-F238E27FC236}">
              <a16:creationId xmlns:a16="http://schemas.microsoft.com/office/drawing/2014/main" id="{9CD073F7-EACF-4689-B24A-B613B13F9A6A}"/>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6421100" y="75864721"/>
          <a:ext cx="241300" cy="1005312"/>
        </a:xfrm>
        <a:prstGeom prst="rect">
          <a:avLst/>
        </a:prstGeom>
      </xdr:spPr>
    </xdr:pic>
    <xdr:clientData/>
  </xdr:twoCellAnchor>
  <xdr:twoCellAnchor editAs="oneCell">
    <xdr:from>
      <xdr:col>7</xdr:col>
      <xdr:colOff>31750</xdr:colOff>
      <xdr:row>229</xdr:row>
      <xdr:rowOff>141817</xdr:rowOff>
    </xdr:from>
    <xdr:to>
      <xdr:col>7</xdr:col>
      <xdr:colOff>330860</xdr:colOff>
      <xdr:row>237</xdr:row>
      <xdr:rowOff>90331</xdr:rowOff>
    </xdr:to>
    <xdr:pic>
      <xdr:nvPicPr>
        <xdr:cNvPr id="672" name="Picture 671">
          <a:extLst>
            <a:ext uri="{FF2B5EF4-FFF2-40B4-BE49-F238E27FC236}">
              <a16:creationId xmlns:a16="http://schemas.microsoft.com/office/drawing/2014/main" id="{50ECB645-E5B6-409E-8A36-9A4D51472BA8}"/>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453630" y="79115497"/>
          <a:ext cx="299110" cy="1083894"/>
        </a:xfrm>
        <a:prstGeom prst="rect">
          <a:avLst/>
        </a:prstGeom>
      </xdr:spPr>
    </xdr:pic>
    <xdr:clientData/>
  </xdr:twoCellAnchor>
  <xdr:twoCellAnchor editAs="oneCell">
    <xdr:from>
      <xdr:col>19</xdr:col>
      <xdr:colOff>50800</xdr:colOff>
      <xdr:row>239</xdr:row>
      <xdr:rowOff>101600</xdr:rowOff>
    </xdr:from>
    <xdr:to>
      <xdr:col>19</xdr:col>
      <xdr:colOff>349910</xdr:colOff>
      <xdr:row>247</xdr:row>
      <xdr:rowOff>292433</xdr:rowOff>
    </xdr:to>
    <xdr:pic>
      <xdr:nvPicPr>
        <xdr:cNvPr id="673" name="Picture 672">
          <a:extLst>
            <a:ext uri="{FF2B5EF4-FFF2-40B4-BE49-F238E27FC236}">
              <a16:creationId xmlns:a16="http://schemas.microsoft.com/office/drawing/2014/main" id="{79B88441-6697-413C-A4EA-AF2BCA8B12F2}"/>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8056860" y="82732880"/>
          <a:ext cx="299110" cy="1227153"/>
        </a:xfrm>
        <a:prstGeom prst="rect">
          <a:avLst/>
        </a:prstGeom>
      </xdr:spPr>
    </xdr:pic>
    <xdr:clientData/>
  </xdr:twoCellAnchor>
  <xdr:twoCellAnchor editAs="oneCell">
    <xdr:from>
      <xdr:col>13</xdr:col>
      <xdr:colOff>98124</xdr:colOff>
      <xdr:row>247</xdr:row>
      <xdr:rowOff>50801</xdr:rowOff>
    </xdr:from>
    <xdr:to>
      <xdr:col>13</xdr:col>
      <xdr:colOff>266700</xdr:colOff>
      <xdr:row>251</xdr:row>
      <xdr:rowOff>215900</xdr:rowOff>
    </xdr:to>
    <xdr:pic>
      <xdr:nvPicPr>
        <xdr:cNvPr id="674" name="Picture 673">
          <a:extLst>
            <a:ext uri="{FF2B5EF4-FFF2-40B4-BE49-F238E27FC236}">
              <a16:creationId xmlns:a16="http://schemas.microsoft.com/office/drawing/2014/main" id="{D7C772F3-FED8-472E-99B0-261DA4327F69}"/>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2876864" y="85486241"/>
          <a:ext cx="168576" cy="698499"/>
        </a:xfrm>
        <a:prstGeom prst="rect">
          <a:avLst/>
        </a:prstGeom>
      </xdr:spPr>
    </xdr:pic>
    <xdr:clientData/>
  </xdr:twoCellAnchor>
  <xdr:twoCellAnchor editAs="oneCell">
    <xdr:from>
      <xdr:col>5</xdr:col>
      <xdr:colOff>76200</xdr:colOff>
      <xdr:row>247</xdr:row>
      <xdr:rowOff>127000</xdr:rowOff>
    </xdr:from>
    <xdr:to>
      <xdr:col>5</xdr:col>
      <xdr:colOff>292100</xdr:colOff>
      <xdr:row>252</xdr:row>
      <xdr:rowOff>39421</xdr:rowOff>
    </xdr:to>
    <xdr:pic>
      <xdr:nvPicPr>
        <xdr:cNvPr id="675" name="Picture 674">
          <a:extLst>
            <a:ext uri="{FF2B5EF4-FFF2-40B4-BE49-F238E27FC236}">
              <a16:creationId xmlns:a16="http://schemas.microsoft.com/office/drawing/2014/main" id="{24298A95-2BB1-47FD-B591-210E42B95D1E}"/>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5349240" y="85562440"/>
          <a:ext cx="215900" cy="712521"/>
        </a:xfrm>
        <a:prstGeom prst="rect">
          <a:avLst/>
        </a:prstGeom>
      </xdr:spPr>
    </xdr:pic>
    <xdr:clientData/>
  </xdr:twoCellAnchor>
  <xdr:twoCellAnchor editAs="oneCell">
    <xdr:from>
      <xdr:col>1</xdr:col>
      <xdr:colOff>25400</xdr:colOff>
      <xdr:row>255</xdr:row>
      <xdr:rowOff>25400</xdr:rowOff>
    </xdr:from>
    <xdr:to>
      <xdr:col>1</xdr:col>
      <xdr:colOff>324510</xdr:colOff>
      <xdr:row>262</xdr:row>
      <xdr:rowOff>159546</xdr:rowOff>
    </xdr:to>
    <xdr:pic>
      <xdr:nvPicPr>
        <xdr:cNvPr id="676" name="Picture 675">
          <a:extLst>
            <a:ext uri="{FF2B5EF4-FFF2-40B4-BE49-F238E27FC236}">
              <a16:creationId xmlns:a16="http://schemas.microsoft.com/office/drawing/2014/main" id="{2768C85E-CBD1-4FC3-B853-9F7191728556}"/>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290320" y="88242140"/>
          <a:ext cx="299110" cy="1101886"/>
        </a:xfrm>
        <a:prstGeom prst="rect">
          <a:avLst/>
        </a:prstGeom>
      </xdr:spPr>
    </xdr:pic>
    <xdr:clientData/>
  </xdr:twoCellAnchor>
  <xdr:twoCellAnchor editAs="oneCell">
    <xdr:from>
      <xdr:col>15</xdr:col>
      <xdr:colOff>76200</xdr:colOff>
      <xdr:row>255</xdr:row>
      <xdr:rowOff>76201</xdr:rowOff>
    </xdr:from>
    <xdr:to>
      <xdr:col>15</xdr:col>
      <xdr:colOff>355600</xdr:colOff>
      <xdr:row>262</xdr:row>
      <xdr:rowOff>131303</xdr:rowOff>
    </xdr:to>
    <xdr:pic>
      <xdr:nvPicPr>
        <xdr:cNvPr id="677" name="Picture 676">
          <a:extLst>
            <a:ext uri="{FF2B5EF4-FFF2-40B4-BE49-F238E27FC236}">
              <a16:creationId xmlns:a16="http://schemas.microsoft.com/office/drawing/2014/main" id="{2D72CCC7-5868-4A42-BB5B-A4B154F41526}"/>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4676120" y="88292941"/>
          <a:ext cx="279400" cy="1022842"/>
        </a:xfrm>
        <a:prstGeom prst="rect">
          <a:avLst/>
        </a:prstGeom>
      </xdr:spPr>
    </xdr:pic>
    <xdr:clientData/>
  </xdr:twoCellAnchor>
  <xdr:twoCellAnchor editAs="oneCell">
    <xdr:from>
      <xdr:col>21</xdr:col>
      <xdr:colOff>74748</xdr:colOff>
      <xdr:row>264</xdr:row>
      <xdr:rowOff>50800</xdr:rowOff>
    </xdr:from>
    <xdr:to>
      <xdr:col>21</xdr:col>
      <xdr:colOff>304799</xdr:colOff>
      <xdr:row>269</xdr:row>
      <xdr:rowOff>99060</xdr:rowOff>
    </xdr:to>
    <xdr:pic>
      <xdr:nvPicPr>
        <xdr:cNvPr id="678" name="Picture 677">
          <a:extLst>
            <a:ext uri="{FF2B5EF4-FFF2-40B4-BE49-F238E27FC236}">
              <a16:creationId xmlns:a16="http://schemas.microsoft.com/office/drawing/2014/main" id="{9581A6CA-0F2A-4ED8-B26A-3B8EBC2E735A}"/>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9757208" y="91391740"/>
          <a:ext cx="230051" cy="848360"/>
        </a:xfrm>
        <a:prstGeom prst="rect">
          <a:avLst/>
        </a:prstGeom>
      </xdr:spPr>
    </xdr:pic>
    <xdr:clientData/>
  </xdr:twoCellAnchor>
  <xdr:twoCellAnchor editAs="oneCell">
    <xdr:from>
      <xdr:col>9</xdr:col>
      <xdr:colOff>55880</xdr:colOff>
      <xdr:row>280</xdr:row>
      <xdr:rowOff>83820</xdr:rowOff>
    </xdr:from>
    <xdr:to>
      <xdr:col>9</xdr:col>
      <xdr:colOff>354990</xdr:colOff>
      <xdr:row>288</xdr:row>
      <xdr:rowOff>58117</xdr:rowOff>
    </xdr:to>
    <xdr:pic>
      <xdr:nvPicPr>
        <xdr:cNvPr id="679" name="Picture 678">
          <a:extLst>
            <a:ext uri="{FF2B5EF4-FFF2-40B4-BE49-F238E27FC236}">
              <a16:creationId xmlns:a16="http://schemas.microsoft.com/office/drawing/2014/main" id="{DF7EB2B1-7047-43A1-93B2-BFF71A02F56E}"/>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9626600" y="97086420"/>
          <a:ext cx="299110" cy="1041097"/>
        </a:xfrm>
        <a:prstGeom prst="rect">
          <a:avLst/>
        </a:prstGeom>
      </xdr:spPr>
    </xdr:pic>
    <xdr:clientData/>
  </xdr:twoCellAnchor>
  <xdr:twoCellAnchor editAs="oneCell">
    <xdr:from>
      <xdr:col>19</xdr:col>
      <xdr:colOff>0</xdr:colOff>
      <xdr:row>280</xdr:row>
      <xdr:rowOff>0</xdr:rowOff>
    </xdr:from>
    <xdr:to>
      <xdr:col>19</xdr:col>
      <xdr:colOff>299110</xdr:colOff>
      <xdr:row>286</xdr:row>
      <xdr:rowOff>256237</xdr:rowOff>
    </xdr:to>
    <xdr:pic>
      <xdr:nvPicPr>
        <xdr:cNvPr id="680" name="Picture 679">
          <a:extLst>
            <a:ext uri="{FF2B5EF4-FFF2-40B4-BE49-F238E27FC236}">
              <a16:creationId xmlns:a16="http://schemas.microsoft.com/office/drawing/2014/main" id="{7872FD15-B82B-4EAA-905D-D8547EA4D0E3}"/>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8006060" y="97002600"/>
          <a:ext cx="299110" cy="1041097"/>
        </a:xfrm>
        <a:prstGeom prst="rect">
          <a:avLst/>
        </a:prstGeom>
      </xdr:spPr>
    </xdr:pic>
    <xdr:clientData/>
  </xdr:twoCellAnchor>
  <xdr:twoCellAnchor editAs="oneCell">
    <xdr:from>
      <xdr:col>11</xdr:col>
      <xdr:colOff>15240</xdr:colOff>
      <xdr:row>288</xdr:row>
      <xdr:rowOff>123190</xdr:rowOff>
    </xdr:from>
    <xdr:to>
      <xdr:col>11</xdr:col>
      <xdr:colOff>314350</xdr:colOff>
      <xdr:row>294</xdr:row>
      <xdr:rowOff>102029</xdr:rowOff>
    </xdr:to>
    <xdr:pic>
      <xdr:nvPicPr>
        <xdr:cNvPr id="681" name="Picture 680">
          <a:extLst>
            <a:ext uri="{FF2B5EF4-FFF2-40B4-BE49-F238E27FC236}">
              <a16:creationId xmlns:a16="http://schemas.microsoft.com/office/drawing/2014/main" id="{B98D3D4A-060F-44D9-BA05-672FA3A36143}"/>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1155680" y="100143310"/>
          <a:ext cx="299110" cy="961819"/>
        </a:xfrm>
        <a:prstGeom prst="rect">
          <a:avLst/>
        </a:prstGeom>
      </xdr:spPr>
    </xdr:pic>
    <xdr:clientData/>
  </xdr:twoCellAnchor>
  <xdr:twoCellAnchor editAs="oneCell">
    <xdr:from>
      <xdr:col>9</xdr:col>
      <xdr:colOff>0</xdr:colOff>
      <xdr:row>305</xdr:row>
      <xdr:rowOff>0</xdr:rowOff>
    </xdr:from>
    <xdr:to>
      <xdr:col>9</xdr:col>
      <xdr:colOff>299110</xdr:colOff>
      <xdr:row>311</xdr:row>
      <xdr:rowOff>193625</xdr:rowOff>
    </xdr:to>
    <xdr:pic>
      <xdr:nvPicPr>
        <xdr:cNvPr id="682" name="Picture 681">
          <a:extLst>
            <a:ext uri="{FF2B5EF4-FFF2-40B4-BE49-F238E27FC236}">
              <a16:creationId xmlns:a16="http://schemas.microsoft.com/office/drawing/2014/main" id="{752091C2-1288-4761-8CD8-D6BD8B99F97B}"/>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9570720" y="106169460"/>
          <a:ext cx="299110" cy="1077545"/>
        </a:xfrm>
        <a:prstGeom prst="rect">
          <a:avLst/>
        </a:prstGeom>
      </xdr:spPr>
    </xdr:pic>
    <xdr:clientData/>
  </xdr:twoCellAnchor>
  <xdr:twoCellAnchor editAs="oneCell">
    <xdr:from>
      <xdr:col>19</xdr:col>
      <xdr:colOff>45720</xdr:colOff>
      <xdr:row>314</xdr:row>
      <xdr:rowOff>229235</xdr:rowOff>
    </xdr:from>
    <xdr:to>
      <xdr:col>19</xdr:col>
      <xdr:colOff>344830</xdr:colOff>
      <xdr:row>322</xdr:row>
      <xdr:rowOff>73184</xdr:rowOff>
    </xdr:to>
    <xdr:pic>
      <xdr:nvPicPr>
        <xdr:cNvPr id="683" name="Picture 682">
          <a:extLst>
            <a:ext uri="{FF2B5EF4-FFF2-40B4-BE49-F238E27FC236}">
              <a16:creationId xmlns:a16="http://schemas.microsoft.com/office/drawing/2014/main" id="{721EB8B5-FCC5-457A-9689-B7AF29379807}"/>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8051780" y="109606715"/>
          <a:ext cx="299110" cy="1025049"/>
        </a:xfrm>
        <a:prstGeom prst="rect">
          <a:avLst/>
        </a:prstGeom>
      </xdr:spPr>
    </xdr:pic>
    <xdr:clientData/>
  </xdr:twoCellAnchor>
  <xdr:twoCellAnchor editAs="oneCell">
    <xdr:from>
      <xdr:col>12</xdr:col>
      <xdr:colOff>1016000</xdr:colOff>
      <xdr:row>314</xdr:row>
      <xdr:rowOff>117475</xdr:rowOff>
    </xdr:from>
    <xdr:to>
      <xdr:col>13</xdr:col>
      <xdr:colOff>286410</xdr:colOff>
      <xdr:row>322</xdr:row>
      <xdr:rowOff>80804</xdr:rowOff>
    </xdr:to>
    <xdr:pic>
      <xdr:nvPicPr>
        <xdr:cNvPr id="684" name="Picture 683">
          <a:extLst>
            <a:ext uri="{FF2B5EF4-FFF2-40B4-BE49-F238E27FC236}">
              <a16:creationId xmlns:a16="http://schemas.microsoft.com/office/drawing/2014/main" id="{391D87C5-606E-48C4-8423-463242EC5B45}"/>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2781280" y="109494955"/>
          <a:ext cx="283870" cy="1098709"/>
        </a:xfrm>
        <a:prstGeom prst="rect">
          <a:avLst/>
        </a:prstGeom>
      </xdr:spPr>
    </xdr:pic>
    <xdr:clientData/>
  </xdr:twoCellAnchor>
  <xdr:twoCellAnchor editAs="oneCell">
    <xdr:from>
      <xdr:col>15</xdr:col>
      <xdr:colOff>12700</xdr:colOff>
      <xdr:row>314</xdr:row>
      <xdr:rowOff>50800</xdr:rowOff>
    </xdr:from>
    <xdr:to>
      <xdr:col>15</xdr:col>
      <xdr:colOff>311810</xdr:colOff>
      <xdr:row>322</xdr:row>
      <xdr:rowOff>14129</xdr:rowOff>
    </xdr:to>
    <xdr:pic>
      <xdr:nvPicPr>
        <xdr:cNvPr id="685" name="Picture 684">
          <a:extLst>
            <a:ext uri="{FF2B5EF4-FFF2-40B4-BE49-F238E27FC236}">
              <a16:creationId xmlns:a16="http://schemas.microsoft.com/office/drawing/2014/main" id="{BD82B5BC-4176-4645-8292-16742E8DEE08}"/>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4612620" y="109428280"/>
          <a:ext cx="299110" cy="1098709"/>
        </a:xfrm>
        <a:prstGeom prst="rect">
          <a:avLst/>
        </a:prstGeom>
      </xdr:spPr>
    </xdr:pic>
    <xdr:clientData/>
  </xdr:twoCellAnchor>
  <xdr:twoCellAnchor editAs="oneCell">
    <xdr:from>
      <xdr:col>21</xdr:col>
      <xdr:colOff>0</xdr:colOff>
      <xdr:row>342</xdr:row>
      <xdr:rowOff>0</xdr:rowOff>
    </xdr:from>
    <xdr:to>
      <xdr:col>21</xdr:col>
      <xdr:colOff>299110</xdr:colOff>
      <xdr:row>349</xdr:row>
      <xdr:rowOff>108110</xdr:rowOff>
    </xdr:to>
    <xdr:pic>
      <xdr:nvPicPr>
        <xdr:cNvPr id="686" name="Picture 685">
          <a:extLst>
            <a:ext uri="{FF2B5EF4-FFF2-40B4-BE49-F238E27FC236}">
              <a16:creationId xmlns:a16="http://schemas.microsoft.com/office/drawing/2014/main" id="{3CB5F4C9-9533-485F-B7E0-ECF98C7BF1BD}"/>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9682460" y="120388380"/>
          <a:ext cx="299110" cy="1045370"/>
        </a:xfrm>
        <a:prstGeom prst="rect">
          <a:avLst/>
        </a:prstGeom>
      </xdr:spPr>
    </xdr:pic>
    <xdr:clientData/>
  </xdr:twoCellAnchor>
  <xdr:twoCellAnchor editAs="oneCell">
    <xdr:from>
      <xdr:col>19</xdr:col>
      <xdr:colOff>31750</xdr:colOff>
      <xdr:row>341</xdr:row>
      <xdr:rowOff>146050</xdr:rowOff>
    </xdr:from>
    <xdr:to>
      <xdr:col>19</xdr:col>
      <xdr:colOff>330860</xdr:colOff>
      <xdr:row>349</xdr:row>
      <xdr:rowOff>64507</xdr:rowOff>
    </xdr:to>
    <xdr:pic>
      <xdr:nvPicPr>
        <xdr:cNvPr id="687" name="Picture 686">
          <a:extLst>
            <a:ext uri="{FF2B5EF4-FFF2-40B4-BE49-F238E27FC236}">
              <a16:creationId xmlns:a16="http://schemas.microsoft.com/office/drawing/2014/main" id="{23AFDB40-8E13-4E47-9303-B5E6B14C8734}"/>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8037810" y="119841010"/>
          <a:ext cx="299110" cy="1038597"/>
        </a:xfrm>
        <a:prstGeom prst="rect">
          <a:avLst/>
        </a:prstGeom>
      </xdr:spPr>
    </xdr:pic>
    <xdr:clientData/>
  </xdr:twoCellAnchor>
  <xdr:twoCellAnchor editAs="oneCell">
    <xdr:from>
      <xdr:col>11</xdr:col>
      <xdr:colOff>21167</xdr:colOff>
      <xdr:row>341</xdr:row>
      <xdr:rowOff>179916</xdr:rowOff>
    </xdr:from>
    <xdr:to>
      <xdr:col>11</xdr:col>
      <xdr:colOff>320277</xdr:colOff>
      <xdr:row>349</xdr:row>
      <xdr:rowOff>104723</xdr:rowOff>
    </xdr:to>
    <xdr:pic>
      <xdr:nvPicPr>
        <xdr:cNvPr id="688" name="Picture 687">
          <a:extLst>
            <a:ext uri="{FF2B5EF4-FFF2-40B4-BE49-F238E27FC236}">
              <a16:creationId xmlns:a16="http://schemas.microsoft.com/office/drawing/2014/main" id="{44562DCD-1C9A-43EB-BF2D-7A7EC8B6505D}"/>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1161607" y="119874876"/>
          <a:ext cx="299110" cy="1044947"/>
        </a:xfrm>
        <a:prstGeom prst="rect">
          <a:avLst/>
        </a:prstGeom>
      </xdr:spPr>
    </xdr:pic>
    <xdr:clientData/>
  </xdr:twoCellAnchor>
  <xdr:twoCellAnchor editAs="oneCell">
    <xdr:from>
      <xdr:col>1</xdr:col>
      <xdr:colOff>31750</xdr:colOff>
      <xdr:row>349</xdr:row>
      <xdr:rowOff>95250</xdr:rowOff>
    </xdr:from>
    <xdr:to>
      <xdr:col>1</xdr:col>
      <xdr:colOff>292100</xdr:colOff>
      <xdr:row>355</xdr:row>
      <xdr:rowOff>39534</xdr:rowOff>
    </xdr:to>
    <xdr:pic>
      <xdr:nvPicPr>
        <xdr:cNvPr id="689" name="Picture 688">
          <a:extLst>
            <a:ext uri="{FF2B5EF4-FFF2-40B4-BE49-F238E27FC236}">
              <a16:creationId xmlns:a16="http://schemas.microsoft.com/office/drawing/2014/main" id="{6CF0CE65-50D7-4A28-84DD-03392B2397B8}"/>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296670" y="122662950"/>
          <a:ext cx="260350" cy="927264"/>
        </a:xfrm>
        <a:prstGeom prst="rect">
          <a:avLst/>
        </a:prstGeom>
      </xdr:spPr>
    </xdr:pic>
    <xdr:clientData/>
  </xdr:twoCellAnchor>
  <xdr:twoCellAnchor editAs="oneCell">
    <xdr:from>
      <xdr:col>9</xdr:col>
      <xdr:colOff>21167</xdr:colOff>
      <xdr:row>349</xdr:row>
      <xdr:rowOff>116416</xdr:rowOff>
    </xdr:from>
    <xdr:to>
      <xdr:col>9</xdr:col>
      <xdr:colOff>320277</xdr:colOff>
      <xdr:row>356</xdr:row>
      <xdr:rowOff>115306</xdr:rowOff>
    </xdr:to>
    <xdr:pic>
      <xdr:nvPicPr>
        <xdr:cNvPr id="690" name="Picture 689">
          <a:extLst>
            <a:ext uri="{FF2B5EF4-FFF2-40B4-BE49-F238E27FC236}">
              <a16:creationId xmlns:a16="http://schemas.microsoft.com/office/drawing/2014/main" id="{F13AD2CF-D285-4189-89F1-C1A180FEBEBD}"/>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9591887" y="122684116"/>
          <a:ext cx="299110" cy="1065690"/>
        </a:xfrm>
        <a:prstGeom prst="rect">
          <a:avLst/>
        </a:prstGeom>
      </xdr:spPr>
    </xdr:pic>
    <xdr:clientData/>
  </xdr:twoCellAnchor>
  <xdr:twoCellAnchor editAs="oneCell">
    <xdr:from>
      <xdr:col>3</xdr:col>
      <xdr:colOff>4233</xdr:colOff>
      <xdr:row>349</xdr:row>
      <xdr:rowOff>148167</xdr:rowOff>
    </xdr:from>
    <xdr:to>
      <xdr:col>3</xdr:col>
      <xdr:colOff>307576</xdr:colOff>
      <xdr:row>356</xdr:row>
      <xdr:rowOff>147057</xdr:rowOff>
    </xdr:to>
    <xdr:pic>
      <xdr:nvPicPr>
        <xdr:cNvPr id="691" name="Picture 690">
          <a:extLst>
            <a:ext uri="{FF2B5EF4-FFF2-40B4-BE49-F238E27FC236}">
              <a16:creationId xmlns:a16="http://schemas.microsoft.com/office/drawing/2014/main" id="{86A95940-DCA9-49DA-98E7-367DE6DA969B}"/>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3036993" y="122715867"/>
          <a:ext cx="303343" cy="1065690"/>
        </a:xfrm>
        <a:prstGeom prst="rect">
          <a:avLst/>
        </a:prstGeom>
      </xdr:spPr>
    </xdr:pic>
    <xdr:clientData/>
  </xdr:twoCellAnchor>
  <xdr:twoCellAnchor>
    <xdr:from>
      <xdr:col>2</xdr:col>
      <xdr:colOff>-1</xdr:colOff>
      <xdr:row>226</xdr:row>
      <xdr:rowOff>20196</xdr:rowOff>
    </xdr:from>
    <xdr:to>
      <xdr:col>3</xdr:col>
      <xdr:colOff>42333</xdr:colOff>
      <xdr:row>229</xdr:row>
      <xdr:rowOff>-1</xdr:rowOff>
    </xdr:to>
    <xdr:sp macro="" textlink="">
      <xdr:nvSpPr>
        <xdr:cNvPr id="692" name="Isosceles Triangle 691">
          <a:extLst>
            <a:ext uri="{FF2B5EF4-FFF2-40B4-BE49-F238E27FC236}">
              <a16:creationId xmlns:a16="http://schemas.microsoft.com/office/drawing/2014/main" id="{AB8BE78C-E592-44FF-975F-ECAAE2C0F8F8}"/>
            </a:ext>
          </a:extLst>
        </xdr:cNvPr>
        <xdr:cNvSpPr/>
      </xdr:nvSpPr>
      <xdr:spPr>
        <a:xfrm>
          <a:off x="2011679" y="78094716"/>
          <a:ext cx="1063414" cy="878963"/>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8</xdr:col>
      <xdr:colOff>9896</xdr:colOff>
      <xdr:row>225</xdr:row>
      <xdr:rowOff>99269</xdr:rowOff>
    </xdr:from>
    <xdr:to>
      <xdr:col>9</xdr:col>
      <xdr:colOff>9896</xdr:colOff>
      <xdr:row>228</xdr:row>
      <xdr:rowOff>165224</xdr:rowOff>
    </xdr:to>
    <xdr:sp macro="" textlink="">
      <xdr:nvSpPr>
        <xdr:cNvPr id="693" name="Isosceles Triangle 692">
          <a:extLst>
            <a:ext uri="{FF2B5EF4-FFF2-40B4-BE49-F238E27FC236}">
              <a16:creationId xmlns:a16="http://schemas.microsoft.com/office/drawing/2014/main" id="{87F84A67-B34B-4030-A74A-2EEF0CB2AC55}"/>
            </a:ext>
          </a:extLst>
        </xdr:cNvPr>
        <xdr:cNvSpPr/>
      </xdr:nvSpPr>
      <xdr:spPr>
        <a:xfrm>
          <a:off x="8308076" y="77808029"/>
          <a:ext cx="1272540" cy="116323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14</xdr:col>
      <xdr:colOff>462</xdr:colOff>
      <xdr:row>225</xdr:row>
      <xdr:rowOff>127000</xdr:rowOff>
    </xdr:from>
    <xdr:to>
      <xdr:col>15</xdr:col>
      <xdr:colOff>9534</xdr:colOff>
      <xdr:row>229</xdr:row>
      <xdr:rowOff>311</xdr:rowOff>
    </xdr:to>
    <xdr:sp macro="" textlink="">
      <xdr:nvSpPr>
        <xdr:cNvPr id="694" name="Isosceles Triangle 693">
          <a:extLst>
            <a:ext uri="{FF2B5EF4-FFF2-40B4-BE49-F238E27FC236}">
              <a16:creationId xmlns:a16="http://schemas.microsoft.com/office/drawing/2014/main" id="{94F737C2-B484-4176-BF38-DD6BD2130106}"/>
            </a:ext>
          </a:extLst>
        </xdr:cNvPr>
        <xdr:cNvSpPr/>
      </xdr:nvSpPr>
      <xdr:spPr>
        <a:xfrm>
          <a:off x="13556442" y="77835760"/>
          <a:ext cx="1053012" cy="113823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a:p>
          <a:pPr algn="l"/>
          <a:endParaRPr lang="en-US" sz="1100" b="1">
            <a:solidFill>
              <a:srgbClr val="FF0000"/>
            </a:solidFill>
          </a:endParaRPr>
        </a:p>
      </xdr:txBody>
    </xdr:sp>
    <xdr:clientData/>
  </xdr:twoCellAnchor>
  <xdr:twoCellAnchor>
    <xdr:from>
      <xdr:col>2</xdr:col>
      <xdr:colOff>0</xdr:colOff>
      <xdr:row>251</xdr:row>
      <xdr:rowOff>103910</xdr:rowOff>
    </xdr:from>
    <xdr:to>
      <xdr:col>3</xdr:col>
      <xdr:colOff>0</xdr:colOff>
      <xdr:row>254</xdr:row>
      <xdr:rowOff>165874</xdr:rowOff>
    </xdr:to>
    <xdr:sp macro="" textlink="">
      <xdr:nvSpPr>
        <xdr:cNvPr id="695" name="Isosceles Triangle 694">
          <a:extLst>
            <a:ext uri="{FF2B5EF4-FFF2-40B4-BE49-F238E27FC236}">
              <a16:creationId xmlns:a16="http://schemas.microsoft.com/office/drawing/2014/main" id="{3FC9D00E-B006-481B-9181-59E0003C9F27}"/>
            </a:ext>
          </a:extLst>
        </xdr:cNvPr>
        <xdr:cNvSpPr/>
      </xdr:nvSpPr>
      <xdr:spPr>
        <a:xfrm>
          <a:off x="2011680" y="87055730"/>
          <a:ext cx="1021080" cy="1159244"/>
        </a:xfrm>
        <a:prstGeom prst="triangle">
          <a:avLst/>
        </a:prstGeom>
        <a:solidFill>
          <a:srgbClr val="FFFF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100" b="1"/>
            <a:t>WIP</a:t>
          </a:r>
        </a:p>
      </xdr:txBody>
    </xdr:sp>
    <xdr:clientData/>
  </xdr:twoCellAnchor>
  <xdr:twoCellAnchor>
    <xdr:from>
      <xdr:col>16</xdr:col>
      <xdr:colOff>9005</xdr:colOff>
      <xdr:row>276</xdr:row>
      <xdr:rowOff>81001</xdr:rowOff>
    </xdr:from>
    <xdr:to>
      <xdr:col>17</xdr:col>
      <xdr:colOff>9005</xdr:colOff>
      <xdr:row>279</xdr:row>
      <xdr:rowOff>150584</xdr:rowOff>
    </xdr:to>
    <xdr:sp macro="" textlink="">
      <xdr:nvSpPr>
        <xdr:cNvPr id="696" name="Isosceles Triangle 695">
          <a:extLst>
            <a:ext uri="{FF2B5EF4-FFF2-40B4-BE49-F238E27FC236}">
              <a16:creationId xmlns:a16="http://schemas.microsoft.com/office/drawing/2014/main" id="{CE5A0A3B-6E1D-4A56-8893-E57C4C766B3A}"/>
            </a:ext>
          </a:extLst>
        </xdr:cNvPr>
        <xdr:cNvSpPr/>
      </xdr:nvSpPr>
      <xdr:spPr>
        <a:xfrm>
          <a:off x="15249005" y="95833921"/>
          <a:ext cx="1143000" cy="1166863"/>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28634</xdr:colOff>
      <xdr:row>337</xdr:row>
      <xdr:rowOff>117952</xdr:rowOff>
    </xdr:from>
    <xdr:to>
      <xdr:col>10</xdr:col>
      <xdr:colOff>917634</xdr:colOff>
      <xdr:row>340</xdr:row>
      <xdr:rowOff>186843</xdr:rowOff>
    </xdr:to>
    <xdr:sp macro="" textlink="">
      <xdr:nvSpPr>
        <xdr:cNvPr id="697" name="Isosceles Triangle 696">
          <a:extLst>
            <a:ext uri="{FF2B5EF4-FFF2-40B4-BE49-F238E27FC236}">
              <a16:creationId xmlns:a16="http://schemas.microsoft.com/office/drawing/2014/main" id="{986E60D3-7F89-4944-9330-F52E30F5C65A}"/>
            </a:ext>
          </a:extLst>
        </xdr:cNvPr>
        <xdr:cNvSpPr/>
      </xdr:nvSpPr>
      <xdr:spPr>
        <a:xfrm>
          <a:off x="10224194" y="118525132"/>
          <a:ext cx="889000" cy="116617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6734</xdr:colOff>
      <xdr:row>251</xdr:row>
      <xdr:rowOff>130850</xdr:rowOff>
    </xdr:from>
    <xdr:to>
      <xdr:col>3</xdr:col>
      <xdr:colOff>6734</xdr:colOff>
      <xdr:row>255</xdr:row>
      <xdr:rowOff>2314</xdr:rowOff>
    </xdr:to>
    <xdr:sp macro="" textlink="">
      <xdr:nvSpPr>
        <xdr:cNvPr id="698" name="Isosceles Triangle 697">
          <a:extLst>
            <a:ext uri="{FF2B5EF4-FFF2-40B4-BE49-F238E27FC236}">
              <a16:creationId xmlns:a16="http://schemas.microsoft.com/office/drawing/2014/main" id="{E0904495-D02F-45A5-B745-D5E83D4A2086}"/>
            </a:ext>
          </a:extLst>
        </xdr:cNvPr>
        <xdr:cNvSpPr/>
      </xdr:nvSpPr>
      <xdr:spPr>
        <a:xfrm>
          <a:off x="2018414" y="87082670"/>
          <a:ext cx="10210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editAs="oneCell">
    <xdr:from>
      <xdr:col>7</xdr:col>
      <xdr:colOff>201083</xdr:colOff>
      <xdr:row>19</xdr:row>
      <xdr:rowOff>84666</xdr:rowOff>
    </xdr:from>
    <xdr:to>
      <xdr:col>7</xdr:col>
      <xdr:colOff>559762</xdr:colOff>
      <xdr:row>23</xdr:row>
      <xdr:rowOff>5926</xdr:rowOff>
    </xdr:to>
    <xdr:pic>
      <xdr:nvPicPr>
        <xdr:cNvPr id="699" name="Picture 698">
          <a:extLst>
            <a:ext uri="{FF2B5EF4-FFF2-40B4-BE49-F238E27FC236}">
              <a16:creationId xmlns:a16="http://schemas.microsoft.com/office/drawing/2014/main" id="{75F1CED1-461D-463A-83AF-B942B66A23F4}"/>
            </a:ext>
          </a:extLst>
        </xdr:cNvPr>
        <xdr:cNvPicPr>
          <a:picLocks noChangeAspect="1"/>
        </xdr:cNvPicPr>
      </xdr:nvPicPr>
      <xdr:blipFill>
        <a:blip xmlns:r="http://schemas.openxmlformats.org/officeDocument/2006/relationships" r:embed="rId4"/>
        <a:stretch>
          <a:fillRect/>
        </a:stretch>
      </xdr:blipFill>
      <xdr:spPr>
        <a:xfrm>
          <a:off x="7622963" y="4565226"/>
          <a:ext cx="358679" cy="645160"/>
        </a:xfrm>
        <a:prstGeom prst="rect">
          <a:avLst/>
        </a:prstGeom>
      </xdr:spPr>
    </xdr:pic>
    <xdr:clientData/>
  </xdr:twoCellAnchor>
  <xdr:oneCellAnchor>
    <xdr:from>
      <xdr:col>13</xdr:col>
      <xdr:colOff>0</xdr:colOff>
      <xdr:row>202</xdr:row>
      <xdr:rowOff>0</xdr:rowOff>
    </xdr:from>
    <xdr:ext cx="299110" cy="1004825"/>
    <xdr:pic>
      <xdr:nvPicPr>
        <xdr:cNvPr id="700" name="Picture 699">
          <a:extLst>
            <a:ext uri="{FF2B5EF4-FFF2-40B4-BE49-F238E27FC236}">
              <a16:creationId xmlns:a16="http://schemas.microsoft.com/office/drawing/2014/main" id="{DA20239D-8ADE-4086-8564-72396EA11D8D}"/>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2778740" y="69677280"/>
          <a:ext cx="299110" cy="1004825"/>
        </a:xfrm>
        <a:prstGeom prst="rect">
          <a:avLst/>
        </a:prstGeom>
      </xdr:spPr>
    </xdr:pic>
    <xdr:clientData/>
  </xdr:oneCellAnchor>
  <xdr:oneCellAnchor>
    <xdr:from>
      <xdr:col>11</xdr:col>
      <xdr:colOff>0</xdr:colOff>
      <xdr:row>202</xdr:row>
      <xdr:rowOff>0</xdr:rowOff>
    </xdr:from>
    <xdr:ext cx="299110" cy="1004825"/>
    <xdr:pic>
      <xdr:nvPicPr>
        <xdr:cNvPr id="701" name="Picture 700">
          <a:extLst>
            <a:ext uri="{FF2B5EF4-FFF2-40B4-BE49-F238E27FC236}">
              <a16:creationId xmlns:a16="http://schemas.microsoft.com/office/drawing/2014/main" id="{49BD3939-FCFC-4C42-A216-10885E0411C4}"/>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1140440" y="69677280"/>
          <a:ext cx="299110" cy="1004825"/>
        </a:xfrm>
        <a:prstGeom prst="rect">
          <a:avLst/>
        </a:prstGeom>
      </xdr:spPr>
    </xdr:pic>
    <xdr:clientData/>
  </xdr:oneCellAnchor>
  <xdr:oneCellAnchor>
    <xdr:from>
      <xdr:col>9</xdr:col>
      <xdr:colOff>0</xdr:colOff>
      <xdr:row>202</xdr:row>
      <xdr:rowOff>0</xdr:rowOff>
    </xdr:from>
    <xdr:ext cx="299110" cy="1004825"/>
    <xdr:pic>
      <xdr:nvPicPr>
        <xdr:cNvPr id="702" name="Picture 701">
          <a:extLst>
            <a:ext uri="{FF2B5EF4-FFF2-40B4-BE49-F238E27FC236}">
              <a16:creationId xmlns:a16="http://schemas.microsoft.com/office/drawing/2014/main" id="{1DCDE8C8-EAE6-46D6-915F-20285A72EA89}"/>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9570720" y="69677280"/>
          <a:ext cx="299110" cy="1004825"/>
        </a:xfrm>
        <a:prstGeom prst="rect">
          <a:avLst/>
        </a:prstGeom>
      </xdr:spPr>
    </xdr:pic>
    <xdr:clientData/>
  </xdr:oneCellAnchor>
  <xdr:twoCellAnchor>
    <xdr:from>
      <xdr:col>7</xdr:col>
      <xdr:colOff>864680</xdr:colOff>
      <xdr:row>207</xdr:row>
      <xdr:rowOff>139700</xdr:rowOff>
    </xdr:from>
    <xdr:to>
      <xdr:col>9</xdr:col>
      <xdr:colOff>12699</xdr:colOff>
      <xdr:row>211</xdr:row>
      <xdr:rowOff>40532</xdr:rowOff>
    </xdr:to>
    <xdr:sp macro="" textlink="">
      <xdr:nvSpPr>
        <xdr:cNvPr id="703" name="Isosceles Triangle 702">
          <a:extLst>
            <a:ext uri="{FF2B5EF4-FFF2-40B4-BE49-F238E27FC236}">
              <a16:creationId xmlns:a16="http://schemas.microsoft.com/office/drawing/2014/main" id="{C69A340F-0938-40E3-8BF5-08B0322C9ED8}"/>
            </a:ext>
          </a:extLst>
        </xdr:cNvPr>
        <xdr:cNvSpPr/>
      </xdr:nvSpPr>
      <xdr:spPr>
        <a:xfrm>
          <a:off x="8403616" y="60734913"/>
          <a:ext cx="1336743" cy="92764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0</xdr:col>
      <xdr:colOff>76200</xdr:colOff>
      <xdr:row>301</xdr:row>
      <xdr:rowOff>177800</xdr:rowOff>
    </xdr:from>
    <xdr:to>
      <xdr:col>1</xdr:col>
      <xdr:colOff>0</xdr:colOff>
      <xdr:row>304</xdr:row>
      <xdr:rowOff>177800</xdr:rowOff>
    </xdr:to>
    <xdr:sp macro="" textlink="">
      <xdr:nvSpPr>
        <xdr:cNvPr id="704" name="Isosceles Triangle 703">
          <a:extLst>
            <a:ext uri="{FF2B5EF4-FFF2-40B4-BE49-F238E27FC236}">
              <a16:creationId xmlns:a16="http://schemas.microsoft.com/office/drawing/2014/main" id="{3F31EA4D-51BB-4BC2-B04A-3AF828DD140F}"/>
            </a:ext>
          </a:extLst>
        </xdr:cNvPr>
        <xdr:cNvSpPr/>
      </xdr:nvSpPr>
      <xdr:spPr>
        <a:xfrm>
          <a:off x="76200" y="105067100"/>
          <a:ext cx="1188720" cy="1097280"/>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oneCellAnchor>
    <xdr:from>
      <xdr:col>7</xdr:col>
      <xdr:colOff>0</xdr:colOff>
      <xdr:row>281</xdr:row>
      <xdr:rowOff>0</xdr:rowOff>
    </xdr:from>
    <xdr:ext cx="908050" cy="374650"/>
    <xdr:pic>
      <xdr:nvPicPr>
        <xdr:cNvPr id="705" name="Picture 704">
          <a:extLst>
            <a:ext uri="{FF2B5EF4-FFF2-40B4-BE49-F238E27FC236}">
              <a16:creationId xmlns:a16="http://schemas.microsoft.com/office/drawing/2014/main" id="{A8C63A70-428C-480B-A52D-677AECB5EEEE}"/>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7421880" y="97619820"/>
          <a:ext cx="908050" cy="3746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13</xdr:col>
      <xdr:colOff>30480</xdr:colOff>
      <xdr:row>264</xdr:row>
      <xdr:rowOff>289560</xdr:rowOff>
    </xdr:from>
    <xdr:to>
      <xdr:col>13</xdr:col>
      <xdr:colOff>309880</xdr:colOff>
      <xdr:row>272</xdr:row>
      <xdr:rowOff>39862</xdr:rowOff>
    </xdr:to>
    <xdr:pic>
      <xdr:nvPicPr>
        <xdr:cNvPr id="706" name="Picture 705">
          <a:extLst>
            <a:ext uri="{FF2B5EF4-FFF2-40B4-BE49-F238E27FC236}">
              <a16:creationId xmlns:a16="http://schemas.microsoft.com/office/drawing/2014/main" id="{08C0FCC5-CD6D-4C7E-A273-56FC00027DB9}"/>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2809220" y="91630500"/>
          <a:ext cx="279400" cy="999982"/>
        </a:xfrm>
        <a:prstGeom prst="rect">
          <a:avLst/>
        </a:prstGeom>
      </xdr:spPr>
    </xdr:pic>
    <xdr:clientData/>
  </xdr:twoCellAnchor>
  <xdr:twoCellAnchor editAs="oneCell">
    <xdr:from>
      <xdr:col>19</xdr:col>
      <xdr:colOff>0</xdr:colOff>
      <xdr:row>264</xdr:row>
      <xdr:rowOff>0</xdr:rowOff>
    </xdr:from>
    <xdr:to>
      <xdr:col>19</xdr:col>
      <xdr:colOff>279400</xdr:colOff>
      <xdr:row>270</xdr:row>
      <xdr:rowOff>123682</xdr:rowOff>
    </xdr:to>
    <xdr:pic>
      <xdr:nvPicPr>
        <xdr:cNvPr id="707" name="Picture 706">
          <a:extLst>
            <a:ext uri="{FF2B5EF4-FFF2-40B4-BE49-F238E27FC236}">
              <a16:creationId xmlns:a16="http://schemas.microsoft.com/office/drawing/2014/main" id="{9B5F8DE7-4AFD-40C6-8B1C-EE5B3E420C56}"/>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8006060" y="91340940"/>
          <a:ext cx="279400" cy="1007602"/>
        </a:xfrm>
        <a:prstGeom prst="rect">
          <a:avLst/>
        </a:prstGeom>
      </xdr:spPr>
    </xdr:pic>
    <xdr:clientData/>
  </xdr:twoCellAnchor>
  <xdr:twoCellAnchor editAs="oneCell">
    <xdr:from>
      <xdr:col>9</xdr:col>
      <xdr:colOff>0</xdr:colOff>
      <xdr:row>272</xdr:row>
      <xdr:rowOff>0</xdr:rowOff>
    </xdr:from>
    <xdr:to>
      <xdr:col>9</xdr:col>
      <xdr:colOff>279400</xdr:colOff>
      <xdr:row>278</xdr:row>
      <xdr:rowOff>123682</xdr:rowOff>
    </xdr:to>
    <xdr:pic>
      <xdr:nvPicPr>
        <xdr:cNvPr id="708" name="Picture 707">
          <a:extLst>
            <a:ext uri="{FF2B5EF4-FFF2-40B4-BE49-F238E27FC236}">
              <a16:creationId xmlns:a16="http://schemas.microsoft.com/office/drawing/2014/main" id="{6D2F5AF5-3066-4AA9-B2AC-1BFCC35E21A5}"/>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9570720" y="94175580"/>
          <a:ext cx="279400" cy="1007602"/>
        </a:xfrm>
        <a:prstGeom prst="rect">
          <a:avLst/>
        </a:prstGeom>
      </xdr:spPr>
    </xdr:pic>
    <xdr:clientData/>
  </xdr:twoCellAnchor>
  <xdr:twoCellAnchor editAs="oneCell">
    <xdr:from>
      <xdr:col>11</xdr:col>
      <xdr:colOff>0</xdr:colOff>
      <xdr:row>272</xdr:row>
      <xdr:rowOff>0</xdr:rowOff>
    </xdr:from>
    <xdr:to>
      <xdr:col>11</xdr:col>
      <xdr:colOff>279400</xdr:colOff>
      <xdr:row>278</xdr:row>
      <xdr:rowOff>123682</xdr:rowOff>
    </xdr:to>
    <xdr:pic>
      <xdr:nvPicPr>
        <xdr:cNvPr id="709" name="Picture 708">
          <a:extLst>
            <a:ext uri="{FF2B5EF4-FFF2-40B4-BE49-F238E27FC236}">
              <a16:creationId xmlns:a16="http://schemas.microsoft.com/office/drawing/2014/main" id="{121CAB72-57FF-4BAD-AA61-95313AD82B83}"/>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1140440" y="94175580"/>
          <a:ext cx="279400" cy="1007602"/>
        </a:xfrm>
        <a:prstGeom prst="rect">
          <a:avLst/>
        </a:prstGeom>
      </xdr:spPr>
    </xdr:pic>
    <xdr:clientData/>
  </xdr:twoCellAnchor>
  <xdr:twoCellAnchor editAs="oneCell">
    <xdr:from>
      <xdr:col>13</xdr:col>
      <xdr:colOff>0</xdr:colOff>
      <xdr:row>272</xdr:row>
      <xdr:rowOff>0</xdr:rowOff>
    </xdr:from>
    <xdr:to>
      <xdr:col>13</xdr:col>
      <xdr:colOff>279400</xdr:colOff>
      <xdr:row>278</xdr:row>
      <xdr:rowOff>123682</xdr:rowOff>
    </xdr:to>
    <xdr:pic>
      <xdr:nvPicPr>
        <xdr:cNvPr id="710" name="Picture 709">
          <a:extLst>
            <a:ext uri="{FF2B5EF4-FFF2-40B4-BE49-F238E27FC236}">
              <a16:creationId xmlns:a16="http://schemas.microsoft.com/office/drawing/2014/main" id="{222BB2EF-9224-4600-872F-9E84832F7EFD}"/>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2778740" y="94175580"/>
          <a:ext cx="279400" cy="1007602"/>
        </a:xfrm>
        <a:prstGeom prst="rect">
          <a:avLst/>
        </a:prstGeom>
      </xdr:spPr>
    </xdr:pic>
    <xdr:clientData/>
  </xdr:twoCellAnchor>
  <xdr:twoCellAnchor editAs="oneCell">
    <xdr:from>
      <xdr:col>15</xdr:col>
      <xdr:colOff>0</xdr:colOff>
      <xdr:row>272</xdr:row>
      <xdr:rowOff>0</xdr:rowOff>
    </xdr:from>
    <xdr:to>
      <xdr:col>15</xdr:col>
      <xdr:colOff>279400</xdr:colOff>
      <xdr:row>278</xdr:row>
      <xdr:rowOff>123682</xdr:rowOff>
    </xdr:to>
    <xdr:pic>
      <xdr:nvPicPr>
        <xdr:cNvPr id="711" name="Picture 710">
          <a:extLst>
            <a:ext uri="{FF2B5EF4-FFF2-40B4-BE49-F238E27FC236}">
              <a16:creationId xmlns:a16="http://schemas.microsoft.com/office/drawing/2014/main" id="{D7234E7B-9B4D-4CE8-9F7F-469A92D41BBA}"/>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4599920" y="94175580"/>
          <a:ext cx="279400" cy="1007602"/>
        </a:xfrm>
        <a:prstGeom prst="rect">
          <a:avLst/>
        </a:prstGeom>
      </xdr:spPr>
    </xdr:pic>
    <xdr:clientData/>
  </xdr:twoCellAnchor>
  <xdr:twoCellAnchor editAs="oneCell">
    <xdr:from>
      <xdr:col>17</xdr:col>
      <xdr:colOff>0</xdr:colOff>
      <xdr:row>272</xdr:row>
      <xdr:rowOff>0</xdr:rowOff>
    </xdr:from>
    <xdr:to>
      <xdr:col>17</xdr:col>
      <xdr:colOff>279400</xdr:colOff>
      <xdr:row>278</xdr:row>
      <xdr:rowOff>123682</xdr:rowOff>
    </xdr:to>
    <xdr:pic>
      <xdr:nvPicPr>
        <xdr:cNvPr id="712" name="Picture 711">
          <a:extLst>
            <a:ext uri="{FF2B5EF4-FFF2-40B4-BE49-F238E27FC236}">
              <a16:creationId xmlns:a16="http://schemas.microsoft.com/office/drawing/2014/main" id="{2DFA883C-47AC-49B8-BC86-E71BDE4A78D2}"/>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6383000" y="94175580"/>
          <a:ext cx="279400" cy="1007602"/>
        </a:xfrm>
        <a:prstGeom prst="rect">
          <a:avLst/>
        </a:prstGeom>
      </xdr:spPr>
    </xdr:pic>
    <xdr:clientData/>
  </xdr:twoCellAnchor>
  <xdr:twoCellAnchor editAs="oneCell">
    <xdr:from>
      <xdr:col>3</xdr:col>
      <xdr:colOff>0</xdr:colOff>
      <xdr:row>280</xdr:row>
      <xdr:rowOff>0</xdr:rowOff>
    </xdr:from>
    <xdr:to>
      <xdr:col>3</xdr:col>
      <xdr:colOff>279400</xdr:colOff>
      <xdr:row>286</xdr:row>
      <xdr:rowOff>222742</xdr:rowOff>
    </xdr:to>
    <xdr:pic>
      <xdr:nvPicPr>
        <xdr:cNvPr id="713" name="Picture 712">
          <a:extLst>
            <a:ext uri="{FF2B5EF4-FFF2-40B4-BE49-F238E27FC236}">
              <a16:creationId xmlns:a16="http://schemas.microsoft.com/office/drawing/2014/main" id="{4B68820D-4806-4659-BA96-3ADE6812B908}"/>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3032760" y="97002600"/>
          <a:ext cx="279400" cy="1007602"/>
        </a:xfrm>
        <a:prstGeom prst="rect">
          <a:avLst/>
        </a:prstGeom>
      </xdr:spPr>
    </xdr:pic>
    <xdr:clientData/>
  </xdr:twoCellAnchor>
  <xdr:twoCellAnchor editAs="oneCell">
    <xdr:from>
      <xdr:col>5</xdr:col>
      <xdr:colOff>0</xdr:colOff>
      <xdr:row>280</xdr:row>
      <xdr:rowOff>0</xdr:rowOff>
    </xdr:from>
    <xdr:to>
      <xdr:col>5</xdr:col>
      <xdr:colOff>279400</xdr:colOff>
      <xdr:row>286</xdr:row>
      <xdr:rowOff>222742</xdr:rowOff>
    </xdr:to>
    <xdr:pic>
      <xdr:nvPicPr>
        <xdr:cNvPr id="714" name="Picture 713">
          <a:extLst>
            <a:ext uri="{FF2B5EF4-FFF2-40B4-BE49-F238E27FC236}">
              <a16:creationId xmlns:a16="http://schemas.microsoft.com/office/drawing/2014/main" id="{8A598758-AE05-45AA-ADCA-2B1A90188844}"/>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5273040" y="97002600"/>
          <a:ext cx="279400" cy="1007602"/>
        </a:xfrm>
        <a:prstGeom prst="rect">
          <a:avLst/>
        </a:prstGeom>
      </xdr:spPr>
    </xdr:pic>
    <xdr:clientData/>
  </xdr:twoCellAnchor>
  <xdr:twoCellAnchor editAs="oneCell">
    <xdr:from>
      <xdr:col>7</xdr:col>
      <xdr:colOff>30480</xdr:colOff>
      <xdr:row>280</xdr:row>
      <xdr:rowOff>0</xdr:rowOff>
    </xdr:from>
    <xdr:to>
      <xdr:col>7</xdr:col>
      <xdr:colOff>309880</xdr:colOff>
      <xdr:row>286</xdr:row>
      <xdr:rowOff>222742</xdr:rowOff>
    </xdr:to>
    <xdr:pic>
      <xdr:nvPicPr>
        <xdr:cNvPr id="715" name="Picture 714">
          <a:extLst>
            <a:ext uri="{FF2B5EF4-FFF2-40B4-BE49-F238E27FC236}">
              <a16:creationId xmlns:a16="http://schemas.microsoft.com/office/drawing/2014/main" id="{AA324D2D-B665-4B1F-AE60-680138E827C5}"/>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452360" y="97002600"/>
          <a:ext cx="279400" cy="1007602"/>
        </a:xfrm>
        <a:prstGeom prst="rect">
          <a:avLst/>
        </a:prstGeom>
      </xdr:spPr>
    </xdr:pic>
    <xdr:clientData/>
  </xdr:twoCellAnchor>
  <xdr:twoCellAnchor editAs="oneCell">
    <xdr:from>
      <xdr:col>13</xdr:col>
      <xdr:colOff>45720</xdr:colOff>
      <xdr:row>280</xdr:row>
      <xdr:rowOff>0</xdr:rowOff>
    </xdr:from>
    <xdr:to>
      <xdr:col>13</xdr:col>
      <xdr:colOff>325120</xdr:colOff>
      <xdr:row>286</xdr:row>
      <xdr:rowOff>222742</xdr:rowOff>
    </xdr:to>
    <xdr:pic>
      <xdr:nvPicPr>
        <xdr:cNvPr id="716" name="Picture 715">
          <a:extLst>
            <a:ext uri="{FF2B5EF4-FFF2-40B4-BE49-F238E27FC236}">
              <a16:creationId xmlns:a16="http://schemas.microsoft.com/office/drawing/2014/main" id="{14C134C1-AC8C-4B18-B837-C86D2051C50C}"/>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2824460" y="97002600"/>
          <a:ext cx="279400" cy="1007602"/>
        </a:xfrm>
        <a:prstGeom prst="rect">
          <a:avLst/>
        </a:prstGeom>
      </xdr:spPr>
    </xdr:pic>
    <xdr:clientData/>
  </xdr:twoCellAnchor>
  <xdr:twoCellAnchor editAs="oneCell">
    <xdr:from>
      <xdr:col>15</xdr:col>
      <xdr:colOff>0</xdr:colOff>
      <xdr:row>280</xdr:row>
      <xdr:rowOff>0</xdr:rowOff>
    </xdr:from>
    <xdr:to>
      <xdr:col>15</xdr:col>
      <xdr:colOff>279400</xdr:colOff>
      <xdr:row>286</xdr:row>
      <xdr:rowOff>222742</xdr:rowOff>
    </xdr:to>
    <xdr:pic>
      <xdr:nvPicPr>
        <xdr:cNvPr id="717" name="Picture 716">
          <a:extLst>
            <a:ext uri="{FF2B5EF4-FFF2-40B4-BE49-F238E27FC236}">
              <a16:creationId xmlns:a16="http://schemas.microsoft.com/office/drawing/2014/main" id="{8F68C4D4-73B7-4A7A-8390-CD81A52B2A4A}"/>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4599920" y="97002600"/>
          <a:ext cx="279400" cy="1007602"/>
        </a:xfrm>
        <a:prstGeom prst="rect">
          <a:avLst/>
        </a:prstGeom>
      </xdr:spPr>
    </xdr:pic>
    <xdr:clientData/>
  </xdr:twoCellAnchor>
  <xdr:twoCellAnchor editAs="oneCell">
    <xdr:from>
      <xdr:col>17</xdr:col>
      <xdr:colOff>0</xdr:colOff>
      <xdr:row>280</xdr:row>
      <xdr:rowOff>0</xdr:rowOff>
    </xdr:from>
    <xdr:to>
      <xdr:col>17</xdr:col>
      <xdr:colOff>279400</xdr:colOff>
      <xdr:row>286</xdr:row>
      <xdr:rowOff>222742</xdr:rowOff>
    </xdr:to>
    <xdr:pic>
      <xdr:nvPicPr>
        <xdr:cNvPr id="718" name="Picture 717">
          <a:extLst>
            <a:ext uri="{FF2B5EF4-FFF2-40B4-BE49-F238E27FC236}">
              <a16:creationId xmlns:a16="http://schemas.microsoft.com/office/drawing/2014/main" id="{E58DEECA-E1CB-4559-A414-6CB71E841AA2}"/>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6383000" y="97002600"/>
          <a:ext cx="279400" cy="1007602"/>
        </a:xfrm>
        <a:prstGeom prst="rect">
          <a:avLst/>
        </a:prstGeom>
      </xdr:spPr>
    </xdr:pic>
    <xdr:clientData/>
  </xdr:twoCellAnchor>
  <xdr:twoCellAnchor editAs="oneCell">
    <xdr:from>
      <xdr:col>21</xdr:col>
      <xdr:colOff>0</xdr:colOff>
      <xdr:row>280</xdr:row>
      <xdr:rowOff>0</xdr:rowOff>
    </xdr:from>
    <xdr:to>
      <xdr:col>21</xdr:col>
      <xdr:colOff>279400</xdr:colOff>
      <xdr:row>286</xdr:row>
      <xdr:rowOff>222742</xdr:rowOff>
    </xdr:to>
    <xdr:pic>
      <xdr:nvPicPr>
        <xdr:cNvPr id="719" name="Picture 718">
          <a:extLst>
            <a:ext uri="{FF2B5EF4-FFF2-40B4-BE49-F238E27FC236}">
              <a16:creationId xmlns:a16="http://schemas.microsoft.com/office/drawing/2014/main" id="{DFD5B228-397D-453D-AE52-EB6B726E070F}"/>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9682460" y="97002600"/>
          <a:ext cx="279400" cy="1007602"/>
        </a:xfrm>
        <a:prstGeom prst="rect">
          <a:avLst/>
        </a:prstGeom>
      </xdr:spPr>
    </xdr:pic>
    <xdr:clientData/>
  </xdr:twoCellAnchor>
  <xdr:twoCellAnchor editAs="oneCell">
    <xdr:from>
      <xdr:col>23</xdr:col>
      <xdr:colOff>0</xdr:colOff>
      <xdr:row>280</xdr:row>
      <xdr:rowOff>0</xdr:rowOff>
    </xdr:from>
    <xdr:to>
      <xdr:col>23</xdr:col>
      <xdr:colOff>279400</xdr:colOff>
      <xdr:row>286</xdr:row>
      <xdr:rowOff>222742</xdr:rowOff>
    </xdr:to>
    <xdr:pic>
      <xdr:nvPicPr>
        <xdr:cNvPr id="720" name="Picture 719">
          <a:extLst>
            <a:ext uri="{FF2B5EF4-FFF2-40B4-BE49-F238E27FC236}">
              <a16:creationId xmlns:a16="http://schemas.microsoft.com/office/drawing/2014/main" id="{5940FF76-13BD-472E-8427-44D4A3043B3D}"/>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21602700" y="97002600"/>
          <a:ext cx="279400" cy="1007602"/>
        </a:xfrm>
        <a:prstGeom prst="rect">
          <a:avLst/>
        </a:prstGeom>
      </xdr:spPr>
    </xdr:pic>
    <xdr:clientData/>
  </xdr:twoCellAnchor>
  <xdr:twoCellAnchor editAs="oneCell">
    <xdr:from>
      <xdr:col>1</xdr:col>
      <xdr:colOff>0</xdr:colOff>
      <xdr:row>288</xdr:row>
      <xdr:rowOff>0</xdr:rowOff>
    </xdr:from>
    <xdr:to>
      <xdr:col>1</xdr:col>
      <xdr:colOff>279400</xdr:colOff>
      <xdr:row>294</xdr:row>
      <xdr:rowOff>39862</xdr:rowOff>
    </xdr:to>
    <xdr:pic>
      <xdr:nvPicPr>
        <xdr:cNvPr id="721" name="Picture 720">
          <a:extLst>
            <a:ext uri="{FF2B5EF4-FFF2-40B4-BE49-F238E27FC236}">
              <a16:creationId xmlns:a16="http://schemas.microsoft.com/office/drawing/2014/main" id="{F9BCC893-389C-4B89-9DEF-5F30A33915F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264920" y="100020120"/>
          <a:ext cx="279400" cy="1022842"/>
        </a:xfrm>
        <a:prstGeom prst="rect">
          <a:avLst/>
        </a:prstGeom>
      </xdr:spPr>
    </xdr:pic>
    <xdr:clientData/>
  </xdr:twoCellAnchor>
  <xdr:twoCellAnchor editAs="oneCell">
    <xdr:from>
      <xdr:col>13</xdr:col>
      <xdr:colOff>0</xdr:colOff>
      <xdr:row>288</xdr:row>
      <xdr:rowOff>0</xdr:rowOff>
    </xdr:from>
    <xdr:to>
      <xdr:col>13</xdr:col>
      <xdr:colOff>279400</xdr:colOff>
      <xdr:row>294</xdr:row>
      <xdr:rowOff>39862</xdr:rowOff>
    </xdr:to>
    <xdr:pic>
      <xdr:nvPicPr>
        <xdr:cNvPr id="722" name="Picture 721">
          <a:extLst>
            <a:ext uri="{FF2B5EF4-FFF2-40B4-BE49-F238E27FC236}">
              <a16:creationId xmlns:a16="http://schemas.microsoft.com/office/drawing/2014/main" id="{C545D228-BF86-4D27-9508-18CEEC36F04B}"/>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2778740" y="100020120"/>
          <a:ext cx="279400" cy="1022842"/>
        </a:xfrm>
        <a:prstGeom prst="rect">
          <a:avLst/>
        </a:prstGeom>
      </xdr:spPr>
    </xdr:pic>
    <xdr:clientData/>
  </xdr:twoCellAnchor>
  <xdr:twoCellAnchor editAs="oneCell">
    <xdr:from>
      <xdr:col>15</xdr:col>
      <xdr:colOff>0</xdr:colOff>
      <xdr:row>288</xdr:row>
      <xdr:rowOff>0</xdr:rowOff>
    </xdr:from>
    <xdr:to>
      <xdr:col>15</xdr:col>
      <xdr:colOff>279400</xdr:colOff>
      <xdr:row>294</xdr:row>
      <xdr:rowOff>39862</xdr:rowOff>
    </xdr:to>
    <xdr:pic>
      <xdr:nvPicPr>
        <xdr:cNvPr id="723" name="Picture 722">
          <a:extLst>
            <a:ext uri="{FF2B5EF4-FFF2-40B4-BE49-F238E27FC236}">
              <a16:creationId xmlns:a16="http://schemas.microsoft.com/office/drawing/2014/main" id="{BCE450C2-F326-4AD3-8334-37BABF3C46FB}"/>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4599920" y="100020120"/>
          <a:ext cx="279400" cy="1022842"/>
        </a:xfrm>
        <a:prstGeom prst="rect">
          <a:avLst/>
        </a:prstGeom>
      </xdr:spPr>
    </xdr:pic>
    <xdr:clientData/>
  </xdr:twoCellAnchor>
  <xdr:twoCellAnchor editAs="oneCell">
    <xdr:from>
      <xdr:col>19</xdr:col>
      <xdr:colOff>0</xdr:colOff>
      <xdr:row>288</xdr:row>
      <xdr:rowOff>0</xdr:rowOff>
    </xdr:from>
    <xdr:to>
      <xdr:col>19</xdr:col>
      <xdr:colOff>279400</xdr:colOff>
      <xdr:row>294</xdr:row>
      <xdr:rowOff>39862</xdr:rowOff>
    </xdr:to>
    <xdr:pic>
      <xdr:nvPicPr>
        <xdr:cNvPr id="724" name="Picture 723">
          <a:extLst>
            <a:ext uri="{FF2B5EF4-FFF2-40B4-BE49-F238E27FC236}">
              <a16:creationId xmlns:a16="http://schemas.microsoft.com/office/drawing/2014/main" id="{070FE56B-9E54-4330-8A0E-EE6FDFCC50E6}"/>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8006060" y="100020120"/>
          <a:ext cx="279400" cy="1022842"/>
        </a:xfrm>
        <a:prstGeom prst="rect">
          <a:avLst/>
        </a:prstGeom>
      </xdr:spPr>
    </xdr:pic>
    <xdr:clientData/>
  </xdr:twoCellAnchor>
  <xdr:twoCellAnchor editAs="oneCell">
    <xdr:from>
      <xdr:col>9</xdr:col>
      <xdr:colOff>0</xdr:colOff>
      <xdr:row>297</xdr:row>
      <xdr:rowOff>0</xdr:rowOff>
    </xdr:from>
    <xdr:to>
      <xdr:col>9</xdr:col>
      <xdr:colOff>228600</xdr:colOff>
      <xdr:row>302</xdr:row>
      <xdr:rowOff>24763</xdr:rowOff>
    </xdr:to>
    <xdr:pic>
      <xdr:nvPicPr>
        <xdr:cNvPr id="725" name="Picture 724">
          <a:extLst>
            <a:ext uri="{FF2B5EF4-FFF2-40B4-BE49-F238E27FC236}">
              <a16:creationId xmlns:a16="http://schemas.microsoft.com/office/drawing/2014/main" id="{257881E2-71CE-470D-888D-B4206992737F}"/>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9575800" y="86106000"/>
          <a:ext cx="228600" cy="1713863"/>
        </a:xfrm>
        <a:prstGeom prst="rect">
          <a:avLst/>
        </a:prstGeom>
      </xdr:spPr>
    </xdr:pic>
    <xdr:clientData/>
  </xdr:twoCellAnchor>
  <xdr:twoCellAnchor editAs="oneCell">
    <xdr:from>
      <xdr:col>11</xdr:col>
      <xdr:colOff>0</xdr:colOff>
      <xdr:row>297</xdr:row>
      <xdr:rowOff>0</xdr:rowOff>
    </xdr:from>
    <xdr:to>
      <xdr:col>11</xdr:col>
      <xdr:colOff>228600</xdr:colOff>
      <xdr:row>302</xdr:row>
      <xdr:rowOff>24763</xdr:rowOff>
    </xdr:to>
    <xdr:pic>
      <xdr:nvPicPr>
        <xdr:cNvPr id="726" name="Picture 725">
          <a:extLst>
            <a:ext uri="{FF2B5EF4-FFF2-40B4-BE49-F238E27FC236}">
              <a16:creationId xmlns:a16="http://schemas.microsoft.com/office/drawing/2014/main" id="{49B7DFDF-D717-489B-BF06-CD6A5890281F}"/>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1137900" y="86106000"/>
          <a:ext cx="228600" cy="1713863"/>
        </a:xfrm>
        <a:prstGeom prst="rect">
          <a:avLst/>
        </a:prstGeom>
      </xdr:spPr>
    </xdr:pic>
    <xdr:clientData/>
  </xdr:twoCellAnchor>
  <xdr:twoCellAnchor editAs="oneCell">
    <xdr:from>
      <xdr:col>13</xdr:col>
      <xdr:colOff>0</xdr:colOff>
      <xdr:row>297</xdr:row>
      <xdr:rowOff>0</xdr:rowOff>
    </xdr:from>
    <xdr:to>
      <xdr:col>13</xdr:col>
      <xdr:colOff>247318</xdr:colOff>
      <xdr:row>302</xdr:row>
      <xdr:rowOff>165100</xdr:rowOff>
    </xdr:to>
    <xdr:pic>
      <xdr:nvPicPr>
        <xdr:cNvPr id="727" name="Picture 726">
          <a:extLst>
            <a:ext uri="{FF2B5EF4-FFF2-40B4-BE49-F238E27FC236}">
              <a16:creationId xmlns:a16="http://schemas.microsoft.com/office/drawing/2014/main" id="{AFC84EAB-E1A9-473A-AAE8-D77376C1B285}"/>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2776200" y="86106000"/>
          <a:ext cx="247318" cy="1854200"/>
        </a:xfrm>
        <a:prstGeom prst="rect">
          <a:avLst/>
        </a:prstGeom>
      </xdr:spPr>
    </xdr:pic>
    <xdr:clientData/>
  </xdr:twoCellAnchor>
  <xdr:twoCellAnchor editAs="oneCell">
    <xdr:from>
      <xdr:col>15</xdr:col>
      <xdr:colOff>60960</xdr:colOff>
      <xdr:row>297</xdr:row>
      <xdr:rowOff>289560</xdr:rowOff>
    </xdr:from>
    <xdr:to>
      <xdr:col>15</xdr:col>
      <xdr:colOff>265160</xdr:colOff>
      <xdr:row>302</xdr:row>
      <xdr:rowOff>177800</xdr:rowOff>
    </xdr:to>
    <xdr:pic>
      <xdr:nvPicPr>
        <xdr:cNvPr id="728" name="Picture 727">
          <a:extLst>
            <a:ext uri="{FF2B5EF4-FFF2-40B4-BE49-F238E27FC236}">
              <a16:creationId xmlns:a16="http://schemas.microsoft.com/office/drawing/2014/main" id="{43F13ACA-4BAD-4AFD-97D1-0604BF7AC426}"/>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4653260" y="86395560"/>
          <a:ext cx="204200" cy="1577340"/>
        </a:xfrm>
        <a:prstGeom prst="rect">
          <a:avLst/>
        </a:prstGeom>
      </xdr:spPr>
    </xdr:pic>
    <xdr:clientData/>
  </xdr:twoCellAnchor>
  <xdr:twoCellAnchor editAs="oneCell">
    <xdr:from>
      <xdr:col>17</xdr:col>
      <xdr:colOff>0</xdr:colOff>
      <xdr:row>297</xdr:row>
      <xdr:rowOff>0</xdr:rowOff>
    </xdr:from>
    <xdr:to>
      <xdr:col>17</xdr:col>
      <xdr:colOff>218521</xdr:colOff>
      <xdr:row>301</xdr:row>
      <xdr:rowOff>215900</xdr:rowOff>
    </xdr:to>
    <xdr:pic>
      <xdr:nvPicPr>
        <xdr:cNvPr id="729" name="Picture 728">
          <a:extLst>
            <a:ext uri="{FF2B5EF4-FFF2-40B4-BE49-F238E27FC236}">
              <a16:creationId xmlns:a16="http://schemas.microsoft.com/office/drawing/2014/main" id="{D8A863EA-C61D-4A9A-A9B8-7392FB4CB2C7}"/>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6370300" y="86106000"/>
          <a:ext cx="218521" cy="1638300"/>
        </a:xfrm>
        <a:prstGeom prst="rect">
          <a:avLst/>
        </a:prstGeom>
      </xdr:spPr>
    </xdr:pic>
    <xdr:clientData/>
  </xdr:twoCellAnchor>
  <xdr:twoCellAnchor editAs="oneCell">
    <xdr:from>
      <xdr:col>19</xdr:col>
      <xdr:colOff>0</xdr:colOff>
      <xdr:row>297</xdr:row>
      <xdr:rowOff>0</xdr:rowOff>
    </xdr:from>
    <xdr:to>
      <xdr:col>19</xdr:col>
      <xdr:colOff>220215</xdr:colOff>
      <xdr:row>301</xdr:row>
      <xdr:rowOff>228600</xdr:rowOff>
    </xdr:to>
    <xdr:pic>
      <xdr:nvPicPr>
        <xdr:cNvPr id="730" name="Picture 729">
          <a:extLst>
            <a:ext uri="{FF2B5EF4-FFF2-40B4-BE49-F238E27FC236}">
              <a16:creationId xmlns:a16="http://schemas.microsoft.com/office/drawing/2014/main" id="{096AB6F8-C001-4F3D-8B94-B464BFC7681F}"/>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7995900" y="86106000"/>
          <a:ext cx="220215" cy="1651000"/>
        </a:xfrm>
        <a:prstGeom prst="rect">
          <a:avLst/>
        </a:prstGeom>
      </xdr:spPr>
    </xdr:pic>
    <xdr:clientData/>
  </xdr:twoCellAnchor>
  <xdr:twoCellAnchor editAs="oneCell">
    <xdr:from>
      <xdr:col>21</xdr:col>
      <xdr:colOff>0</xdr:colOff>
      <xdr:row>297</xdr:row>
      <xdr:rowOff>0</xdr:rowOff>
    </xdr:from>
    <xdr:to>
      <xdr:col>21</xdr:col>
      <xdr:colOff>243931</xdr:colOff>
      <xdr:row>302</xdr:row>
      <xdr:rowOff>139700</xdr:rowOff>
    </xdr:to>
    <xdr:pic>
      <xdr:nvPicPr>
        <xdr:cNvPr id="731" name="Picture 730">
          <a:extLst>
            <a:ext uri="{FF2B5EF4-FFF2-40B4-BE49-F238E27FC236}">
              <a16:creationId xmlns:a16="http://schemas.microsoft.com/office/drawing/2014/main" id="{FFCF9A4B-5A94-4860-B57F-C68636FC26B4}"/>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9672300" y="86106000"/>
          <a:ext cx="243931" cy="1828800"/>
        </a:xfrm>
        <a:prstGeom prst="rect">
          <a:avLst/>
        </a:prstGeom>
      </xdr:spPr>
    </xdr:pic>
    <xdr:clientData/>
  </xdr:twoCellAnchor>
  <xdr:twoCellAnchor editAs="oneCell">
    <xdr:from>
      <xdr:col>5</xdr:col>
      <xdr:colOff>0</xdr:colOff>
      <xdr:row>305</xdr:row>
      <xdr:rowOff>0</xdr:rowOff>
    </xdr:from>
    <xdr:to>
      <xdr:col>5</xdr:col>
      <xdr:colOff>279400</xdr:colOff>
      <xdr:row>311</xdr:row>
      <xdr:rowOff>131302</xdr:rowOff>
    </xdr:to>
    <xdr:pic>
      <xdr:nvPicPr>
        <xdr:cNvPr id="732" name="Picture 731">
          <a:extLst>
            <a:ext uri="{FF2B5EF4-FFF2-40B4-BE49-F238E27FC236}">
              <a16:creationId xmlns:a16="http://schemas.microsoft.com/office/drawing/2014/main" id="{49A5544B-AFEE-4917-BA74-A04CC2425226}"/>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5273040" y="106169460"/>
          <a:ext cx="279400" cy="1015222"/>
        </a:xfrm>
        <a:prstGeom prst="rect">
          <a:avLst/>
        </a:prstGeom>
      </xdr:spPr>
    </xdr:pic>
    <xdr:clientData/>
  </xdr:twoCellAnchor>
  <xdr:twoCellAnchor editAs="oneCell">
    <xdr:from>
      <xdr:col>11</xdr:col>
      <xdr:colOff>45720</xdr:colOff>
      <xdr:row>305</xdr:row>
      <xdr:rowOff>76200</xdr:rowOff>
    </xdr:from>
    <xdr:to>
      <xdr:col>11</xdr:col>
      <xdr:colOff>325120</xdr:colOff>
      <xdr:row>311</xdr:row>
      <xdr:rowOff>207502</xdr:rowOff>
    </xdr:to>
    <xdr:pic>
      <xdr:nvPicPr>
        <xdr:cNvPr id="733" name="Picture 732">
          <a:extLst>
            <a:ext uri="{FF2B5EF4-FFF2-40B4-BE49-F238E27FC236}">
              <a16:creationId xmlns:a16="http://schemas.microsoft.com/office/drawing/2014/main" id="{041171CC-5A61-40CB-9E24-18F499F9FB92}"/>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1186160" y="106245660"/>
          <a:ext cx="279400" cy="1015222"/>
        </a:xfrm>
        <a:prstGeom prst="rect">
          <a:avLst/>
        </a:prstGeom>
      </xdr:spPr>
    </xdr:pic>
    <xdr:clientData/>
  </xdr:twoCellAnchor>
  <xdr:twoCellAnchor editAs="oneCell">
    <xdr:from>
      <xdr:col>13</xdr:col>
      <xdr:colOff>0</xdr:colOff>
      <xdr:row>305</xdr:row>
      <xdr:rowOff>0</xdr:rowOff>
    </xdr:from>
    <xdr:to>
      <xdr:col>13</xdr:col>
      <xdr:colOff>279400</xdr:colOff>
      <xdr:row>311</xdr:row>
      <xdr:rowOff>131302</xdr:rowOff>
    </xdr:to>
    <xdr:pic>
      <xdr:nvPicPr>
        <xdr:cNvPr id="734" name="Picture 733">
          <a:extLst>
            <a:ext uri="{FF2B5EF4-FFF2-40B4-BE49-F238E27FC236}">
              <a16:creationId xmlns:a16="http://schemas.microsoft.com/office/drawing/2014/main" id="{05D3EBA4-E0A3-421A-B473-645714B9E464}"/>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2778740" y="106169460"/>
          <a:ext cx="279400" cy="1015222"/>
        </a:xfrm>
        <a:prstGeom prst="rect">
          <a:avLst/>
        </a:prstGeom>
      </xdr:spPr>
    </xdr:pic>
    <xdr:clientData/>
  </xdr:twoCellAnchor>
  <xdr:twoCellAnchor editAs="oneCell">
    <xdr:from>
      <xdr:col>15</xdr:col>
      <xdr:colOff>0</xdr:colOff>
      <xdr:row>305</xdr:row>
      <xdr:rowOff>0</xdr:rowOff>
    </xdr:from>
    <xdr:to>
      <xdr:col>15</xdr:col>
      <xdr:colOff>279400</xdr:colOff>
      <xdr:row>311</xdr:row>
      <xdr:rowOff>131302</xdr:rowOff>
    </xdr:to>
    <xdr:pic>
      <xdr:nvPicPr>
        <xdr:cNvPr id="735" name="Picture 734">
          <a:extLst>
            <a:ext uri="{FF2B5EF4-FFF2-40B4-BE49-F238E27FC236}">
              <a16:creationId xmlns:a16="http://schemas.microsoft.com/office/drawing/2014/main" id="{C3E9C34B-7358-4D7D-A483-6FB5FDA4A04F}"/>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4599920" y="106169460"/>
          <a:ext cx="279400" cy="1015222"/>
        </a:xfrm>
        <a:prstGeom prst="rect">
          <a:avLst/>
        </a:prstGeom>
      </xdr:spPr>
    </xdr:pic>
    <xdr:clientData/>
  </xdr:twoCellAnchor>
  <xdr:twoCellAnchor editAs="oneCell">
    <xdr:from>
      <xdr:col>17</xdr:col>
      <xdr:colOff>0</xdr:colOff>
      <xdr:row>305</xdr:row>
      <xdr:rowOff>0</xdr:rowOff>
    </xdr:from>
    <xdr:to>
      <xdr:col>17</xdr:col>
      <xdr:colOff>114300</xdr:colOff>
      <xdr:row>306</xdr:row>
      <xdr:rowOff>215925</xdr:rowOff>
    </xdr:to>
    <xdr:pic>
      <xdr:nvPicPr>
        <xdr:cNvPr id="736" name="Picture 735">
          <a:extLst>
            <a:ext uri="{FF2B5EF4-FFF2-40B4-BE49-F238E27FC236}">
              <a16:creationId xmlns:a16="http://schemas.microsoft.com/office/drawing/2014/main" id="{C700D6CB-DE70-4B88-9A14-BF9C322557AA}"/>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6370300" y="88506300"/>
          <a:ext cx="114300" cy="838225"/>
        </a:xfrm>
        <a:prstGeom prst="rect">
          <a:avLst/>
        </a:prstGeom>
      </xdr:spPr>
    </xdr:pic>
    <xdr:clientData/>
  </xdr:twoCellAnchor>
  <xdr:twoCellAnchor editAs="oneCell">
    <xdr:from>
      <xdr:col>19</xdr:col>
      <xdr:colOff>0</xdr:colOff>
      <xdr:row>305</xdr:row>
      <xdr:rowOff>0</xdr:rowOff>
    </xdr:from>
    <xdr:to>
      <xdr:col>19</xdr:col>
      <xdr:colOff>279400</xdr:colOff>
      <xdr:row>311</xdr:row>
      <xdr:rowOff>131302</xdr:rowOff>
    </xdr:to>
    <xdr:pic>
      <xdr:nvPicPr>
        <xdr:cNvPr id="737" name="Picture 736">
          <a:extLst>
            <a:ext uri="{FF2B5EF4-FFF2-40B4-BE49-F238E27FC236}">
              <a16:creationId xmlns:a16="http://schemas.microsoft.com/office/drawing/2014/main" id="{070CAFB0-6F2D-4F76-A87A-8746BB3EF8DF}"/>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8006060" y="106169460"/>
          <a:ext cx="279400" cy="1015222"/>
        </a:xfrm>
        <a:prstGeom prst="rect">
          <a:avLst/>
        </a:prstGeom>
      </xdr:spPr>
    </xdr:pic>
    <xdr:clientData/>
  </xdr:twoCellAnchor>
  <xdr:twoCellAnchor editAs="oneCell">
    <xdr:from>
      <xdr:col>21</xdr:col>
      <xdr:colOff>0</xdr:colOff>
      <xdr:row>305</xdr:row>
      <xdr:rowOff>0</xdr:rowOff>
    </xdr:from>
    <xdr:to>
      <xdr:col>21</xdr:col>
      <xdr:colOff>279400</xdr:colOff>
      <xdr:row>311</xdr:row>
      <xdr:rowOff>131302</xdr:rowOff>
    </xdr:to>
    <xdr:pic>
      <xdr:nvPicPr>
        <xdr:cNvPr id="738" name="Picture 737">
          <a:extLst>
            <a:ext uri="{FF2B5EF4-FFF2-40B4-BE49-F238E27FC236}">
              <a16:creationId xmlns:a16="http://schemas.microsoft.com/office/drawing/2014/main" id="{2B7F3678-6DFC-4049-835A-EF0CA27C95C9}"/>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9682460" y="106169460"/>
          <a:ext cx="279400" cy="1015222"/>
        </a:xfrm>
        <a:prstGeom prst="rect">
          <a:avLst/>
        </a:prstGeom>
      </xdr:spPr>
    </xdr:pic>
    <xdr:clientData/>
  </xdr:twoCellAnchor>
  <xdr:twoCellAnchor editAs="oneCell">
    <xdr:from>
      <xdr:col>23</xdr:col>
      <xdr:colOff>0</xdr:colOff>
      <xdr:row>305</xdr:row>
      <xdr:rowOff>0</xdr:rowOff>
    </xdr:from>
    <xdr:to>
      <xdr:col>23</xdr:col>
      <xdr:colOff>279400</xdr:colOff>
      <xdr:row>311</xdr:row>
      <xdr:rowOff>131302</xdr:rowOff>
    </xdr:to>
    <xdr:pic>
      <xdr:nvPicPr>
        <xdr:cNvPr id="739" name="Picture 738">
          <a:extLst>
            <a:ext uri="{FF2B5EF4-FFF2-40B4-BE49-F238E27FC236}">
              <a16:creationId xmlns:a16="http://schemas.microsoft.com/office/drawing/2014/main" id="{9C7E65B6-9FE8-4221-BE09-6168ADCD5CF5}"/>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21602700" y="106169460"/>
          <a:ext cx="279400" cy="1015222"/>
        </a:xfrm>
        <a:prstGeom prst="rect">
          <a:avLst/>
        </a:prstGeom>
      </xdr:spPr>
    </xdr:pic>
    <xdr:clientData/>
  </xdr:twoCellAnchor>
  <xdr:twoCellAnchor editAs="oneCell">
    <xdr:from>
      <xdr:col>3</xdr:col>
      <xdr:colOff>0</xdr:colOff>
      <xdr:row>314</xdr:row>
      <xdr:rowOff>0</xdr:rowOff>
    </xdr:from>
    <xdr:to>
      <xdr:col>3</xdr:col>
      <xdr:colOff>279400</xdr:colOff>
      <xdr:row>320</xdr:row>
      <xdr:rowOff>237982</xdr:rowOff>
    </xdr:to>
    <xdr:pic>
      <xdr:nvPicPr>
        <xdr:cNvPr id="740" name="Picture 739">
          <a:extLst>
            <a:ext uri="{FF2B5EF4-FFF2-40B4-BE49-F238E27FC236}">
              <a16:creationId xmlns:a16="http://schemas.microsoft.com/office/drawing/2014/main" id="{2E558F64-A023-48E9-A41E-BABD7AA7FC8A}"/>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3032760" y="109377480"/>
          <a:ext cx="279400" cy="1022842"/>
        </a:xfrm>
        <a:prstGeom prst="rect">
          <a:avLst/>
        </a:prstGeom>
      </xdr:spPr>
    </xdr:pic>
    <xdr:clientData/>
  </xdr:twoCellAnchor>
  <xdr:twoCellAnchor editAs="oneCell">
    <xdr:from>
      <xdr:col>7</xdr:col>
      <xdr:colOff>0</xdr:colOff>
      <xdr:row>314</xdr:row>
      <xdr:rowOff>0</xdr:rowOff>
    </xdr:from>
    <xdr:to>
      <xdr:col>7</xdr:col>
      <xdr:colOff>279400</xdr:colOff>
      <xdr:row>320</xdr:row>
      <xdr:rowOff>237982</xdr:rowOff>
    </xdr:to>
    <xdr:pic>
      <xdr:nvPicPr>
        <xdr:cNvPr id="741" name="Picture 740">
          <a:extLst>
            <a:ext uri="{FF2B5EF4-FFF2-40B4-BE49-F238E27FC236}">
              <a16:creationId xmlns:a16="http://schemas.microsoft.com/office/drawing/2014/main" id="{5A9F84E8-0947-476E-B07D-864459BDF9C1}"/>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421880" y="109377480"/>
          <a:ext cx="279400" cy="1022842"/>
        </a:xfrm>
        <a:prstGeom prst="rect">
          <a:avLst/>
        </a:prstGeom>
      </xdr:spPr>
    </xdr:pic>
    <xdr:clientData/>
  </xdr:twoCellAnchor>
  <xdr:twoCellAnchor editAs="oneCell">
    <xdr:from>
      <xdr:col>17</xdr:col>
      <xdr:colOff>0</xdr:colOff>
      <xdr:row>314</xdr:row>
      <xdr:rowOff>0</xdr:rowOff>
    </xdr:from>
    <xdr:to>
      <xdr:col>17</xdr:col>
      <xdr:colOff>279400</xdr:colOff>
      <xdr:row>320</xdr:row>
      <xdr:rowOff>237982</xdr:rowOff>
    </xdr:to>
    <xdr:pic>
      <xdr:nvPicPr>
        <xdr:cNvPr id="742" name="Picture 741">
          <a:extLst>
            <a:ext uri="{FF2B5EF4-FFF2-40B4-BE49-F238E27FC236}">
              <a16:creationId xmlns:a16="http://schemas.microsoft.com/office/drawing/2014/main" id="{540517BB-5AB8-4B29-B02F-C8136B336CA8}"/>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6383000" y="109377480"/>
          <a:ext cx="279400" cy="1022842"/>
        </a:xfrm>
        <a:prstGeom prst="rect">
          <a:avLst/>
        </a:prstGeom>
      </xdr:spPr>
    </xdr:pic>
    <xdr:clientData/>
  </xdr:twoCellAnchor>
  <xdr:twoCellAnchor editAs="oneCell">
    <xdr:from>
      <xdr:col>21</xdr:col>
      <xdr:colOff>0</xdr:colOff>
      <xdr:row>314</xdr:row>
      <xdr:rowOff>0</xdr:rowOff>
    </xdr:from>
    <xdr:to>
      <xdr:col>21</xdr:col>
      <xdr:colOff>279400</xdr:colOff>
      <xdr:row>320</xdr:row>
      <xdr:rowOff>237982</xdr:rowOff>
    </xdr:to>
    <xdr:pic>
      <xdr:nvPicPr>
        <xdr:cNvPr id="743" name="Picture 742">
          <a:extLst>
            <a:ext uri="{FF2B5EF4-FFF2-40B4-BE49-F238E27FC236}">
              <a16:creationId xmlns:a16="http://schemas.microsoft.com/office/drawing/2014/main" id="{39418ABD-99B2-4BD1-AFDC-031166712401}"/>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9682460" y="109377480"/>
          <a:ext cx="279400" cy="1022842"/>
        </a:xfrm>
        <a:prstGeom prst="rect">
          <a:avLst/>
        </a:prstGeom>
      </xdr:spPr>
    </xdr:pic>
    <xdr:clientData/>
  </xdr:twoCellAnchor>
  <xdr:twoCellAnchor editAs="oneCell">
    <xdr:from>
      <xdr:col>1</xdr:col>
      <xdr:colOff>0</xdr:colOff>
      <xdr:row>324</xdr:row>
      <xdr:rowOff>0</xdr:rowOff>
    </xdr:from>
    <xdr:to>
      <xdr:col>1</xdr:col>
      <xdr:colOff>279400</xdr:colOff>
      <xdr:row>330</xdr:row>
      <xdr:rowOff>131302</xdr:rowOff>
    </xdr:to>
    <xdr:pic>
      <xdr:nvPicPr>
        <xdr:cNvPr id="744" name="Picture 743">
          <a:extLst>
            <a:ext uri="{FF2B5EF4-FFF2-40B4-BE49-F238E27FC236}">
              <a16:creationId xmlns:a16="http://schemas.microsoft.com/office/drawing/2014/main" id="{C784C619-F9B7-401E-B7A5-F111F930435F}"/>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264920" y="113248440"/>
          <a:ext cx="279400" cy="1015222"/>
        </a:xfrm>
        <a:prstGeom prst="rect">
          <a:avLst/>
        </a:prstGeom>
      </xdr:spPr>
    </xdr:pic>
    <xdr:clientData/>
  </xdr:twoCellAnchor>
  <xdr:twoCellAnchor editAs="oneCell">
    <xdr:from>
      <xdr:col>3</xdr:col>
      <xdr:colOff>0</xdr:colOff>
      <xdr:row>324</xdr:row>
      <xdr:rowOff>0</xdr:rowOff>
    </xdr:from>
    <xdr:to>
      <xdr:col>3</xdr:col>
      <xdr:colOff>279400</xdr:colOff>
      <xdr:row>330</xdr:row>
      <xdr:rowOff>131302</xdr:rowOff>
    </xdr:to>
    <xdr:pic>
      <xdr:nvPicPr>
        <xdr:cNvPr id="745" name="Picture 744">
          <a:extLst>
            <a:ext uri="{FF2B5EF4-FFF2-40B4-BE49-F238E27FC236}">
              <a16:creationId xmlns:a16="http://schemas.microsoft.com/office/drawing/2014/main" id="{30A777FA-A9AA-436B-AABE-356F72CCA47B}"/>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3032760" y="113248440"/>
          <a:ext cx="279400" cy="1015222"/>
        </a:xfrm>
        <a:prstGeom prst="rect">
          <a:avLst/>
        </a:prstGeom>
      </xdr:spPr>
    </xdr:pic>
    <xdr:clientData/>
  </xdr:twoCellAnchor>
  <xdr:twoCellAnchor editAs="oneCell">
    <xdr:from>
      <xdr:col>23</xdr:col>
      <xdr:colOff>0</xdr:colOff>
      <xdr:row>314</xdr:row>
      <xdr:rowOff>0</xdr:rowOff>
    </xdr:from>
    <xdr:to>
      <xdr:col>23</xdr:col>
      <xdr:colOff>279400</xdr:colOff>
      <xdr:row>320</xdr:row>
      <xdr:rowOff>237982</xdr:rowOff>
    </xdr:to>
    <xdr:pic>
      <xdr:nvPicPr>
        <xdr:cNvPr id="746" name="Picture 745">
          <a:extLst>
            <a:ext uri="{FF2B5EF4-FFF2-40B4-BE49-F238E27FC236}">
              <a16:creationId xmlns:a16="http://schemas.microsoft.com/office/drawing/2014/main" id="{66974335-4694-4904-AAC8-99A58BCAC18B}"/>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21602700" y="109377480"/>
          <a:ext cx="279400" cy="1022842"/>
        </a:xfrm>
        <a:prstGeom prst="rect">
          <a:avLst/>
        </a:prstGeom>
      </xdr:spPr>
    </xdr:pic>
    <xdr:clientData/>
  </xdr:twoCellAnchor>
  <xdr:twoCellAnchor editAs="oneCell">
    <xdr:from>
      <xdr:col>5</xdr:col>
      <xdr:colOff>0</xdr:colOff>
      <xdr:row>324</xdr:row>
      <xdr:rowOff>0</xdr:rowOff>
    </xdr:from>
    <xdr:to>
      <xdr:col>5</xdr:col>
      <xdr:colOff>279400</xdr:colOff>
      <xdr:row>330</xdr:row>
      <xdr:rowOff>131302</xdr:rowOff>
    </xdr:to>
    <xdr:pic>
      <xdr:nvPicPr>
        <xdr:cNvPr id="747" name="Picture 746">
          <a:extLst>
            <a:ext uri="{FF2B5EF4-FFF2-40B4-BE49-F238E27FC236}">
              <a16:creationId xmlns:a16="http://schemas.microsoft.com/office/drawing/2014/main" id="{BAF16579-7714-48F0-B69E-2230005D4C66}"/>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5273040" y="113248440"/>
          <a:ext cx="279400" cy="1015222"/>
        </a:xfrm>
        <a:prstGeom prst="rect">
          <a:avLst/>
        </a:prstGeom>
      </xdr:spPr>
    </xdr:pic>
    <xdr:clientData/>
  </xdr:twoCellAnchor>
  <xdr:twoCellAnchor editAs="oneCell">
    <xdr:from>
      <xdr:col>7</xdr:col>
      <xdr:colOff>0</xdr:colOff>
      <xdr:row>324</xdr:row>
      <xdr:rowOff>0</xdr:rowOff>
    </xdr:from>
    <xdr:to>
      <xdr:col>7</xdr:col>
      <xdr:colOff>279400</xdr:colOff>
      <xdr:row>330</xdr:row>
      <xdr:rowOff>131302</xdr:rowOff>
    </xdr:to>
    <xdr:pic>
      <xdr:nvPicPr>
        <xdr:cNvPr id="748" name="Picture 747">
          <a:extLst>
            <a:ext uri="{FF2B5EF4-FFF2-40B4-BE49-F238E27FC236}">
              <a16:creationId xmlns:a16="http://schemas.microsoft.com/office/drawing/2014/main" id="{FB7417B8-8DF1-4A42-9078-402BA51C648E}"/>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421880" y="113248440"/>
          <a:ext cx="279400" cy="1015222"/>
        </a:xfrm>
        <a:prstGeom prst="rect">
          <a:avLst/>
        </a:prstGeom>
      </xdr:spPr>
    </xdr:pic>
    <xdr:clientData/>
  </xdr:twoCellAnchor>
  <xdr:twoCellAnchor editAs="oneCell">
    <xdr:from>
      <xdr:col>9</xdr:col>
      <xdr:colOff>0</xdr:colOff>
      <xdr:row>324</xdr:row>
      <xdr:rowOff>0</xdr:rowOff>
    </xdr:from>
    <xdr:to>
      <xdr:col>9</xdr:col>
      <xdr:colOff>279400</xdr:colOff>
      <xdr:row>330</xdr:row>
      <xdr:rowOff>131302</xdr:rowOff>
    </xdr:to>
    <xdr:pic>
      <xdr:nvPicPr>
        <xdr:cNvPr id="749" name="Picture 748">
          <a:extLst>
            <a:ext uri="{FF2B5EF4-FFF2-40B4-BE49-F238E27FC236}">
              <a16:creationId xmlns:a16="http://schemas.microsoft.com/office/drawing/2014/main" id="{5998B5F9-E902-40DC-B8D7-E84A79F3DB7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9570720" y="113248440"/>
          <a:ext cx="279400" cy="1015222"/>
        </a:xfrm>
        <a:prstGeom prst="rect">
          <a:avLst/>
        </a:prstGeom>
      </xdr:spPr>
    </xdr:pic>
    <xdr:clientData/>
  </xdr:twoCellAnchor>
  <xdr:twoCellAnchor editAs="oneCell">
    <xdr:from>
      <xdr:col>11</xdr:col>
      <xdr:colOff>0</xdr:colOff>
      <xdr:row>324</xdr:row>
      <xdr:rowOff>0</xdr:rowOff>
    </xdr:from>
    <xdr:to>
      <xdr:col>11</xdr:col>
      <xdr:colOff>279400</xdr:colOff>
      <xdr:row>330</xdr:row>
      <xdr:rowOff>131302</xdr:rowOff>
    </xdr:to>
    <xdr:pic>
      <xdr:nvPicPr>
        <xdr:cNvPr id="750" name="Picture 749">
          <a:extLst>
            <a:ext uri="{FF2B5EF4-FFF2-40B4-BE49-F238E27FC236}">
              <a16:creationId xmlns:a16="http://schemas.microsoft.com/office/drawing/2014/main" id="{547CDC20-9691-4AD4-9532-4A3FDDFDEF69}"/>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1140440" y="113248440"/>
          <a:ext cx="279400" cy="1015222"/>
        </a:xfrm>
        <a:prstGeom prst="rect">
          <a:avLst/>
        </a:prstGeom>
      </xdr:spPr>
    </xdr:pic>
    <xdr:clientData/>
  </xdr:twoCellAnchor>
  <xdr:twoCellAnchor editAs="oneCell">
    <xdr:from>
      <xdr:col>15</xdr:col>
      <xdr:colOff>68248</xdr:colOff>
      <xdr:row>324</xdr:row>
      <xdr:rowOff>2</xdr:rowOff>
    </xdr:from>
    <xdr:to>
      <xdr:col>15</xdr:col>
      <xdr:colOff>221289</xdr:colOff>
      <xdr:row>326</xdr:row>
      <xdr:rowOff>162129</xdr:rowOff>
    </xdr:to>
    <xdr:pic>
      <xdr:nvPicPr>
        <xdr:cNvPr id="751" name="Picture 750">
          <a:extLst>
            <a:ext uri="{FF2B5EF4-FFF2-40B4-BE49-F238E27FC236}">
              <a16:creationId xmlns:a16="http://schemas.microsoft.com/office/drawing/2014/main" id="{0893E86A-6466-43E7-8114-F2A0C3B878A3}"/>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4675950" y="92818087"/>
          <a:ext cx="153041" cy="1199744"/>
        </a:xfrm>
        <a:prstGeom prst="rect">
          <a:avLst/>
        </a:prstGeom>
      </xdr:spPr>
    </xdr:pic>
    <xdr:clientData/>
  </xdr:twoCellAnchor>
  <xdr:twoCellAnchor editAs="oneCell">
    <xdr:from>
      <xdr:col>17</xdr:col>
      <xdr:colOff>0</xdr:colOff>
      <xdr:row>324</xdr:row>
      <xdr:rowOff>0</xdr:rowOff>
    </xdr:from>
    <xdr:to>
      <xdr:col>17</xdr:col>
      <xdr:colOff>279400</xdr:colOff>
      <xdr:row>330</xdr:row>
      <xdr:rowOff>131302</xdr:rowOff>
    </xdr:to>
    <xdr:pic>
      <xdr:nvPicPr>
        <xdr:cNvPr id="752" name="Picture 751">
          <a:extLst>
            <a:ext uri="{FF2B5EF4-FFF2-40B4-BE49-F238E27FC236}">
              <a16:creationId xmlns:a16="http://schemas.microsoft.com/office/drawing/2014/main" id="{346C25A5-598A-472B-95D4-85F561837754}"/>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6383000" y="113248440"/>
          <a:ext cx="279400" cy="1015222"/>
        </a:xfrm>
        <a:prstGeom prst="rect">
          <a:avLst/>
        </a:prstGeom>
      </xdr:spPr>
    </xdr:pic>
    <xdr:clientData/>
  </xdr:twoCellAnchor>
  <xdr:twoCellAnchor editAs="oneCell">
    <xdr:from>
      <xdr:col>19</xdr:col>
      <xdr:colOff>0</xdr:colOff>
      <xdr:row>324</xdr:row>
      <xdr:rowOff>0</xdr:rowOff>
    </xdr:from>
    <xdr:to>
      <xdr:col>19</xdr:col>
      <xdr:colOff>279400</xdr:colOff>
      <xdr:row>330</xdr:row>
      <xdr:rowOff>131302</xdr:rowOff>
    </xdr:to>
    <xdr:pic>
      <xdr:nvPicPr>
        <xdr:cNvPr id="753" name="Picture 752">
          <a:extLst>
            <a:ext uri="{FF2B5EF4-FFF2-40B4-BE49-F238E27FC236}">
              <a16:creationId xmlns:a16="http://schemas.microsoft.com/office/drawing/2014/main" id="{48BB1EA1-21EE-4628-AC91-EC72A665ED4B}"/>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8006060" y="113248440"/>
          <a:ext cx="279400" cy="1015222"/>
        </a:xfrm>
        <a:prstGeom prst="rect">
          <a:avLst/>
        </a:prstGeom>
      </xdr:spPr>
    </xdr:pic>
    <xdr:clientData/>
  </xdr:twoCellAnchor>
  <xdr:twoCellAnchor editAs="oneCell">
    <xdr:from>
      <xdr:col>1</xdr:col>
      <xdr:colOff>0</xdr:colOff>
      <xdr:row>333</xdr:row>
      <xdr:rowOff>0</xdr:rowOff>
    </xdr:from>
    <xdr:to>
      <xdr:col>1</xdr:col>
      <xdr:colOff>279400</xdr:colOff>
      <xdr:row>339</xdr:row>
      <xdr:rowOff>138922</xdr:rowOff>
    </xdr:to>
    <xdr:pic>
      <xdr:nvPicPr>
        <xdr:cNvPr id="754" name="Picture 753">
          <a:extLst>
            <a:ext uri="{FF2B5EF4-FFF2-40B4-BE49-F238E27FC236}">
              <a16:creationId xmlns:a16="http://schemas.microsoft.com/office/drawing/2014/main" id="{C421AE7F-5B63-42E6-B6B7-00CAF54C25C3}"/>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264920" y="116677440"/>
          <a:ext cx="279400" cy="1022842"/>
        </a:xfrm>
        <a:prstGeom prst="rect">
          <a:avLst/>
        </a:prstGeom>
      </xdr:spPr>
    </xdr:pic>
    <xdr:clientData/>
  </xdr:twoCellAnchor>
  <xdr:twoCellAnchor editAs="oneCell">
    <xdr:from>
      <xdr:col>3</xdr:col>
      <xdr:colOff>0</xdr:colOff>
      <xdr:row>333</xdr:row>
      <xdr:rowOff>0</xdr:rowOff>
    </xdr:from>
    <xdr:to>
      <xdr:col>3</xdr:col>
      <xdr:colOff>279400</xdr:colOff>
      <xdr:row>339</xdr:row>
      <xdr:rowOff>138922</xdr:rowOff>
    </xdr:to>
    <xdr:pic>
      <xdr:nvPicPr>
        <xdr:cNvPr id="755" name="Picture 754">
          <a:extLst>
            <a:ext uri="{FF2B5EF4-FFF2-40B4-BE49-F238E27FC236}">
              <a16:creationId xmlns:a16="http://schemas.microsoft.com/office/drawing/2014/main" id="{D32596F5-3047-496D-8D42-B436A5DE0832}"/>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3032760" y="116677440"/>
          <a:ext cx="279400" cy="1022842"/>
        </a:xfrm>
        <a:prstGeom prst="rect">
          <a:avLst/>
        </a:prstGeom>
      </xdr:spPr>
    </xdr:pic>
    <xdr:clientData/>
  </xdr:twoCellAnchor>
  <xdr:twoCellAnchor editAs="oneCell">
    <xdr:from>
      <xdr:col>5</xdr:col>
      <xdr:colOff>0</xdr:colOff>
      <xdr:row>333</xdr:row>
      <xdr:rowOff>0</xdr:rowOff>
    </xdr:from>
    <xdr:to>
      <xdr:col>5</xdr:col>
      <xdr:colOff>279400</xdr:colOff>
      <xdr:row>339</xdr:row>
      <xdr:rowOff>138922</xdr:rowOff>
    </xdr:to>
    <xdr:pic>
      <xdr:nvPicPr>
        <xdr:cNvPr id="756" name="Picture 755">
          <a:extLst>
            <a:ext uri="{FF2B5EF4-FFF2-40B4-BE49-F238E27FC236}">
              <a16:creationId xmlns:a16="http://schemas.microsoft.com/office/drawing/2014/main" id="{7FF87ACF-615E-4AD8-8FB5-F22BEB5ED81D}"/>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5273040" y="116677440"/>
          <a:ext cx="279400" cy="1022842"/>
        </a:xfrm>
        <a:prstGeom prst="rect">
          <a:avLst/>
        </a:prstGeom>
      </xdr:spPr>
    </xdr:pic>
    <xdr:clientData/>
  </xdr:twoCellAnchor>
  <xdr:twoCellAnchor editAs="oneCell">
    <xdr:from>
      <xdr:col>7</xdr:col>
      <xdr:colOff>0</xdr:colOff>
      <xdr:row>333</xdr:row>
      <xdr:rowOff>0</xdr:rowOff>
    </xdr:from>
    <xdr:to>
      <xdr:col>7</xdr:col>
      <xdr:colOff>279400</xdr:colOff>
      <xdr:row>339</xdr:row>
      <xdr:rowOff>138922</xdr:rowOff>
    </xdr:to>
    <xdr:pic>
      <xdr:nvPicPr>
        <xdr:cNvPr id="757" name="Picture 756">
          <a:extLst>
            <a:ext uri="{FF2B5EF4-FFF2-40B4-BE49-F238E27FC236}">
              <a16:creationId xmlns:a16="http://schemas.microsoft.com/office/drawing/2014/main" id="{B9341C45-A1A1-4EB3-AC7A-51BB687ADACF}"/>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421880" y="116677440"/>
          <a:ext cx="279400" cy="1022842"/>
        </a:xfrm>
        <a:prstGeom prst="rect">
          <a:avLst/>
        </a:prstGeom>
      </xdr:spPr>
    </xdr:pic>
    <xdr:clientData/>
  </xdr:twoCellAnchor>
  <xdr:twoCellAnchor editAs="oneCell">
    <xdr:from>
      <xdr:col>9</xdr:col>
      <xdr:colOff>0</xdr:colOff>
      <xdr:row>333</xdr:row>
      <xdr:rowOff>0</xdr:rowOff>
    </xdr:from>
    <xdr:to>
      <xdr:col>9</xdr:col>
      <xdr:colOff>279400</xdr:colOff>
      <xdr:row>339</xdr:row>
      <xdr:rowOff>138922</xdr:rowOff>
    </xdr:to>
    <xdr:pic>
      <xdr:nvPicPr>
        <xdr:cNvPr id="758" name="Picture 757">
          <a:extLst>
            <a:ext uri="{FF2B5EF4-FFF2-40B4-BE49-F238E27FC236}">
              <a16:creationId xmlns:a16="http://schemas.microsoft.com/office/drawing/2014/main" id="{19E90790-B9DD-40B2-B9FD-C26E5FF365B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9570720" y="116677440"/>
          <a:ext cx="279400" cy="1022842"/>
        </a:xfrm>
        <a:prstGeom prst="rect">
          <a:avLst/>
        </a:prstGeom>
      </xdr:spPr>
    </xdr:pic>
    <xdr:clientData/>
  </xdr:twoCellAnchor>
  <xdr:twoCellAnchor editAs="oneCell">
    <xdr:from>
      <xdr:col>11</xdr:col>
      <xdr:colOff>0</xdr:colOff>
      <xdr:row>333</xdr:row>
      <xdr:rowOff>0</xdr:rowOff>
    </xdr:from>
    <xdr:to>
      <xdr:col>11</xdr:col>
      <xdr:colOff>279400</xdr:colOff>
      <xdr:row>339</xdr:row>
      <xdr:rowOff>138922</xdr:rowOff>
    </xdr:to>
    <xdr:pic>
      <xdr:nvPicPr>
        <xdr:cNvPr id="759" name="Picture 758">
          <a:extLst>
            <a:ext uri="{FF2B5EF4-FFF2-40B4-BE49-F238E27FC236}">
              <a16:creationId xmlns:a16="http://schemas.microsoft.com/office/drawing/2014/main" id="{739D1DA0-D54D-47A5-8F4B-DD7FB12D52C1}"/>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1140440" y="116677440"/>
          <a:ext cx="279400" cy="1022842"/>
        </a:xfrm>
        <a:prstGeom prst="rect">
          <a:avLst/>
        </a:prstGeom>
      </xdr:spPr>
    </xdr:pic>
    <xdr:clientData/>
  </xdr:twoCellAnchor>
  <xdr:twoCellAnchor editAs="oneCell">
    <xdr:from>
      <xdr:col>13</xdr:col>
      <xdr:colOff>60960</xdr:colOff>
      <xdr:row>333</xdr:row>
      <xdr:rowOff>182879</xdr:rowOff>
    </xdr:from>
    <xdr:to>
      <xdr:col>13</xdr:col>
      <xdr:colOff>274320</xdr:colOff>
      <xdr:row>339</xdr:row>
      <xdr:rowOff>191621</xdr:rowOff>
    </xdr:to>
    <xdr:pic>
      <xdr:nvPicPr>
        <xdr:cNvPr id="760" name="Picture 759">
          <a:extLst>
            <a:ext uri="{FF2B5EF4-FFF2-40B4-BE49-F238E27FC236}">
              <a16:creationId xmlns:a16="http://schemas.microsoft.com/office/drawing/2014/main" id="{8D03EB00-1554-4B48-9B8D-A9E1F12A1CF2}"/>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2839700" y="116860319"/>
          <a:ext cx="213360" cy="892662"/>
        </a:xfrm>
        <a:prstGeom prst="rect">
          <a:avLst/>
        </a:prstGeom>
      </xdr:spPr>
    </xdr:pic>
    <xdr:clientData/>
  </xdr:twoCellAnchor>
  <xdr:twoCellAnchor editAs="oneCell">
    <xdr:from>
      <xdr:col>21</xdr:col>
      <xdr:colOff>0</xdr:colOff>
      <xdr:row>333</xdr:row>
      <xdr:rowOff>0</xdr:rowOff>
    </xdr:from>
    <xdr:to>
      <xdr:col>21</xdr:col>
      <xdr:colOff>279400</xdr:colOff>
      <xdr:row>339</xdr:row>
      <xdr:rowOff>138922</xdr:rowOff>
    </xdr:to>
    <xdr:pic>
      <xdr:nvPicPr>
        <xdr:cNvPr id="761" name="Picture 760">
          <a:extLst>
            <a:ext uri="{FF2B5EF4-FFF2-40B4-BE49-F238E27FC236}">
              <a16:creationId xmlns:a16="http://schemas.microsoft.com/office/drawing/2014/main" id="{86653201-1DF4-4AEF-BB42-97AC35EB8963}"/>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9682460" y="116677440"/>
          <a:ext cx="279400" cy="1022842"/>
        </a:xfrm>
        <a:prstGeom prst="rect">
          <a:avLst/>
        </a:prstGeom>
      </xdr:spPr>
    </xdr:pic>
    <xdr:clientData/>
  </xdr:twoCellAnchor>
  <xdr:twoCellAnchor editAs="oneCell">
    <xdr:from>
      <xdr:col>23</xdr:col>
      <xdr:colOff>0</xdr:colOff>
      <xdr:row>333</xdr:row>
      <xdr:rowOff>0</xdr:rowOff>
    </xdr:from>
    <xdr:to>
      <xdr:col>23</xdr:col>
      <xdr:colOff>279400</xdr:colOff>
      <xdr:row>339</xdr:row>
      <xdr:rowOff>138922</xdr:rowOff>
    </xdr:to>
    <xdr:pic>
      <xdr:nvPicPr>
        <xdr:cNvPr id="762" name="Picture 761">
          <a:extLst>
            <a:ext uri="{FF2B5EF4-FFF2-40B4-BE49-F238E27FC236}">
              <a16:creationId xmlns:a16="http://schemas.microsoft.com/office/drawing/2014/main" id="{306E3823-1D93-41A9-BCBC-C2C537D2F77C}"/>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21602700" y="116677440"/>
          <a:ext cx="279400" cy="1022842"/>
        </a:xfrm>
        <a:prstGeom prst="rect">
          <a:avLst/>
        </a:prstGeom>
      </xdr:spPr>
    </xdr:pic>
    <xdr:clientData/>
  </xdr:twoCellAnchor>
  <xdr:twoCellAnchor editAs="oneCell">
    <xdr:from>
      <xdr:col>1</xdr:col>
      <xdr:colOff>0</xdr:colOff>
      <xdr:row>341</xdr:row>
      <xdr:rowOff>0</xdr:rowOff>
    </xdr:from>
    <xdr:to>
      <xdr:col>1</xdr:col>
      <xdr:colOff>279400</xdr:colOff>
      <xdr:row>347</xdr:row>
      <xdr:rowOff>131302</xdr:rowOff>
    </xdr:to>
    <xdr:pic>
      <xdr:nvPicPr>
        <xdr:cNvPr id="763" name="Picture 762">
          <a:extLst>
            <a:ext uri="{FF2B5EF4-FFF2-40B4-BE49-F238E27FC236}">
              <a16:creationId xmlns:a16="http://schemas.microsoft.com/office/drawing/2014/main" id="{83BE6254-371B-48E4-B756-9B197E69C7C7}"/>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264920" y="119694960"/>
          <a:ext cx="279400" cy="1015222"/>
        </a:xfrm>
        <a:prstGeom prst="rect">
          <a:avLst/>
        </a:prstGeom>
      </xdr:spPr>
    </xdr:pic>
    <xdr:clientData/>
  </xdr:twoCellAnchor>
  <xdr:twoCellAnchor editAs="oneCell">
    <xdr:from>
      <xdr:col>3</xdr:col>
      <xdr:colOff>0</xdr:colOff>
      <xdr:row>341</xdr:row>
      <xdr:rowOff>0</xdr:rowOff>
    </xdr:from>
    <xdr:to>
      <xdr:col>3</xdr:col>
      <xdr:colOff>279400</xdr:colOff>
      <xdr:row>347</xdr:row>
      <xdr:rowOff>131302</xdr:rowOff>
    </xdr:to>
    <xdr:pic>
      <xdr:nvPicPr>
        <xdr:cNvPr id="764" name="Picture 763">
          <a:extLst>
            <a:ext uri="{FF2B5EF4-FFF2-40B4-BE49-F238E27FC236}">
              <a16:creationId xmlns:a16="http://schemas.microsoft.com/office/drawing/2014/main" id="{3827BE56-2677-4E93-8FF8-5EF3D9236B6A}"/>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3032760" y="119694960"/>
          <a:ext cx="279400" cy="1015222"/>
        </a:xfrm>
        <a:prstGeom prst="rect">
          <a:avLst/>
        </a:prstGeom>
      </xdr:spPr>
    </xdr:pic>
    <xdr:clientData/>
  </xdr:twoCellAnchor>
  <xdr:twoCellAnchor editAs="oneCell">
    <xdr:from>
      <xdr:col>5</xdr:col>
      <xdr:colOff>0</xdr:colOff>
      <xdr:row>341</xdr:row>
      <xdr:rowOff>0</xdr:rowOff>
    </xdr:from>
    <xdr:to>
      <xdr:col>5</xdr:col>
      <xdr:colOff>279400</xdr:colOff>
      <xdr:row>347</xdr:row>
      <xdr:rowOff>131302</xdr:rowOff>
    </xdr:to>
    <xdr:pic>
      <xdr:nvPicPr>
        <xdr:cNvPr id="765" name="Picture 764">
          <a:extLst>
            <a:ext uri="{FF2B5EF4-FFF2-40B4-BE49-F238E27FC236}">
              <a16:creationId xmlns:a16="http://schemas.microsoft.com/office/drawing/2014/main" id="{8F3F6583-57A1-4C29-87FA-60B5B974246E}"/>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5273040" y="119694960"/>
          <a:ext cx="279400" cy="1015222"/>
        </a:xfrm>
        <a:prstGeom prst="rect">
          <a:avLst/>
        </a:prstGeom>
      </xdr:spPr>
    </xdr:pic>
    <xdr:clientData/>
  </xdr:twoCellAnchor>
  <xdr:twoCellAnchor editAs="oneCell">
    <xdr:from>
      <xdr:col>7</xdr:col>
      <xdr:colOff>0</xdr:colOff>
      <xdr:row>341</xdr:row>
      <xdr:rowOff>0</xdr:rowOff>
    </xdr:from>
    <xdr:to>
      <xdr:col>7</xdr:col>
      <xdr:colOff>279400</xdr:colOff>
      <xdr:row>347</xdr:row>
      <xdr:rowOff>131302</xdr:rowOff>
    </xdr:to>
    <xdr:pic>
      <xdr:nvPicPr>
        <xdr:cNvPr id="766" name="Picture 765">
          <a:extLst>
            <a:ext uri="{FF2B5EF4-FFF2-40B4-BE49-F238E27FC236}">
              <a16:creationId xmlns:a16="http://schemas.microsoft.com/office/drawing/2014/main" id="{64313C33-A13D-4B30-8A45-D28E8AB6F1A3}"/>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421880" y="119694960"/>
          <a:ext cx="279400" cy="1015222"/>
        </a:xfrm>
        <a:prstGeom prst="rect">
          <a:avLst/>
        </a:prstGeom>
      </xdr:spPr>
    </xdr:pic>
    <xdr:clientData/>
  </xdr:twoCellAnchor>
  <xdr:twoCellAnchor editAs="oneCell">
    <xdr:from>
      <xdr:col>9</xdr:col>
      <xdr:colOff>0</xdr:colOff>
      <xdr:row>341</xdr:row>
      <xdr:rowOff>0</xdr:rowOff>
    </xdr:from>
    <xdr:to>
      <xdr:col>9</xdr:col>
      <xdr:colOff>279400</xdr:colOff>
      <xdr:row>347</xdr:row>
      <xdr:rowOff>131302</xdr:rowOff>
    </xdr:to>
    <xdr:pic>
      <xdr:nvPicPr>
        <xdr:cNvPr id="767" name="Picture 766">
          <a:extLst>
            <a:ext uri="{FF2B5EF4-FFF2-40B4-BE49-F238E27FC236}">
              <a16:creationId xmlns:a16="http://schemas.microsoft.com/office/drawing/2014/main" id="{E5DEF8A9-FFE0-4860-853A-7D956A88745F}"/>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9570720" y="119694960"/>
          <a:ext cx="279400" cy="1015222"/>
        </a:xfrm>
        <a:prstGeom prst="rect">
          <a:avLst/>
        </a:prstGeom>
      </xdr:spPr>
    </xdr:pic>
    <xdr:clientData/>
  </xdr:twoCellAnchor>
  <xdr:twoCellAnchor editAs="oneCell">
    <xdr:from>
      <xdr:col>13</xdr:col>
      <xdr:colOff>0</xdr:colOff>
      <xdr:row>341</xdr:row>
      <xdr:rowOff>0</xdr:rowOff>
    </xdr:from>
    <xdr:to>
      <xdr:col>13</xdr:col>
      <xdr:colOff>279400</xdr:colOff>
      <xdr:row>347</xdr:row>
      <xdr:rowOff>131302</xdr:rowOff>
    </xdr:to>
    <xdr:pic>
      <xdr:nvPicPr>
        <xdr:cNvPr id="768" name="Picture 767">
          <a:extLst>
            <a:ext uri="{FF2B5EF4-FFF2-40B4-BE49-F238E27FC236}">
              <a16:creationId xmlns:a16="http://schemas.microsoft.com/office/drawing/2014/main" id="{402AF866-761F-42F5-989D-89B7E2A0C318}"/>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2778740" y="119694960"/>
          <a:ext cx="279400" cy="1015222"/>
        </a:xfrm>
        <a:prstGeom prst="rect">
          <a:avLst/>
        </a:prstGeom>
      </xdr:spPr>
    </xdr:pic>
    <xdr:clientData/>
  </xdr:twoCellAnchor>
  <xdr:twoCellAnchor editAs="oneCell">
    <xdr:from>
      <xdr:col>15</xdr:col>
      <xdr:colOff>0</xdr:colOff>
      <xdr:row>341</xdr:row>
      <xdr:rowOff>0</xdr:rowOff>
    </xdr:from>
    <xdr:to>
      <xdr:col>15</xdr:col>
      <xdr:colOff>279400</xdr:colOff>
      <xdr:row>347</xdr:row>
      <xdr:rowOff>131302</xdr:rowOff>
    </xdr:to>
    <xdr:pic>
      <xdr:nvPicPr>
        <xdr:cNvPr id="769" name="Picture 768">
          <a:extLst>
            <a:ext uri="{FF2B5EF4-FFF2-40B4-BE49-F238E27FC236}">
              <a16:creationId xmlns:a16="http://schemas.microsoft.com/office/drawing/2014/main" id="{D3C0113E-DC61-4BFE-9402-EAAD6E860702}"/>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4599920" y="119694960"/>
          <a:ext cx="279400" cy="1015222"/>
        </a:xfrm>
        <a:prstGeom prst="rect">
          <a:avLst/>
        </a:prstGeom>
      </xdr:spPr>
    </xdr:pic>
    <xdr:clientData/>
  </xdr:twoCellAnchor>
  <xdr:twoCellAnchor editAs="oneCell">
    <xdr:from>
      <xdr:col>17</xdr:col>
      <xdr:colOff>0</xdr:colOff>
      <xdr:row>341</xdr:row>
      <xdr:rowOff>0</xdr:rowOff>
    </xdr:from>
    <xdr:to>
      <xdr:col>17</xdr:col>
      <xdr:colOff>279400</xdr:colOff>
      <xdr:row>347</xdr:row>
      <xdr:rowOff>131302</xdr:rowOff>
    </xdr:to>
    <xdr:pic>
      <xdr:nvPicPr>
        <xdr:cNvPr id="770" name="Picture 769">
          <a:extLst>
            <a:ext uri="{FF2B5EF4-FFF2-40B4-BE49-F238E27FC236}">
              <a16:creationId xmlns:a16="http://schemas.microsoft.com/office/drawing/2014/main" id="{E1F4C148-A2C9-42B6-93DF-72C089AF706E}"/>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6383000" y="119694960"/>
          <a:ext cx="279400" cy="1015222"/>
        </a:xfrm>
        <a:prstGeom prst="rect">
          <a:avLst/>
        </a:prstGeom>
      </xdr:spPr>
    </xdr:pic>
    <xdr:clientData/>
  </xdr:twoCellAnchor>
  <xdr:twoCellAnchor editAs="oneCell">
    <xdr:from>
      <xdr:col>23</xdr:col>
      <xdr:colOff>0</xdr:colOff>
      <xdr:row>341</xdr:row>
      <xdr:rowOff>0</xdr:rowOff>
    </xdr:from>
    <xdr:to>
      <xdr:col>23</xdr:col>
      <xdr:colOff>279400</xdr:colOff>
      <xdr:row>347</xdr:row>
      <xdr:rowOff>131302</xdr:rowOff>
    </xdr:to>
    <xdr:pic>
      <xdr:nvPicPr>
        <xdr:cNvPr id="771" name="Picture 770">
          <a:extLst>
            <a:ext uri="{FF2B5EF4-FFF2-40B4-BE49-F238E27FC236}">
              <a16:creationId xmlns:a16="http://schemas.microsoft.com/office/drawing/2014/main" id="{49DF3BD0-76D3-4B8D-8F4E-3FB65B82ACC3}"/>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21602700" y="119694960"/>
          <a:ext cx="279400" cy="1015222"/>
        </a:xfrm>
        <a:prstGeom prst="rect">
          <a:avLst/>
        </a:prstGeom>
      </xdr:spPr>
    </xdr:pic>
    <xdr:clientData/>
  </xdr:twoCellAnchor>
  <xdr:twoCellAnchor editAs="oneCell">
    <xdr:from>
      <xdr:col>5</xdr:col>
      <xdr:colOff>0</xdr:colOff>
      <xdr:row>349</xdr:row>
      <xdr:rowOff>0</xdr:rowOff>
    </xdr:from>
    <xdr:to>
      <xdr:col>5</xdr:col>
      <xdr:colOff>279400</xdr:colOff>
      <xdr:row>355</xdr:row>
      <xdr:rowOff>24622</xdr:rowOff>
    </xdr:to>
    <xdr:pic>
      <xdr:nvPicPr>
        <xdr:cNvPr id="772" name="Picture 771">
          <a:extLst>
            <a:ext uri="{FF2B5EF4-FFF2-40B4-BE49-F238E27FC236}">
              <a16:creationId xmlns:a16="http://schemas.microsoft.com/office/drawing/2014/main" id="{90BFF344-9EA2-4552-80AD-00A48215C338}"/>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5273040" y="122567700"/>
          <a:ext cx="279400" cy="1007602"/>
        </a:xfrm>
        <a:prstGeom prst="rect">
          <a:avLst/>
        </a:prstGeom>
      </xdr:spPr>
    </xdr:pic>
    <xdr:clientData/>
  </xdr:twoCellAnchor>
  <xdr:twoCellAnchor editAs="oneCell">
    <xdr:from>
      <xdr:col>7</xdr:col>
      <xdr:colOff>0</xdr:colOff>
      <xdr:row>349</xdr:row>
      <xdr:rowOff>0</xdr:rowOff>
    </xdr:from>
    <xdr:to>
      <xdr:col>7</xdr:col>
      <xdr:colOff>279400</xdr:colOff>
      <xdr:row>355</xdr:row>
      <xdr:rowOff>24622</xdr:rowOff>
    </xdr:to>
    <xdr:pic>
      <xdr:nvPicPr>
        <xdr:cNvPr id="773" name="Picture 772">
          <a:extLst>
            <a:ext uri="{FF2B5EF4-FFF2-40B4-BE49-F238E27FC236}">
              <a16:creationId xmlns:a16="http://schemas.microsoft.com/office/drawing/2014/main" id="{E7DA6C8A-23E5-4BEC-A454-4A77BD059A59}"/>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421880" y="122567700"/>
          <a:ext cx="279400" cy="1007602"/>
        </a:xfrm>
        <a:prstGeom prst="rect">
          <a:avLst/>
        </a:prstGeom>
      </xdr:spPr>
    </xdr:pic>
    <xdr:clientData/>
  </xdr:twoCellAnchor>
  <xdr:twoCellAnchor editAs="oneCell">
    <xdr:from>
      <xdr:col>11</xdr:col>
      <xdr:colOff>0</xdr:colOff>
      <xdr:row>349</xdr:row>
      <xdr:rowOff>0</xdr:rowOff>
    </xdr:from>
    <xdr:to>
      <xdr:col>11</xdr:col>
      <xdr:colOff>279400</xdr:colOff>
      <xdr:row>355</xdr:row>
      <xdr:rowOff>24622</xdr:rowOff>
    </xdr:to>
    <xdr:pic>
      <xdr:nvPicPr>
        <xdr:cNvPr id="774" name="Picture 773">
          <a:extLst>
            <a:ext uri="{FF2B5EF4-FFF2-40B4-BE49-F238E27FC236}">
              <a16:creationId xmlns:a16="http://schemas.microsoft.com/office/drawing/2014/main" id="{A8028011-79A9-4BEB-8807-20D0F030EE3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1140440" y="122567700"/>
          <a:ext cx="279400" cy="1007602"/>
        </a:xfrm>
        <a:prstGeom prst="rect">
          <a:avLst/>
        </a:prstGeom>
      </xdr:spPr>
    </xdr:pic>
    <xdr:clientData/>
  </xdr:twoCellAnchor>
  <xdr:twoCellAnchor editAs="oneCell">
    <xdr:from>
      <xdr:col>13</xdr:col>
      <xdr:colOff>30480</xdr:colOff>
      <xdr:row>349</xdr:row>
      <xdr:rowOff>152399</xdr:rowOff>
    </xdr:from>
    <xdr:to>
      <xdr:col>13</xdr:col>
      <xdr:colOff>288584</xdr:colOff>
      <xdr:row>355</xdr:row>
      <xdr:rowOff>99060</xdr:rowOff>
    </xdr:to>
    <xdr:pic>
      <xdr:nvPicPr>
        <xdr:cNvPr id="775" name="Picture 774">
          <a:extLst>
            <a:ext uri="{FF2B5EF4-FFF2-40B4-BE49-F238E27FC236}">
              <a16:creationId xmlns:a16="http://schemas.microsoft.com/office/drawing/2014/main" id="{38AC35FF-53F5-40A5-9B90-4805F426D685}"/>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2809220" y="122720099"/>
          <a:ext cx="258104" cy="929641"/>
        </a:xfrm>
        <a:prstGeom prst="rect">
          <a:avLst/>
        </a:prstGeom>
      </xdr:spPr>
    </xdr:pic>
    <xdr:clientData/>
  </xdr:twoCellAnchor>
  <xdr:twoCellAnchor editAs="oneCell">
    <xdr:from>
      <xdr:col>15</xdr:col>
      <xdr:colOff>0</xdr:colOff>
      <xdr:row>349</xdr:row>
      <xdr:rowOff>0</xdr:rowOff>
    </xdr:from>
    <xdr:to>
      <xdr:col>15</xdr:col>
      <xdr:colOff>279400</xdr:colOff>
      <xdr:row>355</xdr:row>
      <xdr:rowOff>24622</xdr:rowOff>
    </xdr:to>
    <xdr:pic>
      <xdr:nvPicPr>
        <xdr:cNvPr id="776" name="Picture 775">
          <a:extLst>
            <a:ext uri="{FF2B5EF4-FFF2-40B4-BE49-F238E27FC236}">
              <a16:creationId xmlns:a16="http://schemas.microsoft.com/office/drawing/2014/main" id="{121D3CA4-9C62-4F4A-88C2-4D082AE0F78B}"/>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4599920" y="122567700"/>
          <a:ext cx="279400" cy="1007602"/>
        </a:xfrm>
        <a:prstGeom prst="rect">
          <a:avLst/>
        </a:prstGeom>
      </xdr:spPr>
    </xdr:pic>
    <xdr:clientData/>
  </xdr:twoCellAnchor>
  <xdr:twoCellAnchor editAs="oneCell">
    <xdr:from>
      <xdr:col>19</xdr:col>
      <xdr:colOff>0</xdr:colOff>
      <xdr:row>349</xdr:row>
      <xdr:rowOff>0</xdr:rowOff>
    </xdr:from>
    <xdr:to>
      <xdr:col>19</xdr:col>
      <xdr:colOff>279400</xdr:colOff>
      <xdr:row>355</xdr:row>
      <xdr:rowOff>24622</xdr:rowOff>
    </xdr:to>
    <xdr:pic>
      <xdr:nvPicPr>
        <xdr:cNvPr id="777" name="Picture 776">
          <a:extLst>
            <a:ext uri="{FF2B5EF4-FFF2-40B4-BE49-F238E27FC236}">
              <a16:creationId xmlns:a16="http://schemas.microsoft.com/office/drawing/2014/main" id="{1984D18C-3D0D-4B05-B7F8-5F6E33C28B96}"/>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8006060" y="122567700"/>
          <a:ext cx="279400" cy="1007602"/>
        </a:xfrm>
        <a:prstGeom prst="rect">
          <a:avLst/>
        </a:prstGeom>
      </xdr:spPr>
    </xdr:pic>
    <xdr:clientData/>
  </xdr:twoCellAnchor>
  <xdr:twoCellAnchor editAs="oneCell">
    <xdr:from>
      <xdr:col>21</xdr:col>
      <xdr:colOff>0</xdr:colOff>
      <xdr:row>349</xdr:row>
      <xdr:rowOff>0</xdr:rowOff>
    </xdr:from>
    <xdr:to>
      <xdr:col>21</xdr:col>
      <xdr:colOff>279400</xdr:colOff>
      <xdr:row>355</xdr:row>
      <xdr:rowOff>24622</xdr:rowOff>
    </xdr:to>
    <xdr:pic>
      <xdr:nvPicPr>
        <xdr:cNvPr id="778" name="Picture 777">
          <a:extLst>
            <a:ext uri="{FF2B5EF4-FFF2-40B4-BE49-F238E27FC236}">
              <a16:creationId xmlns:a16="http://schemas.microsoft.com/office/drawing/2014/main" id="{8B3B2622-1B23-4668-A59E-D89058351D2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9682460" y="122567700"/>
          <a:ext cx="279400" cy="1007602"/>
        </a:xfrm>
        <a:prstGeom prst="rect">
          <a:avLst/>
        </a:prstGeom>
      </xdr:spPr>
    </xdr:pic>
    <xdr:clientData/>
  </xdr:twoCellAnchor>
  <xdr:twoCellAnchor editAs="oneCell">
    <xdr:from>
      <xdr:col>23</xdr:col>
      <xdr:colOff>0</xdr:colOff>
      <xdr:row>349</xdr:row>
      <xdr:rowOff>0</xdr:rowOff>
    </xdr:from>
    <xdr:to>
      <xdr:col>23</xdr:col>
      <xdr:colOff>279400</xdr:colOff>
      <xdr:row>355</xdr:row>
      <xdr:rowOff>24622</xdr:rowOff>
    </xdr:to>
    <xdr:pic>
      <xdr:nvPicPr>
        <xdr:cNvPr id="779" name="Picture 778">
          <a:extLst>
            <a:ext uri="{FF2B5EF4-FFF2-40B4-BE49-F238E27FC236}">
              <a16:creationId xmlns:a16="http://schemas.microsoft.com/office/drawing/2014/main" id="{802DDBEB-6EB1-4C53-999D-1CEBABF0B965}"/>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21602700" y="122567700"/>
          <a:ext cx="279400" cy="1007602"/>
        </a:xfrm>
        <a:prstGeom prst="rect">
          <a:avLst/>
        </a:prstGeom>
      </xdr:spPr>
    </xdr:pic>
    <xdr:clientData/>
  </xdr:twoCellAnchor>
  <xdr:twoCellAnchor editAs="oneCell">
    <xdr:from>
      <xdr:col>1</xdr:col>
      <xdr:colOff>0</xdr:colOff>
      <xdr:row>358</xdr:row>
      <xdr:rowOff>0</xdr:rowOff>
    </xdr:from>
    <xdr:to>
      <xdr:col>1</xdr:col>
      <xdr:colOff>279400</xdr:colOff>
      <xdr:row>364</xdr:row>
      <xdr:rowOff>131302</xdr:rowOff>
    </xdr:to>
    <xdr:pic>
      <xdr:nvPicPr>
        <xdr:cNvPr id="780" name="Picture 779">
          <a:extLst>
            <a:ext uri="{FF2B5EF4-FFF2-40B4-BE49-F238E27FC236}">
              <a16:creationId xmlns:a16="http://schemas.microsoft.com/office/drawing/2014/main" id="{A099EA49-63D3-4917-9715-584E57320B45}"/>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264920" y="125783340"/>
          <a:ext cx="279400" cy="1015222"/>
        </a:xfrm>
        <a:prstGeom prst="rect">
          <a:avLst/>
        </a:prstGeom>
      </xdr:spPr>
    </xdr:pic>
    <xdr:clientData/>
  </xdr:twoCellAnchor>
  <xdr:twoCellAnchor editAs="oneCell">
    <xdr:from>
      <xdr:col>3</xdr:col>
      <xdr:colOff>0</xdr:colOff>
      <xdr:row>358</xdr:row>
      <xdr:rowOff>0</xdr:rowOff>
    </xdr:from>
    <xdr:to>
      <xdr:col>3</xdr:col>
      <xdr:colOff>279400</xdr:colOff>
      <xdr:row>364</xdr:row>
      <xdr:rowOff>131302</xdr:rowOff>
    </xdr:to>
    <xdr:pic>
      <xdr:nvPicPr>
        <xdr:cNvPr id="781" name="Picture 780">
          <a:extLst>
            <a:ext uri="{FF2B5EF4-FFF2-40B4-BE49-F238E27FC236}">
              <a16:creationId xmlns:a16="http://schemas.microsoft.com/office/drawing/2014/main" id="{852D39E5-0087-4A23-B253-1B23FCAB6AF2}"/>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3032760" y="125783340"/>
          <a:ext cx="279400" cy="1015222"/>
        </a:xfrm>
        <a:prstGeom prst="rect">
          <a:avLst/>
        </a:prstGeom>
      </xdr:spPr>
    </xdr:pic>
    <xdr:clientData/>
  </xdr:twoCellAnchor>
  <xdr:twoCellAnchor editAs="oneCell">
    <xdr:from>
      <xdr:col>7</xdr:col>
      <xdr:colOff>0</xdr:colOff>
      <xdr:row>358</xdr:row>
      <xdr:rowOff>0</xdr:rowOff>
    </xdr:from>
    <xdr:to>
      <xdr:col>7</xdr:col>
      <xdr:colOff>279400</xdr:colOff>
      <xdr:row>364</xdr:row>
      <xdr:rowOff>131302</xdr:rowOff>
    </xdr:to>
    <xdr:pic>
      <xdr:nvPicPr>
        <xdr:cNvPr id="782" name="Picture 781">
          <a:extLst>
            <a:ext uri="{FF2B5EF4-FFF2-40B4-BE49-F238E27FC236}">
              <a16:creationId xmlns:a16="http://schemas.microsoft.com/office/drawing/2014/main" id="{2906346D-0AB2-4D07-A4A2-D1EF35B54A7D}"/>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421880" y="125783340"/>
          <a:ext cx="279400" cy="1015222"/>
        </a:xfrm>
        <a:prstGeom prst="rect">
          <a:avLst/>
        </a:prstGeom>
      </xdr:spPr>
    </xdr:pic>
    <xdr:clientData/>
  </xdr:twoCellAnchor>
  <xdr:twoCellAnchor editAs="oneCell">
    <xdr:from>
      <xdr:col>9</xdr:col>
      <xdr:colOff>0</xdr:colOff>
      <xdr:row>358</xdr:row>
      <xdr:rowOff>0</xdr:rowOff>
    </xdr:from>
    <xdr:to>
      <xdr:col>9</xdr:col>
      <xdr:colOff>279400</xdr:colOff>
      <xdr:row>364</xdr:row>
      <xdr:rowOff>131302</xdr:rowOff>
    </xdr:to>
    <xdr:pic>
      <xdr:nvPicPr>
        <xdr:cNvPr id="783" name="Picture 782">
          <a:extLst>
            <a:ext uri="{FF2B5EF4-FFF2-40B4-BE49-F238E27FC236}">
              <a16:creationId xmlns:a16="http://schemas.microsoft.com/office/drawing/2014/main" id="{897533F6-85AB-4BD2-B8C4-A0C3BFBD25F2}"/>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9570720" y="125783340"/>
          <a:ext cx="279400" cy="1015222"/>
        </a:xfrm>
        <a:prstGeom prst="rect">
          <a:avLst/>
        </a:prstGeom>
      </xdr:spPr>
    </xdr:pic>
    <xdr:clientData/>
  </xdr:twoCellAnchor>
  <xdr:twoCellAnchor editAs="oneCell">
    <xdr:from>
      <xdr:col>11</xdr:col>
      <xdr:colOff>0</xdr:colOff>
      <xdr:row>358</xdr:row>
      <xdr:rowOff>0</xdr:rowOff>
    </xdr:from>
    <xdr:to>
      <xdr:col>11</xdr:col>
      <xdr:colOff>279400</xdr:colOff>
      <xdr:row>364</xdr:row>
      <xdr:rowOff>131302</xdr:rowOff>
    </xdr:to>
    <xdr:pic>
      <xdr:nvPicPr>
        <xdr:cNvPr id="784" name="Picture 783">
          <a:extLst>
            <a:ext uri="{FF2B5EF4-FFF2-40B4-BE49-F238E27FC236}">
              <a16:creationId xmlns:a16="http://schemas.microsoft.com/office/drawing/2014/main" id="{6AD14B7E-28C0-4090-BD84-A1BECD01925B}"/>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1140440" y="125783340"/>
          <a:ext cx="279400" cy="1015222"/>
        </a:xfrm>
        <a:prstGeom prst="rect">
          <a:avLst/>
        </a:prstGeom>
      </xdr:spPr>
    </xdr:pic>
    <xdr:clientData/>
  </xdr:twoCellAnchor>
  <xdr:twoCellAnchor editAs="oneCell">
    <xdr:from>
      <xdr:col>13</xdr:col>
      <xdr:colOff>0</xdr:colOff>
      <xdr:row>358</xdr:row>
      <xdr:rowOff>0</xdr:rowOff>
    </xdr:from>
    <xdr:to>
      <xdr:col>13</xdr:col>
      <xdr:colOff>279400</xdr:colOff>
      <xdr:row>364</xdr:row>
      <xdr:rowOff>131302</xdr:rowOff>
    </xdr:to>
    <xdr:pic>
      <xdr:nvPicPr>
        <xdr:cNvPr id="785" name="Picture 784">
          <a:extLst>
            <a:ext uri="{FF2B5EF4-FFF2-40B4-BE49-F238E27FC236}">
              <a16:creationId xmlns:a16="http://schemas.microsoft.com/office/drawing/2014/main" id="{B17C1AB4-219C-474B-A6DB-3C656485ACF8}"/>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2778740" y="125783340"/>
          <a:ext cx="279400" cy="1015222"/>
        </a:xfrm>
        <a:prstGeom prst="rect">
          <a:avLst/>
        </a:prstGeom>
      </xdr:spPr>
    </xdr:pic>
    <xdr:clientData/>
  </xdr:twoCellAnchor>
  <xdr:twoCellAnchor editAs="oneCell">
    <xdr:from>
      <xdr:col>17</xdr:col>
      <xdr:colOff>58282</xdr:colOff>
      <xdr:row>358</xdr:row>
      <xdr:rowOff>213360</xdr:rowOff>
    </xdr:from>
    <xdr:to>
      <xdr:col>17</xdr:col>
      <xdr:colOff>279400</xdr:colOff>
      <xdr:row>364</xdr:row>
      <xdr:rowOff>100822</xdr:rowOff>
    </xdr:to>
    <xdr:pic>
      <xdr:nvPicPr>
        <xdr:cNvPr id="786" name="Picture 785">
          <a:extLst>
            <a:ext uri="{FF2B5EF4-FFF2-40B4-BE49-F238E27FC236}">
              <a16:creationId xmlns:a16="http://schemas.microsoft.com/office/drawing/2014/main" id="{CED7CFD3-2A11-42D4-B090-81A8D83661E2}"/>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6441282" y="125996700"/>
          <a:ext cx="221118" cy="801862"/>
        </a:xfrm>
        <a:prstGeom prst="rect">
          <a:avLst/>
        </a:prstGeom>
      </xdr:spPr>
    </xdr:pic>
    <xdr:clientData/>
  </xdr:twoCellAnchor>
  <xdr:twoCellAnchor editAs="oneCell">
    <xdr:from>
      <xdr:col>19</xdr:col>
      <xdr:colOff>15240</xdr:colOff>
      <xdr:row>358</xdr:row>
      <xdr:rowOff>137160</xdr:rowOff>
    </xdr:from>
    <xdr:to>
      <xdr:col>19</xdr:col>
      <xdr:colOff>279400</xdr:colOff>
      <xdr:row>364</xdr:row>
      <xdr:rowOff>205051</xdr:rowOff>
    </xdr:to>
    <xdr:pic>
      <xdr:nvPicPr>
        <xdr:cNvPr id="787" name="Picture 786">
          <a:extLst>
            <a:ext uri="{FF2B5EF4-FFF2-40B4-BE49-F238E27FC236}">
              <a16:creationId xmlns:a16="http://schemas.microsoft.com/office/drawing/2014/main" id="{DDC3D6C3-551B-474F-8C94-1677B7808BF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8021300" y="125920500"/>
          <a:ext cx="264160" cy="951811"/>
        </a:xfrm>
        <a:prstGeom prst="rect">
          <a:avLst/>
        </a:prstGeom>
      </xdr:spPr>
    </xdr:pic>
    <xdr:clientData/>
  </xdr:twoCellAnchor>
  <xdr:twoCellAnchor editAs="oneCell">
    <xdr:from>
      <xdr:col>21</xdr:col>
      <xdr:colOff>0</xdr:colOff>
      <xdr:row>358</xdr:row>
      <xdr:rowOff>137160</xdr:rowOff>
    </xdr:from>
    <xdr:to>
      <xdr:col>21</xdr:col>
      <xdr:colOff>276572</xdr:colOff>
      <xdr:row>364</xdr:row>
      <xdr:rowOff>129540</xdr:rowOff>
    </xdr:to>
    <xdr:pic>
      <xdr:nvPicPr>
        <xdr:cNvPr id="788" name="Picture 787">
          <a:extLst>
            <a:ext uri="{FF2B5EF4-FFF2-40B4-BE49-F238E27FC236}">
              <a16:creationId xmlns:a16="http://schemas.microsoft.com/office/drawing/2014/main" id="{4CEF6CF3-F0EF-447E-9BFB-A9F49AFF4E9A}"/>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9682460" y="125920500"/>
          <a:ext cx="276572" cy="876300"/>
        </a:xfrm>
        <a:prstGeom prst="rect">
          <a:avLst/>
        </a:prstGeom>
      </xdr:spPr>
    </xdr:pic>
    <xdr:clientData/>
  </xdr:twoCellAnchor>
  <xdr:twoCellAnchor editAs="oneCell">
    <xdr:from>
      <xdr:col>23</xdr:col>
      <xdr:colOff>0</xdr:colOff>
      <xdr:row>358</xdr:row>
      <xdr:rowOff>30480</xdr:rowOff>
    </xdr:from>
    <xdr:to>
      <xdr:col>23</xdr:col>
      <xdr:colOff>279400</xdr:colOff>
      <xdr:row>364</xdr:row>
      <xdr:rowOff>161782</xdr:rowOff>
    </xdr:to>
    <xdr:pic>
      <xdr:nvPicPr>
        <xdr:cNvPr id="789" name="Picture 788">
          <a:extLst>
            <a:ext uri="{FF2B5EF4-FFF2-40B4-BE49-F238E27FC236}">
              <a16:creationId xmlns:a16="http://schemas.microsoft.com/office/drawing/2014/main" id="{B87894DA-F327-45AD-8614-2959BEE63FE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21602700" y="125813820"/>
          <a:ext cx="279400" cy="1015222"/>
        </a:xfrm>
        <a:prstGeom prst="rect">
          <a:avLst/>
        </a:prstGeom>
      </xdr:spPr>
    </xdr:pic>
    <xdr:clientData/>
  </xdr:twoCellAnchor>
  <xdr:twoCellAnchor editAs="oneCell">
    <xdr:from>
      <xdr:col>1</xdr:col>
      <xdr:colOff>0</xdr:colOff>
      <xdr:row>366</xdr:row>
      <xdr:rowOff>0</xdr:rowOff>
    </xdr:from>
    <xdr:to>
      <xdr:col>1</xdr:col>
      <xdr:colOff>279400</xdr:colOff>
      <xdr:row>372</xdr:row>
      <xdr:rowOff>131302</xdr:rowOff>
    </xdr:to>
    <xdr:pic>
      <xdr:nvPicPr>
        <xdr:cNvPr id="790" name="Picture 789">
          <a:extLst>
            <a:ext uri="{FF2B5EF4-FFF2-40B4-BE49-F238E27FC236}">
              <a16:creationId xmlns:a16="http://schemas.microsoft.com/office/drawing/2014/main" id="{0D736323-CF97-4D45-AF28-F327E503E274}"/>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264920" y="128648460"/>
          <a:ext cx="279400" cy="1015222"/>
        </a:xfrm>
        <a:prstGeom prst="rect">
          <a:avLst/>
        </a:prstGeom>
      </xdr:spPr>
    </xdr:pic>
    <xdr:clientData/>
  </xdr:twoCellAnchor>
  <xdr:twoCellAnchor editAs="oneCell">
    <xdr:from>
      <xdr:col>3</xdr:col>
      <xdr:colOff>0</xdr:colOff>
      <xdr:row>366</xdr:row>
      <xdr:rowOff>0</xdr:rowOff>
    </xdr:from>
    <xdr:to>
      <xdr:col>3</xdr:col>
      <xdr:colOff>279400</xdr:colOff>
      <xdr:row>372</xdr:row>
      <xdr:rowOff>131302</xdr:rowOff>
    </xdr:to>
    <xdr:pic>
      <xdr:nvPicPr>
        <xdr:cNvPr id="791" name="Picture 790">
          <a:extLst>
            <a:ext uri="{FF2B5EF4-FFF2-40B4-BE49-F238E27FC236}">
              <a16:creationId xmlns:a16="http://schemas.microsoft.com/office/drawing/2014/main" id="{F773E396-41A4-42CE-93EB-6AD4505862E8}"/>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3032760" y="128648460"/>
          <a:ext cx="279400" cy="1015222"/>
        </a:xfrm>
        <a:prstGeom prst="rect">
          <a:avLst/>
        </a:prstGeom>
      </xdr:spPr>
    </xdr:pic>
    <xdr:clientData/>
  </xdr:twoCellAnchor>
  <xdr:twoCellAnchor editAs="oneCell">
    <xdr:from>
      <xdr:col>5</xdr:col>
      <xdr:colOff>0</xdr:colOff>
      <xdr:row>366</xdr:row>
      <xdr:rowOff>0</xdr:rowOff>
    </xdr:from>
    <xdr:to>
      <xdr:col>5</xdr:col>
      <xdr:colOff>279400</xdr:colOff>
      <xdr:row>372</xdr:row>
      <xdr:rowOff>131302</xdr:rowOff>
    </xdr:to>
    <xdr:pic>
      <xdr:nvPicPr>
        <xdr:cNvPr id="792" name="Picture 791">
          <a:extLst>
            <a:ext uri="{FF2B5EF4-FFF2-40B4-BE49-F238E27FC236}">
              <a16:creationId xmlns:a16="http://schemas.microsoft.com/office/drawing/2014/main" id="{FDC981C9-E9E9-46A6-B707-44B61003B8BA}"/>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5273040" y="128648460"/>
          <a:ext cx="279400" cy="1015222"/>
        </a:xfrm>
        <a:prstGeom prst="rect">
          <a:avLst/>
        </a:prstGeom>
      </xdr:spPr>
    </xdr:pic>
    <xdr:clientData/>
  </xdr:twoCellAnchor>
  <xdr:twoCellAnchor editAs="oneCell">
    <xdr:from>
      <xdr:col>6</xdr:col>
      <xdr:colOff>1097280</xdr:colOff>
      <xdr:row>366</xdr:row>
      <xdr:rowOff>76200</xdr:rowOff>
    </xdr:from>
    <xdr:to>
      <xdr:col>7</xdr:col>
      <xdr:colOff>142953</xdr:colOff>
      <xdr:row>369</xdr:row>
      <xdr:rowOff>205740</xdr:rowOff>
    </xdr:to>
    <xdr:pic>
      <xdr:nvPicPr>
        <xdr:cNvPr id="793" name="Picture 792">
          <a:extLst>
            <a:ext uri="{FF2B5EF4-FFF2-40B4-BE49-F238E27FC236}">
              <a16:creationId xmlns:a16="http://schemas.microsoft.com/office/drawing/2014/main" id="{82CE7667-3B24-4E77-B1A6-0706082E332F}"/>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406640" y="128724660"/>
          <a:ext cx="158193" cy="579120"/>
        </a:xfrm>
        <a:prstGeom prst="rect">
          <a:avLst/>
        </a:prstGeom>
      </xdr:spPr>
    </xdr:pic>
    <xdr:clientData/>
  </xdr:twoCellAnchor>
  <xdr:twoCellAnchor editAs="oneCell">
    <xdr:from>
      <xdr:col>9</xdr:col>
      <xdr:colOff>0</xdr:colOff>
      <xdr:row>366</xdr:row>
      <xdr:rowOff>0</xdr:rowOff>
    </xdr:from>
    <xdr:to>
      <xdr:col>9</xdr:col>
      <xdr:colOff>279400</xdr:colOff>
      <xdr:row>372</xdr:row>
      <xdr:rowOff>131302</xdr:rowOff>
    </xdr:to>
    <xdr:pic>
      <xdr:nvPicPr>
        <xdr:cNvPr id="794" name="Picture 793">
          <a:extLst>
            <a:ext uri="{FF2B5EF4-FFF2-40B4-BE49-F238E27FC236}">
              <a16:creationId xmlns:a16="http://schemas.microsoft.com/office/drawing/2014/main" id="{C38719A4-5558-489D-9983-759F8C58E2C3}"/>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9570720" y="128648460"/>
          <a:ext cx="279400" cy="1015222"/>
        </a:xfrm>
        <a:prstGeom prst="rect">
          <a:avLst/>
        </a:prstGeom>
      </xdr:spPr>
    </xdr:pic>
    <xdr:clientData/>
  </xdr:twoCellAnchor>
  <xdr:twoCellAnchor editAs="oneCell">
    <xdr:from>
      <xdr:col>11</xdr:col>
      <xdr:colOff>0</xdr:colOff>
      <xdr:row>366</xdr:row>
      <xdr:rowOff>0</xdr:rowOff>
    </xdr:from>
    <xdr:to>
      <xdr:col>11</xdr:col>
      <xdr:colOff>279400</xdr:colOff>
      <xdr:row>372</xdr:row>
      <xdr:rowOff>131302</xdr:rowOff>
    </xdr:to>
    <xdr:pic>
      <xdr:nvPicPr>
        <xdr:cNvPr id="795" name="Picture 794">
          <a:extLst>
            <a:ext uri="{FF2B5EF4-FFF2-40B4-BE49-F238E27FC236}">
              <a16:creationId xmlns:a16="http://schemas.microsoft.com/office/drawing/2014/main" id="{E06BA258-8DB3-463A-A256-6833666174F6}"/>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1140440" y="128648460"/>
          <a:ext cx="279400" cy="1015222"/>
        </a:xfrm>
        <a:prstGeom prst="rect">
          <a:avLst/>
        </a:prstGeom>
      </xdr:spPr>
    </xdr:pic>
    <xdr:clientData/>
  </xdr:twoCellAnchor>
  <xdr:twoCellAnchor editAs="oneCell">
    <xdr:from>
      <xdr:col>13</xdr:col>
      <xdr:colOff>0</xdr:colOff>
      <xdr:row>366</xdr:row>
      <xdr:rowOff>0</xdr:rowOff>
    </xdr:from>
    <xdr:to>
      <xdr:col>13</xdr:col>
      <xdr:colOff>279400</xdr:colOff>
      <xdr:row>372</xdr:row>
      <xdr:rowOff>131302</xdr:rowOff>
    </xdr:to>
    <xdr:pic>
      <xdr:nvPicPr>
        <xdr:cNvPr id="796" name="Picture 795">
          <a:extLst>
            <a:ext uri="{FF2B5EF4-FFF2-40B4-BE49-F238E27FC236}">
              <a16:creationId xmlns:a16="http://schemas.microsoft.com/office/drawing/2014/main" id="{4BA8FDE2-8232-463E-A553-36F26A9EE3A1}"/>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2778740" y="128648460"/>
          <a:ext cx="279400" cy="1015222"/>
        </a:xfrm>
        <a:prstGeom prst="rect">
          <a:avLst/>
        </a:prstGeom>
      </xdr:spPr>
    </xdr:pic>
    <xdr:clientData/>
  </xdr:twoCellAnchor>
  <xdr:twoCellAnchor editAs="oneCell">
    <xdr:from>
      <xdr:col>15</xdr:col>
      <xdr:colOff>0</xdr:colOff>
      <xdr:row>366</xdr:row>
      <xdr:rowOff>0</xdr:rowOff>
    </xdr:from>
    <xdr:to>
      <xdr:col>15</xdr:col>
      <xdr:colOff>279400</xdr:colOff>
      <xdr:row>372</xdr:row>
      <xdr:rowOff>131302</xdr:rowOff>
    </xdr:to>
    <xdr:pic>
      <xdr:nvPicPr>
        <xdr:cNvPr id="797" name="Picture 796">
          <a:extLst>
            <a:ext uri="{FF2B5EF4-FFF2-40B4-BE49-F238E27FC236}">
              <a16:creationId xmlns:a16="http://schemas.microsoft.com/office/drawing/2014/main" id="{D469BDC6-D857-462F-886A-6989094233C8}"/>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4599920" y="128648460"/>
          <a:ext cx="279400" cy="1015222"/>
        </a:xfrm>
        <a:prstGeom prst="rect">
          <a:avLst/>
        </a:prstGeom>
      </xdr:spPr>
    </xdr:pic>
    <xdr:clientData/>
  </xdr:twoCellAnchor>
  <xdr:twoCellAnchor editAs="oneCell">
    <xdr:from>
      <xdr:col>17</xdr:col>
      <xdr:colOff>0</xdr:colOff>
      <xdr:row>366</xdr:row>
      <xdr:rowOff>0</xdr:rowOff>
    </xdr:from>
    <xdr:to>
      <xdr:col>17</xdr:col>
      <xdr:colOff>279400</xdr:colOff>
      <xdr:row>372</xdr:row>
      <xdr:rowOff>131302</xdr:rowOff>
    </xdr:to>
    <xdr:pic>
      <xdr:nvPicPr>
        <xdr:cNvPr id="798" name="Picture 797">
          <a:extLst>
            <a:ext uri="{FF2B5EF4-FFF2-40B4-BE49-F238E27FC236}">
              <a16:creationId xmlns:a16="http://schemas.microsoft.com/office/drawing/2014/main" id="{846D2A78-4BF2-4FE0-BE3B-A614510AA26D}"/>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6383000" y="128648460"/>
          <a:ext cx="279400" cy="1015222"/>
        </a:xfrm>
        <a:prstGeom prst="rect">
          <a:avLst/>
        </a:prstGeom>
      </xdr:spPr>
    </xdr:pic>
    <xdr:clientData/>
  </xdr:twoCellAnchor>
  <xdr:twoCellAnchor editAs="oneCell">
    <xdr:from>
      <xdr:col>3</xdr:col>
      <xdr:colOff>0</xdr:colOff>
      <xdr:row>376</xdr:row>
      <xdr:rowOff>0</xdr:rowOff>
    </xdr:from>
    <xdr:to>
      <xdr:col>3</xdr:col>
      <xdr:colOff>279400</xdr:colOff>
      <xdr:row>380</xdr:row>
      <xdr:rowOff>199882</xdr:rowOff>
    </xdr:to>
    <xdr:pic>
      <xdr:nvPicPr>
        <xdr:cNvPr id="799" name="Picture 798">
          <a:extLst>
            <a:ext uri="{FF2B5EF4-FFF2-40B4-BE49-F238E27FC236}">
              <a16:creationId xmlns:a16="http://schemas.microsoft.com/office/drawing/2014/main" id="{E0CC5BD7-34AD-4DD8-BD91-AA72E53E524A}"/>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3032760" y="132382260"/>
          <a:ext cx="279400" cy="1015222"/>
        </a:xfrm>
        <a:prstGeom prst="rect">
          <a:avLst/>
        </a:prstGeom>
      </xdr:spPr>
    </xdr:pic>
    <xdr:clientData/>
  </xdr:twoCellAnchor>
  <xdr:twoCellAnchor editAs="oneCell">
    <xdr:from>
      <xdr:col>9</xdr:col>
      <xdr:colOff>0</xdr:colOff>
      <xdr:row>264</xdr:row>
      <xdr:rowOff>0</xdr:rowOff>
    </xdr:from>
    <xdr:to>
      <xdr:col>9</xdr:col>
      <xdr:colOff>279400</xdr:colOff>
      <xdr:row>270</xdr:row>
      <xdr:rowOff>123682</xdr:rowOff>
    </xdr:to>
    <xdr:pic>
      <xdr:nvPicPr>
        <xdr:cNvPr id="800" name="Picture 799">
          <a:extLst>
            <a:ext uri="{FF2B5EF4-FFF2-40B4-BE49-F238E27FC236}">
              <a16:creationId xmlns:a16="http://schemas.microsoft.com/office/drawing/2014/main" id="{C0333827-FF98-47D5-BD6E-376ECBF11551}"/>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9570720" y="91340940"/>
          <a:ext cx="279400" cy="1007602"/>
        </a:xfrm>
        <a:prstGeom prst="rect">
          <a:avLst/>
        </a:prstGeom>
      </xdr:spPr>
    </xdr:pic>
    <xdr:clientData/>
  </xdr:twoCellAnchor>
  <xdr:twoCellAnchor editAs="oneCell">
    <xdr:from>
      <xdr:col>1</xdr:col>
      <xdr:colOff>0</xdr:colOff>
      <xdr:row>264</xdr:row>
      <xdr:rowOff>0</xdr:rowOff>
    </xdr:from>
    <xdr:to>
      <xdr:col>1</xdr:col>
      <xdr:colOff>279400</xdr:colOff>
      <xdr:row>270</xdr:row>
      <xdr:rowOff>123682</xdr:rowOff>
    </xdr:to>
    <xdr:pic>
      <xdr:nvPicPr>
        <xdr:cNvPr id="801" name="Picture 800">
          <a:extLst>
            <a:ext uri="{FF2B5EF4-FFF2-40B4-BE49-F238E27FC236}">
              <a16:creationId xmlns:a16="http://schemas.microsoft.com/office/drawing/2014/main" id="{36FF6906-D4C6-47FD-9ECD-906E7D21B2FE}"/>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264920" y="91340940"/>
          <a:ext cx="279400" cy="1007602"/>
        </a:xfrm>
        <a:prstGeom prst="rect">
          <a:avLst/>
        </a:prstGeom>
      </xdr:spPr>
    </xdr:pic>
    <xdr:clientData/>
  </xdr:twoCellAnchor>
  <xdr:twoCellAnchor editAs="oneCell">
    <xdr:from>
      <xdr:col>23</xdr:col>
      <xdr:colOff>0</xdr:colOff>
      <xdr:row>255</xdr:row>
      <xdr:rowOff>0</xdr:rowOff>
    </xdr:from>
    <xdr:to>
      <xdr:col>23</xdr:col>
      <xdr:colOff>279400</xdr:colOff>
      <xdr:row>261</xdr:row>
      <xdr:rowOff>138922</xdr:rowOff>
    </xdr:to>
    <xdr:pic>
      <xdr:nvPicPr>
        <xdr:cNvPr id="802" name="Picture 801">
          <a:extLst>
            <a:ext uri="{FF2B5EF4-FFF2-40B4-BE49-F238E27FC236}">
              <a16:creationId xmlns:a16="http://schemas.microsoft.com/office/drawing/2014/main" id="{D0114A6C-A8A5-4250-9DD2-6F5A9BE60986}"/>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21602700" y="88216740"/>
          <a:ext cx="279400" cy="1022842"/>
        </a:xfrm>
        <a:prstGeom prst="rect">
          <a:avLst/>
        </a:prstGeom>
      </xdr:spPr>
    </xdr:pic>
    <xdr:clientData/>
  </xdr:twoCellAnchor>
  <xdr:twoCellAnchor editAs="oneCell">
    <xdr:from>
      <xdr:col>21</xdr:col>
      <xdr:colOff>0</xdr:colOff>
      <xdr:row>255</xdr:row>
      <xdr:rowOff>0</xdr:rowOff>
    </xdr:from>
    <xdr:to>
      <xdr:col>21</xdr:col>
      <xdr:colOff>279400</xdr:colOff>
      <xdr:row>261</xdr:row>
      <xdr:rowOff>138922</xdr:rowOff>
    </xdr:to>
    <xdr:pic>
      <xdr:nvPicPr>
        <xdr:cNvPr id="803" name="Picture 802">
          <a:extLst>
            <a:ext uri="{FF2B5EF4-FFF2-40B4-BE49-F238E27FC236}">
              <a16:creationId xmlns:a16="http://schemas.microsoft.com/office/drawing/2014/main" id="{7570D332-668E-4D4F-BB61-4EABF09CF551}"/>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9682460" y="88216740"/>
          <a:ext cx="279400" cy="1022842"/>
        </a:xfrm>
        <a:prstGeom prst="rect">
          <a:avLst/>
        </a:prstGeom>
      </xdr:spPr>
    </xdr:pic>
    <xdr:clientData/>
  </xdr:twoCellAnchor>
  <xdr:twoCellAnchor editAs="oneCell">
    <xdr:from>
      <xdr:col>19</xdr:col>
      <xdr:colOff>0</xdr:colOff>
      <xdr:row>255</xdr:row>
      <xdr:rowOff>0</xdr:rowOff>
    </xdr:from>
    <xdr:to>
      <xdr:col>19</xdr:col>
      <xdr:colOff>279400</xdr:colOff>
      <xdr:row>261</xdr:row>
      <xdr:rowOff>138922</xdr:rowOff>
    </xdr:to>
    <xdr:pic>
      <xdr:nvPicPr>
        <xdr:cNvPr id="804" name="Picture 803">
          <a:extLst>
            <a:ext uri="{FF2B5EF4-FFF2-40B4-BE49-F238E27FC236}">
              <a16:creationId xmlns:a16="http://schemas.microsoft.com/office/drawing/2014/main" id="{E93ADAE6-E256-4254-BCB6-7B3F193CC229}"/>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8006060" y="88216740"/>
          <a:ext cx="279400" cy="1022842"/>
        </a:xfrm>
        <a:prstGeom prst="rect">
          <a:avLst/>
        </a:prstGeom>
      </xdr:spPr>
    </xdr:pic>
    <xdr:clientData/>
  </xdr:twoCellAnchor>
  <xdr:twoCellAnchor editAs="oneCell">
    <xdr:from>
      <xdr:col>9</xdr:col>
      <xdr:colOff>0</xdr:colOff>
      <xdr:row>255</xdr:row>
      <xdr:rowOff>0</xdr:rowOff>
    </xdr:from>
    <xdr:to>
      <xdr:col>9</xdr:col>
      <xdr:colOff>279400</xdr:colOff>
      <xdr:row>261</xdr:row>
      <xdr:rowOff>138922</xdr:rowOff>
    </xdr:to>
    <xdr:pic>
      <xdr:nvPicPr>
        <xdr:cNvPr id="805" name="Picture 804">
          <a:extLst>
            <a:ext uri="{FF2B5EF4-FFF2-40B4-BE49-F238E27FC236}">
              <a16:creationId xmlns:a16="http://schemas.microsoft.com/office/drawing/2014/main" id="{9AD9C528-A1D8-4B8A-9F53-871B39DE6F1E}"/>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9570720" y="88216740"/>
          <a:ext cx="279400" cy="1022842"/>
        </a:xfrm>
        <a:prstGeom prst="rect">
          <a:avLst/>
        </a:prstGeom>
      </xdr:spPr>
    </xdr:pic>
    <xdr:clientData/>
  </xdr:twoCellAnchor>
  <xdr:twoCellAnchor editAs="oneCell">
    <xdr:from>
      <xdr:col>7</xdr:col>
      <xdr:colOff>0</xdr:colOff>
      <xdr:row>255</xdr:row>
      <xdr:rowOff>0</xdr:rowOff>
    </xdr:from>
    <xdr:to>
      <xdr:col>7</xdr:col>
      <xdr:colOff>279400</xdr:colOff>
      <xdr:row>261</xdr:row>
      <xdr:rowOff>138922</xdr:rowOff>
    </xdr:to>
    <xdr:pic>
      <xdr:nvPicPr>
        <xdr:cNvPr id="806" name="Picture 805">
          <a:extLst>
            <a:ext uri="{FF2B5EF4-FFF2-40B4-BE49-F238E27FC236}">
              <a16:creationId xmlns:a16="http://schemas.microsoft.com/office/drawing/2014/main" id="{66701FD2-5A25-451A-8106-B1A03349C1A3}"/>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421880" y="88216740"/>
          <a:ext cx="279400" cy="1022842"/>
        </a:xfrm>
        <a:prstGeom prst="rect">
          <a:avLst/>
        </a:prstGeom>
      </xdr:spPr>
    </xdr:pic>
    <xdr:clientData/>
  </xdr:twoCellAnchor>
  <xdr:twoCellAnchor editAs="oneCell">
    <xdr:from>
      <xdr:col>5</xdr:col>
      <xdr:colOff>0</xdr:colOff>
      <xdr:row>255</xdr:row>
      <xdr:rowOff>0</xdr:rowOff>
    </xdr:from>
    <xdr:to>
      <xdr:col>5</xdr:col>
      <xdr:colOff>279400</xdr:colOff>
      <xdr:row>261</xdr:row>
      <xdr:rowOff>138922</xdr:rowOff>
    </xdr:to>
    <xdr:pic>
      <xdr:nvPicPr>
        <xdr:cNvPr id="807" name="Picture 806">
          <a:extLst>
            <a:ext uri="{FF2B5EF4-FFF2-40B4-BE49-F238E27FC236}">
              <a16:creationId xmlns:a16="http://schemas.microsoft.com/office/drawing/2014/main" id="{0801F638-43E3-40A1-8597-0876ACC53203}"/>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5273040" y="88216740"/>
          <a:ext cx="279400" cy="1022842"/>
        </a:xfrm>
        <a:prstGeom prst="rect">
          <a:avLst/>
        </a:prstGeom>
      </xdr:spPr>
    </xdr:pic>
    <xdr:clientData/>
  </xdr:twoCellAnchor>
  <xdr:twoCellAnchor editAs="oneCell">
    <xdr:from>
      <xdr:col>3</xdr:col>
      <xdr:colOff>0</xdr:colOff>
      <xdr:row>255</xdr:row>
      <xdr:rowOff>0</xdr:rowOff>
    </xdr:from>
    <xdr:to>
      <xdr:col>3</xdr:col>
      <xdr:colOff>279400</xdr:colOff>
      <xdr:row>261</xdr:row>
      <xdr:rowOff>138922</xdr:rowOff>
    </xdr:to>
    <xdr:pic>
      <xdr:nvPicPr>
        <xdr:cNvPr id="808" name="Picture 807">
          <a:extLst>
            <a:ext uri="{FF2B5EF4-FFF2-40B4-BE49-F238E27FC236}">
              <a16:creationId xmlns:a16="http://schemas.microsoft.com/office/drawing/2014/main" id="{38E47457-5CAA-4F50-96D3-E978E320B4E9}"/>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3032760" y="88216740"/>
          <a:ext cx="279400" cy="1022842"/>
        </a:xfrm>
        <a:prstGeom prst="rect">
          <a:avLst/>
        </a:prstGeom>
      </xdr:spPr>
    </xdr:pic>
    <xdr:clientData/>
  </xdr:twoCellAnchor>
  <xdr:twoCellAnchor editAs="oneCell">
    <xdr:from>
      <xdr:col>23</xdr:col>
      <xdr:colOff>0</xdr:colOff>
      <xdr:row>247</xdr:row>
      <xdr:rowOff>0</xdr:rowOff>
    </xdr:from>
    <xdr:to>
      <xdr:col>23</xdr:col>
      <xdr:colOff>279400</xdr:colOff>
      <xdr:row>253</xdr:row>
      <xdr:rowOff>131302</xdr:rowOff>
    </xdr:to>
    <xdr:pic>
      <xdr:nvPicPr>
        <xdr:cNvPr id="809" name="Picture 808">
          <a:extLst>
            <a:ext uri="{FF2B5EF4-FFF2-40B4-BE49-F238E27FC236}">
              <a16:creationId xmlns:a16="http://schemas.microsoft.com/office/drawing/2014/main" id="{B08CEE83-E70D-4F91-AD54-805CD310C9DE}"/>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21602700" y="85435440"/>
          <a:ext cx="279400" cy="1015222"/>
        </a:xfrm>
        <a:prstGeom prst="rect">
          <a:avLst/>
        </a:prstGeom>
      </xdr:spPr>
    </xdr:pic>
    <xdr:clientData/>
  </xdr:twoCellAnchor>
  <xdr:twoCellAnchor editAs="oneCell">
    <xdr:from>
      <xdr:col>21</xdr:col>
      <xdr:colOff>0</xdr:colOff>
      <xdr:row>247</xdr:row>
      <xdr:rowOff>0</xdr:rowOff>
    </xdr:from>
    <xdr:to>
      <xdr:col>21</xdr:col>
      <xdr:colOff>279400</xdr:colOff>
      <xdr:row>253</xdr:row>
      <xdr:rowOff>131302</xdr:rowOff>
    </xdr:to>
    <xdr:pic>
      <xdr:nvPicPr>
        <xdr:cNvPr id="810" name="Picture 809">
          <a:extLst>
            <a:ext uri="{FF2B5EF4-FFF2-40B4-BE49-F238E27FC236}">
              <a16:creationId xmlns:a16="http://schemas.microsoft.com/office/drawing/2014/main" id="{0BF3DF4E-03B5-4429-8D9E-E4DAA390884C}"/>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9682460" y="85435440"/>
          <a:ext cx="279400" cy="1015222"/>
        </a:xfrm>
        <a:prstGeom prst="rect">
          <a:avLst/>
        </a:prstGeom>
      </xdr:spPr>
    </xdr:pic>
    <xdr:clientData/>
  </xdr:twoCellAnchor>
  <xdr:twoCellAnchor editAs="oneCell">
    <xdr:from>
      <xdr:col>19</xdr:col>
      <xdr:colOff>0</xdr:colOff>
      <xdr:row>247</xdr:row>
      <xdr:rowOff>0</xdr:rowOff>
    </xdr:from>
    <xdr:to>
      <xdr:col>19</xdr:col>
      <xdr:colOff>279400</xdr:colOff>
      <xdr:row>253</xdr:row>
      <xdr:rowOff>131302</xdr:rowOff>
    </xdr:to>
    <xdr:pic>
      <xdr:nvPicPr>
        <xdr:cNvPr id="811" name="Picture 810">
          <a:extLst>
            <a:ext uri="{FF2B5EF4-FFF2-40B4-BE49-F238E27FC236}">
              <a16:creationId xmlns:a16="http://schemas.microsoft.com/office/drawing/2014/main" id="{AA7518C0-4C44-43A0-AAC9-D6499317CECD}"/>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8006060" y="85435440"/>
          <a:ext cx="279400" cy="1015222"/>
        </a:xfrm>
        <a:prstGeom prst="rect">
          <a:avLst/>
        </a:prstGeom>
      </xdr:spPr>
    </xdr:pic>
    <xdr:clientData/>
  </xdr:twoCellAnchor>
  <xdr:twoCellAnchor editAs="oneCell">
    <xdr:from>
      <xdr:col>17</xdr:col>
      <xdr:colOff>0</xdr:colOff>
      <xdr:row>247</xdr:row>
      <xdr:rowOff>0</xdr:rowOff>
    </xdr:from>
    <xdr:to>
      <xdr:col>17</xdr:col>
      <xdr:colOff>279400</xdr:colOff>
      <xdr:row>253</xdr:row>
      <xdr:rowOff>131302</xdr:rowOff>
    </xdr:to>
    <xdr:pic>
      <xdr:nvPicPr>
        <xdr:cNvPr id="812" name="Picture 811">
          <a:extLst>
            <a:ext uri="{FF2B5EF4-FFF2-40B4-BE49-F238E27FC236}">
              <a16:creationId xmlns:a16="http://schemas.microsoft.com/office/drawing/2014/main" id="{B5FC0979-8E3F-4C44-B4C7-612A9B254B25}"/>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6383000" y="85435440"/>
          <a:ext cx="279400" cy="1015222"/>
        </a:xfrm>
        <a:prstGeom prst="rect">
          <a:avLst/>
        </a:prstGeom>
      </xdr:spPr>
    </xdr:pic>
    <xdr:clientData/>
  </xdr:twoCellAnchor>
  <xdr:twoCellAnchor editAs="oneCell">
    <xdr:from>
      <xdr:col>15</xdr:col>
      <xdr:colOff>0</xdr:colOff>
      <xdr:row>247</xdr:row>
      <xdr:rowOff>0</xdr:rowOff>
    </xdr:from>
    <xdr:to>
      <xdr:col>15</xdr:col>
      <xdr:colOff>279400</xdr:colOff>
      <xdr:row>253</xdr:row>
      <xdr:rowOff>131302</xdr:rowOff>
    </xdr:to>
    <xdr:pic>
      <xdr:nvPicPr>
        <xdr:cNvPr id="813" name="Picture 812">
          <a:extLst>
            <a:ext uri="{FF2B5EF4-FFF2-40B4-BE49-F238E27FC236}">
              <a16:creationId xmlns:a16="http://schemas.microsoft.com/office/drawing/2014/main" id="{40BA6F69-9AE8-4FAF-90BE-169518A91085}"/>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4599920" y="85435440"/>
          <a:ext cx="279400" cy="1015222"/>
        </a:xfrm>
        <a:prstGeom prst="rect">
          <a:avLst/>
        </a:prstGeom>
      </xdr:spPr>
    </xdr:pic>
    <xdr:clientData/>
  </xdr:twoCellAnchor>
  <xdr:twoCellAnchor editAs="oneCell">
    <xdr:from>
      <xdr:col>13</xdr:col>
      <xdr:colOff>0</xdr:colOff>
      <xdr:row>247</xdr:row>
      <xdr:rowOff>0</xdr:rowOff>
    </xdr:from>
    <xdr:to>
      <xdr:col>13</xdr:col>
      <xdr:colOff>279400</xdr:colOff>
      <xdr:row>253</xdr:row>
      <xdr:rowOff>131302</xdr:rowOff>
    </xdr:to>
    <xdr:pic>
      <xdr:nvPicPr>
        <xdr:cNvPr id="814" name="Picture 813">
          <a:extLst>
            <a:ext uri="{FF2B5EF4-FFF2-40B4-BE49-F238E27FC236}">
              <a16:creationId xmlns:a16="http://schemas.microsoft.com/office/drawing/2014/main" id="{5C3C9539-2556-4DFD-8F00-E32BBE947E7D}"/>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2778740" y="85435440"/>
          <a:ext cx="279400" cy="1015222"/>
        </a:xfrm>
        <a:prstGeom prst="rect">
          <a:avLst/>
        </a:prstGeom>
      </xdr:spPr>
    </xdr:pic>
    <xdr:clientData/>
  </xdr:twoCellAnchor>
  <xdr:twoCellAnchor editAs="oneCell">
    <xdr:from>
      <xdr:col>11</xdr:col>
      <xdr:colOff>0</xdr:colOff>
      <xdr:row>247</xdr:row>
      <xdr:rowOff>0</xdr:rowOff>
    </xdr:from>
    <xdr:to>
      <xdr:col>11</xdr:col>
      <xdr:colOff>279400</xdr:colOff>
      <xdr:row>253</xdr:row>
      <xdr:rowOff>131302</xdr:rowOff>
    </xdr:to>
    <xdr:pic>
      <xdr:nvPicPr>
        <xdr:cNvPr id="815" name="Picture 814">
          <a:extLst>
            <a:ext uri="{FF2B5EF4-FFF2-40B4-BE49-F238E27FC236}">
              <a16:creationId xmlns:a16="http://schemas.microsoft.com/office/drawing/2014/main" id="{2406F798-36E0-4295-9C07-DB882AFEF22D}"/>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1140440" y="85435440"/>
          <a:ext cx="279400" cy="1015222"/>
        </a:xfrm>
        <a:prstGeom prst="rect">
          <a:avLst/>
        </a:prstGeom>
      </xdr:spPr>
    </xdr:pic>
    <xdr:clientData/>
  </xdr:twoCellAnchor>
  <xdr:twoCellAnchor editAs="oneCell">
    <xdr:from>
      <xdr:col>9</xdr:col>
      <xdr:colOff>0</xdr:colOff>
      <xdr:row>247</xdr:row>
      <xdr:rowOff>0</xdr:rowOff>
    </xdr:from>
    <xdr:to>
      <xdr:col>9</xdr:col>
      <xdr:colOff>279400</xdr:colOff>
      <xdr:row>253</xdr:row>
      <xdr:rowOff>131302</xdr:rowOff>
    </xdr:to>
    <xdr:pic>
      <xdr:nvPicPr>
        <xdr:cNvPr id="816" name="Picture 815">
          <a:extLst>
            <a:ext uri="{FF2B5EF4-FFF2-40B4-BE49-F238E27FC236}">
              <a16:creationId xmlns:a16="http://schemas.microsoft.com/office/drawing/2014/main" id="{1D933E5C-3DA2-453F-8B34-25704DF417B8}"/>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9570720" y="85435440"/>
          <a:ext cx="279400" cy="1015222"/>
        </a:xfrm>
        <a:prstGeom prst="rect">
          <a:avLst/>
        </a:prstGeom>
      </xdr:spPr>
    </xdr:pic>
    <xdr:clientData/>
  </xdr:twoCellAnchor>
  <xdr:twoCellAnchor editAs="oneCell">
    <xdr:from>
      <xdr:col>7</xdr:col>
      <xdr:colOff>0</xdr:colOff>
      <xdr:row>247</xdr:row>
      <xdr:rowOff>0</xdr:rowOff>
    </xdr:from>
    <xdr:to>
      <xdr:col>7</xdr:col>
      <xdr:colOff>279400</xdr:colOff>
      <xdr:row>253</xdr:row>
      <xdr:rowOff>131302</xdr:rowOff>
    </xdr:to>
    <xdr:pic>
      <xdr:nvPicPr>
        <xdr:cNvPr id="817" name="Picture 816">
          <a:extLst>
            <a:ext uri="{FF2B5EF4-FFF2-40B4-BE49-F238E27FC236}">
              <a16:creationId xmlns:a16="http://schemas.microsoft.com/office/drawing/2014/main" id="{F905A650-4A42-4FBA-8D6C-C789EAB9B2BC}"/>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421880" y="85435440"/>
          <a:ext cx="279400" cy="1015222"/>
        </a:xfrm>
        <a:prstGeom prst="rect">
          <a:avLst/>
        </a:prstGeom>
      </xdr:spPr>
    </xdr:pic>
    <xdr:clientData/>
  </xdr:twoCellAnchor>
  <xdr:twoCellAnchor editAs="oneCell">
    <xdr:from>
      <xdr:col>3</xdr:col>
      <xdr:colOff>0</xdr:colOff>
      <xdr:row>247</xdr:row>
      <xdr:rowOff>0</xdr:rowOff>
    </xdr:from>
    <xdr:to>
      <xdr:col>3</xdr:col>
      <xdr:colOff>279400</xdr:colOff>
      <xdr:row>253</xdr:row>
      <xdr:rowOff>131302</xdr:rowOff>
    </xdr:to>
    <xdr:pic>
      <xdr:nvPicPr>
        <xdr:cNvPr id="818" name="Picture 817">
          <a:extLst>
            <a:ext uri="{FF2B5EF4-FFF2-40B4-BE49-F238E27FC236}">
              <a16:creationId xmlns:a16="http://schemas.microsoft.com/office/drawing/2014/main" id="{E5C352F3-04BF-4371-AF1A-8D1DCEB56164}"/>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3032760" y="85435440"/>
          <a:ext cx="279400" cy="1015222"/>
        </a:xfrm>
        <a:prstGeom prst="rect">
          <a:avLst/>
        </a:prstGeom>
      </xdr:spPr>
    </xdr:pic>
    <xdr:clientData/>
  </xdr:twoCellAnchor>
  <xdr:twoCellAnchor editAs="oneCell">
    <xdr:from>
      <xdr:col>17</xdr:col>
      <xdr:colOff>0</xdr:colOff>
      <xdr:row>239</xdr:row>
      <xdr:rowOff>0</xdr:rowOff>
    </xdr:from>
    <xdr:to>
      <xdr:col>17</xdr:col>
      <xdr:colOff>279400</xdr:colOff>
      <xdr:row>245</xdr:row>
      <xdr:rowOff>39862</xdr:rowOff>
    </xdr:to>
    <xdr:pic>
      <xdr:nvPicPr>
        <xdr:cNvPr id="819" name="Picture 818">
          <a:extLst>
            <a:ext uri="{FF2B5EF4-FFF2-40B4-BE49-F238E27FC236}">
              <a16:creationId xmlns:a16="http://schemas.microsoft.com/office/drawing/2014/main" id="{08CFEE72-B2B2-4F03-8714-462AF933877A}"/>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6383000" y="82631280"/>
          <a:ext cx="279400" cy="1022842"/>
        </a:xfrm>
        <a:prstGeom prst="rect">
          <a:avLst/>
        </a:prstGeom>
      </xdr:spPr>
    </xdr:pic>
    <xdr:clientData/>
  </xdr:twoCellAnchor>
  <xdr:twoCellAnchor editAs="oneCell">
    <xdr:from>
      <xdr:col>3</xdr:col>
      <xdr:colOff>0</xdr:colOff>
      <xdr:row>239</xdr:row>
      <xdr:rowOff>0</xdr:rowOff>
    </xdr:from>
    <xdr:to>
      <xdr:col>3</xdr:col>
      <xdr:colOff>279400</xdr:colOff>
      <xdr:row>245</xdr:row>
      <xdr:rowOff>39862</xdr:rowOff>
    </xdr:to>
    <xdr:pic>
      <xdr:nvPicPr>
        <xdr:cNvPr id="820" name="Picture 819">
          <a:extLst>
            <a:ext uri="{FF2B5EF4-FFF2-40B4-BE49-F238E27FC236}">
              <a16:creationId xmlns:a16="http://schemas.microsoft.com/office/drawing/2014/main" id="{54519330-83D3-4214-B3C6-A58525A3B49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3032760" y="82631280"/>
          <a:ext cx="279400" cy="1022842"/>
        </a:xfrm>
        <a:prstGeom prst="rect">
          <a:avLst/>
        </a:prstGeom>
      </xdr:spPr>
    </xdr:pic>
    <xdr:clientData/>
  </xdr:twoCellAnchor>
  <xdr:twoCellAnchor editAs="oneCell">
    <xdr:from>
      <xdr:col>1</xdr:col>
      <xdr:colOff>0</xdr:colOff>
      <xdr:row>239</xdr:row>
      <xdr:rowOff>0</xdr:rowOff>
    </xdr:from>
    <xdr:to>
      <xdr:col>1</xdr:col>
      <xdr:colOff>279400</xdr:colOff>
      <xdr:row>245</xdr:row>
      <xdr:rowOff>39862</xdr:rowOff>
    </xdr:to>
    <xdr:pic>
      <xdr:nvPicPr>
        <xdr:cNvPr id="821" name="Picture 820">
          <a:extLst>
            <a:ext uri="{FF2B5EF4-FFF2-40B4-BE49-F238E27FC236}">
              <a16:creationId xmlns:a16="http://schemas.microsoft.com/office/drawing/2014/main" id="{219DED23-2483-4395-AC04-7B946EB6B6F7}"/>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264920" y="82631280"/>
          <a:ext cx="279400" cy="1022842"/>
        </a:xfrm>
        <a:prstGeom prst="rect">
          <a:avLst/>
        </a:prstGeom>
      </xdr:spPr>
    </xdr:pic>
    <xdr:clientData/>
  </xdr:twoCellAnchor>
  <xdr:twoCellAnchor editAs="oneCell">
    <xdr:from>
      <xdr:col>15</xdr:col>
      <xdr:colOff>0</xdr:colOff>
      <xdr:row>229</xdr:row>
      <xdr:rowOff>0</xdr:rowOff>
    </xdr:from>
    <xdr:to>
      <xdr:col>15</xdr:col>
      <xdr:colOff>299110</xdr:colOff>
      <xdr:row>236</xdr:row>
      <xdr:rowOff>32334</xdr:rowOff>
    </xdr:to>
    <xdr:pic>
      <xdr:nvPicPr>
        <xdr:cNvPr id="822" name="Picture 821">
          <a:extLst>
            <a:ext uri="{FF2B5EF4-FFF2-40B4-BE49-F238E27FC236}">
              <a16:creationId xmlns:a16="http://schemas.microsoft.com/office/drawing/2014/main" id="{7C715B0D-5866-467F-B585-C8F7A8B953BC}"/>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4599920" y="78973680"/>
          <a:ext cx="299110" cy="1083894"/>
        </a:xfrm>
        <a:prstGeom prst="rect">
          <a:avLst/>
        </a:prstGeom>
      </xdr:spPr>
    </xdr:pic>
    <xdr:clientData/>
  </xdr:twoCellAnchor>
  <xdr:twoCellAnchor editAs="oneCell">
    <xdr:from>
      <xdr:col>17</xdr:col>
      <xdr:colOff>76200</xdr:colOff>
      <xdr:row>229</xdr:row>
      <xdr:rowOff>-1</xdr:rowOff>
    </xdr:from>
    <xdr:to>
      <xdr:col>17</xdr:col>
      <xdr:colOff>335280</xdr:colOff>
      <xdr:row>235</xdr:row>
      <xdr:rowOff>239324</xdr:rowOff>
    </xdr:to>
    <xdr:pic>
      <xdr:nvPicPr>
        <xdr:cNvPr id="823" name="Picture 822">
          <a:extLst>
            <a:ext uri="{FF2B5EF4-FFF2-40B4-BE49-F238E27FC236}">
              <a16:creationId xmlns:a16="http://schemas.microsoft.com/office/drawing/2014/main" id="{8A959F7E-D592-4D71-98A0-2513574D29EE}"/>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6459200" y="78973679"/>
          <a:ext cx="259080" cy="1024185"/>
        </a:xfrm>
        <a:prstGeom prst="rect">
          <a:avLst/>
        </a:prstGeom>
      </xdr:spPr>
    </xdr:pic>
    <xdr:clientData/>
  </xdr:twoCellAnchor>
  <xdr:twoCellAnchor editAs="oneCell">
    <xdr:from>
      <xdr:col>5</xdr:col>
      <xdr:colOff>0</xdr:colOff>
      <xdr:row>229</xdr:row>
      <xdr:rowOff>0</xdr:rowOff>
    </xdr:from>
    <xdr:to>
      <xdr:col>5</xdr:col>
      <xdr:colOff>259080</xdr:colOff>
      <xdr:row>235</xdr:row>
      <xdr:rowOff>239325</xdr:rowOff>
    </xdr:to>
    <xdr:pic>
      <xdr:nvPicPr>
        <xdr:cNvPr id="824" name="Picture 823">
          <a:extLst>
            <a:ext uri="{FF2B5EF4-FFF2-40B4-BE49-F238E27FC236}">
              <a16:creationId xmlns:a16="http://schemas.microsoft.com/office/drawing/2014/main" id="{E624F934-FE4B-4822-B927-CCFAAFCC5311}"/>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5273040" y="78973680"/>
          <a:ext cx="259080" cy="1024185"/>
        </a:xfrm>
        <a:prstGeom prst="rect">
          <a:avLst/>
        </a:prstGeom>
      </xdr:spPr>
    </xdr:pic>
    <xdr:clientData/>
  </xdr:twoCellAnchor>
  <xdr:twoCellAnchor editAs="oneCell">
    <xdr:from>
      <xdr:col>3</xdr:col>
      <xdr:colOff>0</xdr:colOff>
      <xdr:row>229</xdr:row>
      <xdr:rowOff>0</xdr:rowOff>
    </xdr:from>
    <xdr:to>
      <xdr:col>3</xdr:col>
      <xdr:colOff>259080</xdr:colOff>
      <xdr:row>235</xdr:row>
      <xdr:rowOff>239325</xdr:rowOff>
    </xdr:to>
    <xdr:pic>
      <xdr:nvPicPr>
        <xdr:cNvPr id="825" name="Picture 824">
          <a:extLst>
            <a:ext uri="{FF2B5EF4-FFF2-40B4-BE49-F238E27FC236}">
              <a16:creationId xmlns:a16="http://schemas.microsoft.com/office/drawing/2014/main" id="{F42C074F-3D27-4C8F-B165-255F49C7318C}"/>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3032760" y="78973680"/>
          <a:ext cx="259080" cy="1024185"/>
        </a:xfrm>
        <a:prstGeom prst="rect">
          <a:avLst/>
        </a:prstGeom>
      </xdr:spPr>
    </xdr:pic>
    <xdr:clientData/>
  </xdr:twoCellAnchor>
  <xdr:twoCellAnchor editAs="oneCell">
    <xdr:from>
      <xdr:col>1</xdr:col>
      <xdr:colOff>0</xdr:colOff>
      <xdr:row>229</xdr:row>
      <xdr:rowOff>0</xdr:rowOff>
    </xdr:from>
    <xdr:to>
      <xdr:col>1</xdr:col>
      <xdr:colOff>259080</xdr:colOff>
      <xdr:row>235</xdr:row>
      <xdr:rowOff>239325</xdr:rowOff>
    </xdr:to>
    <xdr:pic>
      <xdr:nvPicPr>
        <xdr:cNvPr id="826" name="Picture 825">
          <a:extLst>
            <a:ext uri="{FF2B5EF4-FFF2-40B4-BE49-F238E27FC236}">
              <a16:creationId xmlns:a16="http://schemas.microsoft.com/office/drawing/2014/main" id="{97525A83-7F2B-47FF-9C81-E4037EE38E58}"/>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264920" y="78973680"/>
          <a:ext cx="259080" cy="1024185"/>
        </a:xfrm>
        <a:prstGeom prst="rect">
          <a:avLst/>
        </a:prstGeom>
      </xdr:spPr>
    </xdr:pic>
    <xdr:clientData/>
  </xdr:twoCellAnchor>
  <xdr:twoCellAnchor editAs="oneCell">
    <xdr:from>
      <xdr:col>13</xdr:col>
      <xdr:colOff>0</xdr:colOff>
      <xdr:row>220</xdr:row>
      <xdr:rowOff>0</xdr:rowOff>
    </xdr:from>
    <xdr:to>
      <xdr:col>13</xdr:col>
      <xdr:colOff>259080</xdr:colOff>
      <xdr:row>226</xdr:row>
      <xdr:rowOff>132645</xdr:rowOff>
    </xdr:to>
    <xdr:pic>
      <xdr:nvPicPr>
        <xdr:cNvPr id="827" name="Picture 826">
          <a:extLst>
            <a:ext uri="{FF2B5EF4-FFF2-40B4-BE49-F238E27FC236}">
              <a16:creationId xmlns:a16="http://schemas.microsoft.com/office/drawing/2014/main" id="{F6FDCE54-B561-4767-8765-DDB26BD93E87}"/>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2778740" y="75864720"/>
          <a:ext cx="259080" cy="1016565"/>
        </a:xfrm>
        <a:prstGeom prst="rect">
          <a:avLst/>
        </a:prstGeom>
      </xdr:spPr>
    </xdr:pic>
    <xdr:clientData/>
  </xdr:twoCellAnchor>
  <xdr:twoCellAnchor editAs="oneCell">
    <xdr:from>
      <xdr:col>19</xdr:col>
      <xdr:colOff>0</xdr:colOff>
      <xdr:row>220</xdr:row>
      <xdr:rowOff>0</xdr:rowOff>
    </xdr:from>
    <xdr:to>
      <xdr:col>19</xdr:col>
      <xdr:colOff>259080</xdr:colOff>
      <xdr:row>226</xdr:row>
      <xdr:rowOff>132645</xdr:rowOff>
    </xdr:to>
    <xdr:pic>
      <xdr:nvPicPr>
        <xdr:cNvPr id="828" name="Picture 827">
          <a:extLst>
            <a:ext uri="{FF2B5EF4-FFF2-40B4-BE49-F238E27FC236}">
              <a16:creationId xmlns:a16="http://schemas.microsoft.com/office/drawing/2014/main" id="{92DAA2DC-12CE-4E42-B4FC-6599C0826D37}"/>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8006060" y="75864720"/>
          <a:ext cx="259080" cy="1016565"/>
        </a:xfrm>
        <a:prstGeom prst="rect">
          <a:avLst/>
        </a:prstGeom>
      </xdr:spPr>
    </xdr:pic>
    <xdr:clientData/>
  </xdr:twoCellAnchor>
  <xdr:twoCellAnchor editAs="oneCell">
    <xdr:from>
      <xdr:col>21</xdr:col>
      <xdr:colOff>0</xdr:colOff>
      <xdr:row>220</xdr:row>
      <xdr:rowOff>0</xdr:rowOff>
    </xdr:from>
    <xdr:to>
      <xdr:col>21</xdr:col>
      <xdr:colOff>259080</xdr:colOff>
      <xdr:row>226</xdr:row>
      <xdr:rowOff>132645</xdr:rowOff>
    </xdr:to>
    <xdr:pic>
      <xdr:nvPicPr>
        <xdr:cNvPr id="829" name="Picture 828">
          <a:extLst>
            <a:ext uri="{FF2B5EF4-FFF2-40B4-BE49-F238E27FC236}">
              <a16:creationId xmlns:a16="http://schemas.microsoft.com/office/drawing/2014/main" id="{6AD5C427-1128-4220-B4BF-C24FD0729254}"/>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9682460" y="75864720"/>
          <a:ext cx="259080" cy="1016565"/>
        </a:xfrm>
        <a:prstGeom prst="rect">
          <a:avLst/>
        </a:prstGeom>
      </xdr:spPr>
    </xdr:pic>
    <xdr:clientData/>
  </xdr:twoCellAnchor>
  <xdr:twoCellAnchor editAs="oneCell">
    <xdr:from>
      <xdr:col>23</xdr:col>
      <xdr:colOff>0</xdr:colOff>
      <xdr:row>220</xdr:row>
      <xdr:rowOff>0</xdr:rowOff>
    </xdr:from>
    <xdr:to>
      <xdr:col>23</xdr:col>
      <xdr:colOff>259080</xdr:colOff>
      <xdr:row>226</xdr:row>
      <xdr:rowOff>132645</xdr:rowOff>
    </xdr:to>
    <xdr:pic>
      <xdr:nvPicPr>
        <xdr:cNvPr id="830" name="Picture 829">
          <a:extLst>
            <a:ext uri="{FF2B5EF4-FFF2-40B4-BE49-F238E27FC236}">
              <a16:creationId xmlns:a16="http://schemas.microsoft.com/office/drawing/2014/main" id="{5C0ACDB4-1418-46F8-AEED-D48D2D1FA101}"/>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21602700" y="75864720"/>
          <a:ext cx="259080" cy="1016565"/>
        </a:xfrm>
        <a:prstGeom prst="rect">
          <a:avLst/>
        </a:prstGeom>
      </xdr:spPr>
    </xdr:pic>
    <xdr:clientData/>
  </xdr:twoCellAnchor>
  <xdr:twoCellAnchor editAs="oneCell">
    <xdr:from>
      <xdr:col>9</xdr:col>
      <xdr:colOff>0</xdr:colOff>
      <xdr:row>220</xdr:row>
      <xdr:rowOff>0</xdr:rowOff>
    </xdr:from>
    <xdr:to>
      <xdr:col>9</xdr:col>
      <xdr:colOff>259080</xdr:colOff>
      <xdr:row>226</xdr:row>
      <xdr:rowOff>132645</xdr:rowOff>
    </xdr:to>
    <xdr:pic>
      <xdr:nvPicPr>
        <xdr:cNvPr id="831" name="Picture 830">
          <a:extLst>
            <a:ext uri="{FF2B5EF4-FFF2-40B4-BE49-F238E27FC236}">
              <a16:creationId xmlns:a16="http://schemas.microsoft.com/office/drawing/2014/main" id="{FE9606D0-A9DD-4F36-90AD-292C86010826}"/>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9570720" y="75864720"/>
          <a:ext cx="259080" cy="1016565"/>
        </a:xfrm>
        <a:prstGeom prst="rect">
          <a:avLst/>
        </a:prstGeom>
      </xdr:spPr>
    </xdr:pic>
    <xdr:clientData/>
  </xdr:twoCellAnchor>
  <xdr:twoCellAnchor editAs="oneCell">
    <xdr:from>
      <xdr:col>7</xdr:col>
      <xdr:colOff>0</xdr:colOff>
      <xdr:row>220</xdr:row>
      <xdr:rowOff>0</xdr:rowOff>
    </xdr:from>
    <xdr:to>
      <xdr:col>7</xdr:col>
      <xdr:colOff>259080</xdr:colOff>
      <xdr:row>226</xdr:row>
      <xdr:rowOff>132645</xdr:rowOff>
    </xdr:to>
    <xdr:pic>
      <xdr:nvPicPr>
        <xdr:cNvPr id="832" name="Picture 831">
          <a:extLst>
            <a:ext uri="{FF2B5EF4-FFF2-40B4-BE49-F238E27FC236}">
              <a16:creationId xmlns:a16="http://schemas.microsoft.com/office/drawing/2014/main" id="{9E9576F8-9087-4152-BD6B-E4B1E6CDB02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421880" y="75864720"/>
          <a:ext cx="259080" cy="1016565"/>
        </a:xfrm>
        <a:prstGeom prst="rect">
          <a:avLst/>
        </a:prstGeom>
      </xdr:spPr>
    </xdr:pic>
    <xdr:clientData/>
  </xdr:twoCellAnchor>
  <xdr:twoCellAnchor editAs="oneCell">
    <xdr:from>
      <xdr:col>5</xdr:col>
      <xdr:colOff>0</xdr:colOff>
      <xdr:row>220</xdr:row>
      <xdr:rowOff>0</xdr:rowOff>
    </xdr:from>
    <xdr:to>
      <xdr:col>5</xdr:col>
      <xdr:colOff>259080</xdr:colOff>
      <xdr:row>226</xdr:row>
      <xdr:rowOff>132645</xdr:rowOff>
    </xdr:to>
    <xdr:pic>
      <xdr:nvPicPr>
        <xdr:cNvPr id="833" name="Picture 832">
          <a:extLst>
            <a:ext uri="{FF2B5EF4-FFF2-40B4-BE49-F238E27FC236}">
              <a16:creationId xmlns:a16="http://schemas.microsoft.com/office/drawing/2014/main" id="{B0A7A6D8-8BC4-499A-8610-DFB586C2D906}"/>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5273040" y="75864720"/>
          <a:ext cx="259080" cy="1016565"/>
        </a:xfrm>
        <a:prstGeom prst="rect">
          <a:avLst/>
        </a:prstGeom>
      </xdr:spPr>
    </xdr:pic>
    <xdr:clientData/>
  </xdr:twoCellAnchor>
  <xdr:twoCellAnchor editAs="oneCell">
    <xdr:from>
      <xdr:col>3</xdr:col>
      <xdr:colOff>0</xdr:colOff>
      <xdr:row>220</xdr:row>
      <xdr:rowOff>0</xdr:rowOff>
    </xdr:from>
    <xdr:to>
      <xdr:col>3</xdr:col>
      <xdr:colOff>259080</xdr:colOff>
      <xdr:row>226</xdr:row>
      <xdr:rowOff>132645</xdr:rowOff>
    </xdr:to>
    <xdr:pic>
      <xdr:nvPicPr>
        <xdr:cNvPr id="834" name="Picture 833">
          <a:extLst>
            <a:ext uri="{FF2B5EF4-FFF2-40B4-BE49-F238E27FC236}">
              <a16:creationId xmlns:a16="http://schemas.microsoft.com/office/drawing/2014/main" id="{6B12754B-DBB2-4BFB-AA41-7975E784D2AB}"/>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3032760" y="75864720"/>
          <a:ext cx="259080" cy="1016565"/>
        </a:xfrm>
        <a:prstGeom prst="rect">
          <a:avLst/>
        </a:prstGeom>
      </xdr:spPr>
    </xdr:pic>
    <xdr:clientData/>
  </xdr:twoCellAnchor>
  <xdr:twoCellAnchor editAs="oneCell">
    <xdr:from>
      <xdr:col>23</xdr:col>
      <xdr:colOff>0</xdr:colOff>
      <xdr:row>211</xdr:row>
      <xdr:rowOff>0</xdr:rowOff>
    </xdr:from>
    <xdr:to>
      <xdr:col>23</xdr:col>
      <xdr:colOff>259080</xdr:colOff>
      <xdr:row>217</xdr:row>
      <xdr:rowOff>41205</xdr:rowOff>
    </xdr:to>
    <xdr:pic>
      <xdr:nvPicPr>
        <xdr:cNvPr id="835" name="Picture 834">
          <a:extLst>
            <a:ext uri="{FF2B5EF4-FFF2-40B4-BE49-F238E27FC236}">
              <a16:creationId xmlns:a16="http://schemas.microsoft.com/office/drawing/2014/main" id="{5BEAB619-65A0-46B3-938D-879135DC551B}"/>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21602700" y="72892920"/>
          <a:ext cx="259080" cy="1024185"/>
        </a:xfrm>
        <a:prstGeom prst="rect">
          <a:avLst/>
        </a:prstGeom>
      </xdr:spPr>
    </xdr:pic>
    <xdr:clientData/>
  </xdr:twoCellAnchor>
  <xdr:twoCellAnchor editAs="oneCell">
    <xdr:from>
      <xdr:col>11</xdr:col>
      <xdr:colOff>0</xdr:colOff>
      <xdr:row>211</xdr:row>
      <xdr:rowOff>0</xdr:rowOff>
    </xdr:from>
    <xdr:to>
      <xdr:col>11</xdr:col>
      <xdr:colOff>259080</xdr:colOff>
      <xdr:row>217</xdr:row>
      <xdr:rowOff>41205</xdr:rowOff>
    </xdr:to>
    <xdr:pic>
      <xdr:nvPicPr>
        <xdr:cNvPr id="836" name="Picture 835">
          <a:extLst>
            <a:ext uri="{FF2B5EF4-FFF2-40B4-BE49-F238E27FC236}">
              <a16:creationId xmlns:a16="http://schemas.microsoft.com/office/drawing/2014/main" id="{F30ACE25-BBCA-4BF1-BE09-08B27D21A9A5}"/>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1140440" y="72892920"/>
          <a:ext cx="259080" cy="1024185"/>
        </a:xfrm>
        <a:prstGeom prst="rect">
          <a:avLst/>
        </a:prstGeom>
      </xdr:spPr>
    </xdr:pic>
    <xdr:clientData/>
  </xdr:twoCellAnchor>
  <xdr:twoCellAnchor editAs="oneCell">
    <xdr:from>
      <xdr:col>5</xdr:col>
      <xdr:colOff>0</xdr:colOff>
      <xdr:row>211</xdr:row>
      <xdr:rowOff>0</xdr:rowOff>
    </xdr:from>
    <xdr:to>
      <xdr:col>5</xdr:col>
      <xdr:colOff>299110</xdr:colOff>
      <xdr:row>217</xdr:row>
      <xdr:rowOff>71281</xdr:rowOff>
    </xdr:to>
    <xdr:pic>
      <xdr:nvPicPr>
        <xdr:cNvPr id="837" name="Picture 836">
          <a:extLst>
            <a:ext uri="{FF2B5EF4-FFF2-40B4-BE49-F238E27FC236}">
              <a16:creationId xmlns:a16="http://schemas.microsoft.com/office/drawing/2014/main" id="{2FF1EDA1-2F8B-4AED-BDC4-17F11B4106BB}"/>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5273040" y="72892920"/>
          <a:ext cx="299110" cy="1054261"/>
        </a:xfrm>
        <a:prstGeom prst="rect">
          <a:avLst/>
        </a:prstGeom>
      </xdr:spPr>
    </xdr:pic>
    <xdr:clientData/>
  </xdr:twoCellAnchor>
  <xdr:twoCellAnchor editAs="oneCell">
    <xdr:from>
      <xdr:col>23</xdr:col>
      <xdr:colOff>0</xdr:colOff>
      <xdr:row>193</xdr:row>
      <xdr:rowOff>0</xdr:rowOff>
    </xdr:from>
    <xdr:to>
      <xdr:col>23</xdr:col>
      <xdr:colOff>299110</xdr:colOff>
      <xdr:row>199</xdr:row>
      <xdr:rowOff>71281</xdr:rowOff>
    </xdr:to>
    <xdr:pic>
      <xdr:nvPicPr>
        <xdr:cNvPr id="838" name="Picture 837">
          <a:extLst>
            <a:ext uri="{FF2B5EF4-FFF2-40B4-BE49-F238E27FC236}">
              <a16:creationId xmlns:a16="http://schemas.microsoft.com/office/drawing/2014/main" id="{7ECD4B5E-1605-4CEF-A96C-9AE3DE175921}"/>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21602700" y="66476880"/>
          <a:ext cx="299110" cy="1054261"/>
        </a:xfrm>
        <a:prstGeom prst="rect">
          <a:avLst/>
        </a:prstGeom>
      </xdr:spPr>
    </xdr:pic>
    <xdr:clientData/>
  </xdr:twoCellAnchor>
  <xdr:twoCellAnchor editAs="oneCell">
    <xdr:from>
      <xdr:col>13</xdr:col>
      <xdr:colOff>0</xdr:colOff>
      <xdr:row>175</xdr:row>
      <xdr:rowOff>0</xdr:rowOff>
    </xdr:from>
    <xdr:to>
      <xdr:col>13</xdr:col>
      <xdr:colOff>299110</xdr:colOff>
      <xdr:row>181</xdr:row>
      <xdr:rowOff>170341</xdr:rowOff>
    </xdr:to>
    <xdr:pic>
      <xdr:nvPicPr>
        <xdr:cNvPr id="839" name="Picture 838">
          <a:extLst>
            <a:ext uri="{FF2B5EF4-FFF2-40B4-BE49-F238E27FC236}">
              <a16:creationId xmlns:a16="http://schemas.microsoft.com/office/drawing/2014/main" id="{FD4A08FC-D146-498B-9AA2-B4D2B625714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2778740" y="59916060"/>
          <a:ext cx="299110" cy="1054261"/>
        </a:xfrm>
        <a:prstGeom prst="rect">
          <a:avLst/>
        </a:prstGeom>
      </xdr:spPr>
    </xdr:pic>
    <xdr:clientData/>
  </xdr:twoCellAnchor>
  <xdr:twoCellAnchor editAs="oneCell">
    <xdr:from>
      <xdr:col>23</xdr:col>
      <xdr:colOff>0</xdr:colOff>
      <xdr:row>175</xdr:row>
      <xdr:rowOff>0</xdr:rowOff>
    </xdr:from>
    <xdr:to>
      <xdr:col>23</xdr:col>
      <xdr:colOff>299110</xdr:colOff>
      <xdr:row>181</xdr:row>
      <xdr:rowOff>170341</xdr:rowOff>
    </xdr:to>
    <xdr:pic>
      <xdr:nvPicPr>
        <xdr:cNvPr id="840" name="Picture 839">
          <a:extLst>
            <a:ext uri="{FF2B5EF4-FFF2-40B4-BE49-F238E27FC236}">
              <a16:creationId xmlns:a16="http://schemas.microsoft.com/office/drawing/2014/main" id="{1E289444-8374-47A7-86BF-EB2A240AEF77}"/>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21602700" y="59916060"/>
          <a:ext cx="299110" cy="1054261"/>
        </a:xfrm>
        <a:prstGeom prst="rect">
          <a:avLst/>
        </a:prstGeom>
      </xdr:spPr>
    </xdr:pic>
    <xdr:clientData/>
  </xdr:twoCellAnchor>
  <xdr:twoCellAnchor editAs="oneCell">
    <xdr:from>
      <xdr:col>11</xdr:col>
      <xdr:colOff>0</xdr:colOff>
      <xdr:row>175</xdr:row>
      <xdr:rowOff>0</xdr:rowOff>
    </xdr:from>
    <xdr:to>
      <xdr:col>11</xdr:col>
      <xdr:colOff>299110</xdr:colOff>
      <xdr:row>181</xdr:row>
      <xdr:rowOff>170341</xdr:rowOff>
    </xdr:to>
    <xdr:pic>
      <xdr:nvPicPr>
        <xdr:cNvPr id="841" name="Picture 840">
          <a:extLst>
            <a:ext uri="{FF2B5EF4-FFF2-40B4-BE49-F238E27FC236}">
              <a16:creationId xmlns:a16="http://schemas.microsoft.com/office/drawing/2014/main" id="{C5C8B016-5227-4A9E-93BC-6C3202F05BE1}"/>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1140440" y="59916060"/>
          <a:ext cx="299110" cy="1054261"/>
        </a:xfrm>
        <a:prstGeom prst="rect">
          <a:avLst/>
        </a:prstGeom>
      </xdr:spPr>
    </xdr:pic>
    <xdr:clientData/>
  </xdr:twoCellAnchor>
  <xdr:twoCellAnchor editAs="oneCell">
    <xdr:from>
      <xdr:col>5</xdr:col>
      <xdr:colOff>0</xdr:colOff>
      <xdr:row>175</xdr:row>
      <xdr:rowOff>0</xdr:rowOff>
    </xdr:from>
    <xdr:to>
      <xdr:col>5</xdr:col>
      <xdr:colOff>299110</xdr:colOff>
      <xdr:row>181</xdr:row>
      <xdr:rowOff>170341</xdr:rowOff>
    </xdr:to>
    <xdr:pic>
      <xdr:nvPicPr>
        <xdr:cNvPr id="842" name="Picture 841">
          <a:extLst>
            <a:ext uri="{FF2B5EF4-FFF2-40B4-BE49-F238E27FC236}">
              <a16:creationId xmlns:a16="http://schemas.microsoft.com/office/drawing/2014/main" id="{01363805-EF72-4484-B357-357D3961E3AF}"/>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5273040" y="59916060"/>
          <a:ext cx="299110" cy="1054261"/>
        </a:xfrm>
        <a:prstGeom prst="rect">
          <a:avLst/>
        </a:prstGeom>
      </xdr:spPr>
    </xdr:pic>
    <xdr:clientData/>
  </xdr:twoCellAnchor>
  <xdr:twoCellAnchor editAs="oneCell">
    <xdr:from>
      <xdr:col>7</xdr:col>
      <xdr:colOff>0</xdr:colOff>
      <xdr:row>175</xdr:row>
      <xdr:rowOff>0</xdr:rowOff>
    </xdr:from>
    <xdr:to>
      <xdr:col>7</xdr:col>
      <xdr:colOff>299110</xdr:colOff>
      <xdr:row>181</xdr:row>
      <xdr:rowOff>170341</xdr:rowOff>
    </xdr:to>
    <xdr:pic>
      <xdr:nvPicPr>
        <xdr:cNvPr id="843" name="Picture 842">
          <a:extLst>
            <a:ext uri="{FF2B5EF4-FFF2-40B4-BE49-F238E27FC236}">
              <a16:creationId xmlns:a16="http://schemas.microsoft.com/office/drawing/2014/main" id="{E174F7DC-3083-4E1A-BB78-905B86380A67}"/>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421880" y="59916060"/>
          <a:ext cx="299110" cy="1054261"/>
        </a:xfrm>
        <a:prstGeom prst="rect">
          <a:avLst/>
        </a:prstGeom>
      </xdr:spPr>
    </xdr:pic>
    <xdr:clientData/>
  </xdr:twoCellAnchor>
  <xdr:twoCellAnchor editAs="oneCell">
    <xdr:from>
      <xdr:col>5</xdr:col>
      <xdr:colOff>0</xdr:colOff>
      <xdr:row>165</xdr:row>
      <xdr:rowOff>0</xdr:rowOff>
    </xdr:from>
    <xdr:to>
      <xdr:col>5</xdr:col>
      <xdr:colOff>299110</xdr:colOff>
      <xdr:row>171</xdr:row>
      <xdr:rowOff>170341</xdr:rowOff>
    </xdr:to>
    <xdr:pic>
      <xdr:nvPicPr>
        <xdr:cNvPr id="844" name="Picture 843">
          <a:extLst>
            <a:ext uri="{FF2B5EF4-FFF2-40B4-BE49-F238E27FC236}">
              <a16:creationId xmlns:a16="http://schemas.microsoft.com/office/drawing/2014/main" id="{F6B9C8BB-792A-4516-9027-EC5012B2758E}"/>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5273040" y="56441340"/>
          <a:ext cx="299110" cy="1054261"/>
        </a:xfrm>
        <a:prstGeom prst="rect">
          <a:avLst/>
        </a:prstGeom>
      </xdr:spPr>
    </xdr:pic>
    <xdr:clientData/>
  </xdr:twoCellAnchor>
  <xdr:twoCellAnchor editAs="oneCell">
    <xdr:from>
      <xdr:col>3</xdr:col>
      <xdr:colOff>0</xdr:colOff>
      <xdr:row>165</xdr:row>
      <xdr:rowOff>0</xdr:rowOff>
    </xdr:from>
    <xdr:to>
      <xdr:col>3</xdr:col>
      <xdr:colOff>299110</xdr:colOff>
      <xdr:row>171</xdr:row>
      <xdr:rowOff>170341</xdr:rowOff>
    </xdr:to>
    <xdr:pic>
      <xdr:nvPicPr>
        <xdr:cNvPr id="845" name="Picture 844">
          <a:extLst>
            <a:ext uri="{FF2B5EF4-FFF2-40B4-BE49-F238E27FC236}">
              <a16:creationId xmlns:a16="http://schemas.microsoft.com/office/drawing/2014/main" id="{9452AB50-76E8-4FCB-A15D-13D58CF4E476}"/>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3032760" y="56441340"/>
          <a:ext cx="299110" cy="1054261"/>
        </a:xfrm>
        <a:prstGeom prst="rect">
          <a:avLst/>
        </a:prstGeom>
      </xdr:spPr>
    </xdr:pic>
    <xdr:clientData/>
  </xdr:twoCellAnchor>
  <xdr:twoCellAnchor editAs="oneCell">
    <xdr:from>
      <xdr:col>1</xdr:col>
      <xdr:colOff>0</xdr:colOff>
      <xdr:row>165</xdr:row>
      <xdr:rowOff>0</xdr:rowOff>
    </xdr:from>
    <xdr:to>
      <xdr:col>1</xdr:col>
      <xdr:colOff>299110</xdr:colOff>
      <xdr:row>171</xdr:row>
      <xdr:rowOff>170341</xdr:rowOff>
    </xdr:to>
    <xdr:pic>
      <xdr:nvPicPr>
        <xdr:cNvPr id="846" name="Picture 845">
          <a:extLst>
            <a:ext uri="{FF2B5EF4-FFF2-40B4-BE49-F238E27FC236}">
              <a16:creationId xmlns:a16="http://schemas.microsoft.com/office/drawing/2014/main" id="{A169BBB0-E66D-46BC-8B16-FBDD27321F33}"/>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264920" y="56441340"/>
          <a:ext cx="299110" cy="1054261"/>
        </a:xfrm>
        <a:prstGeom prst="rect">
          <a:avLst/>
        </a:prstGeom>
      </xdr:spPr>
    </xdr:pic>
    <xdr:clientData/>
  </xdr:twoCellAnchor>
  <xdr:twoCellAnchor editAs="oneCell">
    <xdr:from>
      <xdr:col>17</xdr:col>
      <xdr:colOff>0</xdr:colOff>
      <xdr:row>157</xdr:row>
      <xdr:rowOff>0</xdr:rowOff>
    </xdr:from>
    <xdr:to>
      <xdr:col>17</xdr:col>
      <xdr:colOff>299110</xdr:colOff>
      <xdr:row>163</xdr:row>
      <xdr:rowOff>63661</xdr:rowOff>
    </xdr:to>
    <xdr:pic>
      <xdr:nvPicPr>
        <xdr:cNvPr id="847" name="Picture 846">
          <a:extLst>
            <a:ext uri="{FF2B5EF4-FFF2-40B4-BE49-F238E27FC236}">
              <a16:creationId xmlns:a16="http://schemas.microsoft.com/office/drawing/2014/main" id="{198A49CB-FAE3-4C45-B742-AC586A144588}"/>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6383000" y="53781960"/>
          <a:ext cx="299110" cy="1046641"/>
        </a:xfrm>
        <a:prstGeom prst="rect">
          <a:avLst/>
        </a:prstGeom>
      </xdr:spPr>
    </xdr:pic>
    <xdr:clientData/>
  </xdr:twoCellAnchor>
  <xdr:twoCellAnchor editAs="oneCell">
    <xdr:from>
      <xdr:col>15</xdr:col>
      <xdr:colOff>0</xdr:colOff>
      <xdr:row>157</xdr:row>
      <xdr:rowOff>0</xdr:rowOff>
    </xdr:from>
    <xdr:to>
      <xdr:col>15</xdr:col>
      <xdr:colOff>299110</xdr:colOff>
      <xdr:row>163</xdr:row>
      <xdr:rowOff>63661</xdr:rowOff>
    </xdr:to>
    <xdr:pic>
      <xdr:nvPicPr>
        <xdr:cNvPr id="848" name="Picture 847">
          <a:extLst>
            <a:ext uri="{FF2B5EF4-FFF2-40B4-BE49-F238E27FC236}">
              <a16:creationId xmlns:a16="http://schemas.microsoft.com/office/drawing/2014/main" id="{3234A4DD-7E18-4A68-934C-EEC3F23AAB3B}"/>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4599920" y="53781960"/>
          <a:ext cx="299110" cy="1046641"/>
        </a:xfrm>
        <a:prstGeom prst="rect">
          <a:avLst/>
        </a:prstGeom>
      </xdr:spPr>
    </xdr:pic>
    <xdr:clientData/>
  </xdr:twoCellAnchor>
  <xdr:twoCellAnchor editAs="oneCell">
    <xdr:from>
      <xdr:col>21</xdr:col>
      <xdr:colOff>0</xdr:colOff>
      <xdr:row>157</xdr:row>
      <xdr:rowOff>0</xdr:rowOff>
    </xdr:from>
    <xdr:to>
      <xdr:col>21</xdr:col>
      <xdr:colOff>299110</xdr:colOff>
      <xdr:row>163</xdr:row>
      <xdr:rowOff>63661</xdr:rowOff>
    </xdr:to>
    <xdr:pic>
      <xdr:nvPicPr>
        <xdr:cNvPr id="849" name="Picture 848">
          <a:extLst>
            <a:ext uri="{FF2B5EF4-FFF2-40B4-BE49-F238E27FC236}">
              <a16:creationId xmlns:a16="http://schemas.microsoft.com/office/drawing/2014/main" id="{67C93F12-19DD-4417-9E3F-B19871CBB0C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9682460" y="53781960"/>
          <a:ext cx="299110" cy="1046641"/>
        </a:xfrm>
        <a:prstGeom prst="rect">
          <a:avLst/>
        </a:prstGeom>
      </xdr:spPr>
    </xdr:pic>
    <xdr:clientData/>
  </xdr:twoCellAnchor>
  <xdr:twoCellAnchor editAs="oneCell">
    <xdr:from>
      <xdr:col>23</xdr:col>
      <xdr:colOff>0</xdr:colOff>
      <xdr:row>157</xdr:row>
      <xdr:rowOff>0</xdr:rowOff>
    </xdr:from>
    <xdr:to>
      <xdr:col>23</xdr:col>
      <xdr:colOff>299110</xdr:colOff>
      <xdr:row>163</xdr:row>
      <xdr:rowOff>63661</xdr:rowOff>
    </xdr:to>
    <xdr:pic>
      <xdr:nvPicPr>
        <xdr:cNvPr id="850" name="Picture 849">
          <a:extLst>
            <a:ext uri="{FF2B5EF4-FFF2-40B4-BE49-F238E27FC236}">
              <a16:creationId xmlns:a16="http://schemas.microsoft.com/office/drawing/2014/main" id="{57441D95-A4FA-4188-9636-1F6DC98369D7}"/>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21602700" y="53781960"/>
          <a:ext cx="299110" cy="1046641"/>
        </a:xfrm>
        <a:prstGeom prst="rect">
          <a:avLst/>
        </a:prstGeom>
      </xdr:spPr>
    </xdr:pic>
    <xdr:clientData/>
  </xdr:twoCellAnchor>
  <xdr:twoCellAnchor editAs="oneCell">
    <xdr:from>
      <xdr:col>17</xdr:col>
      <xdr:colOff>0</xdr:colOff>
      <xdr:row>147</xdr:row>
      <xdr:rowOff>0</xdr:rowOff>
    </xdr:from>
    <xdr:to>
      <xdr:col>17</xdr:col>
      <xdr:colOff>299110</xdr:colOff>
      <xdr:row>154</xdr:row>
      <xdr:rowOff>2377</xdr:rowOff>
    </xdr:to>
    <xdr:pic>
      <xdr:nvPicPr>
        <xdr:cNvPr id="851" name="Picture 850">
          <a:extLst>
            <a:ext uri="{FF2B5EF4-FFF2-40B4-BE49-F238E27FC236}">
              <a16:creationId xmlns:a16="http://schemas.microsoft.com/office/drawing/2014/main" id="{568E1D9D-04DC-4554-97A4-226DEED4945B}"/>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6383000" y="50093880"/>
          <a:ext cx="299110" cy="1046641"/>
        </a:xfrm>
        <a:prstGeom prst="rect">
          <a:avLst/>
        </a:prstGeom>
      </xdr:spPr>
    </xdr:pic>
    <xdr:clientData/>
  </xdr:twoCellAnchor>
  <xdr:twoCellAnchor editAs="oneCell">
    <xdr:from>
      <xdr:col>19</xdr:col>
      <xdr:colOff>0</xdr:colOff>
      <xdr:row>147</xdr:row>
      <xdr:rowOff>0</xdr:rowOff>
    </xdr:from>
    <xdr:to>
      <xdr:col>19</xdr:col>
      <xdr:colOff>299110</xdr:colOff>
      <xdr:row>154</xdr:row>
      <xdr:rowOff>2377</xdr:rowOff>
    </xdr:to>
    <xdr:pic>
      <xdr:nvPicPr>
        <xdr:cNvPr id="852" name="Picture 851">
          <a:extLst>
            <a:ext uri="{FF2B5EF4-FFF2-40B4-BE49-F238E27FC236}">
              <a16:creationId xmlns:a16="http://schemas.microsoft.com/office/drawing/2014/main" id="{CD161F72-9F66-4946-AAC1-F423851933FC}"/>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8006060" y="50093880"/>
          <a:ext cx="299110" cy="104664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SRI\D\My%20Documents\Battery-Sizing%20OpZ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0F42FCAA\Resumo%20para%20Pr&#233;-C&#225;lculo%20Rev.%200%20Lote%20F%20-%20PE%2024-6%20reatores%20corrigido.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Kptl1\mktg\MKTG\ORDERS\Wo31\Rihand\pkg-a\PROGREPT.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isk--mcbs53\D\gkk\vision\REVISION01\FCM-hyd-airport-final.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KPTL1\MKTG\MKTG\ORDERS\WO05\DRG-SUB.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t"/>
      <sheetName val="BATTERY"/>
      <sheetName val="CHARGER"/>
      <sheetName val="1"/>
      <sheetName val="Sheet2"/>
      <sheetName val="Sheet3"/>
      <sheetName val="Anex-1 Con Load"/>
      <sheetName val="upa"/>
      <sheetName val="OPGW Quantity summary"/>
      <sheetName val="Sch-3"/>
      <sheetName val="steel type"/>
      <sheetName val="SPT vs PHI"/>
      <sheetName val="INPUT-DATA"/>
      <sheetName val="SECONDARY DESIGN"/>
      <sheetName val="UK"/>
      <sheetName val="Sch-1a"/>
      <sheetName val="SUMMARY"/>
      <sheetName val="PACK (B)"/>
    </sheetNames>
    <sheetDataSet>
      <sheetData sheetId="0">
        <row r="34">
          <cell r="N34">
            <v>35.6</v>
          </cell>
        </row>
      </sheetData>
      <sheetData sheetId="1">
        <row r="34">
          <cell r="M34">
            <v>0</v>
          </cell>
        </row>
      </sheetData>
      <sheetData sheetId="2"/>
      <sheetData sheetId="3" refreshError="1">
        <row r="34">
          <cell r="N34">
            <v>35.6</v>
          </cell>
        </row>
        <row r="35">
          <cell r="N35">
            <v>40.6</v>
          </cell>
        </row>
        <row r="36">
          <cell r="N36">
            <v>45.7</v>
          </cell>
        </row>
        <row r="37">
          <cell r="N37">
            <v>50.8</v>
          </cell>
        </row>
        <row r="38">
          <cell r="N38">
            <v>55.9</v>
          </cell>
        </row>
        <row r="39">
          <cell r="N39">
            <v>61</v>
          </cell>
        </row>
        <row r="40">
          <cell r="N40">
            <v>66</v>
          </cell>
        </row>
        <row r="41">
          <cell r="N41">
            <v>71.099999999999994</v>
          </cell>
        </row>
        <row r="43">
          <cell r="N43">
            <v>80</v>
          </cell>
        </row>
        <row r="44">
          <cell r="N44">
            <v>90</v>
          </cell>
        </row>
        <row r="45">
          <cell r="N45">
            <v>100</v>
          </cell>
        </row>
      </sheetData>
      <sheetData sheetId="4">
        <row r="34">
          <cell r="M34">
            <v>0</v>
          </cell>
        </row>
      </sheetData>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xiliar de Pré-Cálculo"/>
      <sheetName val="Resumo de Custos"/>
      <sheetName val="Recebimento Cash-in"/>
      <sheetName val="Planilha de Preço de Venda"/>
      <sheetName val="SUB"/>
      <sheetName val="SUBRESUMO"/>
      <sheetName val="CASH-FLOW"/>
    </sheetNames>
    <sheetDataSet>
      <sheetData sheetId="0"/>
      <sheetData sheetId="1"/>
      <sheetData sheetId="2"/>
      <sheetData sheetId="3"/>
      <sheetData sheetId="4"/>
      <sheetData sheetId="5"/>
      <sheetData sheetId="6"/>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oblg"/>
      <sheetName val="ACC-A"/>
      <sheetName val="drg"/>
      <sheetName val="BOM"/>
      <sheetName val=" FDN"/>
      <sheetName val="Supply"/>
      <sheetName val="ERECTION-Sipat"/>
      <sheetName val="Chart1"/>
      <sheetName val="drg1"/>
      <sheetName val="Acc"/>
      <sheetName val="FDN"/>
      <sheetName val="Misc info"/>
      <sheetName val="Vdc5"/>
      <sheetName val="SIN"/>
      <sheetName val="Stub&amp;Twr"/>
      <sheetName val="Twr Qty."/>
      <sheetName val="DS Approved"/>
      <sheetName val="S-C"/>
      <sheetName val="62-Gty Bhadla"/>
      <sheetName val="Twr Qty Old."/>
      <sheetName val="Sheet1"/>
      <sheetName val="DS Approved (T) (2)"/>
      <sheetName val="1-14"/>
      <sheetName val="50-56"/>
      <sheetName val="DSLP CALCULATION"/>
      <sheetName val="IDCCALHYD-GOO"/>
      <sheetName val="NJP"/>
      <sheetName val="Intake"/>
      <sheetName val="FitOutConfCentre"/>
      <sheetName val="sheeet7"/>
      <sheetName val="Info Entry"/>
      <sheetName val="P-Ins &amp; Bonds"/>
      <sheetName val="P Staff fac"/>
      <sheetName val="BQMPALOC"/>
      <sheetName val="july-I"/>
      <sheetName val="CASH-FLOW"/>
      <sheetName val="Design"/>
      <sheetName val="COMPLEXALL"/>
      <sheetName val="SUMMARY"/>
      <sheetName val="SOP "/>
      <sheetName val="EDWise"/>
      <sheetName val="04REL"/>
      <sheetName val="STN WISE EMR"/>
      <sheetName val="B-Chart"/>
      <sheetName val="wt"/>
      <sheetName val="Validation"/>
      <sheetName val="TMRS"/>
      <sheetName val="FAMILY TEXT"/>
      <sheetName val="data"/>
      <sheetName val="Dom"/>
      <sheetName val="BREAKUP OF OIL"/>
      <sheetName val="R.Hrs. Since Comm"/>
      <sheetName val="R_Hrs_ Since Comm"/>
      <sheetName val="A"/>
      <sheetName val="Data base 12-13 back Jan 10"/>
      <sheetName val="IP"/>
      <sheetName val="Civil &amp; design"/>
      <sheetName val="BOQ"/>
    </sheetNames>
    <sheetDataSet>
      <sheetData sheetId="0" refreshError="1"/>
      <sheetData sheetId="1" refreshError="1"/>
      <sheetData sheetId="2"/>
      <sheetData sheetId="3" refreshError="1"/>
      <sheetData sheetId="4" refreshError="1"/>
      <sheetData sheetId="5"/>
      <sheetData sheetId="6"/>
      <sheetData sheetId="7" refreshError="1"/>
      <sheetData sheetId="8"/>
      <sheetData sheetId="9"/>
      <sheetData sheetId="10"/>
      <sheetData sheetId="11"/>
      <sheetData sheetId="12"/>
      <sheetData sheetId="13"/>
      <sheetData sheetId="14" refreshError="1"/>
      <sheetData sheetId="15" refreshError="1"/>
      <sheetData sheetId="16"/>
      <sheetData sheetId="17"/>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rt Here"/>
      <sheetName val="FCM"/>
      <sheetName val="Analysis Sheet"/>
      <sheetName val="Break Up as you wish"/>
      <sheetName val="Sheet1"/>
      <sheetName val="SP Break Up"/>
      <sheetName val="Grand Summary"/>
      <sheetName val="Material-Local-ABB"/>
      <sheetName val="Material-Local-Non ABB"/>
      <sheetName val="Material-Import-ABB"/>
      <sheetName val="Material-Import-Non ABB"/>
      <sheetName val="Services-ABB"/>
      <sheetName val="Services-Non ABB"/>
      <sheetName val="Financial"/>
      <sheetName val="Unit Sheet"/>
      <sheetName val="starter"/>
      <sheetName val="FCM-hyd-airport-final"/>
      <sheetName val="bs BP 04 SA"/>
      <sheetName val="Full Cost Calculation-1"/>
      <sheetName val="Instruction-Description"/>
      <sheetName val="BHANDUP"/>
      <sheetName val="#REF"/>
      <sheetName val="det_est"/>
      <sheetName val="Data"/>
      <sheetName val="Background"/>
      <sheetName val="Cost summary"/>
      <sheetName val="labour"/>
      <sheetName val="BOQ"/>
      <sheetName val="BOQ LT"/>
      <sheetName val="Cable-data"/>
      <sheetName val="Labels"/>
      <sheetName val="final abstract"/>
      <sheetName val="Costing-blk-B"/>
      <sheetName val="Riser-1"/>
      <sheetName val="S1BOQ"/>
      <sheetName val="Costing"/>
      <sheetName val="Measurements"/>
      <sheetName val="Tables"/>
      <sheetName val="Flooring"/>
      <sheetName val="Ceilings"/>
      <sheetName val="ACAD Finishes"/>
      <sheetName val="Site Details"/>
      <sheetName val="Chair"/>
      <sheetName val="Site Area Statement"/>
      <sheetName val="Doors"/>
      <sheetName val="Estimate"/>
      <sheetName val="GBW"/>
      <sheetName val="Config"/>
      <sheetName val="Break Dw"/>
      <sheetName val="Coalmine"/>
      <sheetName val="Sqn _Main_ Abs"/>
      <sheetName val="C&amp;I SUMMARY"/>
      <sheetName val="FTE Totals_Plan"/>
      <sheetName val="협조전"/>
      <sheetName val="Codes"/>
      <sheetName val="Parameter"/>
      <sheetName val="Alstom_Soft seating_V R0_090216"/>
      <sheetName val="Formulas"/>
      <sheetName val="PLANT"/>
      <sheetName val="INSTRUMENT"/>
      <sheetName val="SpecITEM"/>
      <sheetName val="LINE_Sc"/>
      <sheetName val="MOTOR"/>
      <sheetName val="3A-TiBill"/>
      <sheetName val="2A-tIS bILL"/>
      <sheetName val="Analy_7-10"/>
      <sheetName val="Annexure - T(3)"/>
      <sheetName val="DPR"/>
      <sheetName val="A1-Continuous"/>
      <sheetName val="Design"/>
      <sheetName val="CABLE DATA"/>
      <sheetName val="선수금"/>
      <sheetName val="bill 2"/>
      <sheetName val="extra work elec bill "/>
      <sheetName val="MN T.B."/>
      <sheetName val="Direct cost shed A-2 "/>
      <sheetName val="CASHFLOWS"/>
      <sheetName val="Gr. H"/>
      <sheetName val="Sqn_Abs"/>
      <sheetName val="BLOCK-E"/>
      <sheetName val="Pre-cast Qty"/>
      <sheetName val="Typical floor on 3BHK -STD"/>
      <sheetName val="FINCAL"/>
      <sheetName val="Concrete"/>
      <sheetName val="Summary"/>
      <sheetName val="gen"/>
      <sheetName val="water prop."/>
      <sheetName val="B1"/>
      <sheetName val="Assumption Inputs"/>
      <sheetName val="MASTER_RATE ANALYSIS"/>
      <sheetName val="Materials Cost(PCC)"/>
      <sheetName val="Staff Acco."/>
      <sheetName val="Voucher"/>
      <sheetName val="Internet"/>
      <sheetName val="Intro"/>
      <sheetName val="Sheet3"/>
      <sheetName val="PRECAST lightconc-II"/>
      <sheetName val="Rate analysis"/>
      <sheetName val="TBAL9697 -group wise  sdpl"/>
      <sheetName val="MH Compensate-Nov"/>
      <sheetName val="PANEL ANNEXURE"/>
      <sheetName val="col-reinft1"/>
      <sheetName val="Fee Rate Summary"/>
      <sheetName val="COLUMN"/>
      <sheetName val="SPT vs PHI"/>
      <sheetName val="Works - Quote Sheet"/>
      <sheetName val="Start_Here"/>
      <sheetName val="Analysis_Sheet"/>
      <sheetName val="Break_Up_as_you_wish"/>
      <sheetName val="SP_Break_Up"/>
      <sheetName val="Grand_Summary"/>
      <sheetName val="Material-Local-Non_ABB"/>
      <sheetName val="Material-Import-Non_ABB"/>
      <sheetName val="Services-Non_ABB"/>
      <sheetName val="Unit_Sheet"/>
      <sheetName val="bs_BP_04_SA"/>
      <sheetName val="Full_Cost_Calculation-1"/>
      <sheetName val="calcul"/>
      <sheetName val="India F&amp;S Template"/>
      <sheetName val="Mat_Cost"/>
      <sheetName val="FitOutConfCentre"/>
      <sheetName val="train cash"/>
      <sheetName val="accom cash"/>
      <sheetName val="SPEC SHEET"/>
      <sheetName val="Core Data"/>
      <sheetName val="dlvoid"/>
      <sheetName val="Set"/>
      <sheetName val="Headings"/>
      <sheetName val="INDIGINEOUS ITEMS "/>
      <sheetName val="INT Block Work"/>
      <sheetName val="1"/>
      <sheetName val="p&amp;m"/>
      <sheetName val="Assumptions-Input"/>
      <sheetName val="Price BID"/>
      <sheetName val="Cash2"/>
      <sheetName val="office"/>
      <sheetName val="Lab"/>
      <sheetName val="Material&amp;equipment"/>
      <sheetName val="BLK2"/>
      <sheetName val="BLK3"/>
      <sheetName val="E &amp; R"/>
      <sheetName val="radar"/>
      <sheetName val="UG"/>
      <sheetName val="ridgewood"/>
      <sheetName val="precast RC element"/>
      <sheetName val="Settings"/>
      <sheetName val="대비표"/>
      <sheetName val="Hardware"/>
      <sheetName val="Quantity"/>
      <sheetName val="2.1 受電設備棟"/>
      <sheetName val="2.2 受・防火水槽"/>
      <sheetName val="2.3 排水処理設備棟"/>
      <sheetName val="2.4 倉庫棟"/>
      <sheetName val="2.5 守衛棟"/>
      <sheetName val="Mat_issue1"/>
      <sheetName val="Mat_issue10"/>
      <sheetName val="Mat_issue11"/>
      <sheetName val="Mat_issue12"/>
      <sheetName val="Mat_issue13"/>
      <sheetName val="Mat_issue14"/>
      <sheetName val="Mat_issue15"/>
      <sheetName val="Mat_issue16"/>
      <sheetName val="Mat_issue17"/>
      <sheetName val="Mat_issue18"/>
      <sheetName val="Mat_issue19"/>
      <sheetName val="Mat_issue2"/>
      <sheetName val="Mat_issue20"/>
      <sheetName val="Mat_issue21"/>
      <sheetName val="Mat_issue22"/>
      <sheetName val="Mat_issue23"/>
      <sheetName val="Mat_issue24"/>
      <sheetName val="Mat_issue25"/>
      <sheetName val="Mat_issue26"/>
      <sheetName val="Mat_issue27"/>
      <sheetName val="Mat_issue28"/>
      <sheetName val="Mat_issue29"/>
      <sheetName val="Mat_issue3"/>
      <sheetName val="Mat_issue30"/>
      <sheetName val="Mat_issue4"/>
      <sheetName val="Mat_issue5"/>
      <sheetName val="Mat_issue6"/>
      <sheetName val="Mat_issue7"/>
      <sheetName val="Mat_issue8"/>
      <sheetName val="Mat_issue9"/>
      <sheetName val="List"/>
      <sheetName val="U-13-2(disc)"/>
      <sheetName val="CPIPE"/>
      <sheetName val="Intro."/>
      <sheetName val="สรุป"/>
      <sheetName val=""/>
    </sheetNames>
    <sheetDataSet>
      <sheetData sheetId="0">
        <row r="6">
          <cell r="A6" t="str">
            <v>Type</v>
          </cell>
        </row>
      </sheetData>
      <sheetData sheetId="1">
        <row r="6">
          <cell r="A6" t="str">
            <v>Type</v>
          </cell>
        </row>
      </sheetData>
      <sheetData sheetId="2">
        <row r="6">
          <cell r="A6" t="str">
            <v>Type</v>
          </cell>
        </row>
      </sheetData>
      <sheetData sheetId="3">
        <row r="6">
          <cell r="A6" t="str">
            <v>Type</v>
          </cell>
        </row>
      </sheetData>
      <sheetData sheetId="4">
        <row r="6">
          <cell r="A6" t="str">
            <v>Type</v>
          </cell>
        </row>
      </sheetData>
      <sheetData sheetId="5" refreshError="1">
        <row r="6">
          <cell r="A6" t="str">
            <v>Type</v>
          </cell>
          <cell r="B6" t="str">
            <v>No.</v>
          </cell>
          <cell r="C6" t="str">
            <v>Item</v>
          </cell>
          <cell r="D6" t="str">
            <v>Sort</v>
          </cell>
          <cell r="E6" t="str">
            <v>Ex Works SP</v>
          </cell>
          <cell r="F6" t="str">
            <v>Ex.WSP+F&amp;I</v>
          </cell>
          <cell r="G6" t="str">
            <v>ED/CVD</v>
          </cell>
          <cell r="H6" t="str">
            <v>ST</v>
          </cell>
          <cell r="I6" t="str">
            <v>Total SP</v>
          </cell>
        </row>
        <row r="7">
          <cell r="A7" t="str">
            <v>ABB Manufactured</v>
          </cell>
          <cell r="B7">
            <v>1</v>
          </cell>
          <cell r="C7" t="str">
            <v>MV Breakers</v>
          </cell>
          <cell r="D7" t="str">
            <v>A</v>
          </cell>
          <cell r="E7">
            <v>39174179.640242562</v>
          </cell>
          <cell r="F7">
            <v>39790174.860242561</v>
          </cell>
          <cell r="G7">
            <v>6393226.1172875855</v>
          </cell>
          <cell r="H7">
            <v>1822696.230301206</v>
          </cell>
          <cell r="I7">
            <v>48006097.207831353</v>
          </cell>
        </row>
        <row r="8">
          <cell r="A8" t="str">
            <v>Indigenous Equipments</v>
          </cell>
          <cell r="B8">
            <v>2</v>
          </cell>
          <cell r="C8">
            <v>0</v>
          </cell>
          <cell r="E8">
            <v>0</v>
          </cell>
          <cell r="F8">
            <v>0</v>
          </cell>
          <cell r="G8">
            <v>0</v>
          </cell>
          <cell r="H8">
            <v>0</v>
          </cell>
          <cell r="I8">
            <v>0</v>
          </cell>
        </row>
        <row r="9">
          <cell r="B9">
            <v>3</v>
          </cell>
          <cell r="C9">
            <v>0</v>
          </cell>
          <cell r="E9">
            <v>0</v>
          </cell>
          <cell r="F9">
            <v>0</v>
          </cell>
          <cell r="G9">
            <v>0</v>
          </cell>
          <cell r="H9">
            <v>0</v>
          </cell>
          <cell r="I9">
            <v>0</v>
          </cell>
        </row>
        <row r="10">
          <cell r="B10">
            <v>4</v>
          </cell>
          <cell r="C10">
            <v>0</v>
          </cell>
          <cell r="E10">
            <v>0</v>
          </cell>
          <cell r="F10">
            <v>0</v>
          </cell>
          <cell r="G10">
            <v>0</v>
          </cell>
          <cell r="H10">
            <v>0</v>
          </cell>
          <cell r="I10">
            <v>0</v>
          </cell>
        </row>
        <row r="11">
          <cell r="B11">
            <v>5</v>
          </cell>
          <cell r="C11">
            <v>0</v>
          </cell>
          <cell r="E11">
            <v>0</v>
          </cell>
          <cell r="F11">
            <v>0</v>
          </cell>
          <cell r="G11">
            <v>0</v>
          </cell>
          <cell r="H11">
            <v>0</v>
          </cell>
          <cell r="I11">
            <v>0</v>
          </cell>
        </row>
        <row r="12">
          <cell r="B12">
            <v>6</v>
          </cell>
          <cell r="C12">
            <v>0</v>
          </cell>
          <cell r="E12">
            <v>0</v>
          </cell>
          <cell r="F12">
            <v>0</v>
          </cell>
          <cell r="G12">
            <v>0</v>
          </cell>
          <cell r="H12">
            <v>0</v>
          </cell>
          <cell r="I12">
            <v>0</v>
          </cell>
        </row>
        <row r="13">
          <cell r="A13" t="str">
            <v>NON ABB Manufactured</v>
          </cell>
          <cell r="B13">
            <v>1</v>
          </cell>
          <cell r="C13" t="str">
            <v>Transformers</v>
          </cell>
          <cell r="D13" t="str">
            <v>B</v>
          </cell>
          <cell r="E13">
            <v>45598971.748524286</v>
          </cell>
          <cell r="F13">
            <v>46315993.748524286</v>
          </cell>
          <cell r="G13">
            <v>5850899.5200000005</v>
          </cell>
          <cell r="H13">
            <v>1668079.9808000003</v>
          </cell>
          <cell r="I13">
            <v>53834973.249324292</v>
          </cell>
        </row>
        <row r="14">
          <cell r="A14" t="str">
            <v>Indigenous Equipments</v>
          </cell>
          <cell r="B14">
            <v>2</v>
          </cell>
          <cell r="C14" t="str">
            <v>DG Sets</v>
          </cell>
          <cell r="D14" t="str">
            <v>C</v>
          </cell>
          <cell r="E14">
            <v>30511358.185810003</v>
          </cell>
          <cell r="F14">
            <v>30991134.685810003</v>
          </cell>
          <cell r="G14">
            <v>3914976.24</v>
          </cell>
          <cell r="H14">
            <v>1116152.0496</v>
          </cell>
          <cell r="I14">
            <v>36022262.975409999</v>
          </cell>
        </row>
        <row r="15">
          <cell r="B15">
            <v>3</v>
          </cell>
          <cell r="C15" t="str">
            <v>Cables</v>
          </cell>
          <cell r="D15" t="str">
            <v>D</v>
          </cell>
          <cell r="E15">
            <v>104138628.10246965</v>
          </cell>
          <cell r="F15">
            <v>105776158.17246965</v>
          </cell>
          <cell r="G15">
            <v>13362245.371200001</v>
          </cell>
          <cell r="H15">
            <v>3809549.9548479998</v>
          </cell>
          <cell r="I15">
            <v>122947953.49851765</v>
          </cell>
        </row>
        <row r="16">
          <cell r="B16">
            <v>4</v>
          </cell>
          <cell r="C16" t="str">
            <v>Cable termination</v>
          </cell>
          <cell r="D16" t="str">
            <v>E</v>
          </cell>
          <cell r="E16">
            <v>7679067.1792344647</v>
          </cell>
          <cell r="F16">
            <v>7799816.8342344649</v>
          </cell>
          <cell r="G16">
            <v>0</v>
          </cell>
          <cell r="H16">
            <v>241499.31</v>
          </cell>
          <cell r="I16">
            <v>8041316.1442344645</v>
          </cell>
        </row>
        <row r="17">
          <cell r="B17">
            <v>5</v>
          </cell>
          <cell r="C17" t="str">
            <v>Earthing materials</v>
          </cell>
          <cell r="D17" t="str">
            <v>F</v>
          </cell>
          <cell r="E17">
            <v>73190908.777698055</v>
          </cell>
          <cell r="F17">
            <v>74341800.777698055</v>
          </cell>
          <cell r="G17">
            <v>0</v>
          </cell>
          <cell r="H17">
            <v>2301784</v>
          </cell>
          <cell r="I17">
            <v>76643584.777698055</v>
          </cell>
        </row>
        <row r="18">
          <cell r="B18">
            <v>6</v>
          </cell>
          <cell r="C18" t="str">
            <v xml:space="preserve">Lighting </v>
          </cell>
          <cell r="D18" t="str">
            <v>G</v>
          </cell>
          <cell r="E18">
            <v>55584987.065339208</v>
          </cell>
          <cell r="F18">
            <v>56459034.37533921</v>
          </cell>
          <cell r="G18">
            <v>0</v>
          </cell>
          <cell r="H18">
            <v>1748094.62</v>
          </cell>
          <cell r="I18">
            <v>58207128.995339207</v>
          </cell>
        </row>
        <row r="19">
          <cell r="B19">
            <v>7</v>
          </cell>
          <cell r="C19" t="str">
            <v>LT Switch boards</v>
          </cell>
          <cell r="D19" t="str">
            <v>H</v>
          </cell>
          <cell r="E19">
            <v>59684106.459602401</v>
          </cell>
          <cell r="F19">
            <v>60622610.459602401</v>
          </cell>
          <cell r="G19">
            <v>7658192.6400000006</v>
          </cell>
          <cell r="H19">
            <v>2183335.7056</v>
          </cell>
          <cell r="I19">
            <v>70464138.805202395</v>
          </cell>
        </row>
        <row r="20">
          <cell r="B20">
            <v>8</v>
          </cell>
          <cell r="C20" t="str">
            <v>Miscellaneous</v>
          </cell>
          <cell r="D20" t="str">
            <v>I</v>
          </cell>
          <cell r="E20">
            <v>7070205.7168751257</v>
          </cell>
          <cell r="F20">
            <v>7181381.3168751253</v>
          </cell>
          <cell r="G20">
            <v>0</v>
          </cell>
          <cell r="H20">
            <v>142351.20000000001</v>
          </cell>
          <cell r="I20">
            <v>7323732.5168751255</v>
          </cell>
        </row>
        <row r="21">
          <cell r="B21">
            <v>9</v>
          </cell>
          <cell r="C21" t="str">
            <v>Cable trays &amp; Steel</v>
          </cell>
          <cell r="D21" t="str">
            <v>J</v>
          </cell>
          <cell r="E21">
            <v>71393906.531326175</v>
          </cell>
          <cell r="F21">
            <v>72516541.531326175</v>
          </cell>
          <cell r="G21">
            <v>6156516</v>
          </cell>
          <cell r="H21">
            <v>1755210.6400000001</v>
          </cell>
          <cell r="I21">
            <v>80428268.171326175</v>
          </cell>
        </row>
        <row r="22">
          <cell r="B22">
            <v>10</v>
          </cell>
          <cell r="C22" t="str">
            <v>Bus duct</v>
          </cell>
          <cell r="D22" t="str">
            <v>K</v>
          </cell>
          <cell r="E22">
            <v>3892010.3860267694</v>
          </cell>
          <cell r="F22">
            <v>3953210.3860267694</v>
          </cell>
          <cell r="G22">
            <v>499392.00000000006</v>
          </cell>
          <cell r="H22">
            <v>142375.67999999999</v>
          </cell>
          <cell r="I22">
            <v>4594978.0660267696</v>
          </cell>
        </row>
        <row r="23">
          <cell r="B23">
            <v>11</v>
          </cell>
          <cell r="C23" t="str">
            <v>Battery charger &amp; UPS</v>
          </cell>
          <cell r="D23" t="str">
            <v>L</v>
          </cell>
          <cell r="E23">
            <v>5596354.8034371845</v>
          </cell>
          <cell r="F23">
            <v>5684354.8034371845</v>
          </cell>
          <cell r="G23">
            <v>718080</v>
          </cell>
          <cell r="H23">
            <v>204723.20000000001</v>
          </cell>
          <cell r="I23">
            <v>6607158.0034371847</v>
          </cell>
        </row>
        <row r="24">
          <cell r="B24">
            <v>12</v>
          </cell>
          <cell r="C24" t="str">
            <v>Extra items</v>
          </cell>
          <cell r="D24" t="str">
            <v>O</v>
          </cell>
          <cell r="E24">
            <v>24166077.560296934</v>
          </cell>
          <cell r="F24">
            <v>24546077.560296934</v>
          </cell>
          <cell r="G24">
            <v>0</v>
          </cell>
          <cell r="H24">
            <v>0</v>
          </cell>
          <cell r="I24">
            <v>24546077.560296934</v>
          </cell>
        </row>
        <row r="25">
          <cell r="A25" t="str">
            <v>ABB Manufactured</v>
          </cell>
          <cell r="B25">
            <v>1</v>
          </cell>
          <cell r="C25">
            <v>0</v>
          </cell>
          <cell r="E25">
            <v>0</v>
          </cell>
          <cell r="F25">
            <v>0</v>
          </cell>
          <cell r="G25">
            <v>0</v>
          </cell>
          <cell r="H25">
            <v>0</v>
          </cell>
          <cell r="I25">
            <v>0</v>
          </cell>
        </row>
        <row r="26">
          <cell r="A26" t="str">
            <v>Imported Equipments</v>
          </cell>
          <cell r="B26">
            <v>2</v>
          </cell>
          <cell r="C26">
            <v>0</v>
          </cell>
          <cell r="E26">
            <v>0</v>
          </cell>
          <cell r="F26">
            <v>0</v>
          </cell>
          <cell r="G26">
            <v>0</v>
          </cell>
          <cell r="H26">
            <v>0</v>
          </cell>
          <cell r="I26">
            <v>0</v>
          </cell>
        </row>
        <row r="27">
          <cell r="A27" t="str">
            <v>NON ABB Manufactured</v>
          </cell>
          <cell r="B27">
            <v>1</v>
          </cell>
          <cell r="C27" t="str">
            <v>DG Sets</v>
          </cell>
          <cell r="D27" t="str">
            <v>C</v>
          </cell>
          <cell r="E27">
            <v>181964042.43143663</v>
          </cell>
          <cell r="F27">
            <v>184825339.88243663</v>
          </cell>
          <cell r="G27">
            <v>19904677.899999999</v>
          </cell>
          <cell r="H27">
            <v>0</v>
          </cell>
          <cell r="I27">
            <v>204730017.78243664</v>
          </cell>
        </row>
        <row r="28">
          <cell r="A28" t="str">
            <v>Imported Equipments</v>
          </cell>
          <cell r="B28">
            <v>2</v>
          </cell>
          <cell r="C28">
            <v>0</v>
          </cell>
          <cell r="E28">
            <v>0</v>
          </cell>
          <cell r="F28">
            <v>0</v>
          </cell>
          <cell r="G28">
            <v>0</v>
          </cell>
          <cell r="H28">
            <v>0</v>
          </cell>
          <cell r="I28">
            <v>0</v>
          </cell>
        </row>
        <row r="29">
          <cell r="A29" t="str">
            <v>ABB Services</v>
          </cell>
          <cell r="B29">
            <v>1</v>
          </cell>
          <cell r="C29" t="str">
            <v>Design &amp; Engineering</v>
          </cell>
          <cell r="D29" t="str">
            <v>M</v>
          </cell>
          <cell r="E29">
            <v>20795545.690044992</v>
          </cell>
          <cell r="F29">
            <v>20795545.690044992</v>
          </cell>
          <cell r="G29">
            <v>2121145.6603845889</v>
          </cell>
          <cell r="H29">
            <v>0</v>
          </cell>
          <cell r="I29">
            <v>22916691.35042958</v>
          </cell>
        </row>
        <row r="30">
          <cell r="B30">
            <v>2</v>
          </cell>
          <cell r="C30" t="str">
            <v>Site Management</v>
          </cell>
          <cell r="D30" t="str">
            <v>N</v>
          </cell>
          <cell r="E30">
            <v>3930167.3505956591</v>
          </cell>
          <cell r="F30">
            <v>3930167.3505956591</v>
          </cell>
          <cell r="G30">
            <v>400877.06976075721</v>
          </cell>
          <cell r="H30">
            <v>0</v>
          </cell>
          <cell r="I30">
            <v>4331044.4203564161</v>
          </cell>
        </row>
        <row r="31">
          <cell r="B31">
            <v>3</v>
          </cell>
          <cell r="C31" t="str">
            <v>Salaries &amp; allowances</v>
          </cell>
          <cell r="D31" t="str">
            <v>N</v>
          </cell>
          <cell r="E31">
            <v>13431251.528249243</v>
          </cell>
          <cell r="F31">
            <v>13431251.528249243</v>
          </cell>
          <cell r="G31">
            <v>1369987.6558814228</v>
          </cell>
          <cell r="H31">
            <v>0</v>
          </cell>
          <cell r="I31">
            <v>14801239.184130667</v>
          </cell>
        </row>
        <row r="32">
          <cell r="B32">
            <v>4</v>
          </cell>
          <cell r="C32" t="str">
            <v>Site Instalation expenses</v>
          </cell>
          <cell r="D32" t="str">
            <v>N</v>
          </cell>
          <cell r="E32">
            <v>779038.02661483537</v>
          </cell>
          <cell r="F32">
            <v>779038.02661483537</v>
          </cell>
          <cell r="G32">
            <v>79461.87871471321</v>
          </cell>
          <cell r="H32">
            <v>0</v>
          </cell>
          <cell r="I32">
            <v>858499.90532954852</v>
          </cell>
        </row>
        <row r="33">
          <cell r="B33">
            <v>5</v>
          </cell>
          <cell r="C33">
            <v>0</v>
          </cell>
          <cell r="D33" t="str">
            <v>N</v>
          </cell>
          <cell r="E33">
            <v>0</v>
          </cell>
          <cell r="F33">
            <v>0</v>
          </cell>
          <cell r="G33">
            <v>0</v>
          </cell>
          <cell r="H33">
            <v>0</v>
          </cell>
          <cell r="I33">
            <v>0</v>
          </cell>
        </row>
        <row r="34">
          <cell r="B34">
            <v>6</v>
          </cell>
          <cell r="C34">
            <v>0</v>
          </cell>
          <cell r="E34">
            <v>0</v>
          </cell>
          <cell r="F34">
            <v>0</v>
          </cell>
          <cell r="G34">
            <v>0</v>
          </cell>
          <cell r="H34">
            <v>0</v>
          </cell>
          <cell r="I34">
            <v>0</v>
          </cell>
        </row>
        <row r="35">
          <cell r="B35">
            <v>7</v>
          </cell>
          <cell r="C35" t="str">
            <v>Comprehensive Insurance</v>
          </cell>
          <cell r="D35" t="str">
            <v>N</v>
          </cell>
          <cell r="E35">
            <v>9157671.4965335745</v>
          </cell>
          <cell r="F35">
            <v>9157671.4965335745</v>
          </cell>
          <cell r="G35">
            <v>0</v>
          </cell>
          <cell r="H35">
            <v>0</v>
          </cell>
          <cell r="I35">
            <v>9157671.4965335745</v>
          </cell>
        </row>
        <row r="36">
          <cell r="A36" t="str">
            <v>NON ABB SERVICES</v>
          </cell>
          <cell r="B36">
            <v>1</v>
          </cell>
          <cell r="C36" t="str">
            <v>Erection testing &amp; commissioning</v>
          </cell>
          <cell r="D36" t="str">
            <v>N</v>
          </cell>
          <cell r="E36">
            <v>43060032.764086731</v>
          </cell>
          <cell r="F36">
            <v>43060032.764086731</v>
          </cell>
          <cell r="G36">
            <v>4392123.3419368463</v>
          </cell>
          <cell r="H36">
            <v>0</v>
          </cell>
          <cell r="I36">
            <v>47452156.10602358</v>
          </cell>
        </row>
        <row r="37">
          <cell r="B37">
            <v>2</v>
          </cell>
          <cell r="C37">
            <v>0</v>
          </cell>
          <cell r="E37">
            <v>0</v>
          </cell>
          <cell r="F37">
            <v>0</v>
          </cell>
          <cell r="G37">
            <v>0</v>
          </cell>
          <cell r="H37">
            <v>0</v>
          </cell>
          <cell r="I37">
            <v>0</v>
          </cell>
        </row>
        <row r="38">
          <cell r="B38">
            <v>3</v>
          </cell>
          <cell r="C38">
            <v>0</v>
          </cell>
          <cell r="E38">
            <v>0</v>
          </cell>
          <cell r="F38">
            <v>0</v>
          </cell>
          <cell r="G38">
            <v>0</v>
          </cell>
          <cell r="H38">
            <v>0</v>
          </cell>
          <cell r="I38">
            <v>0</v>
          </cell>
        </row>
        <row r="39">
          <cell r="C39" t="str">
            <v xml:space="preserve">TOTAL </v>
          </cell>
          <cell r="E39">
            <v>800798511.44444454</v>
          </cell>
          <cell r="F39">
            <v>811957336.25044453</v>
          </cell>
          <cell r="G39">
            <v>72821801.395165905</v>
          </cell>
          <cell r="H39">
            <v>17135852.571149204</v>
          </cell>
          <cell r="I39">
            <v>901914990.21675956</v>
          </cell>
        </row>
      </sheetData>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sheetData sheetId="107"/>
      <sheetData sheetId="108"/>
      <sheetData sheetId="109">
        <row r="6">
          <cell r="A6" t="str">
            <v>Type</v>
          </cell>
        </row>
      </sheetData>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ACC-A"/>
      <sheetName val="ESIC_DEDN_"/>
      <sheetName val="ESIC_CONTBN"/>
      <sheetName val="DRG-SUB"/>
      <sheetName val="drg"/>
      <sheetName val="moments-table(tri)"/>
      <sheetName val="Table10"/>
      <sheetName val="Table11"/>
      <sheetName val="Table12"/>
      <sheetName val="Table9"/>
      <sheetName val="Part A General"/>
      <sheetName val="Calc"/>
      <sheetName val="CFL-KIM"/>
      <sheetName val="Stub&amp;Twr"/>
      <sheetName val="Twr Qty."/>
      <sheetName val="DS Approved"/>
      <sheetName val="S-C"/>
      <sheetName val="62-Gty Bhadla"/>
      <sheetName val="Twr Qty Old."/>
      <sheetName val="Sheet1"/>
      <sheetName val="DS Approved (T) (2)"/>
      <sheetName val="1-14"/>
      <sheetName val="50-56"/>
      <sheetName val="Format - 4"/>
      <sheetName val="purpose&amp;input"/>
      <sheetName val="Rate Analysis"/>
      <sheetName val="tb"/>
      <sheetName val="eoudesp"/>
      <sheetName val="BOQ civil"/>
      <sheetName val="DETAIL SHEET"/>
      <sheetName val="TS-TC"/>
      <sheetName val="SUMMARY"/>
      <sheetName val="rate"/>
      <sheetName val="QTY"/>
      <sheetName val="EDWise"/>
      <sheetName val="wt"/>
      <sheetName val="SUMMERY"/>
      <sheetName val="Data base 12-13 back Jan 10"/>
      <sheetName val="ABBR"/>
      <sheetName val="FT-05-02IsoBOM"/>
      <sheetName val="calf"/>
      <sheetName val="Table 4"/>
      <sheetName val="Table 5"/>
      <sheetName val="BOQ"/>
      <sheetName val="ABSTRACT(TL)"/>
      <sheetName val=" Type III"/>
      <sheetName val=" Type I"/>
      <sheetName val="B-Chart"/>
      <sheetName val="Activity-Wise Billed"/>
      <sheetName val="60% Cost of Mat"/>
      <sheetName val="Assumptions"/>
      <sheetName val="Inputs"/>
      <sheetName val="master file"/>
      <sheetName val="Format_-_4"/>
      <sheetName val="Part_A_General"/>
      <sheetName val="Rate_Analysis"/>
      <sheetName val="BOQ_civil"/>
      <sheetName val="DETAIL_SHEET"/>
      <sheetName val="Data_base_12-13_back_Jan_10"/>
      <sheetName val="Table_4"/>
      <sheetName val="Table_5"/>
      <sheetName val="Twr_Qty_"/>
      <sheetName val="DS_Approved"/>
      <sheetName val="62-Gty_Bhadla"/>
      <sheetName val="Twr_Qty_Old_"/>
      <sheetName val="DS_Approved_(T)_(2)"/>
      <sheetName val="_Type_III"/>
      <sheetName val="_Type_I"/>
      <sheetName val="Activity-Wise_Billed"/>
      <sheetName val="60%_Cost_of_Mat"/>
      <sheetName val="Parameters"/>
      <sheetName val="S1BOQ"/>
      <sheetName val="dummy"/>
      <sheetName val="TB CPP"/>
      <sheetName val="Cul_detail"/>
      <sheetName val="Data base"/>
      <sheetName val="Database"/>
      <sheetName val="schedule nos"/>
      <sheetName val="Labour &amp; Plant"/>
      <sheetName val="BHANDUP"/>
      <sheetName val="ETC Plant Cost"/>
      <sheetName val="SCHEDULE"/>
      <sheetName val="ASME B 36.10 M"/>
      <sheetName val="ANALYSIS"/>
      <sheetName val="Back_Cal_for OMC"/>
      <sheetName val="girder"/>
      <sheetName val="Qty Benchmarking"/>
      <sheetName val="Assum"/>
      <sheetName val="PROCTOR"/>
      <sheetName val="pile Fabrication"/>
      <sheetName val="Pile cap"/>
      <sheetName val="BQLIST"/>
      <sheetName val="Input Data F"/>
      <sheetName val="E1"/>
      <sheetName val="Sheet3"/>
      <sheetName val="Sheet2"/>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9.xml.rels><?xml version="1.0" encoding="UTF-8" standalone="yes"?>
<Relationships xmlns="http://schemas.openxmlformats.org/package/2006/relationships"><Relationship Id="rId1" Type="http://schemas.openxmlformats.org/officeDocument/2006/relationships/hyperlink" Target="mailto:GST@18" TargetMode="Externa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9.bin"/></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1.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0"/>
  </sheetPr>
  <dimension ref="A1:D15"/>
  <sheetViews>
    <sheetView showGridLines="0" showRowColHeaders="0" topLeftCell="D1" zoomScale="87" zoomScaleNormal="208" workbookViewId="0">
      <pane xSplit="2" topLeftCell="F1" activePane="topRight" state="frozen"/>
      <selection pane="topRight" activeCell="G1" sqref="G1"/>
    </sheetView>
  </sheetViews>
  <sheetFormatPr defaultColWidth="10.81640625" defaultRowHeight="14.5"/>
  <cols>
    <col min="1" max="1" width="24.81640625" style="363" customWidth="1"/>
    <col min="2" max="2" width="12.81640625" customWidth="1"/>
    <col min="3" max="3" width="6.81640625" customWidth="1"/>
    <col min="4" max="4" width="12.81640625" customWidth="1"/>
    <col min="5" max="5" width="6.1796875" customWidth="1"/>
    <col min="6" max="6" width="12.81640625" customWidth="1"/>
    <col min="9" max="9" width="6.1796875" customWidth="1"/>
    <col min="11" max="12" width="6.81640625" customWidth="1"/>
    <col min="22" max="22" width="1.81640625" customWidth="1"/>
  </cols>
  <sheetData>
    <row r="1" spans="1:4" s="380" customFormat="1" ht="125.15" customHeight="1">
      <c r="A1" s="381" t="s">
        <v>0</v>
      </c>
      <c r="B1" s="1370"/>
      <c r="C1" s="1370"/>
    </row>
    <row r="2" spans="1:4" s="380" customFormat="1" ht="125.15" customHeight="1">
      <c r="A2" s="381" t="s">
        <v>1</v>
      </c>
      <c r="B2" s="1370"/>
      <c r="C2" s="1370"/>
    </row>
    <row r="3" spans="1:4" s="380" customFormat="1" ht="125.15" customHeight="1">
      <c r="A3" s="381" t="s">
        <v>2</v>
      </c>
      <c r="B3" s="1370"/>
      <c r="C3" s="1370"/>
    </row>
    <row r="4" spans="1:4" s="380" customFormat="1" ht="125.15" customHeight="1">
      <c r="A4" s="381" t="s">
        <v>3</v>
      </c>
      <c r="B4" s="1370"/>
      <c r="C4" s="1370"/>
    </row>
    <row r="5" spans="1:4" s="380" customFormat="1" ht="125.15" customHeight="1">
      <c r="A5" s="381" t="s">
        <v>4</v>
      </c>
      <c r="B5" s="1370"/>
      <c r="C5" s="1370"/>
    </row>
    <row r="6" spans="1:4" s="380" customFormat="1" ht="125.15" customHeight="1">
      <c r="A6" s="381" t="s">
        <v>5</v>
      </c>
      <c r="B6" s="1370"/>
      <c r="C6" s="1370"/>
    </row>
    <row r="7" spans="1:4" s="380" customFormat="1" ht="125.15" customHeight="1">
      <c r="A7" s="381" t="s">
        <v>6</v>
      </c>
      <c r="B7" s="1370"/>
      <c r="C7" s="1370"/>
    </row>
    <row r="8" spans="1:4" s="380" customFormat="1" ht="125.15" customHeight="1">
      <c r="A8" s="381" t="s">
        <v>7</v>
      </c>
      <c r="B8" s="1370"/>
      <c r="C8" s="1370"/>
    </row>
    <row r="9" spans="1:4" s="380" customFormat="1" ht="125.15" customHeight="1">
      <c r="A9" s="381" t="s">
        <v>8</v>
      </c>
      <c r="B9" s="1370"/>
      <c r="C9" s="1370"/>
    </row>
    <row r="10" spans="1:4" s="380" customFormat="1" ht="125.15" customHeight="1">
      <c r="A10" s="381" t="s">
        <v>9</v>
      </c>
      <c r="B10" s="1370"/>
      <c r="C10" s="1370"/>
      <c r="D10" s="382"/>
    </row>
    <row r="11" spans="1:4" s="380" customFormat="1" ht="125.15" customHeight="1">
      <c r="A11" s="381" t="s">
        <v>10</v>
      </c>
      <c r="B11" s="1370"/>
      <c r="C11" s="1370"/>
    </row>
    <row r="12" spans="1:4" s="380" customFormat="1" ht="125.15" customHeight="1">
      <c r="A12" s="381" t="s">
        <v>11</v>
      </c>
      <c r="B12" s="1370"/>
      <c r="C12" s="1370"/>
    </row>
    <row r="13" spans="1:4" s="380" customFormat="1" ht="125.15" customHeight="1">
      <c r="A13" s="381" t="s">
        <v>12</v>
      </c>
      <c r="B13" s="1370"/>
      <c r="C13" s="1370"/>
    </row>
    <row r="14" spans="1:4" s="380" customFormat="1" ht="125.15" customHeight="1">
      <c r="A14" s="381" t="s">
        <v>13</v>
      </c>
      <c r="B14" s="1370"/>
      <c r="C14" s="1370"/>
    </row>
    <row r="15" spans="1:4" ht="125.15" customHeight="1"/>
  </sheetData>
  <sheetProtection algorithmName="SHA-512" hashValue="FgFi8m7I7TY3G+lYDAU46nb3DEBFpGsy+mkrnmHcp6BsjGl/Ls5ph1ycv815TA22eauTsishx41hAorqVRoSgQ==" saltValue="iGhqdCFzvOJZskloywtQrQ==" spinCount="100000" sheet="1" objects="1" scenarios="1"/>
  <mergeCells count="14">
    <mergeCell ref="B1:C1"/>
    <mergeCell ref="B2:C2"/>
    <mergeCell ref="B3:C3"/>
    <mergeCell ref="B4:C4"/>
    <mergeCell ref="B5:C5"/>
    <mergeCell ref="B11:C11"/>
    <mergeCell ref="B12:C12"/>
    <mergeCell ref="B13:C13"/>
    <mergeCell ref="B14:C14"/>
    <mergeCell ref="B6:C6"/>
    <mergeCell ref="B7:C7"/>
    <mergeCell ref="B8:C8"/>
    <mergeCell ref="B9:C9"/>
    <mergeCell ref="B10:C10"/>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C27311-C291-40F5-971E-B95835106662}">
  <dimension ref="A1:Q64"/>
  <sheetViews>
    <sheetView view="pageBreakPreview" topLeftCell="A13" zoomScale="70" zoomScaleNormal="70" zoomScaleSheetLayoutView="70" workbookViewId="0">
      <selection activeCell="E15" sqref="E15"/>
    </sheetView>
  </sheetViews>
  <sheetFormatPr defaultRowHeight="14.5"/>
  <cols>
    <col min="1" max="1" width="8.81640625" bestFit="1" customWidth="1"/>
    <col min="2" max="2" width="25.90625" customWidth="1"/>
    <col min="3" max="3" width="22" customWidth="1"/>
    <col min="4" max="4" width="23.453125" customWidth="1"/>
    <col min="5" max="5" width="18.08984375" customWidth="1"/>
    <col min="6" max="6" width="16.81640625" customWidth="1"/>
    <col min="7" max="7" width="18.90625" customWidth="1"/>
    <col min="8" max="8" width="9.90625" customWidth="1"/>
    <col min="9" max="9" width="8.81640625" bestFit="1" customWidth="1"/>
    <col min="10" max="11" width="12.6328125" bestFit="1" customWidth="1"/>
    <col min="12" max="12" width="14.08984375" customWidth="1"/>
    <col min="13" max="13" width="23.90625" customWidth="1"/>
  </cols>
  <sheetData>
    <row r="1" spans="1:13">
      <c r="A1" s="962"/>
      <c r="B1" s="1400"/>
      <c r="C1" s="1400"/>
      <c r="D1" s="1400"/>
      <c r="E1" s="1400"/>
      <c r="F1" s="1400"/>
      <c r="G1" s="1400"/>
      <c r="H1" s="1400"/>
      <c r="I1" s="1400"/>
      <c r="J1" s="1400"/>
      <c r="K1" s="1400"/>
      <c r="L1" s="1401"/>
      <c r="M1" s="375"/>
    </row>
    <row r="2" spans="1:13">
      <c r="A2" s="962"/>
      <c r="B2" s="1402"/>
      <c r="C2" s="1402"/>
      <c r="D2" s="1402"/>
      <c r="E2" s="1402"/>
      <c r="F2" s="1402"/>
      <c r="G2" s="1402"/>
      <c r="H2" s="1402"/>
      <c r="I2" s="1402"/>
      <c r="J2" s="1402"/>
      <c r="K2" s="1402"/>
      <c r="L2" s="1403"/>
      <c r="M2" s="375"/>
    </row>
    <row r="3" spans="1:13" ht="25">
      <c r="A3" s="1404"/>
      <c r="B3" s="1404"/>
      <c r="C3" s="364" t="s">
        <v>14</v>
      </c>
      <c r="D3" s="1405" t="s">
        <v>15</v>
      </c>
      <c r="E3" s="1405"/>
      <c r="F3" s="1405"/>
      <c r="G3" s="1405"/>
      <c r="H3" s="1405"/>
      <c r="I3" s="1405"/>
      <c r="J3" s="1405"/>
      <c r="K3" s="1405"/>
      <c r="L3" s="1406"/>
      <c r="M3" s="374">
        <f ca="1">NOW()-1</f>
        <v>45972.461192939816</v>
      </c>
    </row>
    <row r="4" spans="1:13">
      <c r="A4" s="365" t="s">
        <v>16</v>
      </c>
      <c r="B4" s="365"/>
      <c r="C4" s="366">
        <v>45632</v>
      </c>
      <c r="D4" s="1407" t="s">
        <v>17</v>
      </c>
      <c r="E4" s="1408"/>
      <c r="F4" s="1408"/>
      <c r="G4" s="1408"/>
      <c r="H4" s="1408"/>
      <c r="I4" s="1408"/>
      <c r="J4" s="1408"/>
      <c r="K4" s="1408"/>
      <c r="L4" s="1408"/>
      <c r="M4" s="1409"/>
    </row>
    <row r="5" spans="1:13">
      <c r="A5" s="365" t="s">
        <v>18</v>
      </c>
      <c r="B5" s="365"/>
      <c r="C5" s="366">
        <v>46178</v>
      </c>
      <c r="D5" s="1410"/>
      <c r="E5" s="1411"/>
      <c r="F5" s="1411"/>
      <c r="G5" s="1411"/>
      <c r="H5" s="1411"/>
      <c r="I5" s="1411"/>
      <c r="J5" s="1411"/>
      <c r="K5" s="1411"/>
      <c r="L5" s="1411"/>
      <c r="M5" s="1412"/>
    </row>
    <row r="6" spans="1:13" ht="19">
      <c r="A6" s="365" t="s">
        <v>19</v>
      </c>
      <c r="B6" s="365"/>
      <c r="C6" s="366"/>
      <c r="D6" s="367" t="s">
        <v>20</v>
      </c>
      <c r="E6" s="368"/>
      <c r="F6" s="368"/>
      <c r="G6" s="369"/>
      <c r="H6" s="369"/>
      <c r="I6" s="369"/>
      <c r="J6" s="369"/>
      <c r="K6" s="369"/>
      <c r="L6" s="369"/>
      <c r="M6" s="375"/>
    </row>
    <row r="7" spans="1:13" ht="19">
      <c r="A7" s="365" t="s">
        <v>21</v>
      </c>
      <c r="B7" s="365"/>
      <c r="C7" s="370"/>
      <c r="D7" s="400" t="s">
        <v>22</v>
      </c>
      <c r="E7" s="368"/>
      <c r="F7" s="368"/>
      <c r="G7" s="369"/>
      <c r="H7" s="369"/>
      <c r="I7" s="369"/>
      <c r="J7" s="369"/>
      <c r="K7" s="369"/>
      <c r="L7" s="369"/>
      <c r="M7" s="375"/>
    </row>
    <row r="8" spans="1:13" ht="19">
      <c r="A8" s="365" t="s">
        <v>23</v>
      </c>
      <c r="B8" s="365"/>
      <c r="C8" s="370"/>
      <c r="D8" s="367" t="s">
        <v>24</v>
      </c>
      <c r="E8" s="368"/>
      <c r="F8" s="368"/>
      <c r="G8" s="369"/>
      <c r="H8" s="369"/>
      <c r="I8" s="369"/>
      <c r="J8" s="369"/>
      <c r="K8" s="369"/>
      <c r="L8" s="369"/>
      <c r="M8" s="375"/>
    </row>
    <row r="9" spans="1:13" ht="15.5">
      <c r="A9" s="1413" t="s">
        <v>25</v>
      </c>
      <c r="B9" s="1413"/>
      <c r="C9" s="1413"/>
      <c r="D9" s="1413"/>
      <c r="E9" s="1413"/>
      <c r="F9" s="1413"/>
      <c r="G9" s="1413"/>
      <c r="H9" s="1413"/>
      <c r="I9" s="1413"/>
      <c r="J9" s="1413"/>
      <c r="K9" s="1413"/>
      <c r="L9" s="1413"/>
      <c r="M9" s="376">
        <f ca="1">M3</f>
        <v>45972.461192939816</v>
      </c>
    </row>
    <row r="10" spans="1:13" ht="78.5" customHeight="1">
      <c r="A10" s="371" t="s">
        <v>26</v>
      </c>
      <c r="B10" s="1" t="s">
        <v>27</v>
      </c>
      <c r="C10" s="1" t="s">
        <v>28</v>
      </c>
      <c r="D10" s="1" t="s">
        <v>29</v>
      </c>
      <c r="E10" s="1" t="s">
        <v>30</v>
      </c>
      <c r="F10" s="1" t="s">
        <v>1875</v>
      </c>
      <c r="G10" s="1" t="s">
        <v>1876</v>
      </c>
      <c r="H10" s="1" t="s">
        <v>278</v>
      </c>
      <c r="I10" s="372" t="s">
        <v>31</v>
      </c>
      <c r="J10" s="1" t="s">
        <v>32</v>
      </c>
      <c r="K10" s="377" t="s">
        <v>33</v>
      </c>
      <c r="L10" s="1" t="str">
        <f ca="1">"Gangs working "&amp;CHAR(10)&amp;TEXT(M3,"mmm-yy")</f>
        <v>Gangs working 
Nov-25</v>
      </c>
      <c r="M10" s="378" t="s">
        <v>34</v>
      </c>
    </row>
    <row r="11" spans="1:13" ht="123" customHeight="1">
      <c r="A11" s="963" t="s">
        <v>35</v>
      </c>
      <c r="B11" s="964" t="s">
        <v>36</v>
      </c>
      <c r="C11" s="965">
        <v>184</v>
      </c>
      <c r="D11" s="965">
        <v>188.44399999999999</v>
      </c>
      <c r="E11" s="965"/>
      <c r="F11" s="965"/>
      <c r="G11" s="965"/>
      <c r="H11" s="965"/>
      <c r="I11" s="965"/>
      <c r="J11" s="965">
        <v>188.44399999999999</v>
      </c>
      <c r="K11" s="965">
        <f>D11-J11</f>
        <v>0</v>
      </c>
      <c r="L11" s="965"/>
      <c r="M11" s="966" t="s">
        <v>37</v>
      </c>
    </row>
    <row r="12" spans="1:13" ht="69" customHeight="1">
      <c r="A12" s="967" t="s">
        <v>38</v>
      </c>
      <c r="B12" s="968" t="s">
        <v>39</v>
      </c>
      <c r="C12" s="969">
        <v>184</v>
      </c>
      <c r="D12" s="965">
        <v>188.44399999999999</v>
      </c>
      <c r="E12" s="969">
        <v>188.44399999999999</v>
      </c>
      <c r="F12" s="969"/>
      <c r="G12" s="969">
        <f>D12-E12</f>
        <v>0</v>
      </c>
      <c r="H12" s="969"/>
      <c r="I12" s="969"/>
      <c r="J12" s="969">
        <v>188.44399999999999</v>
      </c>
      <c r="K12" s="969">
        <f>D12-J12</f>
        <v>0</v>
      </c>
      <c r="L12" s="970"/>
      <c r="M12" s="966"/>
    </row>
    <row r="13" spans="1:13" ht="40">
      <c r="A13" s="967" t="s">
        <v>40</v>
      </c>
      <c r="B13" s="968" t="s">
        <v>41</v>
      </c>
      <c r="C13" s="969">
        <v>184</v>
      </c>
      <c r="D13" s="965">
        <v>188.44399999999999</v>
      </c>
      <c r="E13" s="969">
        <v>174.786</v>
      </c>
      <c r="F13" s="969">
        <f>188.444-E13</f>
        <v>13.657999999999987</v>
      </c>
      <c r="G13" s="969"/>
      <c r="H13" s="969"/>
      <c r="I13" s="971"/>
      <c r="J13" s="969">
        <v>178.07499999999999</v>
      </c>
      <c r="K13" s="969">
        <f>D13-J13</f>
        <v>10.369</v>
      </c>
      <c r="L13" s="972">
        <v>1</v>
      </c>
      <c r="M13" s="998" t="s">
        <v>1664</v>
      </c>
    </row>
    <row r="14" spans="1:13" ht="40">
      <c r="A14" s="967" t="s">
        <v>42</v>
      </c>
      <c r="B14" s="968" t="s">
        <v>43</v>
      </c>
      <c r="C14" s="972">
        <v>73</v>
      </c>
      <c r="D14" s="972">
        <v>73</v>
      </c>
      <c r="E14" s="972">
        <v>73</v>
      </c>
      <c r="F14" s="972"/>
      <c r="G14" s="972"/>
      <c r="H14" s="972"/>
      <c r="I14" s="972"/>
      <c r="J14" s="972">
        <v>73</v>
      </c>
      <c r="K14" s="972">
        <v>0</v>
      </c>
      <c r="L14" s="972"/>
      <c r="M14" s="973"/>
    </row>
    <row r="15" spans="1:13" ht="107" customHeight="1">
      <c r="A15" s="974" t="s">
        <v>1760</v>
      </c>
      <c r="B15" s="975" t="s">
        <v>45</v>
      </c>
      <c r="C15" s="976">
        <v>508</v>
      </c>
      <c r="D15" s="976">
        <v>512</v>
      </c>
      <c r="E15" s="976">
        <v>215</v>
      </c>
      <c r="F15" s="976">
        <v>51</v>
      </c>
      <c r="G15" s="977">
        <v>4</v>
      </c>
      <c r="H15" s="977">
        <v>6</v>
      </c>
      <c r="I15" s="977"/>
      <c r="J15" s="976">
        <f>E15+G15</f>
        <v>219</v>
      </c>
      <c r="K15" s="976">
        <f t="shared" ref="K15:K23" si="0">D15-J15</f>
        <v>293</v>
      </c>
      <c r="L15" s="977">
        <v>6</v>
      </c>
      <c r="M15" s="1057" t="s">
        <v>1765</v>
      </c>
    </row>
    <row r="16" spans="1:13" ht="20">
      <c r="A16" s="967" t="s">
        <v>44</v>
      </c>
      <c r="B16" s="968" t="s">
        <v>47</v>
      </c>
      <c r="C16" s="972">
        <v>508</v>
      </c>
      <c r="D16" s="972">
        <v>512</v>
      </c>
      <c r="E16" s="972">
        <v>191</v>
      </c>
      <c r="F16" s="972">
        <v>208</v>
      </c>
      <c r="G16" s="972">
        <v>0</v>
      </c>
      <c r="H16" s="972"/>
      <c r="I16" s="972"/>
      <c r="J16" s="972">
        <f>E16+G16</f>
        <v>191</v>
      </c>
      <c r="K16" s="978">
        <f t="shared" si="0"/>
        <v>321</v>
      </c>
      <c r="L16" s="972"/>
      <c r="M16" s="972"/>
    </row>
    <row r="17" spans="1:13" ht="40">
      <c r="A17" s="974" t="s">
        <v>46</v>
      </c>
      <c r="B17" s="975" t="s">
        <v>48</v>
      </c>
      <c r="C17" s="976">
        <v>508</v>
      </c>
      <c r="D17" s="976">
        <v>512</v>
      </c>
      <c r="E17" s="976">
        <v>104</v>
      </c>
      <c r="F17" s="976">
        <v>46</v>
      </c>
      <c r="G17" s="976">
        <v>11</v>
      </c>
      <c r="H17" s="976">
        <v>7</v>
      </c>
      <c r="I17" s="976">
        <v>1</v>
      </c>
      <c r="J17" s="976">
        <f>E17+G17</f>
        <v>115</v>
      </c>
      <c r="K17" s="976">
        <f t="shared" si="0"/>
        <v>397</v>
      </c>
      <c r="L17" s="976">
        <v>6</v>
      </c>
      <c r="M17" s="1057"/>
    </row>
    <row r="18" spans="1:13" ht="40">
      <c r="A18" s="967" t="s">
        <v>1761</v>
      </c>
      <c r="B18" s="968" t="s">
        <v>49</v>
      </c>
      <c r="C18" s="972">
        <v>508</v>
      </c>
      <c r="D18" s="972">
        <v>512</v>
      </c>
      <c r="E18" s="972"/>
      <c r="F18" s="972"/>
      <c r="G18" s="972"/>
      <c r="H18" s="972"/>
      <c r="I18" s="972"/>
      <c r="J18" s="972">
        <f>E18+G18</f>
        <v>0</v>
      </c>
      <c r="K18" s="978">
        <f t="shared" si="0"/>
        <v>512</v>
      </c>
      <c r="L18" s="972"/>
      <c r="M18" s="972"/>
    </row>
    <row r="19" spans="1:13" ht="20">
      <c r="A19" s="967" t="s">
        <v>1762</v>
      </c>
      <c r="B19" s="968" t="s">
        <v>50</v>
      </c>
      <c r="C19" s="972"/>
      <c r="D19" s="972"/>
      <c r="E19" s="972"/>
      <c r="F19" s="972"/>
      <c r="G19" s="972"/>
      <c r="H19" s="972"/>
      <c r="I19" s="979"/>
      <c r="J19" s="972"/>
      <c r="K19" s="978">
        <f t="shared" si="0"/>
        <v>0</v>
      </c>
      <c r="L19" s="972"/>
      <c r="M19" s="972"/>
    </row>
    <row r="20" spans="1:13" ht="20">
      <c r="A20" s="974" t="s">
        <v>51</v>
      </c>
      <c r="B20" s="975" t="s">
        <v>52</v>
      </c>
      <c r="C20" s="980">
        <v>184</v>
      </c>
      <c r="D20" s="965">
        <v>188.44399999999999</v>
      </c>
      <c r="E20" s="980">
        <v>0</v>
      </c>
      <c r="F20" s="980"/>
      <c r="G20" s="980"/>
      <c r="H20" s="980"/>
      <c r="I20" s="980"/>
      <c r="J20" s="980">
        <f>E20+G20</f>
        <v>0</v>
      </c>
      <c r="K20" s="980">
        <f t="shared" si="0"/>
        <v>188.44399999999999</v>
      </c>
      <c r="L20" s="980"/>
      <c r="M20" s="981"/>
    </row>
    <row r="21" spans="1:13" ht="20">
      <c r="A21" s="974" t="s">
        <v>38</v>
      </c>
      <c r="B21" s="975" t="s">
        <v>53</v>
      </c>
      <c r="C21" s="980">
        <v>184</v>
      </c>
      <c r="D21" s="965">
        <v>188.44399999999999</v>
      </c>
      <c r="E21" s="980">
        <v>0</v>
      </c>
      <c r="F21" s="980"/>
      <c r="G21" s="980"/>
      <c r="H21" s="980"/>
      <c r="I21" s="980"/>
      <c r="J21" s="980">
        <f>E21+G21</f>
        <v>0</v>
      </c>
      <c r="K21" s="980">
        <f t="shared" si="0"/>
        <v>188.44399999999999</v>
      </c>
      <c r="L21" s="980"/>
      <c r="M21" s="981"/>
    </row>
    <row r="22" spans="1:13" ht="40">
      <c r="A22" s="967" t="s">
        <v>54</v>
      </c>
      <c r="B22" s="968" t="s">
        <v>55</v>
      </c>
      <c r="C22" s="969">
        <v>184</v>
      </c>
      <c r="D22" s="965">
        <v>188.44399999999999</v>
      </c>
      <c r="E22" s="969">
        <v>0</v>
      </c>
      <c r="F22" s="969"/>
      <c r="G22" s="969"/>
      <c r="H22" s="969"/>
      <c r="I22" s="969"/>
      <c r="J22" s="969">
        <f>E22+G22</f>
        <v>0</v>
      </c>
      <c r="K22" s="982">
        <f t="shared" si="0"/>
        <v>188.44399999999999</v>
      </c>
      <c r="L22" s="969"/>
      <c r="M22" s="969"/>
    </row>
    <row r="23" spans="1:13" ht="20">
      <c r="A23" s="983"/>
      <c r="B23" s="983"/>
      <c r="C23" s="983"/>
      <c r="D23" s="983"/>
      <c r="E23" s="983"/>
      <c r="F23" s="983"/>
      <c r="G23" s="983"/>
      <c r="H23" s="983"/>
      <c r="I23" s="983"/>
      <c r="J23" s="983"/>
      <c r="K23" s="984">
        <f t="shared" si="0"/>
        <v>0</v>
      </c>
      <c r="L23" s="983"/>
      <c r="M23" s="983"/>
    </row>
    <row r="24" spans="1:13" ht="40">
      <c r="A24" s="985" t="s">
        <v>26</v>
      </c>
      <c r="B24" s="985" t="s">
        <v>56</v>
      </c>
      <c r="C24" s="985" t="s">
        <v>57</v>
      </c>
      <c r="D24" s="1381" t="s">
        <v>58</v>
      </c>
      <c r="E24" s="1383"/>
      <c r="F24" s="985"/>
      <c r="G24" s="1381" t="s">
        <v>59</v>
      </c>
      <c r="H24" s="1382"/>
      <c r="I24" s="1383"/>
      <c r="J24" s="1381" t="s">
        <v>34</v>
      </c>
      <c r="K24" s="1382"/>
      <c r="L24" s="1382"/>
      <c r="M24" s="1383"/>
    </row>
    <row r="25" spans="1:13" ht="40">
      <c r="A25" s="986" t="s">
        <v>60</v>
      </c>
      <c r="B25" s="987" t="s">
        <v>61</v>
      </c>
      <c r="C25" s="987"/>
      <c r="D25" s="1384"/>
      <c r="E25" s="1384"/>
      <c r="F25" s="988"/>
      <c r="G25" s="1385"/>
      <c r="H25" s="1386"/>
      <c r="I25" s="1387"/>
      <c r="J25" s="990"/>
      <c r="K25" s="990"/>
      <c r="L25" s="990"/>
      <c r="M25" s="991"/>
    </row>
    <row r="26" spans="1:13" ht="32" customHeight="1">
      <c r="A26" s="1073">
        <v>1</v>
      </c>
      <c r="B26" s="1073" t="s">
        <v>1755</v>
      </c>
      <c r="C26" s="1073" t="s">
        <v>1581</v>
      </c>
      <c r="D26" s="1073" t="s">
        <v>1559</v>
      </c>
      <c r="E26" s="1073" t="s">
        <v>1558</v>
      </c>
      <c r="F26" s="1073" t="s">
        <v>1769</v>
      </c>
      <c r="G26" s="1074" t="s">
        <v>1794</v>
      </c>
      <c r="H26" s="1073"/>
      <c r="I26" s="1073"/>
      <c r="J26" s="1378"/>
      <c r="K26" s="1379"/>
      <c r="L26" s="1379"/>
      <c r="M26" s="1380"/>
    </row>
    <row r="27" spans="1:13" ht="32" customHeight="1">
      <c r="A27" s="1073">
        <v>2</v>
      </c>
      <c r="B27" s="1073" t="s">
        <v>1756</v>
      </c>
      <c r="C27" s="1073" t="s">
        <v>1582</v>
      </c>
      <c r="D27" s="1073" t="s">
        <v>1337</v>
      </c>
      <c r="E27" s="1073" t="s">
        <v>1558</v>
      </c>
      <c r="F27" s="1073" t="s">
        <v>1769</v>
      </c>
      <c r="G27" s="1074" t="s">
        <v>1794</v>
      </c>
      <c r="H27" s="1073"/>
      <c r="I27" s="1073"/>
      <c r="J27" s="1378"/>
      <c r="K27" s="1379"/>
      <c r="L27" s="1379"/>
      <c r="M27" s="1380"/>
    </row>
    <row r="28" spans="1:13" ht="32" customHeight="1">
      <c r="A28" s="1073">
        <v>3</v>
      </c>
      <c r="B28" s="1073" t="s">
        <v>1757</v>
      </c>
      <c r="C28" s="1073" t="s">
        <v>1583</v>
      </c>
      <c r="D28" s="1073" t="s">
        <v>1337</v>
      </c>
      <c r="E28" s="1073" t="s">
        <v>1558</v>
      </c>
      <c r="F28" s="1073" t="s">
        <v>1769</v>
      </c>
      <c r="G28" s="1074" t="s">
        <v>1794</v>
      </c>
      <c r="H28" s="1073"/>
      <c r="I28" s="1073"/>
      <c r="J28" s="1378"/>
      <c r="K28" s="1379"/>
      <c r="L28" s="1379"/>
      <c r="M28" s="1380"/>
    </row>
    <row r="29" spans="1:13" ht="44.5" customHeight="1">
      <c r="A29" s="1073">
        <v>4</v>
      </c>
      <c r="B29" s="1073" t="s">
        <v>1560</v>
      </c>
      <c r="C29" s="1073" t="s">
        <v>1584</v>
      </c>
      <c r="D29" s="1073" t="s">
        <v>1337</v>
      </c>
      <c r="E29" s="1073" t="s">
        <v>1594</v>
      </c>
      <c r="F29" s="1073" t="s">
        <v>1768</v>
      </c>
      <c r="G29" s="1388" t="s">
        <v>1766</v>
      </c>
      <c r="H29" s="1389"/>
      <c r="I29" s="1390"/>
      <c r="J29" s="1378"/>
      <c r="K29" s="1379"/>
      <c r="L29" s="1379"/>
      <c r="M29" s="1380"/>
    </row>
    <row r="30" spans="1:13" ht="43.5" customHeight="1">
      <c r="A30" s="1073">
        <v>5</v>
      </c>
      <c r="B30" s="1073" t="s">
        <v>1561</v>
      </c>
      <c r="C30" s="1073" t="s">
        <v>1585</v>
      </c>
      <c r="D30" s="1073" t="s">
        <v>1337</v>
      </c>
      <c r="E30" s="1073"/>
      <c r="F30" s="1073" t="s">
        <v>1592</v>
      </c>
      <c r="G30" s="1391" t="s">
        <v>1771</v>
      </c>
      <c r="H30" s="1392"/>
      <c r="I30" s="1392"/>
      <c r="J30" s="1392"/>
      <c r="K30" s="1392"/>
      <c r="L30" s="1392"/>
      <c r="M30" s="1393"/>
    </row>
    <row r="31" spans="1:13" ht="43.5" customHeight="1">
      <c r="A31" s="1073">
        <v>6</v>
      </c>
      <c r="B31" s="1073" t="s">
        <v>1562</v>
      </c>
      <c r="C31" s="1073" t="s">
        <v>1586</v>
      </c>
      <c r="D31" s="1073" t="s">
        <v>1337</v>
      </c>
      <c r="E31" s="1073"/>
      <c r="F31" s="1073" t="s">
        <v>1592</v>
      </c>
      <c r="G31" s="1394"/>
      <c r="H31" s="1395"/>
      <c r="I31" s="1395"/>
      <c r="J31" s="1395"/>
      <c r="K31" s="1395"/>
      <c r="L31" s="1395"/>
      <c r="M31" s="1396"/>
    </row>
    <row r="32" spans="1:13" ht="31" customHeight="1">
      <c r="A32" s="1073">
        <v>7</v>
      </c>
      <c r="B32" s="1073" t="s">
        <v>1563</v>
      </c>
      <c r="C32" s="1073" t="s">
        <v>1587</v>
      </c>
      <c r="D32" s="1073" t="s">
        <v>1337</v>
      </c>
      <c r="E32" s="1073"/>
      <c r="F32" s="1073" t="s">
        <v>1592</v>
      </c>
      <c r="G32" s="1397"/>
      <c r="H32" s="1398"/>
      <c r="I32" s="1398"/>
      <c r="J32" s="1398"/>
      <c r="K32" s="1398"/>
      <c r="L32" s="1398"/>
      <c r="M32" s="1399"/>
    </row>
    <row r="33" spans="1:17" ht="62" customHeight="1">
      <c r="A33" s="1073">
        <v>8</v>
      </c>
      <c r="B33" s="1073" t="s">
        <v>1564</v>
      </c>
      <c r="C33" s="1073" t="s">
        <v>1588</v>
      </c>
      <c r="D33" s="1073" t="s">
        <v>1337</v>
      </c>
      <c r="E33" s="1073"/>
      <c r="F33" s="1073" t="s">
        <v>1592</v>
      </c>
      <c r="G33" s="1388" t="s">
        <v>1792</v>
      </c>
      <c r="H33" s="1389"/>
      <c r="I33" s="1389"/>
      <c r="J33" s="1389"/>
      <c r="K33" s="1389"/>
      <c r="L33" s="1389"/>
      <c r="M33" s="1390"/>
    </row>
    <row r="34" spans="1:17" ht="32.5" customHeight="1">
      <c r="A34" s="1073">
        <v>9</v>
      </c>
      <c r="B34" s="1073" t="s">
        <v>1565</v>
      </c>
      <c r="C34" s="1073" t="s">
        <v>1589</v>
      </c>
      <c r="D34" s="1073" t="s">
        <v>1337</v>
      </c>
      <c r="E34" s="1073"/>
      <c r="F34" s="1073" t="s">
        <v>1592</v>
      </c>
      <c r="G34" s="1378"/>
      <c r="H34" s="1379"/>
      <c r="I34" s="1379"/>
      <c r="J34" s="1379"/>
      <c r="K34" s="1379"/>
      <c r="L34" s="1379"/>
      <c r="M34" s="1380"/>
    </row>
    <row r="35" spans="1:17" ht="62" customHeight="1">
      <c r="A35" s="1073">
        <v>10</v>
      </c>
      <c r="B35" s="1073" t="s">
        <v>1566</v>
      </c>
      <c r="C35" s="1073" t="s">
        <v>1590</v>
      </c>
      <c r="D35" s="1073" t="s">
        <v>1567</v>
      </c>
      <c r="E35" s="1073"/>
      <c r="F35" s="1073" t="s">
        <v>1592</v>
      </c>
      <c r="G35" s="1378"/>
      <c r="H35" s="1379"/>
      <c r="I35" s="1379"/>
      <c r="J35" s="1379"/>
      <c r="K35" s="1379"/>
      <c r="L35" s="1379"/>
      <c r="M35" s="1380"/>
    </row>
    <row r="36" spans="1:17" ht="49" customHeight="1">
      <c r="A36" s="1073">
        <v>11</v>
      </c>
      <c r="B36" s="1073" t="s">
        <v>1568</v>
      </c>
      <c r="C36" s="1073" t="s">
        <v>1591</v>
      </c>
      <c r="D36" s="1073" t="s">
        <v>1567</v>
      </c>
      <c r="E36" s="1073" t="s">
        <v>1594</v>
      </c>
      <c r="F36" s="1073" t="s">
        <v>1767</v>
      </c>
      <c r="G36" s="1378" t="s">
        <v>1772</v>
      </c>
      <c r="H36" s="1379"/>
      <c r="I36" s="1379"/>
      <c r="J36" s="1379"/>
      <c r="K36" s="1379"/>
      <c r="L36" s="1379"/>
      <c r="M36" s="1380"/>
    </row>
    <row r="37" spans="1:17" ht="15.5">
      <c r="A37" s="1073" t="s">
        <v>63</v>
      </c>
      <c r="B37" s="1073" t="s">
        <v>64</v>
      </c>
      <c r="C37" s="1073"/>
      <c r="D37" s="1073"/>
      <c r="E37" s="1073"/>
      <c r="F37" s="1073"/>
      <c r="G37" s="1378"/>
      <c r="H37" s="1379"/>
      <c r="I37" s="1379"/>
      <c r="J37" s="1379"/>
      <c r="K37" s="1379"/>
      <c r="L37" s="1379"/>
      <c r="M37" s="1380"/>
    </row>
    <row r="38" spans="1:17" ht="15.5">
      <c r="A38" s="1073">
        <v>1</v>
      </c>
      <c r="B38" s="1073" t="s">
        <v>65</v>
      </c>
      <c r="C38" s="1073" t="s">
        <v>66</v>
      </c>
      <c r="D38" s="1073" t="s">
        <v>64</v>
      </c>
      <c r="E38" s="1073"/>
      <c r="F38" s="1073"/>
      <c r="G38" s="1378"/>
      <c r="H38" s="1379"/>
      <c r="I38" s="1379"/>
      <c r="J38" s="1379"/>
      <c r="K38" s="1379"/>
      <c r="L38" s="1379"/>
      <c r="M38" s="1380"/>
    </row>
    <row r="39" spans="1:17" ht="15.5">
      <c r="A39" s="1073">
        <v>2</v>
      </c>
      <c r="B39" s="1073" t="s">
        <v>67</v>
      </c>
      <c r="C39" s="1073" t="s">
        <v>68</v>
      </c>
      <c r="D39" s="1073" t="s">
        <v>64</v>
      </c>
      <c r="E39" s="1073"/>
      <c r="F39" s="1073"/>
      <c r="G39" s="1378"/>
      <c r="H39" s="1379"/>
      <c r="I39" s="1379"/>
      <c r="J39" s="1379"/>
      <c r="K39" s="1379"/>
      <c r="L39" s="1379"/>
      <c r="M39" s="1380"/>
    </row>
    <row r="40" spans="1:17" ht="15.5">
      <c r="A40" s="1073">
        <v>3</v>
      </c>
      <c r="B40" s="1073" t="s">
        <v>69</v>
      </c>
      <c r="C40" s="1073" t="s">
        <v>70</v>
      </c>
      <c r="D40" s="1073" t="s">
        <v>64</v>
      </c>
      <c r="E40" s="1073"/>
      <c r="F40" s="1073"/>
      <c r="G40" s="1378"/>
      <c r="H40" s="1379"/>
      <c r="I40" s="1379"/>
      <c r="J40" s="1379"/>
      <c r="K40" s="1379"/>
      <c r="L40" s="1379"/>
      <c r="M40" s="1380"/>
    </row>
    <row r="41" spans="1:17" ht="62.5" customHeight="1">
      <c r="A41" s="1073" t="s">
        <v>71</v>
      </c>
      <c r="B41" s="1073" t="s">
        <v>72</v>
      </c>
      <c r="C41" s="1073"/>
      <c r="D41" s="1073"/>
      <c r="E41" s="1073"/>
      <c r="F41" s="1073"/>
      <c r="G41" s="1378"/>
      <c r="H41" s="1379"/>
      <c r="I41" s="1379"/>
      <c r="J41" s="1379"/>
      <c r="K41" s="1379"/>
      <c r="L41" s="1379"/>
      <c r="M41" s="1380"/>
    </row>
    <row r="42" spans="1:17" ht="62" customHeight="1">
      <c r="A42" s="1073">
        <v>1</v>
      </c>
      <c r="B42" s="1073" t="s">
        <v>73</v>
      </c>
      <c r="C42" s="1073" t="s">
        <v>74</v>
      </c>
      <c r="D42" s="1073" t="s">
        <v>1344</v>
      </c>
      <c r="E42" s="1073"/>
      <c r="F42" s="1073"/>
      <c r="G42" s="1378" t="s">
        <v>1773</v>
      </c>
      <c r="H42" s="1379"/>
      <c r="I42" s="1379"/>
      <c r="J42" s="1379"/>
      <c r="K42" s="1379"/>
      <c r="L42" s="1379"/>
      <c r="M42" s="1380"/>
    </row>
    <row r="43" spans="1:17" ht="31">
      <c r="A43" s="1073">
        <f>A42+1</f>
        <v>2</v>
      </c>
      <c r="B43" s="1073" t="s">
        <v>75</v>
      </c>
      <c r="C43" s="1073" t="s">
        <v>74</v>
      </c>
      <c r="D43" s="1073" t="s">
        <v>1593</v>
      </c>
      <c r="E43" s="1073"/>
      <c r="F43" s="1073"/>
      <c r="G43" s="1378"/>
      <c r="H43" s="1379"/>
      <c r="I43" s="1379"/>
      <c r="J43" s="1379"/>
      <c r="K43" s="1379"/>
      <c r="L43" s="1379"/>
      <c r="M43" s="1380"/>
    </row>
    <row r="44" spans="1:17" ht="23.5" customHeight="1">
      <c r="A44" s="1073" t="s">
        <v>44</v>
      </c>
      <c r="B44" s="1073" t="s">
        <v>76</v>
      </c>
      <c r="C44" s="1073"/>
      <c r="D44" s="1073"/>
      <c r="E44" s="1073"/>
      <c r="F44" s="1073"/>
      <c r="G44" s="1378"/>
      <c r="H44" s="1379"/>
      <c r="I44" s="1379"/>
      <c r="J44" s="1379"/>
      <c r="K44" s="1379"/>
      <c r="L44" s="1379"/>
      <c r="M44" s="1380"/>
    </row>
    <row r="45" spans="1:17" ht="64" customHeight="1">
      <c r="A45" s="1073">
        <v>1</v>
      </c>
      <c r="B45" s="1073" t="s">
        <v>1774</v>
      </c>
      <c r="C45" s="1073" t="s">
        <v>1775</v>
      </c>
      <c r="D45" s="1073" t="s">
        <v>1776</v>
      </c>
      <c r="E45" s="1073"/>
      <c r="F45" s="1073" t="s">
        <v>1777</v>
      </c>
      <c r="G45" s="1378"/>
      <c r="H45" s="1379"/>
      <c r="I45" s="1379"/>
      <c r="J45" s="1379"/>
      <c r="K45" s="1379"/>
      <c r="L45" s="1379"/>
      <c r="M45" s="1380"/>
    </row>
    <row r="46" spans="1:17" ht="44" customHeight="1">
      <c r="A46" s="1073">
        <v>2</v>
      </c>
      <c r="B46" s="1073" t="s">
        <v>1778</v>
      </c>
      <c r="C46" s="1073" t="s">
        <v>1779</v>
      </c>
      <c r="D46" s="1073" t="s">
        <v>1776</v>
      </c>
      <c r="E46" s="1073"/>
      <c r="F46" s="1073"/>
      <c r="G46" s="1378"/>
      <c r="H46" s="1379"/>
      <c r="I46" s="1379"/>
      <c r="J46" s="1379"/>
      <c r="K46" s="1379"/>
      <c r="L46" s="1379"/>
      <c r="M46" s="1380"/>
      <c r="N46" s="1377"/>
      <c r="O46" s="1377"/>
      <c r="P46" s="1377"/>
      <c r="Q46" s="1377"/>
    </row>
    <row r="47" spans="1:17" ht="31">
      <c r="A47" s="1073">
        <v>3</v>
      </c>
      <c r="B47" s="1073" t="s">
        <v>1780</v>
      </c>
      <c r="C47" s="1073" t="s">
        <v>1781</v>
      </c>
      <c r="D47" s="1073" t="s">
        <v>1776</v>
      </c>
      <c r="E47" s="1073" t="s">
        <v>1793</v>
      </c>
      <c r="F47" s="1073"/>
      <c r="G47" s="1378"/>
      <c r="H47" s="1379"/>
      <c r="I47" s="1379"/>
      <c r="J47" s="1379"/>
      <c r="K47" s="1379"/>
      <c r="L47" s="1379"/>
      <c r="M47" s="1380"/>
    </row>
    <row r="48" spans="1:17" ht="15.5">
      <c r="A48" s="1073">
        <v>4</v>
      </c>
      <c r="B48" s="1073" t="s">
        <v>1782</v>
      </c>
      <c r="C48" s="1073" t="s">
        <v>1783</v>
      </c>
      <c r="D48" s="1073" t="s">
        <v>1776</v>
      </c>
      <c r="E48" s="1073"/>
      <c r="F48" s="1073"/>
      <c r="G48" s="1378"/>
      <c r="H48" s="1379"/>
      <c r="I48" s="1379"/>
      <c r="J48" s="1379"/>
      <c r="K48" s="1379"/>
      <c r="L48" s="1379"/>
      <c r="M48" s="1380"/>
    </row>
    <row r="49" spans="1:13" ht="31">
      <c r="A49" s="1073">
        <v>5</v>
      </c>
      <c r="B49" s="1073" t="s">
        <v>1784</v>
      </c>
      <c r="C49" s="1073" t="s">
        <v>1785</v>
      </c>
      <c r="D49" s="1073" t="s">
        <v>1776</v>
      </c>
      <c r="E49" s="1073"/>
      <c r="F49" s="1073"/>
      <c r="G49" s="1378"/>
      <c r="H49" s="1379"/>
      <c r="I49" s="1379"/>
      <c r="J49" s="1379"/>
      <c r="K49" s="1379"/>
      <c r="L49" s="1379"/>
      <c r="M49" s="1380"/>
    </row>
    <row r="50" spans="1:13" ht="46.5">
      <c r="A50" s="1073">
        <v>6</v>
      </c>
      <c r="B50" s="1073" t="s">
        <v>1345</v>
      </c>
      <c r="C50" s="1073" t="s">
        <v>1786</v>
      </c>
      <c r="D50" s="1073"/>
      <c r="E50" s="1073"/>
      <c r="F50" s="1073" t="s">
        <v>1787</v>
      </c>
      <c r="G50" s="1378"/>
      <c r="H50" s="1379"/>
      <c r="I50" s="1379"/>
      <c r="J50" s="1379"/>
      <c r="K50" s="1379"/>
      <c r="L50" s="1379"/>
      <c r="M50" s="1380"/>
    </row>
    <row r="51" spans="1:13" ht="15.5">
      <c r="A51" s="1073" t="s">
        <v>46</v>
      </c>
      <c r="B51" s="1073" t="s">
        <v>1315</v>
      </c>
      <c r="C51" s="1073"/>
      <c r="D51" s="1073"/>
      <c r="E51" s="1073"/>
      <c r="F51" s="1073"/>
      <c r="G51" s="1378"/>
      <c r="H51" s="1379"/>
      <c r="I51" s="1379"/>
      <c r="J51" s="1379"/>
      <c r="K51" s="1379"/>
      <c r="L51" s="1379"/>
      <c r="M51" s="1380"/>
    </row>
    <row r="52" spans="1:13" ht="74" customHeight="1">
      <c r="A52" s="1073">
        <v>1</v>
      </c>
      <c r="B52" s="1073" t="s">
        <v>1316</v>
      </c>
      <c r="C52" s="1073"/>
      <c r="D52" s="1073" t="s">
        <v>1346</v>
      </c>
      <c r="E52" s="1073"/>
      <c r="F52" s="1073"/>
      <c r="G52" s="1378" t="s">
        <v>1795</v>
      </c>
      <c r="H52" s="1379"/>
      <c r="I52" s="1379"/>
      <c r="J52" s="1379"/>
      <c r="K52" s="1379"/>
      <c r="L52" s="1379"/>
      <c r="M52" s="1380"/>
    </row>
    <row r="53" spans="1:13" ht="74" customHeight="1">
      <c r="A53" s="1073">
        <f>A52+1</f>
        <v>2</v>
      </c>
      <c r="B53" s="1073" t="s">
        <v>1317</v>
      </c>
      <c r="C53" s="1073"/>
      <c r="D53" s="1073" t="s">
        <v>1351</v>
      </c>
      <c r="E53" s="1073"/>
      <c r="F53" s="1073"/>
      <c r="G53" s="1371" t="s">
        <v>1788</v>
      </c>
      <c r="H53" s="1372"/>
      <c r="I53" s="1372"/>
      <c r="J53" s="1372"/>
      <c r="K53" s="1372"/>
      <c r="L53" s="1372"/>
      <c r="M53" s="1373"/>
    </row>
    <row r="54" spans="1:13" ht="74" customHeight="1">
      <c r="A54" s="1073">
        <f t="shared" ref="A54:A56" si="1">A53+1</f>
        <v>3</v>
      </c>
      <c r="B54" s="1073" t="s">
        <v>1318</v>
      </c>
      <c r="C54" s="1073"/>
      <c r="D54" s="1073" t="s">
        <v>1347</v>
      </c>
      <c r="E54" s="1073"/>
      <c r="F54" s="1073"/>
      <c r="G54" s="1371" t="s">
        <v>1789</v>
      </c>
      <c r="H54" s="1372"/>
      <c r="I54" s="1372"/>
      <c r="J54" s="1372"/>
      <c r="K54" s="1372"/>
      <c r="L54" s="1372"/>
      <c r="M54" s="1373"/>
    </row>
    <row r="55" spans="1:13" ht="105" customHeight="1">
      <c r="A55" s="1073">
        <f t="shared" si="1"/>
        <v>4</v>
      </c>
      <c r="B55" s="1073" t="s">
        <v>1314</v>
      </c>
      <c r="C55" s="1073"/>
      <c r="D55" s="1073" t="s">
        <v>1348</v>
      </c>
      <c r="E55" s="1073"/>
      <c r="F55" s="1073"/>
      <c r="G55" s="1371" t="s">
        <v>1790</v>
      </c>
      <c r="H55" s="1372"/>
      <c r="I55" s="1372"/>
      <c r="J55" s="1372"/>
      <c r="K55" s="1372"/>
      <c r="L55" s="1372"/>
      <c r="M55" s="1373"/>
    </row>
    <row r="56" spans="1:13" ht="84" customHeight="1">
      <c r="A56" s="1073">
        <f t="shared" si="1"/>
        <v>5</v>
      </c>
      <c r="B56" s="1073" t="s">
        <v>1319</v>
      </c>
      <c r="C56" s="1073"/>
      <c r="D56" s="1073" t="s">
        <v>1349</v>
      </c>
      <c r="E56" s="1073"/>
      <c r="F56" s="1073"/>
      <c r="G56" s="1371" t="s">
        <v>1788</v>
      </c>
      <c r="H56" s="1372"/>
      <c r="I56" s="1372"/>
      <c r="J56" s="1372"/>
      <c r="K56" s="1372"/>
      <c r="L56" s="1372"/>
      <c r="M56" s="1373"/>
    </row>
    <row r="57" spans="1:13" ht="101" customHeight="1">
      <c r="A57" s="1073">
        <v>6</v>
      </c>
      <c r="B57" s="1073" t="s">
        <v>1320</v>
      </c>
      <c r="C57" s="1073"/>
      <c r="D57" s="1073" t="s">
        <v>1665</v>
      </c>
      <c r="E57" s="1073"/>
      <c r="F57" s="1073"/>
      <c r="G57" s="1374" t="s">
        <v>1791</v>
      </c>
      <c r="H57" s="1375"/>
      <c r="I57" s="1375"/>
      <c r="J57" s="1375"/>
      <c r="K57" s="1375"/>
      <c r="L57" s="1375"/>
      <c r="M57" s="1376"/>
    </row>
    <row r="59" spans="1:13" ht="15.5" customHeight="1"/>
    <row r="60" spans="1:13" ht="15.5" customHeight="1"/>
    <row r="64" spans="1:13" ht="15.5" customHeight="1"/>
  </sheetData>
  <protectedRanges>
    <protectedRange sqref="L9:M12 L32:M34 C48:C49 A52:A56 B50:E50 I34:K34 A3:M8 B37:E47 M25 H30:K32 A37:A50 L14:L25 M13:M23 A9:K25 H26:M29 I35:M41 F37:G44 G45:G51" name="Range1_6"/>
    <protectedRange sqref="L13" name="Range1_10_3"/>
    <protectedRange sqref="B51" name="Range1_1_1_3"/>
    <protectedRange sqref="B52:B56" name="Range1_3_2_3"/>
    <protectedRange sqref="D57" name="Range1_4_3"/>
  </protectedRanges>
  <mergeCells count="42">
    <mergeCell ref="G43:M43"/>
    <mergeCell ref="G44:M44"/>
    <mergeCell ref="G45:M45"/>
    <mergeCell ref="G35:M35"/>
    <mergeCell ref="G36:M36"/>
    <mergeCell ref="G38:M38"/>
    <mergeCell ref="G41:M41"/>
    <mergeCell ref="G42:M42"/>
    <mergeCell ref="G39:M39"/>
    <mergeCell ref="G40:M40"/>
    <mergeCell ref="B1:L2"/>
    <mergeCell ref="A3:B3"/>
    <mergeCell ref="D3:L3"/>
    <mergeCell ref="D4:M5"/>
    <mergeCell ref="A9:L9"/>
    <mergeCell ref="G24:I24"/>
    <mergeCell ref="D24:E24"/>
    <mergeCell ref="D25:E25"/>
    <mergeCell ref="G25:I25"/>
    <mergeCell ref="G37:M37"/>
    <mergeCell ref="J24:M24"/>
    <mergeCell ref="J26:M26"/>
    <mergeCell ref="J27:M27"/>
    <mergeCell ref="J28:M28"/>
    <mergeCell ref="J29:M29"/>
    <mergeCell ref="G33:M33"/>
    <mergeCell ref="G34:M34"/>
    <mergeCell ref="G30:M32"/>
    <mergeCell ref="G29:I29"/>
    <mergeCell ref="N46:Q46"/>
    <mergeCell ref="G46:M46"/>
    <mergeCell ref="G47:M47"/>
    <mergeCell ref="G51:M51"/>
    <mergeCell ref="G52:M52"/>
    <mergeCell ref="G48:M48"/>
    <mergeCell ref="G49:M49"/>
    <mergeCell ref="G50:M50"/>
    <mergeCell ref="G53:M53"/>
    <mergeCell ref="G54:M54"/>
    <mergeCell ref="G55:M55"/>
    <mergeCell ref="G56:M56"/>
    <mergeCell ref="G57:M57"/>
  </mergeCells>
  <pageMargins left="0.7" right="0.7" top="0.75" bottom="0.75" header="0.3" footer="0.3"/>
  <pageSetup scale="28" orientation="portrait" r:id="rId1"/>
  <colBreaks count="2" manualBreakCount="2">
    <brk id="13" max="56" man="1"/>
    <brk id="15" max="1048575" man="1"/>
  </col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E03EF6-92FC-4258-8B58-6A081A6936A7}">
  <dimension ref="A1:H123"/>
  <sheetViews>
    <sheetView topLeftCell="A76" zoomScale="80" zoomScaleNormal="80" workbookViewId="0">
      <selection activeCell="A84" sqref="A84:XFD84"/>
    </sheetView>
  </sheetViews>
  <sheetFormatPr defaultRowHeight="14.5"/>
  <cols>
    <col min="2" max="2" width="15.453125" customWidth="1"/>
    <col min="3" max="3" width="19.54296875" customWidth="1"/>
    <col min="4" max="4" width="11.90625" customWidth="1"/>
    <col min="5" max="5" width="23.6328125" customWidth="1"/>
    <col min="6" max="6" width="12.1796875" customWidth="1"/>
    <col min="7" max="7" width="34.1796875" customWidth="1"/>
  </cols>
  <sheetData>
    <row r="1" spans="1:7" ht="15.5">
      <c r="A1" s="1418" t="s">
        <v>78</v>
      </c>
      <c r="B1" s="1418"/>
      <c r="C1" s="1418"/>
      <c r="D1" s="1418"/>
      <c r="E1" s="1418"/>
      <c r="F1" s="1418"/>
      <c r="G1" s="1418"/>
    </row>
    <row r="2" spans="1:7" ht="15.5">
      <c r="A2" s="1419" t="s">
        <v>79</v>
      </c>
      <c r="B2" s="1419"/>
      <c r="C2" s="1419"/>
      <c r="D2" s="1419"/>
      <c r="E2" s="1419"/>
      <c r="F2" s="1419"/>
      <c r="G2" s="1419"/>
    </row>
    <row r="3" spans="1:7" ht="15.5">
      <c r="A3" s="1419" t="s">
        <v>80</v>
      </c>
      <c r="B3" s="1419"/>
      <c r="C3" s="1419"/>
      <c r="D3" s="1419"/>
      <c r="E3" s="1419"/>
      <c r="F3" s="1419"/>
      <c r="G3" s="1419"/>
    </row>
    <row r="4" spans="1:7" ht="18.5">
      <c r="A4" s="1420" t="s">
        <v>81</v>
      </c>
      <c r="B4" s="1420"/>
      <c r="C4" s="1420"/>
      <c r="D4" s="1420"/>
      <c r="E4" s="1420"/>
      <c r="F4" s="1420"/>
      <c r="G4" s="1420"/>
    </row>
    <row r="5" spans="1:7" ht="29">
      <c r="A5" s="352" t="s">
        <v>82</v>
      </c>
      <c r="B5" s="352" t="s">
        <v>83</v>
      </c>
      <c r="C5" s="352" t="s">
        <v>84</v>
      </c>
      <c r="D5" s="352" t="s">
        <v>85</v>
      </c>
      <c r="E5" s="352" t="s">
        <v>86</v>
      </c>
      <c r="F5" s="352" t="s">
        <v>34</v>
      </c>
      <c r="G5" s="76"/>
    </row>
    <row r="6" spans="1:7">
      <c r="A6" s="76">
        <v>1</v>
      </c>
      <c r="B6" s="76" t="s">
        <v>87</v>
      </c>
      <c r="C6" s="76">
        <v>2.653</v>
      </c>
      <c r="D6" s="1421">
        <v>45684</v>
      </c>
      <c r="E6" s="1421">
        <v>45691</v>
      </c>
      <c r="F6" s="76" t="s">
        <v>88</v>
      </c>
      <c r="G6" s="76"/>
    </row>
    <row r="7" spans="1:7">
      <c r="A7" s="76">
        <f>A6+1</f>
        <v>2</v>
      </c>
      <c r="B7" s="76" t="s">
        <v>89</v>
      </c>
      <c r="C7" s="76">
        <v>5.31</v>
      </c>
      <c r="D7" s="1422"/>
      <c r="E7" s="1422"/>
      <c r="F7" s="76" t="s">
        <v>88</v>
      </c>
      <c r="G7" s="76"/>
    </row>
    <row r="8" spans="1:7" ht="43.5">
      <c r="A8" s="76">
        <f t="shared" ref="A8:A32" si="0">A7+1</f>
        <v>3</v>
      </c>
      <c r="B8" s="76" t="s">
        <v>90</v>
      </c>
      <c r="C8" s="76">
        <v>19.672000000000001</v>
      </c>
      <c r="D8" s="510" t="s">
        <v>1125</v>
      </c>
      <c r="E8" s="862">
        <v>45713</v>
      </c>
      <c r="F8" s="76" t="s">
        <v>88</v>
      </c>
      <c r="G8" s="863" t="s">
        <v>91</v>
      </c>
    </row>
    <row r="9" spans="1:7">
      <c r="A9" s="76">
        <f t="shared" si="0"/>
        <v>4</v>
      </c>
      <c r="B9" s="76" t="s">
        <v>93</v>
      </c>
      <c r="C9" s="76">
        <v>20.273</v>
      </c>
      <c r="D9" s="512">
        <v>45657</v>
      </c>
      <c r="E9" s="862">
        <v>45691</v>
      </c>
      <c r="F9" s="76" t="s">
        <v>88</v>
      </c>
      <c r="G9" s="76"/>
    </row>
    <row r="10" spans="1:7" ht="29">
      <c r="A10" s="76">
        <f t="shared" si="0"/>
        <v>5</v>
      </c>
      <c r="B10" s="76" t="s">
        <v>94</v>
      </c>
      <c r="C10" s="76">
        <v>3.0840000000000001</v>
      </c>
      <c r="D10" s="510" t="s">
        <v>1124</v>
      </c>
      <c r="E10" s="862">
        <v>45712</v>
      </c>
      <c r="F10" s="76" t="s">
        <v>88</v>
      </c>
      <c r="G10" s="76"/>
    </row>
    <row r="11" spans="1:7">
      <c r="A11" s="76">
        <f t="shared" si="0"/>
        <v>6</v>
      </c>
      <c r="B11" s="76" t="s">
        <v>96</v>
      </c>
      <c r="C11" s="76">
        <v>1.0629999999999999</v>
      </c>
      <c r="D11" s="512">
        <v>45713</v>
      </c>
      <c r="E11" s="1421">
        <v>45715</v>
      </c>
      <c r="F11" s="76" t="s">
        <v>88</v>
      </c>
      <c r="G11" s="76"/>
    </row>
    <row r="12" spans="1:7">
      <c r="A12" s="76">
        <f>A11+1</f>
        <v>7</v>
      </c>
      <c r="B12" s="76" t="s">
        <v>97</v>
      </c>
      <c r="C12" s="76">
        <v>2.09</v>
      </c>
      <c r="D12" s="512">
        <v>45713</v>
      </c>
      <c r="E12" s="1421"/>
      <c r="F12" s="76" t="s">
        <v>88</v>
      </c>
      <c r="G12" s="76"/>
    </row>
    <row r="13" spans="1:7">
      <c r="A13" s="76">
        <f t="shared" si="0"/>
        <v>8</v>
      </c>
      <c r="B13" s="76" t="s">
        <v>98</v>
      </c>
      <c r="C13" s="76">
        <v>3.8929999999999998</v>
      </c>
      <c r="D13" s="512">
        <v>45713</v>
      </c>
      <c r="E13" s="1421"/>
      <c r="F13" s="76" t="s">
        <v>88</v>
      </c>
      <c r="G13" s="76"/>
    </row>
    <row r="14" spans="1:7">
      <c r="A14" s="76">
        <f t="shared" si="0"/>
        <v>9</v>
      </c>
      <c r="B14" s="76" t="s">
        <v>99</v>
      </c>
      <c r="C14" s="76">
        <v>6.9710000000000001</v>
      </c>
      <c r="D14" s="512">
        <v>45713</v>
      </c>
      <c r="E14" s="1421"/>
      <c r="F14" s="76" t="s">
        <v>88</v>
      </c>
      <c r="G14" s="76"/>
    </row>
    <row r="15" spans="1:7">
      <c r="A15" s="76">
        <f t="shared" si="0"/>
        <v>10</v>
      </c>
      <c r="B15" s="76" t="s">
        <v>100</v>
      </c>
      <c r="C15" s="76">
        <v>9.4949999999999992</v>
      </c>
      <c r="D15" s="512">
        <v>45721</v>
      </c>
      <c r="E15" s="862">
        <v>45722</v>
      </c>
      <c r="F15" s="76" t="s">
        <v>88</v>
      </c>
      <c r="G15" s="76"/>
    </row>
    <row r="16" spans="1:7" ht="43.5">
      <c r="A16" s="76">
        <f t="shared" si="0"/>
        <v>11</v>
      </c>
      <c r="B16" s="76" t="s">
        <v>101</v>
      </c>
      <c r="C16" s="76">
        <v>8.6969999999999992</v>
      </c>
      <c r="D16" s="510" t="s">
        <v>1126</v>
      </c>
      <c r="E16" s="76"/>
      <c r="F16" s="76" t="s">
        <v>95</v>
      </c>
      <c r="G16" s="846" t="s">
        <v>1159</v>
      </c>
    </row>
    <row r="17" spans="1:7">
      <c r="A17" s="76">
        <f t="shared" si="0"/>
        <v>12</v>
      </c>
      <c r="B17" s="76" t="s">
        <v>102</v>
      </c>
      <c r="C17" s="76">
        <v>3.0840000000000001</v>
      </c>
      <c r="D17" s="76"/>
      <c r="E17" s="76"/>
      <c r="F17" s="846" t="s">
        <v>95</v>
      </c>
      <c r="G17" s="76"/>
    </row>
    <row r="18" spans="1:7">
      <c r="A18" s="76">
        <f t="shared" si="0"/>
        <v>13</v>
      </c>
      <c r="B18" s="66" t="s">
        <v>104</v>
      </c>
      <c r="C18" s="76">
        <v>3.9630000000000001</v>
      </c>
      <c r="D18" s="76"/>
      <c r="E18" s="76"/>
      <c r="F18" s="846" t="s">
        <v>95</v>
      </c>
      <c r="G18" s="362"/>
    </row>
    <row r="19" spans="1:7">
      <c r="A19" s="76">
        <f t="shared" si="0"/>
        <v>14</v>
      </c>
      <c r="B19" s="847" t="s">
        <v>1115</v>
      </c>
      <c r="C19" s="76">
        <v>1.6559999999999999</v>
      </c>
      <c r="D19" s="76"/>
      <c r="E19" s="76"/>
      <c r="F19" s="846" t="s">
        <v>95</v>
      </c>
      <c r="G19" s="362"/>
    </row>
    <row r="20" spans="1:7">
      <c r="A20" s="76">
        <f t="shared" si="0"/>
        <v>15</v>
      </c>
      <c r="B20" s="847" t="s">
        <v>1116</v>
      </c>
      <c r="C20" s="76">
        <v>1.635</v>
      </c>
      <c r="D20" s="76"/>
      <c r="E20" s="76"/>
      <c r="F20" s="846" t="s">
        <v>95</v>
      </c>
      <c r="G20" s="76"/>
    </row>
    <row r="21" spans="1:7">
      <c r="A21" s="76">
        <f t="shared" si="0"/>
        <v>16</v>
      </c>
      <c r="B21" s="76" t="s">
        <v>1112</v>
      </c>
      <c r="C21" s="76">
        <v>2.2210000000000001</v>
      </c>
      <c r="D21" s="76"/>
      <c r="E21" s="76"/>
      <c r="F21" s="846" t="s">
        <v>95</v>
      </c>
      <c r="G21" s="76"/>
    </row>
    <row r="22" spans="1:7" ht="72.5">
      <c r="A22" s="76">
        <f t="shared" si="0"/>
        <v>17</v>
      </c>
      <c r="B22" s="76" t="s">
        <v>1111</v>
      </c>
      <c r="C22" s="76">
        <v>10.724</v>
      </c>
      <c r="D22" s="848" t="s">
        <v>1340</v>
      </c>
      <c r="E22" s="76"/>
      <c r="F22" s="76" t="s">
        <v>95</v>
      </c>
      <c r="G22" s="846" t="s">
        <v>1159</v>
      </c>
    </row>
    <row r="23" spans="1:7" ht="72.5">
      <c r="A23" s="76">
        <f t="shared" si="0"/>
        <v>18</v>
      </c>
      <c r="B23" s="846" t="s">
        <v>1109</v>
      </c>
      <c r="C23" s="76">
        <v>3.6659999999999999</v>
      </c>
      <c r="D23" s="848" t="s">
        <v>1341</v>
      </c>
      <c r="E23" s="76"/>
      <c r="F23" s="76" t="s">
        <v>95</v>
      </c>
      <c r="G23" s="846" t="s">
        <v>1159</v>
      </c>
    </row>
    <row r="24" spans="1:7">
      <c r="A24" s="76">
        <f t="shared" si="0"/>
        <v>19</v>
      </c>
      <c r="B24" s="846" t="s">
        <v>1350</v>
      </c>
      <c r="C24" s="530">
        <v>4.88</v>
      </c>
      <c r="D24" s="76"/>
      <c r="E24" s="76"/>
      <c r="F24" s="849" t="s">
        <v>95</v>
      </c>
      <c r="G24" s="76"/>
    </row>
    <row r="25" spans="1:7">
      <c r="A25" s="76">
        <f t="shared" si="0"/>
        <v>20</v>
      </c>
      <c r="B25" s="846" t="s">
        <v>1300</v>
      </c>
      <c r="C25" s="76">
        <v>2.4740000000000002</v>
      </c>
      <c r="D25" s="512">
        <v>45765</v>
      </c>
      <c r="E25" s="76"/>
      <c r="F25" s="76" t="s">
        <v>95</v>
      </c>
      <c r="G25" s="76"/>
    </row>
    <row r="26" spans="1:7">
      <c r="A26" s="76">
        <f t="shared" si="0"/>
        <v>21</v>
      </c>
      <c r="B26" s="846" t="s">
        <v>1131</v>
      </c>
      <c r="C26" s="76">
        <v>0.27500000000000002</v>
      </c>
      <c r="D26" s="512">
        <v>45752</v>
      </c>
      <c r="E26" s="76"/>
      <c r="F26" s="76" t="s">
        <v>95</v>
      </c>
      <c r="G26" s="76"/>
    </row>
    <row r="27" spans="1:7">
      <c r="A27" s="76">
        <f t="shared" si="0"/>
        <v>22</v>
      </c>
      <c r="B27" s="846" t="s">
        <v>1110</v>
      </c>
      <c r="C27" s="76">
        <v>2.008</v>
      </c>
      <c r="D27" s="512">
        <v>45752</v>
      </c>
      <c r="E27" s="76"/>
      <c r="F27" s="76" t="s">
        <v>95</v>
      </c>
      <c r="G27" s="76"/>
    </row>
    <row r="28" spans="1:7">
      <c r="A28" s="76">
        <f t="shared" si="0"/>
        <v>23</v>
      </c>
      <c r="B28" s="846" t="s">
        <v>1128</v>
      </c>
      <c r="C28" s="76">
        <v>0.223</v>
      </c>
      <c r="D28" s="512">
        <v>45752</v>
      </c>
      <c r="E28" s="76"/>
      <c r="F28" s="76" t="s">
        <v>95</v>
      </c>
      <c r="G28" s="76"/>
    </row>
    <row r="29" spans="1:7">
      <c r="A29" s="76">
        <f t="shared" si="0"/>
        <v>24</v>
      </c>
      <c r="B29" s="846" t="s">
        <v>1113</v>
      </c>
      <c r="C29" s="76">
        <v>2.7309999999999999</v>
      </c>
      <c r="D29" s="512">
        <v>45752</v>
      </c>
      <c r="E29" s="76"/>
      <c r="F29" s="76" t="s">
        <v>95</v>
      </c>
      <c r="G29" s="76"/>
    </row>
    <row r="30" spans="1:7">
      <c r="A30" s="76">
        <f t="shared" si="0"/>
        <v>25</v>
      </c>
      <c r="B30" s="846" t="s">
        <v>1130</v>
      </c>
      <c r="C30" s="76">
        <v>1.7170000000000001</v>
      </c>
      <c r="D30" s="512">
        <v>45752</v>
      </c>
      <c r="E30" s="76"/>
      <c r="F30" s="76" t="s">
        <v>95</v>
      </c>
      <c r="G30" s="76"/>
    </row>
    <row r="31" spans="1:7">
      <c r="A31" s="76">
        <f t="shared" si="0"/>
        <v>26</v>
      </c>
      <c r="B31" s="846" t="s">
        <v>1129</v>
      </c>
      <c r="C31" s="76">
        <v>1.0680000000000001</v>
      </c>
      <c r="D31" s="512">
        <v>45752</v>
      </c>
      <c r="E31" s="76"/>
      <c r="F31" s="76" t="s">
        <v>95</v>
      </c>
      <c r="G31" s="76"/>
    </row>
    <row r="32" spans="1:7">
      <c r="A32" s="76">
        <f t="shared" si="0"/>
        <v>27</v>
      </c>
      <c r="B32" s="846" t="s">
        <v>1127</v>
      </c>
      <c r="C32" s="76">
        <v>2.8730000000000002</v>
      </c>
      <c r="D32" s="512">
        <v>45752</v>
      </c>
      <c r="E32" s="76"/>
      <c r="F32" s="76" t="s">
        <v>95</v>
      </c>
      <c r="G32" s="76"/>
    </row>
    <row r="33" spans="1:8">
      <c r="A33" s="76"/>
      <c r="B33" s="846"/>
      <c r="C33" s="76"/>
      <c r="D33" s="512"/>
      <c r="E33" s="76"/>
      <c r="F33" s="76"/>
      <c r="G33" s="76"/>
    </row>
    <row r="34" spans="1:8">
      <c r="A34" s="76">
        <f>A32+1</f>
        <v>28</v>
      </c>
      <c r="B34" s="846" t="s">
        <v>1333</v>
      </c>
      <c r="C34" s="76">
        <v>19.57</v>
      </c>
      <c r="D34" s="846" t="s">
        <v>1339</v>
      </c>
      <c r="E34" s="76"/>
      <c r="F34" s="846" t="s">
        <v>1332</v>
      </c>
      <c r="G34" s="76"/>
    </row>
    <row r="35" spans="1:8">
      <c r="A35" s="76">
        <f>A34+1</f>
        <v>29</v>
      </c>
      <c r="B35" s="849" t="s">
        <v>1307</v>
      </c>
      <c r="C35" s="527">
        <v>2.6179999999999999</v>
      </c>
      <c r="D35" s="512">
        <v>45781</v>
      </c>
      <c r="E35" s="76"/>
      <c r="F35" s="66" t="s">
        <v>103</v>
      </c>
      <c r="G35" s="76"/>
    </row>
    <row r="36" spans="1:8">
      <c r="A36" s="76">
        <f>A35+1</f>
        <v>30</v>
      </c>
      <c r="B36" s="846" t="s">
        <v>1338</v>
      </c>
      <c r="C36" s="76">
        <v>18.193000000000001</v>
      </c>
      <c r="D36" s="512">
        <v>45805</v>
      </c>
      <c r="E36" s="76"/>
      <c r="F36" s="847" t="s">
        <v>103</v>
      </c>
      <c r="G36" s="76"/>
    </row>
    <row r="37" spans="1:8">
      <c r="A37" s="76"/>
      <c r="B37" s="846"/>
      <c r="C37" s="76"/>
      <c r="D37" s="512"/>
      <c r="E37" s="76"/>
      <c r="F37" s="847"/>
      <c r="G37" s="76"/>
    </row>
    <row r="38" spans="1:8">
      <c r="A38" s="76"/>
      <c r="B38" s="846"/>
      <c r="C38" s="76"/>
      <c r="D38" s="512"/>
      <c r="E38" s="76"/>
      <c r="F38" s="847"/>
      <c r="G38" s="76"/>
    </row>
    <row r="39" spans="1:8">
      <c r="A39" s="362"/>
      <c r="B39" s="362" t="s">
        <v>105</v>
      </c>
      <c r="C39" s="362">
        <f>SUM(C6:C36)</f>
        <v>168.78000000000003</v>
      </c>
      <c r="D39" s="362"/>
      <c r="E39" s="362"/>
      <c r="F39" s="362"/>
      <c r="G39" s="362"/>
    </row>
    <row r="40" spans="1:8">
      <c r="A40" s="362"/>
      <c r="B40" s="362"/>
      <c r="C40" s="362"/>
      <c r="D40" s="362"/>
      <c r="E40" s="362"/>
      <c r="F40" s="362"/>
      <c r="G40" s="362"/>
    </row>
    <row r="41" spans="1:8">
      <c r="A41" s="362"/>
      <c r="B41" s="362"/>
      <c r="C41" s="362"/>
      <c r="D41" s="362"/>
      <c r="E41" s="362"/>
      <c r="F41" s="362"/>
      <c r="G41" s="362"/>
    </row>
    <row r="42" spans="1:8">
      <c r="A42" s="362"/>
      <c r="B42" s="362"/>
      <c r="C42" s="362"/>
      <c r="D42" s="362"/>
      <c r="E42" s="362"/>
      <c r="F42" s="362"/>
      <c r="G42" s="362"/>
    </row>
    <row r="43" spans="1:8">
      <c r="A43" s="76"/>
      <c r="B43" s="362" t="s">
        <v>1301</v>
      </c>
      <c r="C43" s="76"/>
      <c r="D43" s="76"/>
      <c r="E43" s="76"/>
      <c r="F43" s="76"/>
      <c r="G43" s="76"/>
    </row>
    <row r="44" spans="1:8" ht="43.5">
      <c r="A44" s="353" t="s">
        <v>1132</v>
      </c>
      <c r="B44" s="353" t="s">
        <v>83</v>
      </c>
      <c r="C44" s="436" t="s">
        <v>1133</v>
      </c>
      <c r="D44" s="436" t="s">
        <v>1134</v>
      </c>
      <c r="E44" s="436" t="s">
        <v>1135</v>
      </c>
      <c r="F44" s="436" t="s">
        <v>1136</v>
      </c>
      <c r="G44" s="436" t="s">
        <v>1134</v>
      </c>
    </row>
    <row r="45" spans="1:8">
      <c r="A45" s="315">
        <v>1</v>
      </c>
      <c r="B45" s="315" t="s">
        <v>1138</v>
      </c>
      <c r="C45" s="437">
        <v>45657</v>
      </c>
      <c r="D45" s="438">
        <v>20.273</v>
      </c>
      <c r="E45" s="437" t="s">
        <v>1139</v>
      </c>
      <c r="F45" s="439">
        <v>45691</v>
      </c>
      <c r="G45" s="438">
        <v>20.273</v>
      </c>
      <c r="H45" s="895" t="s">
        <v>1649</v>
      </c>
    </row>
    <row r="46" spans="1:8">
      <c r="A46" s="315">
        <f>A45+1</f>
        <v>2</v>
      </c>
      <c r="B46" s="315" t="s">
        <v>1141</v>
      </c>
      <c r="C46" s="437">
        <v>45684</v>
      </c>
      <c r="D46" s="438">
        <v>7.9619999999999997</v>
      </c>
      <c r="E46" s="437" t="s">
        <v>1142</v>
      </c>
      <c r="F46" s="439">
        <v>45691</v>
      </c>
      <c r="G46" s="438">
        <v>7.9619999999999997</v>
      </c>
      <c r="H46" s="895" t="s">
        <v>1649</v>
      </c>
    </row>
    <row r="47" spans="1:8" s="578" customFormat="1">
      <c r="A47" s="1362">
        <f t="shared" ref="A47:A56" si="1">A46+1</f>
        <v>3</v>
      </c>
      <c r="B47" s="1362" t="s">
        <v>1143</v>
      </c>
      <c r="C47" s="1363">
        <v>45709</v>
      </c>
      <c r="D47" s="1364">
        <v>3.0840000000000001</v>
      </c>
      <c r="E47" s="1363" t="s">
        <v>1144</v>
      </c>
      <c r="F47" s="1365">
        <v>45712</v>
      </c>
      <c r="G47" s="1364">
        <v>3.0840000000000001</v>
      </c>
      <c r="H47" s="1366" t="s">
        <v>1650</v>
      </c>
    </row>
    <row r="48" spans="1:8" s="578" customFormat="1">
      <c r="A48" s="1362">
        <f t="shared" si="1"/>
        <v>4</v>
      </c>
      <c r="B48" s="1362" t="s">
        <v>1146</v>
      </c>
      <c r="C48" s="1363">
        <v>45703</v>
      </c>
      <c r="D48" s="1364">
        <v>19.672000000000001</v>
      </c>
      <c r="E48" s="1363" t="s">
        <v>1147</v>
      </c>
      <c r="F48" s="1365">
        <v>45713</v>
      </c>
      <c r="G48" s="1364">
        <v>19.672000000000001</v>
      </c>
      <c r="H48" s="1366" t="s">
        <v>1650</v>
      </c>
    </row>
    <row r="49" spans="1:8" s="578" customFormat="1">
      <c r="A49" s="1362">
        <f t="shared" si="1"/>
        <v>5</v>
      </c>
      <c r="B49" s="1362" t="s">
        <v>1149</v>
      </c>
      <c r="C49" s="1363">
        <v>45713</v>
      </c>
      <c r="D49" s="1364">
        <v>14.016999999999999</v>
      </c>
      <c r="E49" s="1363" t="s">
        <v>1150</v>
      </c>
      <c r="F49" s="1365">
        <v>45715</v>
      </c>
      <c r="G49" s="1364">
        <v>14.016999999999999</v>
      </c>
      <c r="H49" s="1366" t="s">
        <v>1650</v>
      </c>
    </row>
    <row r="50" spans="1:8">
      <c r="A50" s="315">
        <f t="shared" si="1"/>
        <v>6</v>
      </c>
      <c r="B50" s="315" t="s">
        <v>1151</v>
      </c>
      <c r="C50" s="437">
        <v>45721</v>
      </c>
      <c r="D50" s="438">
        <v>9.4949999999999992</v>
      </c>
      <c r="E50" s="437" t="s">
        <v>1152</v>
      </c>
      <c r="F50" s="439">
        <v>45722</v>
      </c>
      <c r="G50" s="438">
        <v>9.4949999999999992</v>
      </c>
      <c r="H50" s="895" t="s">
        <v>1651</v>
      </c>
    </row>
    <row r="51" spans="1:8" s="578" customFormat="1">
      <c r="A51" s="1362">
        <f t="shared" si="1"/>
        <v>7</v>
      </c>
      <c r="B51" s="1362" t="s">
        <v>1153</v>
      </c>
      <c r="C51" s="1363">
        <v>45751</v>
      </c>
      <c r="D51" s="1364">
        <v>8.6969999999999992</v>
      </c>
      <c r="E51" s="1367" t="s">
        <v>1306</v>
      </c>
      <c r="F51" s="1365">
        <v>45763</v>
      </c>
      <c r="G51" s="1364">
        <v>8.6969999999999992</v>
      </c>
      <c r="H51" s="1366" t="s">
        <v>1652</v>
      </c>
    </row>
    <row r="52" spans="1:8" s="578" customFormat="1">
      <c r="A52" s="1362">
        <f t="shared" si="1"/>
        <v>8</v>
      </c>
      <c r="B52" s="1362" t="s">
        <v>1155</v>
      </c>
      <c r="C52" s="1363">
        <v>45742</v>
      </c>
      <c r="D52" s="1364">
        <v>14.39</v>
      </c>
      <c r="E52" s="1363" t="s">
        <v>1156</v>
      </c>
      <c r="F52" s="1365">
        <v>45763</v>
      </c>
      <c r="G52" s="1364">
        <v>14.39</v>
      </c>
      <c r="H52" s="1366" t="s">
        <v>1652</v>
      </c>
    </row>
    <row r="53" spans="1:8">
      <c r="A53" s="315">
        <f t="shared" si="1"/>
        <v>9</v>
      </c>
      <c r="B53" s="613" t="s">
        <v>1161</v>
      </c>
      <c r="C53" s="437">
        <v>45752</v>
      </c>
      <c r="D53" s="438">
        <v>10.894</v>
      </c>
      <c r="E53" s="437" t="s">
        <v>1162</v>
      </c>
      <c r="F53" s="438"/>
      <c r="G53" s="438"/>
    </row>
    <row r="54" spans="1:8" ht="29">
      <c r="A54" s="315">
        <f t="shared" si="1"/>
        <v>10</v>
      </c>
      <c r="B54" s="613" t="s">
        <v>1160</v>
      </c>
      <c r="C54" s="851" t="s">
        <v>1322</v>
      </c>
      <c r="D54" s="438">
        <v>19.57</v>
      </c>
      <c r="E54" s="850" t="s">
        <v>1326</v>
      </c>
      <c r="F54" s="438"/>
      <c r="G54" s="438"/>
    </row>
    <row r="55" spans="1:8">
      <c r="A55" s="315">
        <f t="shared" si="1"/>
        <v>11</v>
      </c>
      <c r="B55" s="315" t="s">
        <v>1298</v>
      </c>
      <c r="C55" s="437">
        <v>45765</v>
      </c>
      <c r="D55" s="438">
        <v>2.4740000000000002</v>
      </c>
      <c r="E55" s="437" t="s">
        <v>1299</v>
      </c>
      <c r="F55" s="438"/>
      <c r="G55" s="438"/>
    </row>
    <row r="56" spans="1:8">
      <c r="A56" s="315">
        <f t="shared" si="1"/>
        <v>12</v>
      </c>
      <c r="B56" s="613" t="s">
        <v>1312</v>
      </c>
      <c r="C56" s="437">
        <v>45787</v>
      </c>
      <c r="D56" s="438">
        <v>3.0840000000000001</v>
      </c>
      <c r="E56" s="437" t="s">
        <v>1313</v>
      </c>
      <c r="F56" s="438"/>
      <c r="G56" s="438"/>
    </row>
    <row r="57" spans="1:8">
      <c r="A57" s="315">
        <f>A56+1</f>
        <v>13</v>
      </c>
      <c r="B57" s="613" t="s">
        <v>1356</v>
      </c>
      <c r="C57" s="437">
        <v>45787</v>
      </c>
      <c r="D57" s="438">
        <v>2.2200000000000002</v>
      </c>
      <c r="E57" s="437" t="s">
        <v>1313</v>
      </c>
      <c r="F57" s="438"/>
      <c r="G57" s="438"/>
    </row>
    <row r="58" spans="1:8">
      <c r="A58" s="315">
        <f>A57+1</f>
        <v>14</v>
      </c>
      <c r="B58" s="852" t="s">
        <v>1353</v>
      </c>
      <c r="C58" s="437">
        <v>45802</v>
      </c>
      <c r="D58" s="438">
        <v>5.6189999999999998</v>
      </c>
      <c r="E58" s="853" t="s">
        <v>1360</v>
      </c>
      <c r="F58" s="438"/>
      <c r="G58" s="438"/>
    </row>
    <row r="59" spans="1:8">
      <c r="A59" s="315">
        <f>A58+1</f>
        <v>15</v>
      </c>
      <c r="B59" s="854" t="s">
        <v>1324</v>
      </c>
      <c r="C59" s="437">
        <v>45794</v>
      </c>
      <c r="D59" s="438">
        <v>3.95</v>
      </c>
      <c r="E59" s="850" t="s">
        <v>1325</v>
      </c>
      <c r="F59" s="439">
        <v>45810</v>
      </c>
      <c r="G59" s="438"/>
    </row>
    <row r="60" spans="1:8">
      <c r="A60" s="315">
        <f>A59+1</f>
        <v>16</v>
      </c>
      <c r="B60" s="852" t="s">
        <v>1354</v>
      </c>
      <c r="C60" s="437">
        <v>45802</v>
      </c>
      <c r="D60" s="438">
        <v>1.635</v>
      </c>
      <c r="E60" s="437" t="s">
        <v>1355</v>
      </c>
      <c r="F60" s="438"/>
      <c r="G60" s="438"/>
    </row>
    <row r="61" spans="1:8">
      <c r="A61" s="315">
        <f>A60+1</f>
        <v>17</v>
      </c>
      <c r="B61" s="852" t="s">
        <v>1342</v>
      </c>
      <c r="C61" s="437">
        <v>45802</v>
      </c>
      <c r="D61" s="438">
        <v>4.88</v>
      </c>
      <c r="E61" s="850"/>
      <c r="F61" s="438"/>
      <c r="G61" s="438"/>
    </row>
    <row r="62" spans="1:8">
      <c r="A62" s="315"/>
      <c r="B62" s="854"/>
      <c r="C62" s="437"/>
      <c r="D62" s="438"/>
      <c r="E62" s="437"/>
      <c r="F62" s="438"/>
      <c r="G62" s="438"/>
    </row>
    <row r="63" spans="1:8">
      <c r="A63" s="1424" t="s">
        <v>1158</v>
      </c>
      <c r="B63" s="1424"/>
      <c r="C63" s="353"/>
      <c r="D63" s="353">
        <f>SUM(D45:D61)</f>
        <v>151.91599999999997</v>
      </c>
      <c r="E63" s="353"/>
      <c r="F63" s="353"/>
      <c r="G63" s="353">
        <f>SUM(G45:G62)</f>
        <v>97.59</v>
      </c>
    </row>
    <row r="64" spans="1:8">
      <c r="A64" s="436"/>
      <c r="B64" s="436"/>
      <c r="C64" s="353"/>
      <c r="D64" s="353"/>
      <c r="E64" s="353"/>
      <c r="F64" s="353"/>
      <c r="G64" s="353"/>
    </row>
    <row r="65" spans="1:8">
      <c r="A65" s="1424"/>
      <c r="B65" s="1424"/>
      <c r="C65" s="1424"/>
      <c r="D65" s="1424"/>
      <c r="E65" s="1424"/>
      <c r="F65" s="1424"/>
      <c r="G65" s="1424"/>
    </row>
    <row r="66" spans="1:8" ht="15.5">
      <c r="A66" s="1435" t="s">
        <v>1377</v>
      </c>
      <c r="B66" s="1436"/>
      <c r="C66" s="1436"/>
      <c r="D66" s="1436"/>
      <c r="E66" s="1436"/>
      <c r="F66" s="1436"/>
      <c r="G66" s="1437"/>
    </row>
    <row r="67" spans="1:8" ht="29">
      <c r="A67" s="353" t="s">
        <v>1543</v>
      </c>
      <c r="B67" s="436" t="s">
        <v>1378</v>
      </c>
      <c r="C67" s="436" t="s">
        <v>1380</v>
      </c>
      <c r="D67" s="436" t="s">
        <v>1381</v>
      </c>
      <c r="E67" s="436" t="s">
        <v>1382</v>
      </c>
      <c r="F67" s="436" t="s">
        <v>1383</v>
      </c>
      <c r="G67" s="353" t="s">
        <v>34</v>
      </c>
      <c r="H67" s="1047" t="s">
        <v>1737</v>
      </c>
    </row>
    <row r="68" spans="1:8" ht="39.5" customHeight="1">
      <c r="A68" s="555">
        <v>1</v>
      </c>
      <c r="B68" s="945" t="s">
        <v>1062</v>
      </c>
      <c r="C68" s="945" t="s">
        <v>1544</v>
      </c>
      <c r="D68" s="946">
        <v>10.369</v>
      </c>
      <c r="E68" s="309"/>
      <c r="F68" s="309" t="s">
        <v>1546</v>
      </c>
      <c r="G68" s="947" t="s">
        <v>1770</v>
      </c>
      <c r="H68" s="310"/>
    </row>
    <row r="69" spans="1:8">
      <c r="A69" s="555">
        <f>A68+1</f>
        <v>2</v>
      </c>
      <c r="B69" s="336" t="s">
        <v>1062</v>
      </c>
      <c r="C69" s="336" t="s">
        <v>1424</v>
      </c>
      <c r="D69" s="323">
        <v>8.7129999999999992</v>
      </c>
      <c r="E69" s="323"/>
      <c r="F69" s="323"/>
      <c r="G69" s="639" t="s">
        <v>1659</v>
      </c>
      <c r="H69" s="310"/>
    </row>
    <row r="70" spans="1:8">
      <c r="A70" s="555">
        <f>A69+1</f>
        <v>3</v>
      </c>
      <c r="B70" s="336"/>
      <c r="C70" s="336" t="s">
        <v>1387</v>
      </c>
      <c r="D70" s="818">
        <v>19.571999999999999</v>
      </c>
      <c r="E70" s="570" t="s">
        <v>1388</v>
      </c>
      <c r="F70" s="570"/>
      <c r="G70" s="639" t="s">
        <v>1648</v>
      </c>
      <c r="H70" s="1048" t="s">
        <v>1652</v>
      </c>
    </row>
    <row r="71" spans="1:8">
      <c r="A71" s="555">
        <f t="shared" ref="A71:A89" si="2">A70+1</f>
        <v>4</v>
      </c>
      <c r="B71" s="957" t="s">
        <v>1068</v>
      </c>
      <c r="C71" s="336" t="s">
        <v>1500</v>
      </c>
      <c r="D71" s="555">
        <v>2.6179999999999999</v>
      </c>
      <c r="E71" s="570" t="s">
        <v>1388</v>
      </c>
      <c r="F71" s="570"/>
      <c r="G71" s="639" t="s">
        <v>1653</v>
      </c>
      <c r="H71" s="310"/>
    </row>
    <row r="72" spans="1:8">
      <c r="A72" s="555">
        <f t="shared" si="2"/>
        <v>5</v>
      </c>
      <c r="B72" s="336" t="s">
        <v>1062</v>
      </c>
      <c r="C72" s="945" t="s">
        <v>1655</v>
      </c>
      <c r="D72" s="579">
        <v>1.4279999999999999</v>
      </c>
      <c r="E72" s="570" t="s">
        <v>1388</v>
      </c>
      <c r="F72" s="948"/>
      <c r="G72" s="639" t="s">
        <v>1717</v>
      </c>
      <c r="H72" s="310"/>
    </row>
    <row r="73" spans="1:8">
      <c r="A73" s="555">
        <f t="shared" si="2"/>
        <v>6</v>
      </c>
      <c r="B73" s="336" t="s">
        <v>1062</v>
      </c>
      <c r="C73" s="336" t="s">
        <v>1656</v>
      </c>
      <c r="D73" s="555">
        <v>16.760000000000002</v>
      </c>
      <c r="E73" s="579"/>
      <c r="F73" s="948"/>
      <c r="G73" s="639" t="s">
        <v>1653</v>
      </c>
      <c r="H73" s="310"/>
    </row>
    <row r="74" spans="1:8">
      <c r="A74" s="555">
        <f t="shared" si="2"/>
        <v>7</v>
      </c>
      <c r="B74" s="336"/>
      <c r="C74" s="336" t="s">
        <v>1392</v>
      </c>
      <c r="D74" s="555">
        <v>6.6589999999999998</v>
      </c>
      <c r="E74" s="555" t="s">
        <v>1546</v>
      </c>
      <c r="F74" s="570"/>
      <c r="G74" s="639" t="s">
        <v>1422</v>
      </c>
      <c r="H74" s="1048" t="s">
        <v>1652</v>
      </c>
    </row>
    <row r="75" spans="1:8" ht="34.5" customHeight="1">
      <c r="A75" s="555">
        <f t="shared" si="2"/>
        <v>8</v>
      </c>
      <c r="B75" s="945" t="s">
        <v>1062</v>
      </c>
      <c r="C75" s="945" t="s">
        <v>1393</v>
      </c>
      <c r="D75" s="949">
        <v>3.1869999999999998</v>
      </c>
      <c r="E75" s="570" t="s">
        <v>1388</v>
      </c>
      <c r="F75" s="948"/>
      <c r="G75" s="943" t="s">
        <v>1422</v>
      </c>
      <c r="H75" s="310"/>
    </row>
    <row r="76" spans="1:8">
      <c r="A76" s="555">
        <f t="shared" si="2"/>
        <v>9</v>
      </c>
      <c r="B76" s="336"/>
      <c r="C76" s="336" t="s">
        <v>1396</v>
      </c>
      <c r="D76" s="575">
        <v>1.0509999999999999</v>
      </c>
      <c r="E76" s="570" t="s">
        <v>1546</v>
      </c>
      <c r="F76" s="570"/>
      <c r="G76" s="639" t="s">
        <v>1422</v>
      </c>
      <c r="H76" s="1048" t="s">
        <v>1652</v>
      </c>
    </row>
    <row r="77" spans="1:8">
      <c r="A77" s="555">
        <f t="shared" si="2"/>
        <v>10</v>
      </c>
      <c r="B77" s="1425"/>
      <c r="C77" s="336" t="s">
        <v>1397</v>
      </c>
      <c r="D77" s="555">
        <v>7.9619999999999997</v>
      </c>
      <c r="E77" s="570" t="s">
        <v>1546</v>
      </c>
      <c r="F77" s="555"/>
      <c r="G77" s="639" t="s">
        <v>88</v>
      </c>
      <c r="H77" s="1048" t="s">
        <v>1649</v>
      </c>
    </row>
    <row r="78" spans="1:8">
      <c r="A78" s="555">
        <f t="shared" si="2"/>
        <v>11</v>
      </c>
      <c r="B78" s="1426"/>
      <c r="C78" s="336" t="s">
        <v>1399</v>
      </c>
      <c r="D78" s="555">
        <v>19.567</v>
      </c>
      <c r="E78" s="570" t="s">
        <v>1546</v>
      </c>
      <c r="F78" s="555"/>
      <c r="G78" s="639" t="s">
        <v>88</v>
      </c>
      <c r="H78" s="1048" t="s">
        <v>1652</v>
      </c>
    </row>
    <row r="79" spans="1:8">
      <c r="A79" s="555">
        <f t="shared" si="2"/>
        <v>12</v>
      </c>
      <c r="B79" s="1426"/>
      <c r="C79" s="336" t="s">
        <v>1400</v>
      </c>
      <c r="D79" s="555">
        <v>20.274000000000001</v>
      </c>
      <c r="E79" s="570" t="s">
        <v>1546</v>
      </c>
      <c r="F79" s="555"/>
      <c r="G79" s="639" t="s">
        <v>88</v>
      </c>
      <c r="H79" s="1048" t="s">
        <v>1649</v>
      </c>
    </row>
    <row r="80" spans="1:8">
      <c r="A80" s="555">
        <f t="shared" si="2"/>
        <v>13</v>
      </c>
      <c r="B80" s="1426"/>
      <c r="C80" s="336" t="s">
        <v>1401</v>
      </c>
      <c r="D80" s="555">
        <v>3.0840000000000001</v>
      </c>
      <c r="E80" s="570" t="s">
        <v>1546</v>
      </c>
      <c r="F80" s="555"/>
      <c r="G80" s="639" t="s">
        <v>88</v>
      </c>
      <c r="H80" s="1048" t="s">
        <v>1650</v>
      </c>
    </row>
    <row r="81" spans="1:8">
      <c r="A81" s="555">
        <f t="shared" si="2"/>
        <v>14</v>
      </c>
      <c r="B81" s="1426"/>
      <c r="C81" s="336" t="s">
        <v>1402</v>
      </c>
      <c r="D81" s="555">
        <v>14.119</v>
      </c>
      <c r="E81" s="570" t="s">
        <v>1546</v>
      </c>
      <c r="F81" s="555"/>
      <c r="G81" s="639" t="s">
        <v>88</v>
      </c>
      <c r="H81" s="1048" t="s">
        <v>1650</v>
      </c>
    </row>
    <row r="82" spans="1:8">
      <c r="A82" s="555">
        <f t="shared" si="2"/>
        <v>15</v>
      </c>
      <c r="B82" s="1426"/>
      <c r="C82" s="336" t="s">
        <v>1403</v>
      </c>
      <c r="D82" s="555">
        <v>9.4949999999999992</v>
      </c>
      <c r="E82" s="570" t="s">
        <v>1546</v>
      </c>
      <c r="F82" s="555"/>
      <c r="G82" s="639" t="s">
        <v>88</v>
      </c>
      <c r="H82" s="1048" t="s">
        <v>1651</v>
      </c>
    </row>
    <row r="83" spans="1:8">
      <c r="A83" s="555">
        <f t="shared" si="2"/>
        <v>16</v>
      </c>
      <c r="B83" s="1427"/>
      <c r="C83" s="336" t="s">
        <v>1404</v>
      </c>
      <c r="D83" s="555">
        <v>8.6929999999999996</v>
      </c>
      <c r="E83" s="570" t="s">
        <v>1546</v>
      </c>
      <c r="F83" s="555"/>
      <c r="G83" s="639" t="s">
        <v>88</v>
      </c>
      <c r="H83" s="1048" t="s">
        <v>1652</v>
      </c>
    </row>
    <row r="84" spans="1:8">
      <c r="A84" s="555">
        <f t="shared" si="2"/>
        <v>17</v>
      </c>
      <c r="B84" s="336" t="s">
        <v>1062</v>
      </c>
      <c r="C84" s="336" t="s">
        <v>1427</v>
      </c>
      <c r="D84" s="555">
        <v>12.659000000000001</v>
      </c>
      <c r="E84" s="570" t="s">
        <v>1546</v>
      </c>
      <c r="F84" s="570"/>
      <c r="G84" s="639" t="s">
        <v>1647</v>
      </c>
      <c r="H84" s="1048" t="s">
        <v>1652</v>
      </c>
    </row>
    <row r="85" spans="1:8">
      <c r="A85" s="555">
        <f t="shared" si="2"/>
        <v>18</v>
      </c>
      <c r="B85" s="336" t="s">
        <v>1062</v>
      </c>
      <c r="C85" s="336" t="s">
        <v>1409</v>
      </c>
      <c r="D85" s="555">
        <v>14.391999999999999</v>
      </c>
      <c r="E85" s="570" t="s">
        <v>1546</v>
      </c>
      <c r="F85" s="555"/>
      <c r="G85" s="639" t="s">
        <v>88</v>
      </c>
      <c r="H85" s="1048" t="s">
        <v>1652</v>
      </c>
    </row>
    <row r="86" spans="1:8">
      <c r="A86" s="555">
        <f t="shared" si="2"/>
        <v>19</v>
      </c>
      <c r="B86" s="336" t="s">
        <v>1062</v>
      </c>
      <c r="C86" s="336" t="s">
        <v>1548</v>
      </c>
      <c r="D86" s="555">
        <v>6.3209999999999997</v>
      </c>
      <c r="E86" s="570" t="s">
        <v>1546</v>
      </c>
      <c r="F86" s="570"/>
      <c r="G86" s="639" t="s">
        <v>88</v>
      </c>
      <c r="H86" s="1048" t="s">
        <v>1652</v>
      </c>
    </row>
    <row r="87" spans="1:8">
      <c r="A87" s="555">
        <f t="shared" si="2"/>
        <v>20</v>
      </c>
      <c r="B87" s="957" t="s">
        <v>1068</v>
      </c>
      <c r="C87" s="336" t="s">
        <v>1549</v>
      </c>
      <c r="D87" s="555">
        <v>0.73199999999999998</v>
      </c>
      <c r="E87" s="570" t="s">
        <v>1546</v>
      </c>
      <c r="F87" s="950"/>
      <c r="G87" s="639" t="s">
        <v>1717</v>
      </c>
      <c r="H87" s="310"/>
    </row>
    <row r="88" spans="1:8">
      <c r="A88" s="555">
        <f t="shared" si="2"/>
        <v>21</v>
      </c>
      <c r="B88" s="945" t="s">
        <v>1062</v>
      </c>
      <c r="C88" s="945" t="s">
        <v>1550</v>
      </c>
      <c r="D88" s="815">
        <v>0.218</v>
      </c>
      <c r="E88" s="570" t="s">
        <v>1546</v>
      </c>
      <c r="F88" s="950"/>
      <c r="G88" s="639" t="s">
        <v>1717</v>
      </c>
      <c r="H88" s="310"/>
    </row>
    <row r="89" spans="1:8">
      <c r="A89" s="555">
        <f t="shared" si="2"/>
        <v>22</v>
      </c>
      <c r="B89" s="993" t="s">
        <v>1068</v>
      </c>
      <c r="C89" s="945" t="s">
        <v>1552</v>
      </c>
      <c r="D89" s="815">
        <v>0.57099999999999995</v>
      </c>
      <c r="E89" s="570" t="s">
        <v>1546</v>
      </c>
      <c r="F89" s="950"/>
      <c r="G89" s="639" t="s">
        <v>1717</v>
      </c>
      <c r="H89" s="310"/>
    </row>
    <row r="90" spans="1:8">
      <c r="A90" s="1428"/>
      <c r="B90" s="1429"/>
      <c r="C90" s="353" t="s">
        <v>1416</v>
      </c>
      <c r="D90" s="951">
        <f>SUM(D68:D89)</f>
        <v>188.44399999999999</v>
      </c>
      <c r="E90" s="1430"/>
      <c r="F90" s="1431"/>
      <c r="G90" s="1432"/>
      <c r="H90" s="310"/>
    </row>
    <row r="91" spans="1:8">
      <c r="A91" s="1433"/>
      <c r="B91" s="1433"/>
      <c r="C91" s="1433"/>
      <c r="D91" s="1433"/>
      <c r="E91" s="1433"/>
      <c r="F91" s="1433"/>
      <c r="G91" s="1433"/>
    </row>
    <row r="92" spans="1:8">
      <c r="A92" s="958"/>
      <c r="B92" s="944"/>
      <c r="C92" s="944"/>
      <c r="D92" s="952"/>
      <c r="E92" s="953">
        <v>2.6179999999999999</v>
      </c>
      <c r="F92" s="588" t="s">
        <v>1415</v>
      </c>
      <c r="G92" s="958"/>
    </row>
    <row r="93" spans="1:8" ht="18.5">
      <c r="A93" s="1423" t="s">
        <v>1416</v>
      </c>
      <c r="B93" s="1423"/>
      <c r="C93" s="1423"/>
      <c r="D93" s="1423"/>
      <c r="E93" s="954">
        <f>D90</f>
        <v>188.44399999999999</v>
      </c>
      <c r="F93" s="944"/>
      <c r="G93" s="958"/>
    </row>
    <row r="94" spans="1:8" ht="18.5">
      <c r="A94" s="1423" t="s">
        <v>1554</v>
      </c>
      <c r="B94" s="1423"/>
      <c r="C94" s="1423"/>
      <c r="D94" s="1423"/>
      <c r="E94" s="955">
        <v>178.07499999999999</v>
      </c>
      <c r="F94" s="944"/>
      <c r="G94" s="958"/>
    </row>
    <row r="95" spans="1:8" ht="18.5">
      <c r="A95" s="1423" t="s">
        <v>1555</v>
      </c>
      <c r="B95" s="1423"/>
      <c r="C95" s="1423"/>
      <c r="D95" s="1423"/>
      <c r="E95" s="956">
        <v>178.07499999999999</v>
      </c>
      <c r="F95" s="944"/>
      <c r="G95" s="958"/>
    </row>
    <row r="96" spans="1:8" ht="18.5">
      <c r="A96" s="1434" t="s">
        <v>1556</v>
      </c>
      <c r="B96" s="1434"/>
      <c r="C96" s="1434"/>
      <c r="D96" s="1434"/>
      <c r="E96" s="955">
        <f>E93-E94</f>
        <v>10.369</v>
      </c>
      <c r="F96" s="944"/>
      <c r="G96" s="958"/>
    </row>
    <row r="97" spans="1:7" ht="18.5">
      <c r="A97" s="1423" t="s">
        <v>1718</v>
      </c>
      <c r="B97" s="1423"/>
      <c r="C97" s="1423"/>
      <c r="D97" s="1423"/>
      <c r="E97" s="955">
        <v>10.369</v>
      </c>
      <c r="F97" s="944">
        <v>13.1</v>
      </c>
      <c r="G97" s="958"/>
    </row>
    <row r="99" spans="1:7" ht="15" thickBot="1"/>
    <row r="100" spans="1:7" ht="31.5" thickBot="1">
      <c r="A100" s="916" t="s">
        <v>1543</v>
      </c>
      <c r="B100" s="917" t="s">
        <v>1380</v>
      </c>
      <c r="C100" s="917" t="s">
        <v>1381</v>
      </c>
      <c r="D100" s="917" t="s">
        <v>1377</v>
      </c>
      <c r="E100" s="917" t="s">
        <v>1660</v>
      </c>
      <c r="F100" s="918" t="s">
        <v>34</v>
      </c>
    </row>
    <row r="101" spans="1:7" ht="104">
      <c r="A101" s="919">
        <v>1</v>
      </c>
      <c r="B101" s="920" t="s">
        <v>1544</v>
      </c>
      <c r="C101" s="921">
        <v>10.369</v>
      </c>
      <c r="D101" s="922" t="s">
        <v>1388</v>
      </c>
      <c r="E101" s="922" t="s">
        <v>1388</v>
      </c>
      <c r="F101" s="923" t="s">
        <v>1661</v>
      </c>
    </row>
    <row r="102" spans="1:7">
      <c r="A102" s="924">
        <f>A101+1</f>
        <v>2</v>
      </c>
      <c r="B102" s="803" t="s">
        <v>1424</v>
      </c>
      <c r="C102" s="804">
        <v>8.7129999999999992</v>
      </c>
      <c r="D102" s="807" t="s">
        <v>1388</v>
      </c>
      <c r="E102" s="805"/>
      <c r="F102" s="925" t="s">
        <v>88</v>
      </c>
    </row>
    <row r="103" spans="1:7">
      <c r="A103" s="924">
        <f>A102+1</f>
        <v>3</v>
      </c>
      <c r="B103" s="803" t="s">
        <v>1387</v>
      </c>
      <c r="C103" s="806">
        <v>19.57</v>
      </c>
      <c r="D103" s="807" t="s">
        <v>1388</v>
      </c>
      <c r="E103" s="926"/>
      <c r="F103" s="925" t="s">
        <v>88</v>
      </c>
    </row>
    <row r="104" spans="1:7">
      <c r="A104" s="924">
        <f t="shared" ref="A104:A120" si="3">A103+1</f>
        <v>4</v>
      </c>
      <c r="B104" s="803" t="s">
        <v>1500</v>
      </c>
      <c r="C104" s="798">
        <v>2.6179999999999999</v>
      </c>
      <c r="D104" s="807" t="s">
        <v>1388</v>
      </c>
      <c r="E104" s="927"/>
      <c r="F104" s="925" t="s">
        <v>88</v>
      </c>
    </row>
    <row r="105" spans="1:7" ht="104">
      <c r="A105" s="924">
        <f t="shared" si="3"/>
        <v>5</v>
      </c>
      <c r="B105" s="803" t="s">
        <v>1655</v>
      </c>
      <c r="C105" s="798">
        <v>1.44</v>
      </c>
      <c r="D105" s="807" t="s">
        <v>1388</v>
      </c>
      <c r="E105" s="926"/>
      <c r="F105" s="925" t="s">
        <v>1662</v>
      </c>
    </row>
    <row r="106" spans="1:7">
      <c r="A106" s="924">
        <f t="shared" si="3"/>
        <v>6</v>
      </c>
      <c r="B106" s="803" t="s">
        <v>1656</v>
      </c>
      <c r="C106" s="798">
        <v>16.759</v>
      </c>
      <c r="D106" s="807" t="s">
        <v>1388</v>
      </c>
      <c r="E106" s="928"/>
      <c r="F106" s="925" t="s">
        <v>88</v>
      </c>
    </row>
    <row r="107" spans="1:7">
      <c r="A107" s="924">
        <f t="shared" si="3"/>
        <v>7</v>
      </c>
      <c r="B107" s="803" t="s">
        <v>1392</v>
      </c>
      <c r="C107" s="798">
        <v>6.6719999999999997</v>
      </c>
      <c r="D107" s="807" t="s">
        <v>1388</v>
      </c>
      <c r="E107" s="926"/>
      <c r="F107" s="925" t="s">
        <v>88</v>
      </c>
    </row>
    <row r="108" spans="1:7" ht="104">
      <c r="A108" s="924">
        <f t="shared" si="3"/>
        <v>8</v>
      </c>
      <c r="B108" s="803" t="s">
        <v>1393</v>
      </c>
      <c r="C108" s="929">
        <v>3.1720000000000002</v>
      </c>
      <c r="D108" s="807" t="s">
        <v>1388</v>
      </c>
      <c r="E108" s="807" t="s">
        <v>1388</v>
      </c>
      <c r="F108" s="925" t="s">
        <v>1661</v>
      </c>
    </row>
    <row r="109" spans="1:7">
      <c r="A109" s="924">
        <f t="shared" si="3"/>
        <v>9</v>
      </c>
      <c r="B109" s="803" t="s">
        <v>1396</v>
      </c>
      <c r="C109" s="813">
        <v>1.05</v>
      </c>
      <c r="D109" s="807" t="s">
        <v>1546</v>
      </c>
      <c r="E109" s="926"/>
      <c r="F109" s="925" t="s">
        <v>88</v>
      </c>
    </row>
    <row r="110" spans="1:7">
      <c r="A110" s="924">
        <f t="shared" si="3"/>
        <v>10</v>
      </c>
      <c r="B110" s="803" t="s">
        <v>1397</v>
      </c>
      <c r="C110" s="798">
        <v>7.9619999999999997</v>
      </c>
      <c r="D110" s="807" t="s">
        <v>1546</v>
      </c>
      <c r="E110" s="803"/>
      <c r="F110" s="925" t="s">
        <v>88</v>
      </c>
    </row>
    <row r="111" spans="1:7">
      <c r="A111" s="924">
        <f t="shared" si="3"/>
        <v>11</v>
      </c>
      <c r="B111" s="803" t="s">
        <v>1399</v>
      </c>
      <c r="C111" s="798">
        <v>19.567</v>
      </c>
      <c r="D111" s="807" t="s">
        <v>1546</v>
      </c>
      <c r="E111" s="803"/>
      <c r="F111" s="925" t="s">
        <v>88</v>
      </c>
    </row>
    <row r="112" spans="1:7">
      <c r="A112" s="924">
        <f t="shared" si="3"/>
        <v>12</v>
      </c>
      <c r="B112" s="803" t="s">
        <v>1400</v>
      </c>
      <c r="C112" s="798">
        <v>20.273</v>
      </c>
      <c r="D112" s="807" t="s">
        <v>1546</v>
      </c>
      <c r="E112" s="803"/>
      <c r="F112" s="925" t="s">
        <v>88</v>
      </c>
    </row>
    <row r="113" spans="1:6">
      <c r="A113" s="924">
        <f t="shared" si="3"/>
        <v>13</v>
      </c>
      <c r="B113" s="803" t="s">
        <v>1401</v>
      </c>
      <c r="C113" s="798">
        <v>3.0840000000000001</v>
      </c>
      <c r="D113" s="807" t="s">
        <v>1546</v>
      </c>
      <c r="E113" s="803"/>
      <c r="F113" s="925" t="s">
        <v>88</v>
      </c>
    </row>
    <row r="114" spans="1:6">
      <c r="A114" s="924">
        <f t="shared" si="3"/>
        <v>14</v>
      </c>
      <c r="B114" s="803" t="s">
        <v>1402</v>
      </c>
      <c r="C114" s="798">
        <v>14.119</v>
      </c>
      <c r="D114" s="807" t="s">
        <v>1546</v>
      </c>
      <c r="E114" s="803"/>
      <c r="F114" s="925" t="s">
        <v>88</v>
      </c>
    </row>
    <row r="115" spans="1:6">
      <c r="A115" s="924">
        <f t="shared" si="3"/>
        <v>15</v>
      </c>
      <c r="B115" s="803" t="s">
        <v>1403</v>
      </c>
      <c r="C115" s="798">
        <v>9.4949999999999992</v>
      </c>
      <c r="D115" s="807" t="s">
        <v>1546</v>
      </c>
      <c r="E115" s="803"/>
      <c r="F115" s="925" t="s">
        <v>88</v>
      </c>
    </row>
    <row r="116" spans="1:6">
      <c r="A116" s="924">
        <f t="shared" si="3"/>
        <v>16</v>
      </c>
      <c r="B116" s="803" t="s">
        <v>1404</v>
      </c>
      <c r="C116" s="798">
        <v>8.6969999999999992</v>
      </c>
      <c r="D116" s="807" t="s">
        <v>1546</v>
      </c>
      <c r="E116" s="803"/>
      <c r="F116" s="925" t="s">
        <v>88</v>
      </c>
    </row>
    <row r="117" spans="1:6">
      <c r="A117" s="924">
        <f t="shared" si="3"/>
        <v>17</v>
      </c>
      <c r="B117" s="803" t="s">
        <v>1427</v>
      </c>
      <c r="C117" s="798">
        <v>12.65</v>
      </c>
      <c r="D117" s="807" t="s">
        <v>1546</v>
      </c>
      <c r="E117" s="926"/>
      <c r="F117" s="925" t="s">
        <v>88</v>
      </c>
    </row>
    <row r="118" spans="1:6">
      <c r="A118" s="924">
        <f t="shared" si="3"/>
        <v>18</v>
      </c>
      <c r="B118" s="803" t="s">
        <v>1409</v>
      </c>
      <c r="C118" s="798">
        <v>14.391999999999999</v>
      </c>
      <c r="D118" s="807" t="s">
        <v>1546</v>
      </c>
      <c r="E118" s="803"/>
      <c r="F118" s="925" t="s">
        <v>88</v>
      </c>
    </row>
    <row r="119" spans="1:6">
      <c r="A119" s="924">
        <f t="shared" si="3"/>
        <v>19</v>
      </c>
      <c r="B119" s="803" t="s">
        <v>1548</v>
      </c>
      <c r="C119" s="555">
        <v>6.3209999999999997</v>
      </c>
      <c r="D119" s="807" t="s">
        <v>1546</v>
      </c>
      <c r="E119" s="926"/>
      <c r="F119" s="925" t="s">
        <v>88</v>
      </c>
    </row>
    <row r="120" spans="1:6" ht="104.5" thickBot="1">
      <c r="A120" s="930">
        <f t="shared" si="3"/>
        <v>20</v>
      </c>
      <c r="B120" s="931" t="s">
        <v>1663</v>
      </c>
      <c r="C120" s="932">
        <v>1.5209999999999999</v>
      </c>
      <c r="D120" s="933" t="s">
        <v>1546</v>
      </c>
      <c r="E120" s="934"/>
      <c r="F120" s="935" t="s">
        <v>1662</v>
      </c>
    </row>
    <row r="121" spans="1:6" ht="15" thickBot="1">
      <c r="A121" s="936"/>
      <c r="B121" s="937" t="s">
        <v>1416</v>
      </c>
      <c r="C121" s="937">
        <f>SUM(C101:C120)</f>
        <v>188.44399999999999</v>
      </c>
      <c r="D121" s="1414"/>
      <c r="E121" s="1415"/>
      <c r="F121" s="1416"/>
    </row>
    <row r="122" spans="1:6">
      <c r="A122" s="1417"/>
      <c r="B122" s="1417"/>
      <c r="C122" s="1417"/>
      <c r="D122" s="1417"/>
      <c r="E122" s="1417"/>
      <c r="F122" s="1417"/>
    </row>
    <row r="123" spans="1:6">
      <c r="A123" s="944"/>
      <c r="B123" s="944"/>
      <c r="C123" s="944"/>
      <c r="D123" s="944"/>
      <c r="E123" s="944"/>
      <c r="F123" s="944"/>
    </row>
  </sheetData>
  <autoFilter ref="A68:H90" xr:uid="{77E03EF6-92FC-4258-8B58-6A081A6936A7}"/>
  <mergeCells count="21">
    <mergeCell ref="A93:D93"/>
    <mergeCell ref="A94:D94"/>
    <mergeCell ref="A95:D95"/>
    <mergeCell ref="A96:D96"/>
    <mergeCell ref="A66:G66"/>
    <mergeCell ref="D121:F121"/>
    <mergeCell ref="A122:F122"/>
    <mergeCell ref="A1:G1"/>
    <mergeCell ref="A2:G2"/>
    <mergeCell ref="A3:G3"/>
    <mergeCell ref="A4:G4"/>
    <mergeCell ref="D6:D7"/>
    <mergeCell ref="E6:E7"/>
    <mergeCell ref="A97:D97"/>
    <mergeCell ref="E11:E14"/>
    <mergeCell ref="A63:B63"/>
    <mergeCell ref="A65:G65"/>
    <mergeCell ref="B77:B83"/>
    <mergeCell ref="A90:B90"/>
    <mergeCell ref="E90:G90"/>
    <mergeCell ref="A91:G9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DCCA23-AE77-475E-864A-E2C4DE6A5172}">
  <dimension ref="A1:S118"/>
  <sheetViews>
    <sheetView topLeftCell="A68" workbookViewId="0">
      <selection activeCell="E110" sqref="E110"/>
    </sheetView>
  </sheetViews>
  <sheetFormatPr defaultColWidth="8.90625" defaultRowHeight="14.5"/>
  <cols>
    <col min="1" max="1" width="6.90625" style="46" customWidth="1"/>
    <col min="2" max="2" width="19.90625" style="46" customWidth="1"/>
    <col min="3" max="3" width="19.36328125" style="46" customWidth="1"/>
    <col min="4" max="4" width="11.1796875" style="46" customWidth="1"/>
    <col min="5" max="5" width="23.08984375" style="46" customWidth="1"/>
    <col min="6" max="6" width="17" style="46" customWidth="1"/>
    <col min="7" max="7" width="55.1796875" style="46" customWidth="1"/>
    <col min="8" max="15" width="5.08984375" style="46" customWidth="1"/>
    <col min="16" max="16" width="10.90625" style="46" customWidth="1"/>
    <col min="17" max="17" width="8.90625" style="46"/>
    <col min="18" max="18" width="9.36328125" style="46" customWidth="1"/>
    <col min="19" max="16384" width="8.90625" style="46"/>
  </cols>
  <sheetData>
    <row r="1" spans="1:19" ht="15.5">
      <c r="A1" s="1452" t="s">
        <v>78</v>
      </c>
      <c r="B1" s="1453"/>
      <c r="C1" s="1453"/>
      <c r="D1" s="1453"/>
      <c r="E1" s="1453"/>
      <c r="F1" s="1453"/>
      <c r="G1" s="1453"/>
      <c r="H1" s="1453"/>
      <c r="I1" s="1453"/>
      <c r="J1" s="1453"/>
      <c r="K1" s="1453"/>
      <c r="L1" s="1453"/>
      <c r="M1" s="1453"/>
      <c r="N1" s="1453"/>
      <c r="O1" s="1453"/>
      <c r="P1" s="1453"/>
      <c r="Q1" s="1453"/>
      <c r="R1" s="1453"/>
      <c r="S1" s="1454"/>
    </row>
    <row r="2" spans="1:19" ht="15.5">
      <c r="A2" s="1455" t="s">
        <v>79</v>
      </c>
      <c r="B2" s="1456"/>
      <c r="C2" s="1456"/>
      <c r="D2" s="1456"/>
      <c r="E2" s="1456"/>
      <c r="F2" s="1456"/>
      <c r="G2" s="1456"/>
      <c r="H2" s="1456"/>
      <c r="I2" s="1456"/>
      <c r="J2" s="1456"/>
      <c r="K2" s="1456"/>
      <c r="L2" s="1456"/>
      <c r="M2" s="1456"/>
      <c r="N2" s="1456"/>
      <c r="O2" s="1456"/>
      <c r="P2" s="1456"/>
      <c r="Q2" s="1456"/>
      <c r="R2" s="1456"/>
      <c r="S2" s="1457"/>
    </row>
    <row r="3" spans="1:19" ht="15.5">
      <c r="A3" s="1455" t="s">
        <v>80</v>
      </c>
      <c r="B3" s="1456"/>
      <c r="C3" s="1456"/>
      <c r="D3" s="1456"/>
      <c r="E3" s="1456"/>
      <c r="F3" s="1456"/>
      <c r="G3" s="1456"/>
      <c r="H3" s="1456"/>
      <c r="I3" s="1456"/>
      <c r="J3" s="1456"/>
      <c r="K3" s="1456"/>
      <c r="L3" s="1456"/>
      <c r="M3" s="1456"/>
      <c r="N3" s="1456"/>
      <c r="O3" s="1456"/>
      <c r="P3" s="1456"/>
      <c r="Q3" s="1456"/>
      <c r="R3" s="1456"/>
      <c r="S3" s="1457"/>
    </row>
    <row r="4" spans="1:19" ht="18.5">
      <c r="A4" s="1458" t="s">
        <v>81</v>
      </c>
      <c r="B4" s="1459"/>
      <c r="C4" s="1459"/>
      <c r="D4" s="1459"/>
      <c r="E4" s="1459"/>
      <c r="F4" s="1459"/>
      <c r="G4" s="1459"/>
      <c r="H4" s="1459"/>
      <c r="I4" s="1459"/>
      <c r="J4" s="1459"/>
      <c r="K4" s="1459"/>
      <c r="L4" s="1459"/>
      <c r="M4" s="1459"/>
      <c r="N4" s="1459"/>
      <c r="O4" s="1459"/>
      <c r="P4" s="1459"/>
      <c r="Q4" s="1459"/>
      <c r="R4" s="1459"/>
      <c r="S4" s="1460"/>
    </row>
    <row r="5" spans="1:19" ht="29" hidden="1">
      <c r="A5" s="352" t="s">
        <v>82</v>
      </c>
      <c r="B5" s="352" t="s">
        <v>83</v>
      </c>
      <c r="C5" s="352" t="s">
        <v>84</v>
      </c>
      <c r="D5" s="352" t="s">
        <v>85</v>
      </c>
      <c r="E5" s="352" t="s">
        <v>86</v>
      </c>
      <c r="F5" s="352" t="s">
        <v>34</v>
      </c>
    </row>
    <row r="6" spans="1:19" hidden="1">
      <c r="A6" s="76">
        <v>1</v>
      </c>
      <c r="B6" s="76" t="s">
        <v>87</v>
      </c>
      <c r="C6" s="76">
        <v>2.653</v>
      </c>
      <c r="D6" s="1461">
        <v>45684</v>
      </c>
      <c r="E6" s="1461">
        <v>45691</v>
      </c>
      <c r="F6" s="76" t="s">
        <v>88</v>
      </c>
    </row>
    <row r="7" spans="1:19" hidden="1">
      <c r="A7" s="76">
        <f>A6+1</f>
        <v>2</v>
      </c>
      <c r="B7" s="76" t="s">
        <v>89</v>
      </c>
      <c r="C7" s="76">
        <v>5.31</v>
      </c>
      <c r="D7" s="1462"/>
      <c r="E7" s="1462"/>
      <c r="F7" s="76" t="s">
        <v>88</v>
      </c>
    </row>
    <row r="8" spans="1:19" ht="43.5" hidden="1">
      <c r="A8" s="76">
        <f t="shared" ref="A8:A32" si="0">A7+1</f>
        <v>3</v>
      </c>
      <c r="B8" s="76" t="s">
        <v>90</v>
      </c>
      <c r="C8" s="76">
        <v>19.672000000000001</v>
      </c>
      <c r="D8" s="510" t="s">
        <v>1125</v>
      </c>
      <c r="E8" s="509">
        <v>45713</v>
      </c>
      <c r="F8" s="76" t="s">
        <v>88</v>
      </c>
      <c r="G8" s="511" t="s">
        <v>91</v>
      </c>
    </row>
    <row r="9" spans="1:19" hidden="1">
      <c r="A9" s="76">
        <f t="shared" si="0"/>
        <v>4</v>
      </c>
      <c r="B9" s="76" t="s">
        <v>93</v>
      </c>
      <c r="C9" s="76">
        <v>20.273</v>
      </c>
      <c r="D9" s="512">
        <v>45657</v>
      </c>
      <c r="E9" s="509">
        <v>45691</v>
      </c>
      <c r="F9" s="76" t="s">
        <v>88</v>
      </c>
    </row>
    <row r="10" spans="1:19" ht="29" hidden="1">
      <c r="A10" s="76">
        <f t="shared" si="0"/>
        <v>5</v>
      </c>
      <c r="B10" s="76" t="s">
        <v>94</v>
      </c>
      <c r="C10" s="76">
        <v>3.0840000000000001</v>
      </c>
      <c r="D10" s="513" t="s">
        <v>1124</v>
      </c>
      <c r="E10" s="509">
        <v>45712</v>
      </c>
      <c r="F10" s="76" t="s">
        <v>88</v>
      </c>
    </row>
    <row r="11" spans="1:19" hidden="1">
      <c r="A11" s="76">
        <f t="shared" si="0"/>
        <v>6</v>
      </c>
      <c r="B11" s="76" t="s">
        <v>96</v>
      </c>
      <c r="C11" s="76">
        <v>1.0629999999999999</v>
      </c>
      <c r="D11" s="512">
        <v>45713</v>
      </c>
      <c r="E11" s="1461">
        <v>45715</v>
      </c>
      <c r="F11" s="76" t="s">
        <v>88</v>
      </c>
    </row>
    <row r="12" spans="1:19" hidden="1">
      <c r="A12" s="76">
        <f>A11+1</f>
        <v>7</v>
      </c>
      <c r="B12" s="76" t="s">
        <v>97</v>
      </c>
      <c r="C12" s="76">
        <v>2.09</v>
      </c>
      <c r="D12" s="512">
        <v>45713</v>
      </c>
      <c r="E12" s="1463"/>
      <c r="F12" s="76" t="s">
        <v>88</v>
      </c>
    </row>
    <row r="13" spans="1:19" hidden="1">
      <c r="A13" s="76">
        <f t="shared" si="0"/>
        <v>8</v>
      </c>
      <c r="B13" s="76" t="s">
        <v>98</v>
      </c>
      <c r="C13" s="76">
        <v>3.8929999999999998</v>
      </c>
      <c r="D13" s="512">
        <v>45713</v>
      </c>
      <c r="E13" s="1463"/>
      <c r="F13" s="76" t="s">
        <v>88</v>
      </c>
    </row>
    <row r="14" spans="1:19" hidden="1">
      <c r="A14" s="76">
        <f t="shared" si="0"/>
        <v>9</v>
      </c>
      <c r="B14" s="76" t="s">
        <v>99</v>
      </c>
      <c r="C14" s="76">
        <v>6.9710000000000001</v>
      </c>
      <c r="D14" s="512">
        <v>45713</v>
      </c>
      <c r="E14" s="1464"/>
      <c r="F14" s="76" t="s">
        <v>88</v>
      </c>
    </row>
    <row r="15" spans="1:19" hidden="1">
      <c r="A15" s="76">
        <f t="shared" si="0"/>
        <v>10</v>
      </c>
      <c r="B15" s="76" t="s">
        <v>100</v>
      </c>
      <c r="C15" s="76">
        <v>9.4949999999999992</v>
      </c>
      <c r="D15" s="512">
        <v>45721</v>
      </c>
      <c r="E15" s="509">
        <v>45722</v>
      </c>
      <c r="F15" s="76" t="s">
        <v>88</v>
      </c>
    </row>
    <row r="16" spans="1:19" ht="72.5" hidden="1">
      <c r="A16" s="76">
        <f t="shared" si="0"/>
        <v>11</v>
      </c>
      <c r="B16" s="76" t="s">
        <v>101</v>
      </c>
      <c r="C16" s="76">
        <v>8.6969999999999992</v>
      </c>
      <c r="D16" s="510" t="s">
        <v>1126</v>
      </c>
      <c r="E16" s="76"/>
      <c r="F16" s="76" t="s">
        <v>95</v>
      </c>
      <c r="G16" s="786" t="s">
        <v>1159</v>
      </c>
    </row>
    <row r="17" spans="1:7" hidden="1">
      <c r="A17" s="76">
        <f t="shared" si="0"/>
        <v>12</v>
      </c>
      <c r="B17" s="76" t="s">
        <v>102</v>
      </c>
      <c r="C17" s="76">
        <v>3.0840000000000001</v>
      </c>
      <c r="D17" s="76"/>
      <c r="E17" s="76"/>
      <c r="F17" s="787" t="s">
        <v>95</v>
      </c>
    </row>
    <row r="18" spans="1:7" hidden="1">
      <c r="A18" s="76">
        <f t="shared" si="0"/>
        <v>13</v>
      </c>
      <c r="B18" s="66" t="s">
        <v>104</v>
      </c>
      <c r="C18" s="76">
        <v>3.9630000000000001</v>
      </c>
      <c r="D18" s="76"/>
      <c r="E18" s="76"/>
      <c r="F18" s="787" t="s">
        <v>95</v>
      </c>
      <c r="G18" s="361"/>
    </row>
    <row r="19" spans="1:7" hidden="1">
      <c r="A19" s="76">
        <f t="shared" si="0"/>
        <v>14</v>
      </c>
      <c r="B19" s="788" t="s">
        <v>1115</v>
      </c>
      <c r="C19" s="76">
        <v>1.6559999999999999</v>
      </c>
      <c r="D19" s="76"/>
      <c r="E19" s="76"/>
      <c r="F19" s="787" t="s">
        <v>95</v>
      </c>
      <c r="G19" s="361"/>
    </row>
    <row r="20" spans="1:7" hidden="1">
      <c r="A20" s="76">
        <f t="shared" si="0"/>
        <v>15</v>
      </c>
      <c r="B20" s="788" t="s">
        <v>1116</v>
      </c>
      <c r="C20" s="76">
        <v>1.635</v>
      </c>
      <c r="D20" s="76"/>
      <c r="E20" s="76"/>
      <c r="F20" s="787" t="s">
        <v>95</v>
      </c>
    </row>
    <row r="21" spans="1:7" hidden="1">
      <c r="A21" s="76">
        <f t="shared" si="0"/>
        <v>16</v>
      </c>
      <c r="B21" s="76" t="s">
        <v>1112</v>
      </c>
      <c r="C21" s="76">
        <v>2.2210000000000001</v>
      </c>
      <c r="D21" s="76"/>
      <c r="E21" s="76"/>
      <c r="F21" s="787" t="s">
        <v>95</v>
      </c>
    </row>
    <row r="22" spans="1:7" ht="72.5" hidden="1">
      <c r="A22" s="76">
        <f t="shared" si="0"/>
        <v>17</v>
      </c>
      <c r="B22" s="76" t="s">
        <v>1111</v>
      </c>
      <c r="C22" s="76">
        <v>10.724</v>
      </c>
      <c r="D22" s="789" t="s">
        <v>1340</v>
      </c>
      <c r="E22" s="76"/>
      <c r="F22" s="76" t="s">
        <v>95</v>
      </c>
      <c r="G22" s="786" t="s">
        <v>1159</v>
      </c>
    </row>
    <row r="23" spans="1:7" ht="56.5" hidden="1" customHeight="1">
      <c r="A23" s="76">
        <f t="shared" si="0"/>
        <v>18</v>
      </c>
      <c r="B23" s="787" t="s">
        <v>1109</v>
      </c>
      <c r="C23" s="76">
        <v>3.6659999999999999</v>
      </c>
      <c r="D23" s="789" t="s">
        <v>1341</v>
      </c>
      <c r="E23" s="76"/>
      <c r="F23" s="76" t="s">
        <v>95</v>
      </c>
      <c r="G23" s="786" t="s">
        <v>1159</v>
      </c>
    </row>
    <row r="24" spans="1:7" hidden="1">
      <c r="A24" s="76">
        <f t="shared" si="0"/>
        <v>19</v>
      </c>
      <c r="B24" s="787" t="s">
        <v>1350</v>
      </c>
      <c r="C24" s="530">
        <v>4.88</v>
      </c>
      <c r="D24" s="76"/>
      <c r="E24" s="76"/>
      <c r="F24" s="790" t="s">
        <v>95</v>
      </c>
    </row>
    <row r="25" spans="1:7" hidden="1">
      <c r="A25" s="76">
        <f t="shared" si="0"/>
        <v>20</v>
      </c>
      <c r="B25" s="787" t="s">
        <v>1300</v>
      </c>
      <c r="C25" s="76">
        <v>2.4740000000000002</v>
      </c>
      <c r="D25" s="512">
        <v>45765</v>
      </c>
      <c r="E25" s="76"/>
      <c r="F25" s="76" t="s">
        <v>95</v>
      </c>
    </row>
    <row r="26" spans="1:7" hidden="1">
      <c r="A26" s="76">
        <f t="shared" si="0"/>
        <v>21</v>
      </c>
      <c r="B26" s="787" t="s">
        <v>1131</v>
      </c>
      <c r="C26" s="76">
        <v>0.27500000000000002</v>
      </c>
      <c r="D26" s="512">
        <v>45752</v>
      </c>
      <c r="E26" s="76"/>
      <c r="F26" s="76" t="s">
        <v>95</v>
      </c>
    </row>
    <row r="27" spans="1:7" hidden="1">
      <c r="A27" s="76">
        <f t="shared" si="0"/>
        <v>22</v>
      </c>
      <c r="B27" s="787" t="s">
        <v>1110</v>
      </c>
      <c r="C27" s="76">
        <v>2.008</v>
      </c>
      <c r="D27" s="512">
        <v>45752</v>
      </c>
      <c r="E27" s="76"/>
      <c r="F27" s="76" t="s">
        <v>95</v>
      </c>
    </row>
    <row r="28" spans="1:7" hidden="1">
      <c r="A28" s="76">
        <f t="shared" si="0"/>
        <v>23</v>
      </c>
      <c r="B28" s="787" t="s">
        <v>1128</v>
      </c>
      <c r="C28" s="76">
        <v>0.223</v>
      </c>
      <c r="D28" s="512">
        <v>45752</v>
      </c>
      <c r="E28" s="76"/>
      <c r="F28" s="76" t="s">
        <v>95</v>
      </c>
    </row>
    <row r="29" spans="1:7" hidden="1">
      <c r="A29" s="76">
        <f t="shared" si="0"/>
        <v>24</v>
      </c>
      <c r="B29" s="787" t="s">
        <v>1113</v>
      </c>
      <c r="C29" s="76">
        <v>2.7309999999999999</v>
      </c>
      <c r="D29" s="512">
        <v>45752</v>
      </c>
      <c r="E29" s="76"/>
      <c r="F29" s="76" t="s">
        <v>95</v>
      </c>
    </row>
    <row r="30" spans="1:7" hidden="1">
      <c r="A30" s="76">
        <f t="shared" si="0"/>
        <v>25</v>
      </c>
      <c r="B30" s="787" t="s">
        <v>1130</v>
      </c>
      <c r="C30" s="76">
        <v>1.7170000000000001</v>
      </c>
      <c r="D30" s="512">
        <v>45752</v>
      </c>
      <c r="E30" s="76"/>
      <c r="F30" s="76" t="s">
        <v>95</v>
      </c>
    </row>
    <row r="31" spans="1:7" hidden="1">
      <c r="A31" s="76">
        <f t="shared" si="0"/>
        <v>26</v>
      </c>
      <c r="B31" s="787" t="s">
        <v>1129</v>
      </c>
      <c r="C31" s="76">
        <v>1.0680000000000001</v>
      </c>
      <c r="D31" s="512">
        <v>45752</v>
      </c>
      <c r="E31" s="76"/>
      <c r="F31" s="76" t="s">
        <v>95</v>
      </c>
    </row>
    <row r="32" spans="1:7" hidden="1">
      <c r="A32" s="76">
        <f t="shared" si="0"/>
        <v>27</v>
      </c>
      <c r="B32" s="787" t="s">
        <v>1127</v>
      </c>
      <c r="C32" s="76">
        <v>2.8730000000000002</v>
      </c>
      <c r="D32" s="512">
        <v>45752</v>
      </c>
      <c r="E32" s="76"/>
      <c r="F32" s="76" t="s">
        <v>95</v>
      </c>
    </row>
    <row r="33" spans="1:7" hidden="1">
      <c r="A33" s="76"/>
      <c r="B33" s="787"/>
      <c r="C33" s="76"/>
      <c r="D33" s="512"/>
      <c r="E33" s="76"/>
      <c r="F33" s="76"/>
    </row>
    <row r="34" spans="1:7" hidden="1">
      <c r="A34" s="76">
        <f>A32+1</f>
        <v>28</v>
      </c>
      <c r="B34" s="787" t="s">
        <v>1333</v>
      </c>
      <c r="C34" s="76">
        <v>19.57</v>
      </c>
      <c r="D34" s="787" t="s">
        <v>1339</v>
      </c>
      <c r="E34" s="76"/>
      <c r="F34" s="787" t="s">
        <v>1332</v>
      </c>
    </row>
    <row r="35" spans="1:7" hidden="1">
      <c r="A35" s="76">
        <f>A34+1</f>
        <v>29</v>
      </c>
      <c r="B35" s="790" t="s">
        <v>1307</v>
      </c>
      <c r="C35" s="527">
        <v>2.6179999999999999</v>
      </c>
      <c r="D35" s="512">
        <v>45781</v>
      </c>
      <c r="E35" s="76"/>
      <c r="F35" s="66" t="s">
        <v>103</v>
      </c>
    </row>
    <row r="36" spans="1:7" hidden="1">
      <c r="A36" s="76">
        <f>A35+1</f>
        <v>30</v>
      </c>
      <c r="B36" s="787" t="s">
        <v>1338</v>
      </c>
      <c r="C36" s="76">
        <v>18.193000000000001</v>
      </c>
      <c r="D36" s="512">
        <v>45805</v>
      </c>
      <c r="E36" s="76"/>
      <c r="F36" s="788" t="s">
        <v>103</v>
      </c>
    </row>
    <row r="37" spans="1:7" hidden="1">
      <c r="A37" s="76"/>
      <c r="B37" s="787"/>
      <c r="C37" s="76"/>
      <c r="D37" s="512"/>
      <c r="E37" s="76"/>
      <c r="F37" s="788"/>
    </row>
    <row r="38" spans="1:7" hidden="1">
      <c r="A38" s="76"/>
      <c r="B38" s="787"/>
      <c r="C38" s="76"/>
      <c r="D38" s="512"/>
      <c r="E38" s="76"/>
      <c r="F38" s="788"/>
    </row>
    <row r="39" spans="1:7" s="361" customFormat="1" hidden="1">
      <c r="A39" s="362"/>
      <c r="B39" s="362" t="s">
        <v>105</v>
      </c>
      <c r="C39" s="362">
        <f>SUM(C6:C36)</f>
        <v>168.78000000000003</v>
      </c>
      <c r="D39" s="362"/>
      <c r="E39" s="362"/>
      <c r="F39" s="362"/>
    </row>
    <row r="40" spans="1:7" s="361" customFormat="1" hidden="1"/>
    <row r="41" spans="1:7" s="361" customFormat="1" hidden="1"/>
    <row r="42" spans="1:7" s="361" customFormat="1" hidden="1"/>
    <row r="43" spans="1:7" hidden="1">
      <c r="B43" s="361" t="s">
        <v>1301</v>
      </c>
    </row>
    <row r="44" spans="1:7" ht="43.5" hidden="1">
      <c r="A44" s="353" t="s">
        <v>1132</v>
      </c>
      <c r="B44" s="353" t="s">
        <v>83</v>
      </c>
      <c r="C44" s="436" t="s">
        <v>1133</v>
      </c>
      <c r="D44" s="436" t="s">
        <v>1134</v>
      </c>
      <c r="E44" s="436" t="s">
        <v>1135</v>
      </c>
      <c r="F44" s="436" t="s">
        <v>1136</v>
      </c>
      <c r="G44" s="436" t="s">
        <v>1134</v>
      </c>
    </row>
    <row r="45" spans="1:7" hidden="1">
      <c r="A45" s="315">
        <v>1</v>
      </c>
      <c r="B45" s="315" t="s">
        <v>1138</v>
      </c>
      <c r="C45" s="437">
        <v>45657</v>
      </c>
      <c r="D45" s="438">
        <v>20.273</v>
      </c>
      <c r="E45" s="437" t="s">
        <v>1139</v>
      </c>
      <c r="F45" s="439">
        <v>45691</v>
      </c>
      <c r="G45" s="438">
        <v>20.273</v>
      </c>
    </row>
    <row r="46" spans="1:7" hidden="1">
      <c r="A46" s="315">
        <f>A45+1</f>
        <v>2</v>
      </c>
      <c r="B46" s="315" t="s">
        <v>1141</v>
      </c>
      <c r="C46" s="437">
        <v>45684</v>
      </c>
      <c r="D46" s="438">
        <v>7.9619999999999997</v>
      </c>
      <c r="E46" s="437" t="s">
        <v>1142</v>
      </c>
      <c r="F46" s="439">
        <v>45691</v>
      </c>
      <c r="G46" s="438">
        <v>7.9619999999999997</v>
      </c>
    </row>
    <row r="47" spans="1:7" hidden="1">
      <c r="A47" s="315">
        <f t="shared" ref="A47:A56" si="1">A46+1</f>
        <v>3</v>
      </c>
      <c r="B47" s="315" t="s">
        <v>1143</v>
      </c>
      <c r="C47" s="437">
        <v>45709</v>
      </c>
      <c r="D47" s="438">
        <v>3.0840000000000001</v>
      </c>
      <c r="E47" s="437" t="s">
        <v>1144</v>
      </c>
      <c r="F47" s="439">
        <v>45712</v>
      </c>
      <c r="G47" s="438">
        <v>3.0840000000000001</v>
      </c>
    </row>
    <row r="48" spans="1:7" hidden="1">
      <c r="A48" s="315">
        <f t="shared" si="1"/>
        <v>4</v>
      </c>
      <c r="B48" s="315" t="s">
        <v>1146</v>
      </c>
      <c r="C48" s="437">
        <v>45703</v>
      </c>
      <c r="D48" s="438">
        <v>19.672000000000001</v>
      </c>
      <c r="E48" s="437" t="s">
        <v>1147</v>
      </c>
      <c r="F48" s="439">
        <v>45713</v>
      </c>
      <c r="G48" s="438">
        <v>19.672000000000001</v>
      </c>
    </row>
    <row r="49" spans="1:7" hidden="1">
      <c r="A49" s="315">
        <f t="shared" si="1"/>
        <v>5</v>
      </c>
      <c r="B49" s="315" t="s">
        <v>1149</v>
      </c>
      <c r="C49" s="437">
        <v>45713</v>
      </c>
      <c r="D49" s="438">
        <v>14.016999999999999</v>
      </c>
      <c r="E49" s="437" t="s">
        <v>1150</v>
      </c>
      <c r="F49" s="439">
        <v>45715</v>
      </c>
      <c r="G49" s="438">
        <v>14.016999999999999</v>
      </c>
    </row>
    <row r="50" spans="1:7" hidden="1">
      <c r="A50" s="315">
        <f t="shared" si="1"/>
        <v>6</v>
      </c>
      <c r="B50" s="315" t="s">
        <v>1151</v>
      </c>
      <c r="C50" s="437">
        <v>45721</v>
      </c>
      <c r="D50" s="438">
        <v>9.4949999999999992</v>
      </c>
      <c r="E50" s="437" t="s">
        <v>1152</v>
      </c>
      <c r="F50" s="439">
        <v>45722</v>
      </c>
      <c r="G50" s="438">
        <v>9.4949999999999992</v>
      </c>
    </row>
    <row r="51" spans="1:7" hidden="1">
      <c r="A51" s="315">
        <f t="shared" si="1"/>
        <v>7</v>
      </c>
      <c r="B51" s="315" t="s">
        <v>1153</v>
      </c>
      <c r="C51" s="437">
        <v>45751</v>
      </c>
      <c r="D51" s="438">
        <v>8.6969999999999992</v>
      </c>
      <c r="E51" s="791" t="s">
        <v>1306</v>
      </c>
      <c r="F51" s="439">
        <v>45732</v>
      </c>
      <c r="G51" s="438">
        <v>8.6969999999999992</v>
      </c>
    </row>
    <row r="52" spans="1:7" hidden="1">
      <c r="A52" s="315">
        <f t="shared" si="1"/>
        <v>8</v>
      </c>
      <c r="B52" s="315" t="s">
        <v>1155</v>
      </c>
      <c r="C52" s="437">
        <v>45742</v>
      </c>
      <c r="D52" s="438">
        <v>14.39</v>
      </c>
      <c r="E52" s="437" t="s">
        <v>1156</v>
      </c>
      <c r="F52" s="439">
        <v>45732</v>
      </c>
      <c r="G52" s="438">
        <v>14.39</v>
      </c>
    </row>
    <row r="53" spans="1:7" hidden="1">
      <c r="A53" s="315">
        <f t="shared" si="1"/>
        <v>9</v>
      </c>
      <c r="B53" s="613" t="s">
        <v>1161</v>
      </c>
      <c r="C53" s="437">
        <v>45752</v>
      </c>
      <c r="D53" s="438">
        <v>10.894</v>
      </c>
      <c r="E53" s="437" t="s">
        <v>1162</v>
      </c>
      <c r="F53" s="438"/>
      <c r="G53" s="438"/>
    </row>
    <row r="54" spans="1:7" ht="29" hidden="1">
      <c r="A54" s="315">
        <f t="shared" si="1"/>
        <v>10</v>
      </c>
      <c r="B54" s="613" t="s">
        <v>1160</v>
      </c>
      <c r="C54" s="792" t="s">
        <v>1322</v>
      </c>
      <c r="D54" s="438">
        <v>19.57</v>
      </c>
      <c r="E54" s="791" t="s">
        <v>1326</v>
      </c>
      <c r="F54" s="438"/>
      <c r="G54" s="438"/>
    </row>
    <row r="55" spans="1:7" hidden="1">
      <c r="A55" s="315">
        <f t="shared" si="1"/>
        <v>11</v>
      </c>
      <c r="B55" s="315" t="s">
        <v>1298</v>
      </c>
      <c r="C55" s="437">
        <v>45765</v>
      </c>
      <c r="D55" s="438">
        <v>2.4740000000000002</v>
      </c>
      <c r="E55" s="437" t="s">
        <v>1299</v>
      </c>
      <c r="F55" s="438"/>
      <c r="G55" s="438"/>
    </row>
    <row r="56" spans="1:7" hidden="1">
      <c r="A56" s="315">
        <f t="shared" si="1"/>
        <v>12</v>
      </c>
      <c r="B56" s="613" t="s">
        <v>1312</v>
      </c>
      <c r="C56" s="437">
        <v>45787</v>
      </c>
      <c r="D56" s="438">
        <v>3.0840000000000001</v>
      </c>
      <c r="E56" s="437" t="s">
        <v>1313</v>
      </c>
      <c r="F56" s="438"/>
      <c r="G56" s="438"/>
    </row>
    <row r="57" spans="1:7" hidden="1">
      <c r="A57" s="315">
        <f>A56+1</f>
        <v>13</v>
      </c>
      <c r="B57" s="613" t="s">
        <v>1356</v>
      </c>
      <c r="C57" s="437">
        <v>45787</v>
      </c>
      <c r="D57" s="438">
        <v>2.2200000000000002</v>
      </c>
      <c r="E57" s="437" t="s">
        <v>1313</v>
      </c>
      <c r="F57" s="438"/>
      <c r="G57" s="438"/>
    </row>
    <row r="58" spans="1:7" hidden="1">
      <c r="A58" s="315">
        <f>A57+1</f>
        <v>14</v>
      </c>
      <c r="B58" s="793" t="s">
        <v>1353</v>
      </c>
      <c r="C58" s="437">
        <v>45802</v>
      </c>
      <c r="D58" s="438">
        <v>5.6189999999999998</v>
      </c>
      <c r="E58" s="779" t="s">
        <v>1360</v>
      </c>
      <c r="F58" s="438"/>
      <c r="G58" s="438"/>
    </row>
    <row r="59" spans="1:7" hidden="1">
      <c r="A59" s="315">
        <f>A58+1</f>
        <v>15</v>
      </c>
      <c r="B59" s="794" t="s">
        <v>1324</v>
      </c>
      <c r="C59" s="437">
        <v>45794</v>
      </c>
      <c r="D59" s="438">
        <v>3.95</v>
      </c>
      <c r="E59" s="791" t="s">
        <v>1325</v>
      </c>
      <c r="F59" s="439">
        <v>45810</v>
      </c>
      <c r="G59" s="438"/>
    </row>
    <row r="60" spans="1:7" hidden="1">
      <c r="A60" s="315">
        <f>A59+1</f>
        <v>16</v>
      </c>
      <c r="B60" s="793" t="s">
        <v>1354</v>
      </c>
      <c r="C60" s="437">
        <v>45802</v>
      </c>
      <c r="D60" s="438">
        <v>1.635</v>
      </c>
      <c r="E60" s="437" t="s">
        <v>1355</v>
      </c>
      <c r="F60" s="438"/>
      <c r="G60" s="438"/>
    </row>
    <row r="61" spans="1:7" hidden="1">
      <c r="A61" s="315">
        <f>A60+1</f>
        <v>17</v>
      </c>
      <c r="B61" s="793" t="s">
        <v>1342</v>
      </c>
      <c r="C61" s="437">
        <v>45802</v>
      </c>
      <c r="D61" s="438">
        <v>4.88</v>
      </c>
      <c r="E61" s="791"/>
      <c r="F61" s="438"/>
      <c r="G61" s="438"/>
    </row>
    <row r="62" spans="1:7" hidden="1">
      <c r="A62" s="315"/>
      <c r="B62" s="794"/>
      <c r="C62" s="437"/>
      <c r="D62" s="438"/>
      <c r="E62" s="437"/>
      <c r="F62" s="438"/>
      <c r="G62" s="438"/>
    </row>
    <row r="63" spans="1:7" hidden="1">
      <c r="A63" s="1424" t="s">
        <v>1158</v>
      </c>
      <c r="B63" s="1424"/>
      <c r="C63" s="353"/>
      <c r="D63" s="353">
        <f>SUM(D45:D61)</f>
        <v>151.91599999999997</v>
      </c>
      <c r="E63" s="353"/>
      <c r="F63" s="353"/>
      <c r="G63" s="353">
        <f>SUM(G45:G62)</f>
        <v>97.59</v>
      </c>
    </row>
    <row r="64" spans="1:7" hidden="1">
      <c r="A64" s="436"/>
      <c r="B64" s="436"/>
      <c r="C64" s="353"/>
      <c r="D64" s="353"/>
      <c r="E64" s="353"/>
      <c r="F64" s="353"/>
      <c r="G64" s="353"/>
    </row>
    <row r="65" spans="1:7">
      <c r="A65" s="1465"/>
      <c r="B65" s="1466"/>
      <c r="C65" s="1466"/>
      <c r="D65" s="1466"/>
      <c r="E65" s="1466"/>
      <c r="F65" s="1466"/>
      <c r="G65" s="1467"/>
    </row>
    <row r="66" spans="1:7" ht="15.5">
      <c r="A66" s="795"/>
      <c r="B66" s="795"/>
      <c r="C66" s="1468" t="s">
        <v>1377</v>
      </c>
      <c r="D66" s="1468"/>
      <c r="E66" s="1468"/>
      <c r="F66" s="1468"/>
      <c r="G66" s="1468"/>
    </row>
    <row r="67" spans="1:7" ht="29">
      <c r="A67" s="796" t="s">
        <v>1543</v>
      </c>
      <c r="B67" s="797" t="s">
        <v>1378</v>
      </c>
      <c r="C67" s="797" t="s">
        <v>1380</v>
      </c>
      <c r="D67" s="797" t="s">
        <v>1381</v>
      </c>
      <c r="E67" s="797" t="s">
        <v>1382</v>
      </c>
      <c r="F67" s="797" t="s">
        <v>1383</v>
      </c>
      <c r="G67" s="796" t="s">
        <v>34</v>
      </c>
    </row>
    <row r="68" spans="1:7" ht="26">
      <c r="A68" s="798">
        <v>1</v>
      </c>
      <c r="B68" s="799" t="s">
        <v>1062</v>
      </c>
      <c r="C68" s="799" t="s">
        <v>1544</v>
      </c>
      <c r="D68" s="800">
        <v>10.372999999999999</v>
      </c>
      <c r="E68" s="801"/>
      <c r="F68" s="801"/>
      <c r="G68" s="802" t="s">
        <v>1545</v>
      </c>
    </row>
    <row r="69" spans="1:7">
      <c r="A69" s="798">
        <f>A68+1</f>
        <v>2</v>
      </c>
      <c r="B69" s="803" t="s">
        <v>1062</v>
      </c>
      <c r="C69" s="803" t="s">
        <v>1424</v>
      </c>
      <c r="D69" s="804">
        <v>8.7189999999999994</v>
      </c>
      <c r="E69" s="804"/>
      <c r="F69" s="804"/>
      <c r="G69" s="805" t="s">
        <v>1576</v>
      </c>
    </row>
    <row r="70" spans="1:7" ht="27.65" customHeight="1">
      <c r="A70" s="798">
        <f>A69+1</f>
        <v>3</v>
      </c>
      <c r="B70" s="803"/>
      <c r="C70" s="618" t="s">
        <v>1387</v>
      </c>
      <c r="D70" s="806">
        <v>19.57</v>
      </c>
      <c r="E70" s="807" t="s">
        <v>1388</v>
      </c>
      <c r="F70" s="807"/>
      <c r="G70" s="805" t="s">
        <v>88</v>
      </c>
    </row>
    <row r="71" spans="1:7" ht="27.65" customHeight="1">
      <c r="A71" s="798">
        <f>A70+1</f>
        <v>4</v>
      </c>
      <c r="B71" s="808" t="s">
        <v>1068</v>
      </c>
      <c r="C71" s="803" t="s">
        <v>1500</v>
      </c>
      <c r="D71" s="798">
        <v>2.6179999999999999</v>
      </c>
      <c r="E71" s="798"/>
      <c r="F71" s="807" t="s">
        <v>1388</v>
      </c>
      <c r="G71" s="805" t="s">
        <v>1502</v>
      </c>
    </row>
    <row r="72" spans="1:7" ht="23.5" customHeight="1">
      <c r="A72" s="798">
        <f t="shared" ref="A72:A85" si="2">A71+1</f>
        <v>5</v>
      </c>
      <c r="B72" s="799" t="s">
        <v>1062</v>
      </c>
      <c r="C72" s="799" t="s">
        <v>1503</v>
      </c>
      <c r="D72" s="809">
        <v>18.193000000000001</v>
      </c>
      <c r="E72" s="809"/>
      <c r="F72" s="810"/>
      <c r="G72" s="805" t="s">
        <v>1577</v>
      </c>
    </row>
    <row r="73" spans="1:7">
      <c r="A73" s="798">
        <f t="shared" si="2"/>
        <v>6</v>
      </c>
      <c r="B73" s="803"/>
      <c r="C73" s="618" t="s">
        <v>1392</v>
      </c>
      <c r="D73" s="798">
        <v>6.6589999999999998</v>
      </c>
      <c r="E73" s="798" t="s">
        <v>1546</v>
      </c>
      <c r="F73" s="807"/>
      <c r="G73" s="811" t="s">
        <v>1422</v>
      </c>
    </row>
    <row r="74" spans="1:7">
      <c r="A74" s="798">
        <f t="shared" si="2"/>
        <v>7</v>
      </c>
      <c r="B74" s="799" t="s">
        <v>1062</v>
      </c>
      <c r="C74" s="799" t="s">
        <v>1393</v>
      </c>
      <c r="D74" s="812">
        <v>3.17</v>
      </c>
      <c r="E74" s="810"/>
      <c r="F74" s="810"/>
      <c r="G74" s="802" t="s">
        <v>1547</v>
      </c>
    </row>
    <row r="75" spans="1:7">
      <c r="A75" s="798">
        <f t="shared" si="2"/>
        <v>8</v>
      </c>
      <c r="B75" s="803"/>
      <c r="C75" s="618" t="s">
        <v>1396</v>
      </c>
      <c r="D75" s="813">
        <v>1.05</v>
      </c>
      <c r="E75" s="807" t="s">
        <v>1546</v>
      </c>
      <c r="F75" s="807"/>
      <c r="G75" s="805" t="s">
        <v>1422</v>
      </c>
    </row>
    <row r="76" spans="1:7">
      <c r="A76" s="798">
        <f t="shared" si="2"/>
        <v>9</v>
      </c>
      <c r="B76" s="1469"/>
      <c r="C76" s="618" t="s">
        <v>1397</v>
      </c>
      <c r="D76" s="798">
        <v>7.9619999999999997</v>
      </c>
      <c r="E76" s="807" t="s">
        <v>1546</v>
      </c>
      <c r="F76" s="798"/>
      <c r="G76" s="805" t="s">
        <v>88</v>
      </c>
    </row>
    <row r="77" spans="1:7">
      <c r="A77" s="798">
        <f t="shared" si="2"/>
        <v>10</v>
      </c>
      <c r="B77" s="1470"/>
      <c r="C77" s="618" t="s">
        <v>1399</v>
      </c>
      <c r="D77" s="798">
        <v>19.567</v>
      </c>
      <c r="E77" s="807" t="s">
        <v>1546</v>
      </c>
      <c r="F77" s="798"/>
      <c r="G77" s="805" t="s">
        <v>88</v>
      </c>
    </row>
    <row r="78" spans="1:7">
      <c r="A78" s="798">
        <f t="shared" si="2"/>
        <v>11</v>
      </c>
      <c r="B78" s="1470"/>
      <c r="C78" s="618" t="s">
        <v>1400</v>
      </c>
      <c r="D78" s="798">
        <v>20.273</v>
      </c>
      <c r="E78" s="807" t="s">
        <v>1546</v>
      </c>
      <c r="F78" s="798"/>
      <c r="G78" s="805" t="s">
        <v>88</v>
      </c>
    </row>
    <row r="79" spans="1:7">
      <c r="A79" s="798">
        <f t="shared" si="2"/>
        <v>12</v>
      </c>
      <c r="B79" s="1470"/>
      <c r="C79" s="618" t="s">
        <v>1401</v>
      </c>
      <c r="D79" s="798">
        <v>3.0840000000000001</v>
      </c>
      <c r="E79" s="807" t="s">
        <v>1546</v>
      </c>
      <c r="F79" s="798"/>
      <c r="G79" s="805" t="s">
        <v>88</v>
      </c>
    </row>
    <row r="80" spans="1:7">
      <c r="A80" s="798">
        <f t="shared" si="2"/>
        <v>13</v>
      </c>
      <c r="B80" s="1470"/>
      <c r="C80" s="618" t="s">
        <v>1402</v>
      </c>
      <c r="D80" s="798">
        <v>14.119</v>
      </c>
      <c r="E80" s="807" t="s">
        <v>1546</v>
      </c>
      <c r="F80" s="798"/>
      <c r="G80" s="805" t="s">
        <v>88</v>
      </c>
    </row>
    <row r="81" spans="1:7">
      <c r="A81" s="798">
        <f t="shared" si="2"/>
        <v>14</v>
      </c>
      <c r="B81" s="1470"/>
      <c r="C81" s="618" t="s">
        <v>1403</v>
      </c>
      <c r="D81" s="798">
        <v>9.4949999999999992</v>
      </c>
      <c r="E81" s="807" t="s">
        <v>1546</v>
      </c>
      <c r="F81" s="798"/>
      <c r="G81" s="805" t="s">
        <v>88</v>
      </c>
    </row>
    <row r="82" spans="1:7">
      <c r="A82" s="798">
        <f t="shared" si="2"/>
        <v>15</v>
      </c>
      <c r="B82" s="1471"/>
      <c r="C82" s="618" t="s">
        <v>1404</v>
      </c>
      <c r="D82" s="798">
        <v>8.6940000000000008</v>
      </c>
      <c r="E82" s="807" t="s">
        <v>1546</v>
      </c>
      <c r="F82" s="798"/>
      <c r="G82" s="805" t="s">
        <v>88</v>
      </c>
    </row>
    <row r="83" spans="1:7">
      <c r="A83" s="798">
        <f t="shared" si="2"/>
        <v>16</v>
      </c>
      <c r="B83" s="803" t="s">
        <v>1062</v>
      </c>
      <c r="C83" s="618" t="s">
        <v>1427</v>
      </c>
      <c r="D83" s="798">
        <v>12.558999999999999</v>
      </c>
      <c r="E83" s="807" t="s">
        <v>1546</v>
      </c>
      <c r="F83" s="807"/>
      <c r="G83" s="805" t="s">
        <v>88</v>
      </c>
    </row>
    <row r="84" spans="1:7">
      <c r="A84" s="798">
        <f t="shared" si="2"/>
        <v>17</v>
      </c>
      <c r="B84" s="803" t="s">
        <v>1062</v>
      </c>
      <c r="C84" s="618" t="s">
        <v>1409</v>
      </c>
      <c r="D84" s="798">
        <v>14.391</v>
      </c>
      <c r="E84" s="807" t="s">
        <v>1546</v>
      </c>
      <c r="F84" s="798"/>
      <c r="G84" s="805" t="s">
        <v>88</v>
      </c>
    </row>
    <row r="85" spans="1:7">
      <c r="A85" s="798">
        <f t="shared" si="2"/>
        <v>18</v>
      </c>
      <c r="B85" s="803" t="s">
        <v>1062</v>
      </c>
      <c r="C85" s="618" t="s">
        <v>1548</v>
      </c>
      <c r="D85" s="555">
        <v>6.3209999999999997</v>
      </c>
      <c r="E85" s="807" t="s">
        <v>1546</v>
      </c>
      <c r="F85" s="807"/>
      <c r="G85" s="805" t="s">
        <v>88</v>
      </c>
    </row>
    <row r="86" spans="1:7">
      <c r="A86" s="798">
        <v>19</v>
      </c>
      <c r="B86" s="808" t="s">
        <v>1068</v>
      </c>
      <c r="C86" s="803" t="s">
        <v>1549</v>
      </c>
      <c r="D86" s="555">
        <v>0.38900000000000001</v>
      </c>
      <c r="E86" s="807"/>
      <c r="F86" s="814" t="s">
        <v>1546</v>
      </c>
      <c r="G86" s="805"/>
    </row>
    <row r="87" spans="1:7">
      <c r="A87" s="798">
        <v>20</v>
      </c>
      <c r="B87" s="799" t="s">
        <v>1062</v>
      </c>
      <c r="C87" s="799" t="s">
        <v>1550</v>
      </c>
      <c r="D87" s="815">
        <v>0.22</v>
      </c>
      <c r="E87" s="810"/>
      <c r="F87" s="816"/>
      <c r="G87" s="802" t="s">
        <v>1551</v>
      </c>
    </row>
    <row r="88" spans="1:7">
      <c r="A88" s="798">
        <v>21</v>
      </c>
      <c r="B88" s="817" t="s">
        <v>1068</v>
      </c>
      <c r="C88" s="803" t="s">
        <v>1552</v>
      </c>
      <c r="D88" s="818">
        <v>0.56999999999999995</v>
      </c>
      <c r="E88" s="807"/>
      <c r="F88" s="814" t="s">
        <v>1546</v>
      </c>
      <c r="G88" s="805" t="s">
        <v>1553</v>
      </c>
    </row>
    <row r="89" spans="1:7">
      <c r="A89" s="1447"/>
      <c r="B89" s="1448"/>
      <c r="C89" s="796" t="s">
        <v>1416</v>
      </c>
      <c r="D89" s="796">
        <f>SUM(D68:D88)</f>
        <v>187.99599999999998</v>
      </c>
      <c r="E89" s="1449"/>
      <c r="F89" s="1450"/>
      <c r="G89" s="1451"/>
    </row>
    <row r="90" spans="1:7">
      <c r="A90" s="1444"/>
      <c r="B90" s="1444"/>
      <c r="C90" s="1444"/>
      <c r="D90" s="1444"/>
      <c r="E90" s="1444"/>
      <c r="F90" s="1444"/>
      <c r="G90" s="1444"/>
    </row>
    <row r="91" spans="1:7" hidden="1">
      <c r="A91" s="819"/>
      <c r="B91" s="820"/>
      <c r="C91" s="820"/>
      <c r="D91" s="821"/>
      <c r="E91" s="822">
        <v>2.6179999999999999</v>
      </c>
      <c r="F91" s="823" t="s">
        <v>1415</v>
      </c>
      <c r="G91" s="819"/>
    </row>
    <row r="92" spans="1:7" ht="18.5">
      <c r="A92" s="1445" t="s">
        <v>1416</v>
      </c>
      <c r="B92" s="1445"/>
      <c r="C92" s="1445"/>
      <c r="D92" s="1445"/>
      <c r="E92" s="824">
        <f>D89</f>
        <v>187.99599999999998</v>
      </c>
      <c r="F92" s="820"/>
      <c r="G92" s="819"/>
    </row>
    <row r="93" spans="1:7" ht="18.5">
      <c r="A93" s="1445" t="s">
        <v>1554</v>
      </c>
      <c r="B93" s="1445"/>
      <c r="C93" s="1445"/>
      <c r="D93" s="1445"/>
      <c r="E93" s="825">
        <f>E92-E96</f>
        <v>156.04</v>
      </c>
      <c r="F93" s="820"/>
      <c r="G93" s="819"/>
    </row>
    <row r="94" spans="1:7" ht="18.5">
      <c r="A94" s="1445" t="s">
        <v>1555</v>
      </c>
      <c r="B94" s="1445"/>
      <c r="C94" s="1445"/>
      <c r="D94" s="1445"/>
      <c r="E94" s="826">
        <f>E93-E95</f>
        <v>152.46299999999999</v>
      </c>
      <c r="F94" s="820"/>
      <c r="G94" s="819"/>
    </row>
    <row r="95" spans="1:7" ht="18.5">
      <c r="A95" s="1446" t="s">
        <v>1556</v>
      </c>
      <c r="B95" s="1446"/>
      <c r="C95" s="1446"/>
      <c r="D95" s="1446"/>
      <c r="E95" s="827">
        <v>3.577</v>
      </c>
      <c r="F95" s="820"/>
      <c r="G95" s="819"/>
    </row>
    <row r="96" spans="1:7" ht="18.5">
      <c r="A96" s="1445" t="s">
        <v>1557</v>
      </c>
      <c r="B96" s="1445"/>
      <c r="C96" s="1445"/>
      <c r="D96" s="1445"/>
      <c r="E96" s="826">
        <v>31.956</v>
      </c>
      <c r="F96" s="820"/>
      <c r="G96" s="819"/>
    </row>
    <row r="98" spans="2:7" ht="15" thickBot="1">
      <c r="B98" s="1438" t="s">
        <v>1377</v>
      </c>
      <c r="C98" s="1439"/>
      <c r="D98" s="1439"/>
      <c r="E98" s="1439"/>
      <c r="F98" s="1439"/>
      <c r="G98" s="1439"/>
    </row>
    <row r="99" spans="2:7" ht="29.5" thickBot="1">
      <c r="B99" s="590" t="s">
        <v>1379</v>
      </c>
      <c r="C99" s="591" t="s">
        <v>1380</v>
      </c>
      <c r="D99" s="591" t="s">
        <v>1381</v>
      </c>
      <c r="E99" s="591" t="s">
        <v>88</v>
      </c>
      <c r="F99" s="591" t="s">
        <v>1428</v>
      </c>
      <c r="G99" s="591" t="s">
        <v>34</v>
      </c>
    </row>
    <row r="100" spans="2:7" ht="29.5" thickBot="1">
      <c r="B100" s="592">
        <v>1</v>
      </c>
      <c r="C100" s="593" t="s">
        <v>1385</v>
      </c>
      <c r="D100" s="594">
        <v>18.116</v>
      </c>
      <c r="E100" s="595"/>
      <c r="F100" s="595" t="s">
        <v>1429</v>
      </c>
      <c r="G100" s="596" t="s">
        <v>1430</v>
      </c>
    </row>
    <row r="101" spans="2:7" ht="15" thickBot="1">
      <c r="B101" s="592">
        <v>2</v>
      </c>
      <c r="C101" s="593" t="s">
        <v>1387</v>
      </c>
      <c r="D101" s="594">
        <v>19.57</v>
      </c>
      <c r="E101" s="594"/>
      <c r="F101" s="595" t="s">
        <v>1431</v>
      </c>
      <c r="G101" s="596" t="s">
        <v>1432</v>
      </c>
    </row>
    <row r="102" spans="2:7" ht="44" thickBot="1">
      <c r="B102" s="592">
        <v>3</v>
      </c>
      <c r="C102" s="593" t="s">
        <v>1390</v>
      </c>
      <c r="D102" s="594">
        <v>20.811</v>
      </c>
      <c r="E102" s="594"/>
      <c r="F102" s="595" t="s">
        <v>1429</v>
      </c>
      <c r="G102" s="596" t="s">
        <v>1433</v>
      </c>
    </row>
    <row r="103" spans="2:7" ht="29.5" thickBot="1">
      <c r="B103" s="1440">
        <v>4</v>
      </c>
      <c r="C103" s="593" t="s">
        <v>1434</v>
      </c>
      <c r="D103" s="1442">
        <v>10.894</v>
      </c>
      <c r="E103" s="594"/>
      <c r="F103" s="595" t="s">
        <v>1431</v>
      </c>
      <c r="G103" s="596" t="s">
        <v>1435</v>
      </c>
    </row>
    <row r="104" spans="2:7" ht="29.5" thickBot="1">
      <c r="B104" s="1441"/>
      <c r="C104" s="593" t="s">
        <v>1436</v>
      </c>
      <c r="D104" s="1443"/>
      <c r="E104" s="594"/>
      <c r="F104" s="595" t="s">
        <v>1429</v>
      </c>
      <c r="G104" s="596" t="s">
        <v>1437</v>
      </c>
    </row>
    <row r="105" spans="2:7" ht="15" thickBot="1">
      <c r="B105" s="592">
        <v>5</v>
      </c>
      <c r="C105" s="593" t="s">
        <v>1397</v>
      </c>
      <c r="D105" s="594">
        <v>7.9619999999999997</v>
      </c>
      <c r="E105" s="597">
        <v>45691</v>
      </c>
      <c r="F105" s="594"/>
      <c r="G105" s="596"/>
    </row>
    <row r="106" spans="2:7" ht="15" thickBot="1">
      <c r="B106" s="592">
        <v>6</v>
      </c>
      <c r="C106" s="593" t="s">
        <v>1399</v>
      </c>
      <c r="D106" s="594">
        <v>19.567</v>
      </c>
      <c r="E106" s="597">
        <v>45713</v>
      </c>
      <c r="F106" s="594"/>
      <c r="G106" s="596"/>
    </row>
    <row r="107" spans="2:7" ht="15" thickBot="1">
      <c r="B107" s="592">
        <v>7</v>
      </c>
      <c r="C107" s="593" t="s">
        <v>1400</v>
      </c>
      <c r="D107" s="594">
        <v>20.273</v>
      </c>
      <c r="E107" s="597">
        <v>45691</v>
      </c>
      <c r="F107" s="594"/>
      <c r="G107" s="596"/>
    </row>
    <row r="108" spans="2:7" ht="15" thickBot="1">
      <c r="B108" s="592">
        <v>8</v>
      </c>
      <c r="C108" s="593" t="s">
        <v>1401</v>
      </c>
      <c r="D108" s="594">
        <v>3.0840000000000001</v>
      </c>
      <c r="E108" s="597">
        <v>45712</v>
      </c>
      <c r="F108" s="594"/>
      <c r="G108" s="596"/>
    </row>
    <row r="109" spans="2:7" ht="15" thickBot="1">
      <c r="B109" s="592">
        <v>9</v>
      </c>
      <c r="C109" s="593" t="s">
        <v>1402</v>
      </c>
      <c r="D109" s="594">
        <v>14.016999999999999</v>
      </c>
      <c r="E109" s="597">
        <v>45715</v>
      </c>
      <c r="F109" s="594"/>
      <c r="G109" s="596"/>
    </row>
    <row r="110" spans="2:7" ht="15" thickBot="1">
      <c r="B110" s="592">
        <v>10</v>
      </c>
      <c r="C110" s="593" t="s">
        <v>1403</v>
      </c>
      <c r="D110" s="594">
        <v>9.4949999999999992</v>
      </c>
      <c r="E110" s="597">
        <v>45722</v>
      </c>
      <c r="F110" s="594"/>
      <c r="G110" s="596"/>
    </row>
    <row r="111" spans="2:7" ht="15" thickBot="1">
      <c r="B111" s="592">
        <v>11</v>
      </c>
      <c r="C111" s="593" t="s">
        <v>1404</v>
      </c>
      <c r="D111" s="594">
        <v>8.6940000000000008</v>
      </c>
      <c r="E111" s="597">
        <v>45763</v>
      </c>
      <c r="F111" s="594"/>
      <c r="G111" s="596"/>
    </row>
    <row r="112" spans="2:7" ht="15" thickBot="1">
      <c r="B112" s="592">
        <v>12</v>
      </c>
      <c r="C112" s="593" t="s">
        <v>1405</v>
      </c>
      <c r="D112" s="594">
        <v>3.0840000000000001</v>
      </c>
      <c r="E112" s="594"/>
      <c r="F112" s="595" t="s">
        <v>1429</v>
      </c>
      <c r="G112" s="594" t="s">
        <v>1438</v>
      </c>
    </row>
    <row r="113" spans="2:7" ht="15" thickBot="1">
      <c r="B113" s="592">
        <v>13</v>
      </c>
      <c r="C113" s="593" t="s">
        <v>1407</v>
      </c>
      <c r="D113" s="594">
        <v>5.6189999999999998</v>
      </c>
      <c r="E113" s="593"/>
      <c r="F113" s="595" t="s">
        <v>1429</v>
      </c>
      <c r="G113" s="594" t="s">
        <v>1438</v>
      </c>
    </row>
    <row r="114" spans="2:7" ht="15" thickBot="1">
      <c r="B114" s="592">
        <v>14</v>
      </c>
      <c r="C114" s="593" t="s">
        <v>1408</v>
      </c>
      <c r="D114" s="594">
        <v>3.8559999999999999</v>
      </c>
      <c r="E114" s="594"/>
      <c r="F114" s="595" t="s">
        <v>1429</v>
      </c>
      <c r="G114" s="594" t="s">
        <v>1438</v>
      </c>
    </row>
    <row r="115" spans="2:7" ht="15" thickBot="1">
      <c r="B115" s="592">
        <v>15</v>
      </c>
      <c r="C115" s="593" t="s">
        <v>1409</v>
      </c>
      <c r="D115" s="594">
        <v>14.391</v>
      </c>
      <c r="E115" s="597">
        <v>45763</v>
      </c>
      <c r="F115" s="594"/>
      <c r="G115" s="596"/>
    </row>
    <row r="116" spans="2:7" ht="15" thickBot="1">
      <c r="B116" s="592">
        <v>16</v>
      </c>
      <c r="C116" s="593" t="s">
        <v>1410</v>
      </c>
      <c r="D116" s="594">
        <v>5.2679999999999998</v>
      </c>
      <c r="E116" s="594"/>
      <c r="F116" s="595" t="s">
        <v>1431</v>
      </c>
      <c r="G116" s="596" t="s">
        <v>1432</v>
      </c>
    </row>
    <row r="117" spans="2:7" ht="26.5" thickBot="1">
      <c r="B117" s="592">
        <v>17</v>
      </c>
      <c r="C117" s="593" t="s">
        <v>1412</v>
      </c>
      <c r="D117" s="594">
        <v>2.4740000000000002</v>
      </c>
      <c r="E117" s="597">
        <v>45765</v>
      </c>
      <c r="F117" s="595" t="s">
        <v>1439</v>
      </c>
      <c r="G117" s="594" t="s">
        <v>1440</v>
      </c>
    </row>
    <row r="118" spans="2:7">
      <c r="B118" s="598"/>
      <c r="C118" s="599" t="s">
        <v>481</v>
      </c>
      <c r="D118" s="600">
        <v>187.17500000000001</v>
      </c>
      <c r="E118" s="598"/>
      <c r="F118" s="598"/>
      <c r="G118" s="598"/>
    </row>
  </sheetData>
  <mergeCells count="22">
    <mergeCell ref="A89:B89"/>
    <mergeCell ref="E89:G89"/>
    <mergeCell ref="A1:S1"/>
    <mergeCell ref="A2:S2"/>
    <mergeCell ref="A3:S3"/>
    <mergeCell ref="A4:S4"/>
    <mergeCell ref="D6:D7"/>
    <mergeCell ref="E6:E7"/>
    <mergeCell ref="E11:E14"/>
    <mergeCell ref="A63:B63"/>
    <mergeCell ref="A65:G65"/>
    <mergeCell ref="C66:G66"/>
    <mergeCell ref="B76:B82"/>
    <mergeCell ref="B98:G98"/>
    <mergeCell ref="B103:B104"/>
    <mergeCell ref="D103:D104"/>
    <mergeCell ref="A90:G90"/>
    <mergeCell ref="A92:D92"/>
    <mergeCell ref="A93:D93"/>
    <mergeCell ref="A94:D94"/>
    <mergeCell ref="A95:D95"/>
    <mergeCell ref="A96:D96"/>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E115"/>
  <sheetViews>
    <sheetView view="pageBreakPreview" topLeftCell="A77" zoomScale="90" zoomScaleNormal="85" zoomScaleSheetLayoutView="90" workbookViewId="0">
      <selection activeCell="A4" sqref="A4:AE4"/>
    </sheetView>
  </sheetViews>
  <sheetFormatPr defaultColWidth="8.81640625" defaultRowHeight="14.5"/>
  <cols>
    <col min="1" max="1" width="4.81640625" style="46" customWidth="1"/>
    <col min="2" max="2" width="20.08984375" style="46" bestFit="1" customWidth="1"/>
    <col min="3" max="3" width="18.54296875" style="46" customWidth="1"/>
    <col min="4" max="4" width="13.54296875" style="46" customWidth="1"/>
    <col min="5" max="5" width="37.1796875" style="46" bestFit="1" customWidth="1"/>
    <col min="6" max="6" width="26" style="46" customWidth="1"/>
    <col min="7" max="7" width="43.90625" style="46" customWidth="1"/>
    <col min="8" max="8" width="74.81640625" style="46" bestFit="1" customWidth="1"/>
    <col min="9" max="9" width="43.1796875" style="46" bestFit="1" customWidth="1"/>
    <col min="10" max="10" width="9" style="46" bestFit="1" customWidth="1"/>
    <col min="11" max="11" width="6.36328125" style="46" customWidth="1"/>
    <col min="12" max="12" width="7.453125" style="46" customWidth="1"/>
    <col min="13" max="13" width="6.54296875" style="46" customWidth="1"/>
    <col min="14" max="14" width="8.1796875" style="46" customWidth="1"/>
    <col min="15" max="15" width="10.36328125" style="46" customWidth="1"/>
    <col min="16" max="16" width="6.54296875" style="46" customWidth="1"/>
    <col min="17" max="17" width="6.90625" style="46" customWidth="1"/>
    <col min="18" max="27" width="5.1796875" style="46" customWidth="1"/>
    <col min="28" max="28" width="10.81640625" style="46" customWidth="1"/>
    <col min="29" max="29" width="8.81640625" style="46"/>
    <col min="30" max="30" width="9.36328125" style="46" customWidth="1"/>
    <col min="31" max="16384" width="8.81640625" style="46"/>
  </cols>
  <sheetData>
    <row r="1" spans="1:31" ht="15.5">
      <c r="A1" s="1472" t="s">
        <v>78</v>
      </c>
      <c r="B1" s="1473"/>
      <c r="C1" s="1473"/>
      <c r="D1" s="1473"/>
      <c r="E1" s="1473"/>
      <c r="F1" s="1473"/>
      <c r="G1" s="1473"/>
      <c r="H1" s="1473"/>
      <c r="I1" s="1473"/>
      <c r="J1" s="1473"/>
      <c r="K1" s="1473"/>
      <c r="L1" s="1473"/>
      <c r="M1" s="1473"/>
      <c r="N1" s="1473"/>
      <c r="O1" s="1473"/>
      <c r="P1" s="1473"/>
      <c r="Q1" s="1473"/>
      <c r="R1" s="1473"/>
      <c r="S1" s="1473"/>
      <c r="T1" s="1473"/>
      <c r="U1" s="1473"/>
      <c r="V1" s="1473"/>
      <c r="W1" s="1473"/>
      <c r="X1" s="1473"/>
      <c r="Y1" s="1473"/>
      <c r="Z1" s="1473"/>
      <c r="AA1" s="1473"/>
      <c r="AB1" s="1473"/>
      <c r="AC1" s="1473"/>
      <c r="AD1" s="1473"/>
      <c r="AE1" s="1474"/>
    </row>
    <row r="2" spans="1:31" ht="15.5">
      <c r="A2" s="1475" t="s">
        <v>79</v>
      </c>
      <c r="B2" s="1476"/>
      <c r="C2" s="1476"/>
      <c r="D2" s="1476"/>
      <c r="E2" s="1476"/>
      <c r="F2" s="1476"/>
      <c r="G2" s="1476"/>
      <c r="H2" s="1476"/>
      <c r="I2" s="1476"/>
      <c r="J2" s="1476"/>
      <c r="K2" s="1476"/>
      <c r="L2" s="1476"/>
      <c r="M2" s="1476"/>
      <c r="N2" s="1476"/>
      <c r="O2" s="1476"/>
      <c r="P2" s="1476"/>
      <c r="Q2" s="1476"/>
      <c r="R2" s="1476"/>
      <c r="S2" s="1476"/>
      <c r="T2" s="1476"/>
      <c r="U2" s="1476"/>
      <c r="V2" s="1476"/>
      <c r="W2" s="1476"/>
      <c r="X2" s="1476"/>
      <c r="Y2" s="1476"/>
      <c r="Z2" s="1476"/>
      <c r="AA2" s="1476"/>
      <c r="AB2" s="1476"/>
      <c r="AC2" s="1476"/>
      <c r="AD2" s="1476"/>
      <c r="AE2" s="1477"/>
    </row>
    <row r="3" spans="1:31" ht="15.5">
      <c r="A3" s="1478" t="s">
        <v>80</v>
      </c>
      <c r="B3" s="1479"/>
      <c r="C3" s="1479"/>
      <c r="D3" s="1479"/>
      <c r="E3" s="1479"/>
      <c r="F3" s="1479"/>
      <c r="G3" s="1479"/>
      <c r="H3" s="1479"/>
      <c r="I3" s="1479"/>
      <c r="J3" s="1479"/>
      <c r="K3" s="1479"/>
      <c r="L3" s="1479"/>
      <c r="M3" s="1479"/>
      <c r="N3" s="1479"/>
      <c r="O3" s="1479"/>
      <c r="P3" s="1479"/>
      <c r="Q3" s="1479"/>
      <c r="R3" s="1479"/>
      <c r="S3" s="1479"/>
      <c r="T3" s="1479"/>
      <c r="U3" s="1479"/>
      <c r="V3" s="1479"/>
      <c r="W3" s="1479"/>
      <c r="X3" s="1479"/>
      <c r="Y3" s="1479"/>
      <c r="Z3" s="1479"/>
      <c r="AA3" s="1479"/>
      <c r="AB3" s="1479"/>
      <c r="AC3" s="1479"/>
      <c r="AD3" s="1479"/>
      <c r="AE3" s="1480"/>
    </row>
    <row r="4" spans="1:31" ht="18.5">
      <c r="A4" s="1481" t="s">
        <v>81</v>
      </c>
      <c r="B4" s="1482"/>
      <c r="C4" s="1482"/>
      <c r="D4" s="1482"/>
      <c r="E4" s="1482"/>
      <c r="F4" s="1482"/>
      <c r="G4" s="1482"/>
      <c r="H4" s="1482"/>
      <c r="I4" s="1482"/>
      <c r="J4" s="1482"/>
      <c r="K4" s="1482"/>
      <c r="L4" s="1482"/>
      <c r="M4" s="1482"/>
      <c r="N4" s="1482"/>
      <c r="O4" s="1482"/>
      <c r="P4" s="1482"/>
      <c r="Q4" s="1482"/>
      <c r="R4" s="1482"/>
      <c r="S4" s="1482"/>
      <c r="T4" s="1482"/>
      <c r="U4" s="1482"/>
      <c r="V4" s="1482"/>
      <c r="W4" s="1482"/>
      <c r="X4" s="1482"/>
      <c r="Y4" s="1482"/>
      <c r="Z4" s="1482"/>
      <c r="AA4" s="1482"/>
      <c r="AB4" s="1482"/>
      <c r="AC4" s="1482"/>
      <c r="AD4" s="1482"/>
      <c r="AE4" s="1483"/>
    </row>
    <row r="5" spans="1:31" ht="29" hidden="1">
      <c r="A5" s="352" t="s">
        <v>82</v>
      </c>
      <c r="B5" s="352" t="s">
        <v>83</v>
      </c>
      <c r="C5" s="352" t="s">
        <v>84</v>
      </c>
      <c r="D5" s="352" t="s">
        <v>85</v>
      </c>
      <c r="E5" s="352" t="s">
        <v>86</v>
      </c>
      <c r="F5" s="352" t="s">
        <v>34</v>
      </c>
    </row>
    <row r="6" spans="1:31" hidden="1">
      <c r="A6" s="76">
        <v>1</v>
      </c>
      <c r="B6" s="76" t="s">
        <v>87</v>
      </c>
      <c r="C6" s="76">
        <v>2.653</v>
      </c>
      <c r="D6" s="1461">
        <v>45684</v>
      </c>
      <c r="E6" s="1461">
        <v>45691</v>
      </c>
      <c r="F6" s="76" t="s">
        <v>88</v>
      </c>
    </row>
    <row r="7" spans="1:31" hidden="1">
      <c r="A7" s="76">
        <f>A6+1</f>
        <v>2</v>
      </c>
      <c r="B7" s="76" t="s">
        <v>89</v>
      </c>
      <c r="C7" s="76">
        <v>5.31</v>
      </c>
      <c r="D7" s="1464"/>
      <c r="E7" s="1464"/>
      <c r="F7" s="76" t="s">
        <v>88</v>
      </c>
    </row>
    <row r="8" spans="1:31" ht="43.5" hidden="1">
      <c r="A8" s="76">
        <f t="shared" ref="A8:A32" si="0">A7+1</f>
        <v>3</v>
      </c>
      <c r="B8" s="76" t="s">
        <v>90</v>
      </c>
      <c r="C8" s="76">
        <v>19.672000000000001</v>
      </c>
      <c r="D8" s="510" t="s">
        <v>1125</v>
      </c>
      <c r="E8" s="509">
        <v>45713</v>
      </c>
      <c r="F8" s="76" t="s">
        <v>88</v>
      </c>
      <c r="G8" s="511" t="s">
        <v>91</v>
      </c>
      <c r="H8" s="362" t="s">
        <v>92</v>
      </c>
      <c r="I8" s="76">
        <f>G63</f>
        <v>97.59</v>
      </c>
      <c r="J8" s="76"/>
      <c r="K8" s="76"/>
      <c r="L8" s="76"/>
      <c r="M8" s="76"/>
    </row>
    <row r="9" spans="1:31" hidden="1">
      <c r="A9" s="76">
        <f t="shared" si="0"/>
        <v>4</v>
      </c>
      <c r="B9" s="76" t="s">
        <v>93</v>
      </c>
      <c r="C9" s="76">
        <v>20.273</v>
      </c>
      <c r="D9" s="512">
        <v>45657</v>
      </c>
      <c r="E9" s="509">
        <v>45691</v>
      </c>
      <c r="F9" s="76" t="s">
        <v>88</v>
      </c>
      <c r="H9" s="362"/>
      <c r="I9" s="76"/>
      <c r="J9" s="76"/>
      <c r="K9" s="76"/>
      <c r="L9" s="76"/>
      <c r="M9" s="76"/>
    </row>
    <row r="10" spans="1:31" ht="29" hidden="1">
      <c r="A10" s="76">
        <f t="shared" si="0"/>
        <v>5</v>
      </c>
      <c r="B10" s="76" t="s">
        <v>94</v>
      </c>
      <c r="C10" s="76">
        <v>3.0840000000000001</v>
      </c>
      <c r="D10" s="513" t="s">
        <v>1124</v>
      </c>
      <c r="E10" s="509">
        <v>45712</v>
      </c>
      <c r="F10" s="76" t="s">
        <v>88</v>
      </c>
      <c r="H10" s="362" t="s">
        <v>95</v>
      </c>
      <c r="I10" s="554">
        <f>D63</f>
        <v>151.91599999999997</v>
      </c>
      <c r="J10" s="76"/>
      <c r="K10" s="76"/>
      <c r="L10" s="76"/>
      <c r="M10" s="76"/>
    </row>
    <row r="11" spans="1:31" hidden="1">
      <c r="A11" s="76">
        <f t="shared" si="0"/>
        <v>6</v>
      </c>
      <c r="B11" s="76" t="s">
        <v>96</v>
      </c>
      <c r="C11" s="76">
        <v>1.0629999999999999</v>
      </c>
      <c r="D11" s="512">
        <v>45713</v>
      </c>
      <c r="E11" s="1461">
        <v>45715</v>
      </c>
      <c r="F11" s="76" t="s">
        <v>88</v>
      </c>
      <c r="H11" s="529"/>
      <c r="I11" s="76"/>
      <c r="J11" s="362"/>
      <c r="K11" s="76"/>
      <c r="L11" s="76"/>
      <c r="M11" s="76"/>
    </row>
    <row r="12" spans="1:31" hidden="1">
      <c r="A12" s="76">
        <f>A11+1</f>
        <v>7</v>
      </c>
      <c r="B12" s="76" t="s">
        <v>97</v>
      </c>
      <c r="C12" s="76">
        <v>2.09</v>
      </c>
      <c r="D12" s="512">
        <v>45713</v>
      </c>
      <c r="E12" s="1463"/>
      <c r="F12" s="76" t="s">
        <v>88</v>
      </c>
    </row>
    <row r="13" spans="1:31" hidden="1">
      <c r="A13" s="76">
        <f t="shared" si="0"/>
        <v>8</v>
      </c>
      <c r="B13" s="76" t="s">
        <v>98</v>
      </c>
      <c r="C13" s="76">
        <v>3.8929999999999998</v>
      </c>
      <c r="D13" s="512">
        <v>45713</v>
      </c>
      <c r="E13" s="1463"/>
      <c r="F13" s="76" t="s">
        <v>88</v>
      </c>
    </row>
    <row r="14" spans="1:31" hidden="1">
      <c r="A14" s="76">
        <f t="shared" si="0"/>
        <v>9</v>
      </c>
      <c r="B14" s="76" t="s">
        <v>99</v>
      </c>
      <c r="C14" s="76">
        <v>6.9710000000000001</v>
      </c>
      <c r="D14" s="512">
        <v>45713</v>
      </c>
      <c r="E14" s="1464"/>
      <c r="F14" s="76" t="s">
        <v>88</v>
      </c>
    </row>
    <row r="15" spans="1:31" hidden="1">
      <c r="A15" s="76">
        <f t="shared" si="0"/>
        <v>10</v>
      </c>
      <c r="B15" s="76" t="s">
        <v>100</v>
      </c>
      <c r="C15" s="76">
        <v>9.4949999999999992</v>
      </c>
      <c r="D15" s="512">
        <v>45721</v>
      </c>
      <c r="E15" s="509">
        <v>45722</v>
      </c>
      <c r="F15" s="76" t="s">
        <v>88</v>
      </c>
    </row>
    <row r="16" spans="1:31" ht="43.5" hidden="1">
      <c r="A16" s="76">
        <f t="shared" si="0"/>
        <v>11</v>
      </c>
      <c r="B16" s="76" t="s">
        <v>101</v>
      </c>
      <c r="C16" s="76">
        <v>8.6969999999999992</v>
      </c>
      <c r="D16" s="510" t="s">
        <v>1126</v>
      </c>
      <c r="E16" s="76"/>
      <c r="F16" s="76" t="s">
        <v>95</v>
      </c>
      <c r="G16" s="514" t="s">
        <v>1159</v>
      </c>
    </row>
    <row r="17" spans="1:14" hidden="1">
      <c r="A17" s="76">
        <f t="shared" si="0"/>
        <v>12</v>
      </c>
      <c r="B17" s="76" t="s">
        <v>102</v>
      </c>
      <c r="C17" s="76">
        <v>3.0840000000000001</v>
      </c>
      <c r="D17" s="76"/>
      <c r="E17" s="76"/>
      <c r="F17" s="537" t="s">
        <v>95</v>
      </c>
    </row>
    <row r="18" spans="1:14" hidden="1">
      <c r="A18" s="76">
        <f t="shared" si="0"/>
        <v>13</v>
      </c>
      <c r="B18" s="66" t="s">
        <v>104</v>
      </c>
      <c r="C18" s="76">
        <v>3.9630000000000001</v>
      </c>
      <c r="D18" s="76"/>
      <c r="E18" s="76"/>
      <c r="F18" s="537" t="s">
        <v>95</v>
      </c>
      <c r="G18" s="361"/>
      <c r="H18" s="1484"/>
    </row>
    <row r="19" spans="1:14" hidden="1">
      <c r="A19" s="76">
        <f t="shared" si="0"/>
        <v>14</v>
      </c>
      <c r="B19" s="545" t="s">
        <v>1115</v>
      </c>
      <c r="C19" s="76">
        <v>1.6559999999999999</v>
      </c>
      <c r="D19" s="76"/>
      <c r="E19" s="76"/>
      <c r="F19" s="537" t="s">
        <v>95</v>
      </c>
      <c r="G19" s="361"/>
      <c r="H19" s="1484"/>
    </row>
    <row r="20" spans="1:14" hidden="1">
      <c r="A20" s="76">
        <f t="shared" si="0"/>
        <v>15</v>
      </c>
      <c r="B20" s="545" t="s">
        <v>1116</v>
      </c>
      <c r="C20" s="76">
        <v>1.635</v>
      </c>
      <c r="D20" s="76"/>
      <c r="E20" s="76"/>
      <c r="F20" s="537" t="s">
        <v>95</v>
      </c>
    </row>
    <row r="21" spans="1:14" hidden="1">
      <c r="A21" s="76">
        <f t="shared" si="0"/>
        <v>16</v>
      </c>
      <c r="B21" s="76" t="s">
        <v>1112</v>
      </c>
      <c r="C21" s="76">
        <v>2.2210000000000001</v>
      </c>
      <c r="D21" s="76"/>
      <c r="E21" s="76"/>
      <c r="F21" s="537" t="s">
        <v>95</v>
      </c>
    </row>
    <row r="22" spans="1:14" ht="58" hidden="1">
      <c r="A22" s="76">
        <f t="shared" si="0"/>
        <v>17</v>
      </c>
      <c r="B22" s="76" t="s">
        <v>1111</v>
      </c>
      <c r="C22" s="76">
        <v>10.724</v>
      </c>
      <c r="D22" s="551" t="s">
        <v>1340</v>
      </c>
      <c r="E22" s="76"/>
      <c r="F22" s="76" t="s">
        <v>95</v>
      </c>
      <c r="G22" s="514" t="s">
        <v>1159</v>
      </c>
    </row>
    <row r="23" spans="1:14" ht="56.5" hidden="1" customHeight="1">
      <c r="A23" s="76">
        <f t="shared" si="0"/>
        <v>18</v>
      </c>
      <c r="B23" s="515" t="s">
        <v>1109</v>
      </c>
      <c r="C23" s="76">
        <v>3.6659999999999999</v>
      </c>
      <c r="D23" s="551" t="s">
        <v>1341</v>
      </c>
      <c r="E23" s="76"/>
      <c r="F23" s="76" t="s">
        <v>95</v>
      </c>
      <c r="G23" s="514" t="s">
        <v>1159</v>
      </c>
      <c r="M23" s="429" t="s">
        <v>1114</v>
      </c>
      <c r="N23" s="46">
        <f>187.176-M11</f>
        <v>187.17599999999999</v>
      </c>
    </row>
    <row r="24" spans="1:14" hidden="1">
      <c r="A24" s="76">
        <f t="shared" si="0"/>
        <v>19</v>
      </c>
      <c r="B24" s="553" t="s">
        <v>1350</v>
      </c>
      <c r="C24" s="530">
        <v>4.88</v>
      </c>
      <c r="D24" s="76"/>
      <c r="E24" s="76"/>
      <c r="F24" s="552" t="s">
        <v>95</v>
      </c>
    </row>
    <row r="25" spans="1:14" hidden="1">
      <c r="A25" s="76">
        <f t="shared" si="0"/>
        <v>20</v>
      </c>
      <c r="B25" s="522" t="s">
        <v>1300</v>
      </c>
      <c r="C25" s="76">
        <v>2.4740000000000002</v>
      </c>
      <c r="D25" s="512">
        <v>45765</v>
      </c>
      <c r="E25" s="76"/>
      <c r="F25" s="76" t="s">
        <v>95</v>
      </c>
    </row>
    <row r="26" spans="1:14" hidden="1">
      <c r="A26" s="76">
        <f t="shared" si="0"/>
        <v>21</v>
      </c>
      <c r="B26" s="516" t="s">
        <v>1131</v>
      </c>
      <c r="C26" s="76">
        <v>0.27500000000000002</v>
      </c>
      <c r="D26" s="512">
        <v>45752</v>
      </c>
      <c r="E26" s="76"/>
      <c r="F26" s="76" t="s">
        <v>95</v>
      </c>
    </row>
    <row r="27" spans="1:14" hidden="1">
      <c r="A27" s="76">
        <f t="shared" si="0"/>
        <v>22</v>
      </c>
      <c r="B27" s="517" t="s">
        <v>1110</v>
      </c>
      <c r="C27" s="76">
        <v>2.008</v>
      </c>
      <c r="D27" s="512">
        <v>45752</v>
      </c>
      <c r="E27" s="76"/>
      <c r="F27" s="76" t="s">
        <v>95</v>
      </c>
    </row>
    <row r="28" spans="1:14" hidden="1">
      <c r="A28" s="76">
        <f t="shared" si="0"/>
        <v>23</v>
      </c>
      <c r="B28" s="516" t="s">
        <v>1128</v>
      </c>
      <c r="C28" s="76">
        <v>0.223</v>
      </c>
      <c r="D28" s="512">
        <v>45752</v>
      </c>
      <c r="E28" s="76"/>
      <c r="F28" s="76" t="s">
        <v>95</v>
      </c>
    </row>
    <row r="29" spans="1:14" hidden="1">
      <c r="A29" s="76">
        <f t="shared" si="0"/>
        <v>24</v>
      </c>
      <c r="B29" s="518" t="s">
        <v>1113</v>
      </c>
      <c r="C29" s="76">
        <v>2.7309999999999999</v>
      </c>
      <c r="D29" s="512">
        <v>45752</v>
      </c>
      <c r="E29" s="76"/>
      <c r="F29" s="76" t="s">
        <v>95</v>
      </c>
    </row>
    <row r="30" spans="1:14" hidden="1">
      <c r="A30" s="76">
        <f t="shared" si="0"/>
        <v>25</v>
      </c>
      <c r="B30" s="516" t="s">
        <v>1130</v>
      </c>
      <c r="C30" s="76">
        <v>1.7170000000000001</v>
      </c>
      <c r="D30" s="512">
        <v>45752</v>
      </c>
      <c r="E30" s="76"/>
      <c r="F30" s="76" t="s">
        <v>95</v>
      </c>
    </row>
    <row r="31" spans="1:14" hidden="1">
      <c r="A31" s="76">
        <f t="shared" si="0"/>
        <v>26</v>
      </c>
      <c r="B31" s="516" t="s">
        <v>1129</v>
      </c>
      <c r="C31" s="76">
        <v>1.0680000000000001</v>
      </c>
      <c r="D31" s="512">
        <v>45752</v>
      </c>
      <c r="E31" s="76"/>
      <c r="F31" s="76" t="s">
        <v>95</v>
      </c>
    </row>
    <row r="32" spans="1:14" hidden="1">
      <c r="A32" s="76">
        <f t="shared" si="0"/>
        <v>27</v>
      </c>
      <c r="B32" s="516" t="s">
        <v>1127</v>
      </c>
      <c r="C32" s="76">
        <v>2.8730000000000002</v>
      </c>
      <c r="D32" s="512">
        <v>45752</v>
      </c>
      <c r="E32" s="76"/>
      <c r="F32" s="76" t="s">
        <v>95</v>
      </c>
    </row>
    <row r="33" spans="1:9" hidden="1">
      <c r="A33" s="76"/>
      <c r="B33" s="516"/>
      <c r="C33" s="76"/>
      <c r="D33" s="512"/>
      <c r="E33" s="76"/>
      <c r="F33" s="76"/>
    </row>
    <row r="34" spans="1:9" hidden="1">
      <c r="A34" s="76">
        <f>A32+1</f>
        <v>28</v>
      </c>
      <c r="B34" s="537" t="s">
        <v>1333</v>
      </c>
      <c r="C34" s="76">
        <v>19.57</v>
      </c>
      <c r="D34" s="550" t="s">
        <v>1339</v>
      </c>
      <c r="E34" s="76"/>
      <c r="F34" s="537" t="s">
        <v>1332</v>
      </c>
    </row>
    <row r="35" spans="1:9" hidden="1">
      <c r="A35" s="76">
        <f>A34+1</f>
        <v>29</v>
      </c>
      <c r="B35" s="533" t="s">
        <v>1307</v>
      </c>
      <c r="C35" s="527">
        <v>2.6179999999999999</v>
      </c>
      <c r="D35" s="512">
        <v>45781</v>
      </c>
      <c r="E35" s="76"/>
      <c r="F35" s="66" t="s">
        <v>103</v>
      </c>
    </row>
    <row r="36" spans="1:9" hidden="1">
      <c r="A36" s="76">
        <f>A35+1</f>
        <v>30</v>
      </c>
      <c r="B36" s="550" t="s">
        <v>1338</v>
      </c>
      <c r="C36" s="76">
        <v>18.193000000000001</v>
      </c>
      <c r="D36" s="512">
        <v>45805</v>
      </c>
      <c r="E36" s="76"/>
      <c r="F36" s="549" t="s">
        <v>103</v>
      </c>
      <c r="I36" s="46">
        <f>155.849-130.528</f>
        <v>25.320999999999998</v>
      </c>
    </row>
    <row r="37" spans="1:9" hidden="1">
      <c r="A37" s="76"/>
      <c r="B37" s="550"/>
      <c r="C37" s="76"/>
      <c r="D37" s="512"/>
      <c r="E37" s="76"/>
      <c r="F37" s="549"/>
    </row>
    <row r="38" spans="1:9" hidden="1">
      <c r="A38" s="76"/>
      <c r="B38" s="535"/>
      <c r="C38" s="76"/>
      <c r="D38" s="512"/>
      <c r="E38" s="76"/>
      <c r="F38" s="549"/>
    </row>
    <row r="39" spans="1:9" s="361" customFormat="1" hidden="1">
      <c r="A39" s="362"/>
      <c r="B39" s="362" t="s">
        <v>105</v>
      </c>
      <c r="C39" s="362">
        <f>SUM(C6:C36)</f>
        <v>168.78000000000003</v>
      </c>
      <c r="D39" s="362"/>
      <c r="E39" s="362"/>
      <c r="F39" s="362"/>
    </row>
    <row r="40" spans="1:9" s="361" customFormat="1" hidden="1"/>
    <row r="41" spans="1:9" s="361" customFormat="1" hidden="1"/>
    <row r="42" spans="1:9" s="361" customFormat="1" hidden="1"/>
    <row r="43" spans="1:9" hidden="1">
      <c r="B43" s="361" t="s">
        <v>1301</v>
      </c>
    </row>
    <row r="44" spans="1:9" ht="29" hidden="1">
      <c r="A44" s="353" t="s">
        <v>1132</v>
      </c>
      <c r="B44" s="353" t="s">
        <v>83</v>
      </c>
      <c r="C44" s="436" t="s">
        <v>1133</v>
      </c>
      <c r="D44" s="436" t="s">
        <v>1134</v>
      </c>
      <c r="E44" s="436" t="s">
        <v>1135</v>
      </c>
      <c r="F44" s="436" t="s">
        <v>1136</v>
      </c>
      <c r="G44" s="436" t="s">
        <v>1134</v>
      </c>
      <c r="H44" s="353" t="s">
        <v>1137</v>
      </c>
      <c r="I44" s="353" t="s">
        <v>34</v>
      </c>
    </row>
    <row r="45" spans="1:9" hidden="1">
      <c r="A45" s="315">
        <v>1</v>
      </c>
      <c r="B45" s="315" t="s">
        <v>1138</v>
      </c>
      <c r="C45" s="437">
        <v>45657</v>
      </c>
      <c r="D45" s="438">
        <v>20.273</v>
      </c>
      <c r="E45" s="437" t="s">
        <v>1139</v>
      </c>
      <c r="F45" s="439">
        <v>45691</v>
      </c>
      <c r="G45" s="438">
        <v>20.273</v>
      </c>
      <c r="H45" s="310" t="s">
        <v>1140</v>
      </c>
      <c r="I45" s="310"/>
    </row>
    <row r="46" spans="1:9" hidden="1">
      <c r="A46" s="315">
        <f>A45+1</f>
        <v>2</v>
      </c>
      <c r="B46" s="315" t="s">
        <v>1141</v>
      </c>
      <c r="C46" s="437">
        <v>45684</v>
      </c>
      <c r="D46" s="438">
        <v>7.9619999999999997</v>
      </c>
      <c r="E46" s="437" t="s">
        <v>1142</v>
      </c>
      <c r="F46" s="439">
        <v>45691</v>
      </c>
      <c r="G46" s="438">
        <v>7.9619999999999997</v>
      </c>
      <c r="H46" s="310" t="s">
        <v>1140</v>
      </c>
      <c r="I46" s="310"/>
    </row>
    <row r="47" spans="1:9" hidden="1">
      <c r="A47" s="315">
        <f t="shared" ref="A47:A56" si="1">A46+1</f>
        <v>3</v>
      </c>
      <c r="B47" s="315" t="s">
        <v>1143</v>
      </c>
      <c r="C47" s="437">
        <v>45709</v>
      </c>
      <c r="D47" s="438">
        <v>3.0840000000000001</v>
      </c>
      <c r="E47" s="437" t="s">
        <v>1144</v>
      </c>
      <c r="F47" s="439">
        <v>45712</v>
      </c>
      <c r="G47" s="438">
        <v>3.0840000000000001</v>
      </c>
      <c r="H47" s="310" t="s">
        <v>1140</v>
      </c>
      <c r="I47" s="310" t="s">
        <v>1145</v>
      </c>
    </row>
    <row r="48" spans="1:9" hidden="1">
      <c r="A48" s="315">
        <f t="shared" si="1"/>
        <v>4</v>
      </c>
      <c r="B48" s="315" t="s">
        <v>1146</v>
      </c>
      <c r="C48" s="437">
        <v>45703</v>
      </c>
      <c r="D48" s="438">
        <v>19.672000000000001</v>
      </c>
      <c r="E48" s="437" t="s">
        <v>1147</v>
      </c>
      <c r="F48" s="439">
        <v>45713</v>
      </c>
      <c r="G48" s="438">
        <v>19.672000000000001</v>
      </c>
      <c r="H48" s="310" t="s">
        <v>1140</v>
      </c>
      <c r="I48" s="310" t="s">
        <v>1148</v>
      </c>
    </row>
    <row r="49" spans="1:9" hidden="1">
      <c r="A49" s="315">
        <f t="shared" si="1"/>
        <v>5</v>
      </c>
      <c r="B49" s="315" t="s">
        <v>1149</v>
      </c>
      <c r="C49" s="437">
        <v>45713</v>
      </c>
      <c r="D49" s="438">
        <v>14.016999999999999</v>
      </c>
      <c r="E49" s="437" t="s">
        <v>1150</v>
      </c>
      <c r="F49" s="439">
        <v>45715</v>
      </c>
      <c r="G49" s="438">
        <v>14.016999999999999</v>
      </c>
      <c r="H49" s="310" t="s">
        <v>1140</v>
      </c>
      <c r="I49" s="310"/>
    </row>
    <row r="50" spans="1:9" hidden="1">
      <c r="A50" s="315">
        <f t="shared" si="1"/>
        <v>6</v>
      </c>
      <c r="B50" s="315" t="s">
        <v>1151</v>
      </c>
      <c r="C50" s="437">
        <v>45721</v>
      </c>
      <c r="D50" s="438">
        <v>9.4949999999999992</v>
      </c>
      <c r="E50" s="437" t="s">
        <v>1152</v>
      </c>
      <c r="F50" s="439">
        <v>45722</v>
      </c>
      <c r="G50" s="438">
        <v>9.4949999999999992</v>
      </c>
      <c r="H50" s="310" t="s">
        <v>1140</v>
      </c>
      <c r="I50" s="310"/>
    </row>
    <row r="51" spans="1:9" hidden="1">
      <c r="A51" s="315">
        <f t="shared" si="1"/>
        <v>7</v>
      </c>
      <c r="B51" s="315" t="s">
        <v>1153</v>
      </c>
      <c r="C51" s="437">
        <v>45751</v>
      </c>
      <c r="D51" s="438">
        <v>8.6969999999999992</v>
      </c>
      <c r="E51" s="528" t="s">
        <v>1306</v>
      </c>
      <c r="F51" s="439">
        <v>45732</v>
      </c>
      <c r="G51" s="438">
        <v>8.6969999999999992</v>
      </c>
      <c r="H51" s="310" t="s">
        <v>1140</v>
      </c>
      <c r="I51" s="310" t="s">
        <v>1154</v>
      </c>
    </row>
    <row r="52" spans="1:9" hidden="1">
      <c r="A52" s="315">
        <f t="shared" si="1"/>
        <v>8</v>
      </c>
      <c r="B52" s="315" t="s">
        <v>1155</v>
      </c>
      <c r="C52" s="437">
        <v>45742</v>
      </c>
      <c r="D52" s="438">
        <v>14.39</v>
      </c>
      <c r="E52" s="437" t="s">
        <v>1156</v>
      </c>
      <c r="F52" s="439">
        <v>45732</v>
      </c>
      <c r="G52" s="438">
        <v>14.39</v>
      </c>
      <c r="H52" s="310" t="s">
        <v>1140</v>
      </c>
      <c r="I52" s="310" t="s">
        <v>1157</v>
      </c>
    </row>
    <row r="53" spans="1:9" hidden="1">
      <c r="A53" s="315">
        <f t="shared" si="1"/>
        <v>9</v>
      </c>
      <c r="B53" s="613" t="s">
        <v>1161</v>
      </c>
      <c r="C53" s="437">
        <v>45752</v>
      </c>
      <c r="D53" s="438">
        <v>10.894</v>
      </c>
      <c r="E53" s="437" t="s">
        <v>1162</v>
      </c>
      <c r="F53" s="438"/>
      <c r="G53" s="438"/>
      <c r="H53" s="310"/>
      <c r="I53" s="310"/>
    </row>
    <row r="54" spans="1:9" ht="29" hidden="1">
      <c r="A54" s="315">
        <f t="shared" si="1"/>
        <v>10</v>
      </c>
      <c r="B54" s="613" t="s">
        <v>1160</v>
      </c>
      <c r="C54" s="534" t="s">
        <v>1322</v>
      </c>
      <c r="D54" s="438">
        <v>19.57</v>
      </c>
      <c r="E54" s="536" t="s">
        <v>1326</v>
      </c>
      <c r="F54" s="438"/>
      <c r="G54" s="438"/>
      <c r="H54" s="310"/>
      <c r="I54" s="310" t="s">
        <v>1323</v>
      </c>
    </row>
    <row r="55" spans="1:9" hidden="1">
      <c r="A55" s="315">
        <f t="shared" si="1"/>
        <v>11</v>
      </c>
      <c r="B55" s="315" t="s">
        <v>1298</v>
      </c>
      <c r="C55" s="437">
        <v>45765</v>
      </c>
      <c r="D55" s="438">
        <v>2.4740000000000002</v>
      </c>
      <c r="E55" s="437" t="s">
        <v>1299</v>
      </c>
      <c r="F55" s="438"/>
      <c r="G55" s="438"/>
      <c r="H55" s="310"/>
      <c r="I55" s="310"/>
    </row>
    <row r="56" spans="1:9" hidden="1">
      <c r="A56" s="315">
        <f t="shared" si="1"/>
        <v>12</v>
      </c>
      <c r="B56" s="613" t="s">
        <v>1312</v>
      </c>
      <c r="C56" s="437">
        <v>45787</v>
      </c>
      <c r="D56" s="438">
        <v>3.0840000000000001</v>
      </c>
      <c r="E56" s="437" t="s">
        <v>1313</v>
      </c>
      <c r="F56" s="438"/>
      <c r="G56" s="438"/>
      <c r="H56" s="310"/>
      <c r="I56" s="557" t="s">
        <v>1352</v>
      </c>
    </row>
    <row r="57" spans="1:9" hidden="1">
      <c r="A57" s="315">
        <f>A56+1</f>
        <v>13</v>
      </c>
      <c r="B57" s="613" t="s">
        <v>1356</v>
      </c>
      <c r="C57" s="437">
        <v>45787</v>
      </c>
      <c r="D57" s="438">
        <v>2.2200000000000002</v>
      </c>
      <c r="E57" s="437" t="s">
        <v>1313</v>
      </c>
      <c r="F57" s="438"/>
      <c r="G57" s="438"/>
      <c r="H57" s="310"/>
      <c r="I57" s="557" t="s">
        <v>1352</v>
      </c>
    </row>
    <row r="58" spans="1:9" hidden="1">
      <c r="A58" s="315">
        <f>A57+1</f>
        <v>14</v>
      </c>
      <c r="B58" s="614" t="s">
        <v>1353</v>
      </c>
      <c r="C58" s="437">
        <v>45802</v>
      </c>
      <c r="D58" s="438">
        <v>5.6189999999999998</v>
      </c>
      <c r="E58" s="557" t="s">
        <v>1360</v>
      </c>
      <c r="F58" s="438"/>
      <c r="G58" s="438"/>
      <c r="H58" s="310"/>
      <c r="I58" s="546" t="s">
        <v>1343</v>
      </c>
    </row>
    <row r="59" spans="1:9" hidden="1">
      <c r="A59" s="315">
        <f>A58+1</f>
        <v>15</v>
      </c>
      <c r="B59" s="547" t="s">
        <v>1324</v>
      </c>
      <c r="C59" s="437">
        <v>45794</v>
      </c>
      <c r="D59" s="438">
        <v>3.95</v>
      </c>
      <c r="E59" s="536" t="s">
        <v>1325</v>
      </c>
      <c r="F59" s="439">
        <v>45810</v>
      </c>
      <c r="G59" s="438"/>
      <c r="H59" s="310"/>
      <c r="I59" s="546" t="s">
        <v>1323</v>
      </c>
    </row>
    <row r="60" spans="1:9" hidden="1">
      <c r="A60" s="315">
        <f>A59+1</f>
        <v>16</v>
      </c>
      <c r="B60" s="614" t="s">
        <v>1354</v>
      </c>
      <c r="C60" s="437">
        <v>45802</v>
      </c>
      <c r="D60" s="438">
        <v>1.635</v>
      </c>
      <c r="E60" s="437" t="s">
        <v>1355</v>
      </c>
      <c r="F60" s="438"/>
      <c r="G60" s="438"/>
      <c r="H60" s="310"/>
      <c r="I60" s="546" t="s">
        <v>1343</v>
      </c>
    </row>
    <row r="61" spans="1:9" hidden="1">
      <c r="A61" s="315">
        <f>A60+1</f>
        <v>17</v>
      </c>
      <c r="B61" s="615" t="s">
        <v>1342</v>
      </c>
      <c r="C61" s="437">
        <v>45802</v>
      </c>
      <c r="D61" s="438">
        <v>4.88</v>
      </c>
      <c r="E61" s="536"/>
      <c r="F61" s="438"/>
      <c r="G61" s="438"/>
      <c r="H61" s="310"/>
      <c r="I61" s="546" t="s">
        <v>1343</v>
      </c>
    </row>
    <row r="62" spans="1:9" hidden="1">
      <c r="A62" s="315"/>
      <c r="B62" s="523"/>
      <c r="C62" s="437"/>
      <c r="D62" s="438"/>
      <c r="E62" s="437"/>
      <c r="F62" s="438"/>
      <c r="G62" s="438"/>
      <c r="H62" s="310"/>
      <c r="I62" s="546" t="s">
        <v>1343</v>
      </c>
    </row>
    <row r="63" spans="1:9" hidden="1">
      <c r="A63" s="1465" t="s">
        <v>1158</v>
      </c>
      <c r="B63" s="1467"/>
      <c r="C63" s="353"/>
      <c r="D63" s="353">
        <f>SUM(D45:D61)</f>
        <v>151.91599999999997</v>
      </c>
      <c r="E63" s="353"/>
      <c r="F63" s="353"/>
      <c r="G63" s="353">
        <f>SUM(G45:G62)</f>
        <v>97.59</v>
      </c>
      <c r="H63" s="57"/>
      <c r="I63" s="57"/>
    </row>
    <row r="64" spans="1:9" hidden="1">
      <c r="A64" s="436"/>
      <c r="B64" s="436"/>
      <c r="C64" s="353"/>
      <c r="D64" s="353"/>
      <c r="E64" s="353"/>
      <c r="F64" s="353"/>
      <c r="G64" s="353"/>
      <c r="H64" s="57"/>
      <c r="I64" s="577"/>
    </row>
    <row r="65" spans="1:9">
      <c r="A65" s="436"/>
      <c r="B65" s="436"/>
      <c r="C65" s="353"/>
      <c r="D65" s="353"/>
      <c r="E65" s="353"/>
      <c r="F65" s="353"/>
      <c r="G65" s="353"/>
      <c r="H65" s="57"/>
      <c r="I65" s="577"/>
    </row>
    <row r="66" spans="1:9">
      <c r="A66" s="310"/>
      <c r="B66" s="310"/>
      <c r="C66" s="1485" t="s">
        <v>1377</v>
      </c>
      <c r="D66" s="1486"/>
      <c r="E66" s="1486"/>
      <c r="F66" s="1486"/>
      <c r="G66" s="1487"/>
      <c r="H66" s="310"/>
    </row>
    <row r="67" spans="1:9" ht="43.5">
      <c r="A67" s="436" t="s">
        <v>1378</v>
      </c>
      <c r="B67" s="353" t="s">
        <v>1379</v>
      </c>
      <c r="C67" s="436" t="s">
        <v>1380</v>
      </c>
      <c r="D67" s="436" t="s">
        <v>1381</v>
      </c>
      <c r="E67" s="436" t="s">
        <v>1382</v>
      </c>
      <c r="F67" s="436" t="s">
        <v>1383</v>
      </c>
      <c r="G67" s="353" t="s">
        <v>34</v>
      </c>
      <c r="H67" s="436" t="s">
        <v>1384</v>
      </c>
    </row>
    <row r="68" spans="1:9">
      <c r="A68" s="336" t="s">
        <v>1068</v>
      </c>
      <c r="B68" s="555">
        <v>1</v>
      </c>
      <c r="C68" s="336" t="s">
        <v>1423</v>
      </c>
      <c r="D68" s="323">
        <v>9.4</v>
      </c>
      <c r="E68" s="309"/>
      <c r="F68" s="309"/>
      <c r="G68" s="584" t="s">
        <v>1425</v>
      </c>
      <c r="H68" s="530" t="s">
        <v>1386</v>
      </c>
    </row>
    <row r="69" spans="1:9">
      <c r="A69" s="336"/>
      <c r="B69" s="555">
        <f>B68+1</f>
        <v>2</v>
      </c>
      <c r="C69" s="336" t="s">
        <v>1424</v>
      </c>
      <c r="D69" s="323">
        <v>9.0960000000000001</v>
      </c>
      <c r="E69" s="309"/>
      <c r="F69" s="309"/>
      <c r="G69" s="584" t="s">
        <v>1426</v>
      </c>
      <c r="H69" s="585"/>
    </row>
    <row r="70" spans="1:9" ht="27.5" customHeight="1">
      <c r="A70" s="336" t="s">
        <v>1062</v>
      </c>
      <c r="B70" s="555">
        <f>B69+1</f>
        <v>3</v>
      </c>
      <c r="C70" s="336" t="s">
        <v>1387</v>
      </c>
      <c r="D70" s="586">
        <v>19.57</v>
      </c>
      <c r="E70" s="555"/>
      <c r="F70" s="570" t="s">
        <v>1388</v>
      </c>
      <c r="G70" s="571" t="s">
        <v>88</v>
      </c>
      <c r="H70" s="531" t="s">
        <v>1389</v>
      </c>
    </row>
    <row r="71" spans="1:9" ht="27.5" customHeight="1">
      <c r="A71" s="336"/>
      <c r="B71" s="555">
        <f>B70+1</f>
        <v>4</v>
      </c>
      <c r="C71" s="336" t="s">
        <v>1500</v>
      </c>
      <c r="D71" s="555">
        <v>2.6179999999999999</v>
      </c>
      <c r="E71" s="555"/>
      <c r="F71" s="570"/>
      <c r="G71" s="639" t="s">
        <v>1502</v>
      </c>
      <c r="H71" s="531"/>
    </row>
    <row r="72" spans="1:9" ht="39">
      <c r="A72" s="336" t="s">
        <v>1062</v>
      </c>
      <c r="B72" s="555">
        <f t="shared" ref="B72:B86" si="2">B71+1</f>
        <v>5</v>
      </c>
      <c r="C72" s="336" t="s">
        <v>1503</v>
      </c>
      <c r="D72" s="555">
        <v>18.193000000000001</v>
      </c>
      <c r="E72" s="555"/>
      <c r="F72" s="570">
        <v>45784</v>
      </c>
      <c r="G72" s="572" t="s">
        <v>1501</v>
      </c>
      <c r="H72" s="573" t="s">
        <v>1391</v>
      </c>
    </row>
    <row r="73" spans="1:9">
      <c r="A73" s="336" t="s">
        <v>1062</v>
      </c>
      <c r="B73" s="555">
        <f t="shared" si="2"/>
        <v>6</v>
      </c>
      <c r="C73" s="336" t="s">
        <v>1392</v>
      </c>
      <c r="D73" s="586">
        <v>6.6589999999999998</v>
      </c>
      <c r="E73" s="555"/>
      <c r="F73" s="570"/>
      <c r="G73" s="574" t="s">
        <v>1422</v>
      </c>
      <c r="H73" s="573"/>
    </row>
    <row r="74" spans="1:9" ht="29">
      <c r="A74" s="336" t="s">
        <v>1062</v>
      </c>
      <c r="B74" s="555">
        <f t="shared" si="2"/>
        <v>7</v>
      </c>
      <c r="C74" s="336" t="s">
        <v>1393</v>
      </c>
      <c r="D74" s="575">
        <v>3.17</v>
      </c>
      <c r="E74" s="570"/>
      <c r="F74" s="570"/>
      <c r="G74" s="572" t="s">
        <v>1394</v>
      </c>
      <c r="H74" s="573" t="s">
        <v>1395</v>
      </c>
    </row>
    <row r="75" spans="1:9">
      <c r="A75" s="336" t="s">
        <v>1062</v>
      </c>
      <c r="B75" s="555">
        <f t="shared" si="2"/>
        <v>8</v>
      </c>
      <c r="C75" s="336" t="s">
        <v>1396</v>
      </c>
      <c r="D75" s="587">
        <v>1.05</v>
      </c>
      <c r="E75" s="570"/>
      <c r="F75" s="570">
        <v>45752</v>
      </c>
      <c r="G75" s="571" t="s">
        <v>1422</v>
      </c>
      <c r="H75"/>
    </row>
    <row r="76" spans="1:9" ht="29">
      <c r="A76" s="1425" t="s">
        <v>1062</v>
      </c>
      <c r="B76" s="555">
        <f t="shared" si="2"/>
        <v>9</v>
      </c>
      <c r="C76" s="336" t="s">
        <v>1397</v>
      </c>
      <c r="D76" s="586">
        <v>7.9619999999999997</v>
      </c>
      <c r="E76" s="570">
        <v>45691</v>
      </c>
      <c r="F76" s="555"/>
      <c r="G76" s="571" t="s">
        <v>88</v>
      </c>
      <c r="H76" s="576" t="s">
        <v>1398</v>
      </c>
    </row>
    <row r="77" spans="1:9">
      <c r="A77" s="1426"/>
      <c r="B77" s="555">
        <f t="shared" si="2"/>
        <v>10</v>
      </c>
      <c r="C77" s="336" t="s">
        <v>1399</v>
      </c>
      <c r="D77" s="586">
        <v>19.567</v>
      </c>
      <c r="E77" s="570">
        <v>45713</v>
      </c>
      <c r="F77" s="555"/>
      <c r="G77" s="571" t="s">
        <v>88</v>
      </c>
      <c r="H77" s="576"/>
    </row>
    <row r="78" spans="1:9">
      <c r="A78" s="1426"/>
      <c r="B78" s="555">
        <f t="shared" si="2"/>
        <v>11</v>
      </c>
      <c r="C78" s="336" t="s">
        <v>1400</v>
      </c>
      <c r="D78" s="586">
        <v>20.273</v>
      </c>
      <c r="E78" s="570">
        <v>45691</v>
      </c>
      <c r="F78" s="555"/>
      <c r="G78" s="571" t="s">
        <v>88</v>
      </c>
      <c r="H78" s="576"/>
    </row>
    <row r="79" spans="1:9">
      <c r="A79" s="1426"/>
      <c r="B79" s="555">
        <f t="shared" si="2"/>
        <v>12</v>
      </c>
      <c r="C79" s="336" t="s">
        <v>1401</v>
      </c>
      <c r="D79" s="586">
        <v>3.0840000000000001</v>
      </c>
      <c r="E79" s="570">
        <v>45712</v>
      </c>
      <c r="F79" s="555"/>
      <c r="G79" s="571" t="s">
        <v>88</v>
      </c>
      <c r="H79" s="576"/>
    </row>
    <row r="80" spans="1:9">
      <c r="A80" s="1426"/>
      <c r="B80" s="555">
        <f t="shared" si="2"/>
        <v>13</v>
      </c>
      <c r="C80" s="336" t="s">
        <v>1402</v>
      </c>
      <c r="D80" s="586">
        <v>14.119</v>
      </c>
      <c r="E80" s="570">
        <v>45715</v>
      </c>
      <c r="F80" s="555"/>
      <c r="G80" s="571" t="s">
        <v>88</v>
      </c>
      <c r="H80" s="576"/>
    </row>
    <row r="81" spans="1:8">
      <c r="A81" s="1426"/>
      <c r="B81" s="555">
        <f t="shared" si="2"/>
        <v>14</v>
      </c>
      <c r="C81" s="336" t="s">
        <v>1403</v>
      </c>
      <c r="D81" s="586">
        <v>9.4949999999999992</v>
      </c>
      <c r="E81" s="570">
        <v>45722</v>
      </c>
      <c r="F81" s="555"/>
      <c r="G81" s="571" t="s">
        <v>88</v>
      </c>
      <c r="H81" s="576"/>
    </row>
    <row r="82" spans="1:8">
      <c r="A82" s="1427"/>
      <c r="B82" s="555">
        <f t="shared" si="2"/>
        <v>15</v>
      </c>
      <c r="C82" s="336" t="s">
        <v>1404</v>
      </c>
      <c r="D82" s="586">
        <v>8.6940000000000008</v>
      </c>
      <c r="E82" s="570">
        <v>45763</v>
      </c>
      <c r="F82" s="555"/>
      <c r="G82" s="571" t="s">
        <v>88</v>
      </c>
      <c r="H82" s="576"/>
    </row>
    <row r="83" spans="1:8" ht="29">
      <c r="A83" s="336" t="s">
        <v>1062</v>
      </c>
      <c r="B83" s="555">
        <f t="shared" si="2"/>
        <v>16</v>
      </c>
      <c r="C83" s="618" t="s">
        <v>1427</v>
      </c>
      <c r="D83" s="612">
        <v>12.558999999999999</v>
      </c>
      <c r="E83" s="570"/>
      <c r="F83" s="570" t="s">
        <v>1388</v>
      </c>
      <c r="G83" s="571" t="s">
        <v>88</v>
      </c>
      <c r="H83" s="531" t="s">
        <v>1406</v>
      </c>
    </row>
    <row r="84" spans="1:8" ht="29">
      <c r="A84" s="336" t="s">
        <v>1062</v>
      </c>
      <c r="B84" s="555">
        <f t="shared" si="2"/>
        <v>17</v>
      </c>
      <c r="C84" s="336" t="s">
        <v>1409</v>
      </c>
      <c r="D84" s="586">
        <v>14.391</v>
      </c>
      <c r="E84" s="570">
        <v>45763</v>
      </c>
      <c r="F84" s="555"/>
      <c r="G84" s="571" t="s">
        <v>88</v>
      </c>
      <c r="H84" s="54" t="s">
        <v>1398</v>
      </c>
    </row>
    <row r="85" spans="1:8">
      <c r="A85" s="336" t="s">
        <v>1062</v>
      </c>
      <c r="B85" s="555">
        <f t="shared" si="2"/>
        <v>18</v>
      </c>
      <c r="C85" s="618" t="s">
        <v>1410</v>
      </c>
      <c r="D85" s="586">
        <v>5.2679999999999998</v>
      </c>
      <c r="E85" s="570"/>
      <c r="F85" s="570">
        <v>45800</v>
      </c>
      <c r="G85" s="571" t="s">
        <v>88</v>
      </c>
      <c r="H85" s="422" t="s">
        <v>1411</v>
      </c>
    </row>
    <row r="86" spans="1:8" ht="29">
      <c r="A86" s="336" t="s">
        <v>1062</v>
      </c>
      <c r="B86" s="555">
        <f t="shared" si="2"/>
        <v>19</v>
      </c>
      <c r="C86" s="336" t="s">
        <v>1412</v>
      </c>
      <c r="D86" s="569">
        <v>2.4740000000000002</v>
      </c>
      <c r="E86" s="570">
        <v>45765</v>
      </c>
      <c r="F86" s="555"/>
      <c r="G86" s="571" t="s">
        <v>1497</v>
      </c>
      <c r="H86" s="532" t="s">
        <v>1413</v>
      </c>
    </row>
    <row r="87" spans="1:8">
      <c r="B87"/>
      <c r="C87"/>
      <c r="D87">
        <f>SUM(D68:D86)</f>
        <v>187.642</v>
      </c>
      <c r="E87" s="578"/>
      <c r="F87"/>
    </row>
    <row r="88" spans="1:8">
      <c r="B88"/>
      <c r="C88"/>
      <c r="D88"/>
      <c r="E88"/>
      <c r="F88"/>
    </row>
    <row r="89" spans="1:8">
      <c r="B89"/>
      <c r="C89"/>
      <c r="D89" s="579" t="s">
        <v>1414</v>
      </c>
      <c r="E89" s="579">
        <f>187.176-(18.496+2.618)</f>
        <v>166.06199999999998</v>
      </c>
      <c r="F89"/>
    </row>
    <row r="90" spans="1:8" hidden="1">
      <c r="B90"/>
      <c r="C90"/>
      <c r="D90" s="579"/>
      <c r="E90" s="579">
        <v>2.6179999999999999</v>
      </c>
      <c r="F90" s="588" t="s">
        <v>1415</v>
      </c>
    </row>
    <row r="91" spans="1:8">
      <c r="B91"/>
      <c r="C91"/>
      <c r="D91" s="360" t="s">
        <v>1416</v>
      </c>
      <c r="E91" s="360">
        <f>D87</f>
        <v>187.642</v>
      </c>
      <c r="F91"/>
    </row>
    <row r="92" spans="1:8">
      <c r="B92"/>
      <c r="C92"/>
      <c r="D92" s="360" t="s">
        <v>92</v>
      </c>
      <c r="E92" s="360">
        <f>D70+D73+SUM(D75:D86)</f>
        <v>145.16500000000002</v>
      </c>
      <c r="F92"/>
    </row>
    <row r="93" spans="1:8">
      <c r="D93" s="589" t="s">
        <v>33</v>
      </c>
      <c r="E93" s="589">
        <f>E91-E92</f>
        <v>42.476999999999975</v>
      </c>
    </row>
    <row r="95" spans="1:8" ht="15" hidden="1" customHeight="1" thickBot="1">
      <c r="B95" s="1438" t="s">
        <v>1377</v>
      </c>
      <c r="C95" s="1439"/>
      <c r="D95" s="1439"/>
      <c r="E95" s="1439"/>
      <c r="F95" s="1439"/>
      <c r="G95" s="1439"/>
    </row>
    <row r="96" spans="1:8" ht="15" hidden="1" customHeight="1" thickBot="1">
      <c r="B96" s="590" t="s">
        <v>1379</v>
      </c>
      <c r="C96" s="591" t="s">
        <v>1380</v>
      </c>
      <c r="D96" s="591" t="s">
        <v>1381</v>
      </c>
      <c r="E96" s="591" t="s">
        <v>88</v>
      </c>
      <c r="F96" s="591" t="s">
        <v>1428</v>
      </c>
      <c r="G96" s="591" t="s">
        <v>34</v>
      </c>
    </row>
    <row r="97" spans="2:7" ht="29.5" hidden="1" customHeight="1" thickBot="1">
      <c r="B97" s="592">
        <v>1</v>
      </c>
      <c r="C97" s="593" t="s">
        <v>1385</v>
      </c>
      <c r="D97" s="594">
        <v>18.116</v>
      </c>
      <c r="E97" s="595"/>
      <c r="F97" s="595" t="s">
        <v>1429</v>
      </c>
      <c r="G97" s="596" t="s">
        <v>1430</v>
      </c>
    </row>
    <row r="98" spans="2:7" ht="15" hidden="1" customHeight="1" thickBot="1">
      <c r="B98" s="592">
        <v>2</v>
      </c>
      <c r="C98" s="593" t="s">
        <v>1387</v>
      </c>
      <c r="D98" s="594">
        <v>19.57</v>
      </c>
      <c r="E98" s="594"/>
      <c r="F98" s="595" t="s">
        <v>1431</v>
      </c>
      <c r="G98" s="596" t="s">
        <v>1432</v>
      </c>
    </row>
    <row r="99" spans="2:7" ht="44" hidden="1" customHeight="1" thickBot="1">
      <c r="B99" s="592">
        <v>3</v>
      </c>
      <c r="C99" s="593" t="s">
        <v>1390</v>
      </c>
      <c r="D99" s="594">
        <v>20.811</v>
      </c>
      <c r="E99" s="594"/>
      <c r="F99" s="595" t="s">
        <v>1429</v>
      </c>
      <c r="G99" s="596" t="s">
        <v>1433</v>
      </c>
    </row>
    <row r="100" spans="2:7" ht="29.5" hidden="1" customHeight="1" thickBot="1">
      <c r="B100" s="1440">
        <v>4</v>
      </c>
      <c r="C100" s="593" t="s">
        <v>1434</v>
      </c>
      <c r="D100" s="1442">
        <v>10.894</v>
      </c>
      <c r="E100" s="594"/>
      <c r="F100" s="595" t="s">
        <v>1431</v>
      </c>
      <c r="G100" s="596" t="s">
        <v>1435</v>
      </c>
    </row>
    <row r="101" spans="2:7" ht="29.5" hidden="1" customHeight="1" thickBot="1">
      <c r="B101" s="1441"/>
      <c r="C101" s="593" t="s">
        <v>1436</v>
      </c>
      <c r="D101" s="1443"/>
      <c r="E101" s="594"/>
      <c r="F101" s="595" t="s">
        <v>1429</v>
      </c>
      <c r="G101" s="596" t="s">
        <v>1437</v>
      </c>
    </row>
    <row r="102" spans="2:7" ht="15" hidden="1" customHeight="1" thickBot="1">
      <c r="B102" s="592">
        <v>5</v>
      </c>
      <c r="C102" s="593" t="s">
        <v>1397</v>
      </c>
      <c r="D102" s="594">
        <v>7.9619999999999997</v>
      </c>
      <c r="E102" s="597">
        <v>45691</v>
      </c>
      <c r="F102" s="594"/>
      <c r="G102" s="596"/>
    </row>
    <row r="103" spans="2:7" ht="15" hidden="1" customHeight="1" thickBot="1">
      <c r="B103" s="592">
        <v>6</v>
      </c>
      <c r="C103" s="593" t="s">
        <v>1399</v>
      </c>
      <c r="D103" s="594">
        <v>19.567</v>
      </c>
      <c r="E103" s="597">
        <v>45713</v>
      </c>
      <c r="F103" s="594"/>
      <c r="G103" s="596"/>
    </row>
    <row r="104" spans="2:7" ht="15" hidden="1" customHeight="1" thickBot="1">
      <c r="B104" s="592">
        <v>7</v>
      </c>
      <c r="C104" s="593" t="s">
        <v>1400</v>
      </c>
      <c r="D104" s="594">
        <v>20.273</v>
      </c>
      <c r="E104" s="597">
        <v>45691</v>
      </c>
      <c r="F104" s="594"/>
      <c r="G104" s="596"/>
    </row>
    <row r="105" spans="2:7" ht="15" hidden="1" customHeight="1" thickBot="1">
      <c r="B105" s="592">
        <v>8</v>
      </c>
      <c r="C105" s="593" t="s">
        <v>1401</v>
      </c>
      <c r="D105" s="594">
        <v>3.0840000000000001</v>
      </c>
      <c r="E105" s="597">
        <v>45712</v>
      </c>
      <c r="F105" s="594"/>
      <c r="G105" s="596"/>
    </row>
    <row r="106" spans="2:7" ht="15" hidden="1" customHeight="1" thickBot="1">
      <c r="B106" s="592">
        <v>9</v>
      </c>
      <c r="C106" s="593" t="s">
        <v>1402</v>
      </c>
      <c r="D106" s="594">
        <v>14.016999999999999</v>
      </c>
      <c r="E106" s="597">
        <v>45715</v>
      </c>
      <c r="F106" s="594"/>
      <c r="G106" s="596"/>
    </row>
    <row r="107" spans="2:7" ht="15" hidden="1" customHeight="1" thickBot="1">
      <c r="B107" s="592">
        <v>10</v>
      </c>
      <c r="C107" s="593" t="s">
        <v>1403</v>
      </c>
      <c r="D107" s="594">
        <v>9.4949999999999992</v>
      </c>
      <c r="E107" s="597">
        <v>45722</v>
      </c>
      <c r="F107" s="594"/>
      <c r="G107" s="596"/>
    </row>
    <row r="108" spans="2:7" ht="15" hidden="1" customHeight="1" thickBot="1">
      <c r="B108" s="592">
        <v>11</v>
      </c>
      <c r="C108" s="593" t="s">
        <v>1404</v>
      </c>
      <c r="D108" s="594">
        <v>8.6940000000000008</v>
      </c>
      <c r="E108" s="597">
        <v>45763</v>
      </c>
      <c r="F108" s="594"/>
      <c r="G108" s="596"/>
    </row>
    <row r="109" spans="2:7" ht="15" hidden="1" customHeight="1" thickBot="1">
      <c r="B109" s="592">
        <v>12</v>
      </c>
      <c r="C109" s="593" t="s">
        <v>1405</v>
      </c>
      <c r="D109" s="594">
        <v>3.0840000000000001</v>
      </c>
      <c r="E109" s="594"/>
      <c r="F109" s="595" t="s">
        <v>1429</v>
      </c>
      <c r="G109" s="594" t="s">
        <v>1438</v>
      </c>
    </row>
    <row r="110" spans="2:7" ht="15" hidden="1" customHeight="1" thickBot="1">
      <c r="B110" s="592">
        <v>13</v>
      </c>
      <c r="C110" s="593" t="s">
        <v>1407</v>
      </c>
      <c r="D110" s="594">
        <v>5.6189999999999998</v>
      </c>
      <c r="E110" s="593"/>
      <c r="F110" s="595" t="s">
        <v>1429</v>
      </c>
      <c r="G110" s="594" t="s">
        <v>1438</v>
      </c>
    </row>
    <row r="111" spans="2:7" ht="15" hidden="1" customHeight="1" thickBot="1">
      <c r="B111" s="592">
        <v>14</v>
      </c>
      <c r="C111" s="593" t="s">
        <v>1408</v>
      </c>
      <c r="D111" s="594">
        <v>3.8559999999999999</v>
      </c>
      <c r="E111" s="594"/>
      <c r="F111" s="595" t="s">
        <v>1429</v>
      </c>
      <c r="G111" s="594" t="s">
        <v>1438</v>
      </c>
    </row>
    <row r="112" spans="2:7" ht="15" hidden="1" customHeight="1" thickBot="1">
      <c r="B112" s="592">
        <v>15</v>
      </c>
      <c r="C112" s="593" t="s">
        <v>1409</v>
      </c>
      <c r="D112" s="594">
        <v>14.391</v>
      </c>
      <c r="E112" s="597">
        <v>45763</v>
      </c>
      <c r="F112" s="594"/>
      <c r="G112" s="596"/>
    </row>
    <row r="113" spans="2:7" ht="15" hidden="1" customHeight="1" thickBot="1">
      <c r="B113" s="592">
        <v>16</v>
      </c>
      <c r="C113" s="593" t="s">
        <v>1410</v>
      </c>
      <c r="D113" s="594">
        <v>5.2679999999999998</v>
      </c>
      <c r="E113" s="594"/>
      <c r="F113" s="595" t="s">
        <v>1431</v>
      </c>
      <c r="G113" s="596" t="s">
        <v>1432</v>
      </c>
    </row>
    <row r="114" spans="2:7" ht="26.5" hidden="1" customHeight="1" thickBot="1">
      <c r="B114" s="592">
        <v>17</v>
      </c>
      <c r="C114" s="593" t="s">
        <v>1412</v>
      </c>
      <c r="D114" s="594">
        <v>2.4740000000000002</v>
      </c>
      <c r="E114" s="597">
        <v>45765</v>
      </c>
      <c r="F114" s="595" t="s">
        <v>1439</v>
      </c>
      <c r="G114" s="594" t="s">
        <v>1440</v>
      </c>
    </row>
    <row r="115" spans="2:7" ht="14.5" hidden="1" customHeight="1">
      <c r="B115" s="598"/>
      <c r="C115" s="599" t="s">
        <v>481</v>
      </c>
      <c r="D115" s="600">
        <v>187.17500000000001</v>
      </c>
      <c r="E115" s="598"/>
      <c r="F115" s="598"/>
      <c r="G115" s="598"/>
    </row>
  </sheetData>
  <mergeCells count="14">
    <mergeCell ref="A76:A82"/>
    <mergeCell ref="C66:G66"/>
    <mergeCell ref="B95:G95"/>
    <mergeCell ref="B100:B101"/>
    <mergeCell ref="D100:D101"/>
    <mergeCell ref="A63:B63"/>
    <mergeCell ref="E11:E14"/>
    <mergeCell ref="A1:AE1"/>
    <mergeCell ref="A2:AE2"/>
    <mergeCell ref="A3:AE3"/>
    <mergeCell ref="A4:AE4"/>
    <mergeCell ref="D6:D7"/>
    <mergeCell ref="E6:E7"/>
    <mergeCell ref="H18:H19"/>
  </mergeCells>
  <phoneticPr fontId="196" type="noConversion"/>
  <pageMargins left="0.7" right="0.7" top="0.75" bottom="0.75" header="0.3" footer="0.3"/>
  <pageSetup paperSize="9" scale="35" orientation="portrait" r:id="rId1"/>
  <colBreaks count="1" manualBreakCount="1">
    <brk id="15" max="1048575" man="1"/>
  </col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5DF1E-B174-4B98-B0F2-181885BFB4C8}">
  <dimension ref="A1:E30"/>
  <sheetViews>
    <sheetView workbookViewId="0">
      <selection activeCell="A7" sqref="A7:E9"/>
    </sheetView>
  </sheetViews>
  <sheetFormatPr defaultRowHeight="14.5"/>
  <cols>
    <col min="2" max="2" width="36.453125" customWidth="1"/>
    <col min="3" max="3" width="36.1796875" customWidth="1"/>
    <col min="4" max="4" width="26.81640625" customWidth="1"/>
    <col min="5" max="5" width="31.6328125" customWidth="1"/>
  </cols>
  <sheetData>
    <row r="1" spans="1:5" ht="15" thickBot="1">
      <c r="A1" s="601" t="s">
        <v>1441</v>
      </c>
      <c r="B1" s="602" t="s">
        <v>1442</v>
      </c>
      <c r="C1" s="602" t="s">
        <v>1443</v>
      </c>
      <c r="D1" s="602" t="s">
        <v>1014</v>
      </c>
      <c r="E1" s="603" t="s">
        <v>1444</v>
      </c>
    </row>
    <row r="2" spans="1:5" ht="15" thickBot="1">
      <c r="A2" s="604">
        <v>1</v>
      </c>
      <c r="B2" s="605" t="s">
        <v>1445</v>
      </c>
      <c r="C2" s="606"/>
      <c r="D2" s="606"/>
      <c r="E2" s="606"/>
    </row>
    <row r="3" spans="1:5" ht="29.5" thickBot="1">
      <c r="A3" s="604" t="s">
        <v>1446</v>
      </c>
      <c r="B3" s="596" t="s">
        <v>1447</v>
      </c>
      <c r="C3" s="607">
        <v>45821</v>
      </c>
      <c r="D3" s="606" t="s">
        <v>1448</v>
      </c>
      <c r="E3" s="606" t="s">
        <v>1449</v>
      </c>
    </row>
    <row r="4" spans="1:5" ht="15" thickBot="1">
      <c r="A4" s="604" t="s">
        <v>1450</v>
      </c>
      <c r="B4" s="596" t="s">
        <v>1451</v>
      </c>
      <c r="C4" s="607">
        <v>45833</v>
      </c>
      <c r="D4" s="606" t="s">
        <v>1452</v>
      </c>
      <c r="E4" s="606" t="s">
        <v>1453</v>
      </c>
    </row>
    <row r="5" spans="1:5" ht="44" thickBot="1">
      <c r="A5" s="608" t="s">
        <v>1454</v>
      </c>
      <c r="B5" s="609" t="s">
        <v>1455</v>
      </c>
      <c r="C5" s="610">
        <v>45824</v>
      </c>
      <c r="D5" s="611" t="s">
        <v>1452</v>
      </c>
      <c r="E5" s="611" t="s">
        <v>1456</v>
      </c>
    </row>
    <row r="6" spans="1:5" ht="15" thickBot="1">
      <c r="A6" s="604">
        <v>2</v>
      </c>
      <c r="B6" s="605" t="s">
        <v>1377</v>
      </c>
      <c r="C6" s="606"/>
      <c r="D6" s="606"/>
      <c r="E6" s="606"/>
    </row>
    <row r="7" spans="1:5" ht="29.5" thickBot="1">
      <c r="A7" s="608" t="s">
        <v>1446</v>
      </c>
      <c r="B7" s="609" t="s">
        <v>1457</v>
      </c>
      <c r="C7" s="610">
        <v>45820</v>
      </c>
      <c r="D7" s="611" t="s">
        <v>1458</v>
      </c>
      <c r="E7" s="611" t="s">
        <v>1459</v>
      </c>
    </row>
    <row r="8" spans="1:5" ht="15" thickBot="1">
      <c r="A8" s="608" t="s">
        <v>1450</v>
      </c>
      <c r="B8" s="609" t="s">
        <v>1460</v>
      </c>
      <c r="C8" s="610">
        <v>45828</v>
      </c>
      <c r="D8" s="611" t="s">
        <v>1458</v>
      </c>
      <c r="E8" s="611" t="s">
        <v>1461</v>
      </c>
    </row>
    <row r="9" spans="1:5" ht="29.5" thickBot="1">
      <c r="A9" s="608" t="s">
        <v>1454</v>
      </c>
      <c r="B9" s="609" t="s">
        <v>1462</v>
      </c>
      <c r="C9" s="610">
        <v>46198</v>
      </c>
      <c r="D9" s="611" t="s">
        <v>1452</v>
      </c>
      <c r="E9" s="611" t="s">
        <v>1453</v>
      </c>
    </row>
    <row r="10" spans="1:5" ht="15" thickBot="1">
      <c r="A10" s="604">
        <v>3</v>
      </c>
      <c r="B10" s="605" t="s">
        <v>1463</v>
      </c>
      <c r="C10" s="606"/>
      <c r="D10" s="606"/>
      <c r="E10" s="606"/>
    </row>
    <row r="11" spans="1:5" ht="15" thickBot="1">
      <c r="A11" s="604" t="s">
        <v>1446</v>
      </c>
      <c r="B11" s="596" t="s">
        <v>1464</v>
      </c>
      <c r="C11" s="607">
        <v>45838</v>
      </c>
      <c r="D11" s="606" t="s">
        <v>1452</v>
      </c>
      <c r="E11" s="606" t="s">
        <v>1461</v>
      </c>
    </row>
    <row r="12" spans="1:5" ht="15" thickBot="1">
      <c r="A12" s="604" t="s">
        <v>1450</v>
      </c>
      <c r="B12" s="596" t="s">
        <v>1465</v>
      </c>
      <c r="C12" s="607">
        <v>45838</v>
      </c>
      <c r="D12" s="606" t="s">
        <v>1452</v>
      </c>
      <c r="E12" s="606" t="s">
        <v>1461</v>
      </c>
    </row>
    <row r="13" spans="1:5" ht="29.5" thickBot="1">
      <c r="A13" s="604" t="s">
        <v>1454</v>
      </c>
      <c r="B13" s="596" t="s">
        <v>1466</v>
      </c>
      <c r="C13" s="606" t="s">
        <v>1467</v>
      </c>
      <c r="D13" s="606" t="s">
        <v>1452</v>
      </c>
      <c r="E13" s="606" t="s">
        <v>1461</v>
      </c>
    </row>
    <row r="14" spans="1:5" ht="29.5" thickBot="1">
      <c r="A14" s="604" t="s">
        <v>1468</v>
      </c>
      <c r="B14" s="596" t="s">
        <v>1469</v>
      </c>
      <c r="C14" s="606" t="s">
        <v>1470</v>
      </c>
      <c r="D14" s="606" t="s">
        <v>1458</v>
      </c>
      <c r="E14" s="606" t="s">
        <v>1461</v>
      </c>
    </row>
    <row r="15" spans="1:5" ht="29.5" thickBot="1">
      <c r="A15" s="604" t="s">
        <v>1471</v>
      </c>
      <c r="B15" s="596" t="s">
        <v>1472</v>
      </c>
      <c r="C15" s="607">
        <v>45828</v>
      </c>
      <c r="D15" s="606" t="s">
        <v>1448</v>
      </c>
      <c r="E15" s="606" t="s">
        <v>1461</v>
      </c>
    </row>
    <row r="16" spans="1:5" ht="29.5" thickBot="1">
      <c r="A16" s="604" t="s">
        <v>1473</v>
      </c>
      <c r="B16" s="596" t="s">
        <v>1474</v>
      </c>
      <c r="C16" s="607">
        <v>45828</v>
      </c>
      <c r="D16" s="606" t="s">
        <v>1431</v>
      </c>
      <c r="E16" s="606" t="s">
        <v>1461</v>
      </c>
    </row>
    <row r="17" spans="1:5" ht="44" thickBot="1">
      <c r="A17" s="604">
        <v>4</v>
      </c>
      <c r="B17" s="596" t="s">
        <v>1475</v>
      </c>
      <c r="C17" s="607">
        <v>45820</v>
      </c>
      <c r="D17" s="606" t="s">
        <v>1452</v>
      </c>
      <c r="E17" s="606" t="s">
        <v>1461</v>
      </c>
    </row>
    <row r="18" spans="1:5" ht="44" thickBot="1">
      <c r="A18" s="604">
        <v>5</v>
      </c>
      <c r="B18" s="596" t="s">
        <v>1476</v>
      </c>
      <c r="C18" s="607">
        <v>45838</v>
      </c>
      <c r="D18" s="606" t="s">
        <v>1458</v>
      </c>
      <c r="E18" s="606" t="s">
        <v>1477</v>
      </c>
    </row>
    <row r="19" spans="1:5" ht="44" thickBot="1">
      <c r="A19" s="604">
        <v>6</v>
      </c>
      <c r="B19" s="596" t="s">
        <v>1478</v>
      </c>
      <c r="C19" s="606" t="s">
        <v>1467</v>
      </c>
      <c r="D19" s="606" t="s">
        <v>1452</v>
      </c>
      <c r="E19" s="606" t="s">
        <v>1461</v>
      </c>
    </row>
    <row r="20" spans="1:5" ht="58.5" thickBot="1">
      <c r="A20" s="604">
        <v>7</v>
      </c>
      <c r="B20" s="596" t="s">
        <v>1479</v>
      </c>
      <c r="C20" s="606" t="s">
        <v>1467</v>
      </c>
      <c r="D20" s="606" t="s">
        <v>1452</v>
      </c>
      <c r="E20" s="606" t="s">
        <v>1480</v>
      </c>
    </row>
    <row r="21" spans="1:5" ht="29.5" thickBot="1">
      <c r="A21" s="604">
        <v>8</v>
      </c>
      <c r="B21" s="596" t="s">
        <v>1481</v>
      </c>
      <c r="C21" s="607">
        <v>45838</v>
      </c>
      <c r="D21" s="606" t="s">
        <v>1452</v>
      </c>
      <c r="E21" s="606" t="s">
        <v>1102</v>
      </c>
    </row>
    <row r="22" spans="1:5" ht="15" thickBot="1">
      <c r="A22" s="604">
        <v>9</v>
      </c>
      <c r="B22" s="605" t="s">
        <v>1482</v>
      </c>
      <c r="C22" s="606"/>
      <c r="D22" s="606"/>
      <c r="E22" s="606"/>
    </row>
    <row r="23" spans="1:5" ht="29.5" thickBot="1">
      <c r="A23" s="604" t="s">
        <v>1446</v>
      </c>
      <c r="B23" s="596" t="s">
        <v>1483</v>
      </c>
      <c r="C23" s="606" t="s">
        <v>1470</v>
      </c>
      <c r="D23" s="606" t="s">
        <v>1452</v>
      </c>
      <c r="E23" s="606" t="s">
        <v>1102</v>
      </c>
    </row>
    <row r="24" spans="1:5" ht="29.5" thickBot="1">
      <c r="A24" s="604" t="s">
        <v>1450</v>
      </c>
      <c r="B24" s="596" t="s">
        <v>1484</v>
      </c>
      <c r="C24" s="606" t="s">
        <v>1102</v>
      </c>
      <c r="D24" s="606" t="s">
        <v>1452</v>
      </c>
      <c r="E24" s="606" t="s">
        <v>1102</v>
      </c>
    </row>
    <row r="25" spans="1:5" ht="44" thickBot="1">
      <c r="A25" s="604" t="s">
        <v>1454</v>
      </c>
      <c r="B25" s="596" t="s">
        <v>1485</v>
      </c>
      <c r="C25" s="606" t="s">
        <v>1467</v>
      </c>
      <c r="D25" s="606" t="s">
        <v>1458</v>
      </c>
      <c r="E25" s="606" t="s">
        <v>1486</v>
      </c>
    </row>
    <row r="26" spans="1:5" ht="29.5" thickBot="1">
      <c r="A26" s="604" t="s">
        <v>1468</v>
      </c>
      <c r="B26" s="596" t="s">
        <v>1487</v>
      </c>
      <c r="C26" s="607">
        <v>45821</v>
      </c>
      <c r="D26" s="606" t="s">
        <v>1452</v>
      </c>
      <c r="E26" s="606" t="s">
        <v>1461</v>
      </c>
    </row>
    <row r="27" spans="1:5" ht="29.5" thickBot="1">
      <c r="A27" s="604">
        <v>10</v>
      </c>
      <c r="B27" s="596" t="s">
        <v>1488</v>
      </c>
      <c r="C27" s="607">
        <v>45826</v>
      </c>
      <c r="D27" s="606" t="s">
        <v>1452</v>
      </c>
      <c r="E27" s="606" t="s">
        <v>1489</v>
      </c>
    </row>
    <row r="28" spans="1:5" ht="29.5" thickBot="1">
      <c r="A28" s="604">
        <v>11</v>
      </c>
      <c r="B28" s="596" t="s">
        <v>1490</v>
      </c>
      <c r="C28" s="607">
        <v>45824</v>
      </c>
      <c r="D28" s="606" t="s">
        <v>1452</v>
      </c>
      <c r="E28" s="606" t="s">
        <v>1491</v>
      </c>
    </row>
    <row r="29" spans="1:5" ht="29.5" thickBot="1">
      <c r="A29" s="604">
        <v>12</v>
      </c>
      <c r="B29" s="596" t="s">
        <v>1492</v>
      </c>
      <c r="C29" s="607">
        <v>45930</v>
      </c>
      <c r="D29" s="606" t="s">
        <v>1448</v>
      </c>
      <c r="E29" s="606" t="s">
        <v>1493</v>
      </c>
    </row>
    <row r="30" spans="1:5" ht="58.5" thickBot="1">
      <c r="A30" s="604">
        <v>13</v>
      </c>
      <c r="B30" s="596" t="s">
        <v>1494</v>
      </c>
      <c r="C30" s="607">
        <v>45848</v>
      </c>
      <c r="D30" s="606" t="s">
        <v>1452</v>
      </c>
      <c r="E30" s="606" t="s">
        <v>1495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E5A43-5B5C-418D-992A-7F2FF227D1B4}">
  <dimension ref="C2:F20"/>
  <sheetViews>
    <sheetView workbookViewId="0">
      <selection activeCell="K8" sqref="K8"/>
    </sheetView>
  </sheetViews>
  <sheetFormatPr defaultRowHeight="14.5"/>
  <cols>
    <col min="4" max="4" width="19" bestFit="1" customWidth="1"/>
    <col min="6" max="6" width="18" customWidth="1"/>
  </cols>
  <sheetData>
    <row r="2" spans="3:6">
      <c r="C2" s="1049" t="s">
        <v>17</v>
      </c>
    </row>
    <row r="4" spans="3:6" ht="29">
      <c r="C4" s="1047" t="s">
        <v>1645</v>
      </c>
      <c r="D4" s="436" t="s">
        <v>1380</v>
      </c>
      <c r="E4" s="436" t="s">
        <v>1381</v>
      </c>
      <c r="F4" s="1053" t="s">
        <v>34</v>
      </c>
    </row>
    <row r="5" spans="3:6">
      <c r="C5" s="1047">
        <v>1</v>
      </c>
      <c r="D5" s="336" t="s">
        <v>1500</v>
      </c>
      <c r="E5" s="555">
        <v>2.6179999999999999</v>
      </c>
      <c r="F5" s="310"/>
    </row>
    <row r="6" spans="3:6">
      <c r="C6" s="1047">
        <f t="shared" ref="C6:C11" si="0">C5+1</f>
        <v>2</v>
      </c>
      <c r="D6" s="336" t="s">
        <v>1655</v>
      </c>
      <c r="E6" s="555">
        <v>1.4279999999999999</v>
      </c>
      <c r="F6" s="310"/>
    </row>
    <row r="7" spans="3:6">
      <c r="C7" s="1047">
        <f t="shared" si="0"/>
        <v>3</v>
      </c>
      <c r="D7" s="336" t="s">
        <v>1656</v>
      </c>
      <c r="E7" s="555">
        <v>16.760000000000002</v>
      </c>
      <c r="F7" s="310"/>
    </row>
    <row r="8" spans="3:6">
      <c r="C8" s="1047">
        <f t="shared" si="0"/>
        <v>4</v>
      </c>
      <c r="D8" s="336" t="s">
        <v>1393</v>
      </c>
      <c r="E8" s="1051">
        <v>3.1869999999999998</v>
      </c>
      <c r="F8" s="310"/>
    </row>
    <row r="9" spans="3:6">
      <c r="C9" s="1047">
        <f t="shared" si="0"/>
        <v>5</v>
      </c>
      <c r="D9" s="336" t="s">
        <v>1549</v>
      </c>
      <c r="E9" s="555">
        <v>0.73199999999999998</v>
      </c>
      <c r="F9" s="310"/>
    </row>
    <row r="10" spans="3:6">
      <c r="C10" s="1047">
        <f t="shared" si="0"/>
        <v>6</v>
      </c>
      <c r="D10" s="336" t="s">
        <v>1550</v>
      </c>
      <c r="E10" s="818">
        <v>0.218</v>
      </c>
      <c r="F10" s="310"/>
    </row>
    <row r="11" spans="3:6">
      <c r="C11" s="1047">
        <f t="shared" si="0"/>
        <v>7</v>
      </c>
      <c r="D11" s="336" t="s">
        <v>1552</v>
      </c>
      <c r="E11" s="818">
        <v>0.57099999999999995</v>
      </c>
      <c r="F11" s="310"/>
    </row>
    <row r="12" spans="3:6">
      <c r="C12" s="310"/>
      <c r="D12" s="1050" t="s">
        <v>1416</v>
      </c>
      <c r="E12" s="360">
        <f>SUM(E5:E11)</f>
        <v>25.514000000000003</v>
      </c>
      <c r="F12" s="310"/>
    </row>
    <row r="14" spans="3:6">
      <c r="C14" s="1049" t="s">
        <v>1738</v>
      </c>
    </row>
    <row r="15" spans="3:6">
      <c r="C15" s="1046"/>
    </row>
    <row r="16" spans="3:6" ht="29">
      <c r="C16" s="1047" t="s">
        <v>1645</v>
      </c>
      <c r="D16" s="436" t="s">
        <v>1380</v>
      </c>
      <c r="E16" s="436" t="s">
        <v>1381</v>
      </c>
      <c r="F16" s="1488" t="s">
        <v>1741</v>
      </c>
    </row>
    <row r="17" spans="3:6">
      <c r="C17" s="1047"/>
      <c r="D17" s="436" t="s">
        <v>1739</v>
      </c>
      <c r="E17" s="436">
        <f>7584/1000</f>
        <v>7.5839999999999996</v>
      </c>
      <c r="F17" s="1488"/>
    </row>
    <row r="18" spans="3:6">
      <c r="C18" s="1047"/>
      <c r="D18" s="1052" t="s">
        <v>1740</v>
      </c>
      <c r="E18" s="436">
        <f>6951/1000</f>
        <v>6.9509999999999996</v>
      </c>
      <c r="F18" s="1488"/>
    </row>
    <row r="19" spans="3:6" ht="1" customHeight="1">
      <c r="C19" s="310"/>
      <c r="D19" s="1050" t="s">
        <v>1416</v>
      </c>
      <c r="E19" s="360">
        <f>SUM(E17:E18)</f>
        <v>14.535</v>
      </c>
      <c r="F19" s="1488"/>
    </row>
    <row r="20" spans="3:6" hidden="1"/>
  </sheetData>
  <mergeCells count="1">
    <mergeCell ref="F16:F19"/>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C300"/>
  <sheetViews>
    <sheetView topLeftCell="A22" zoomScale="55" zoomScaleNormal="55" workbookViewId="0">
      <selection activeCell="E31" sqref="E31"/>
    </sheetView>
  </sheetViews>
  <sheetFormatPr defaultColWidth="9" defaultRowHeight="14.5"/>
  <cols>
    <col min="2" max="2" width="11.1796875" customWidth="1"/>
    <col min="3" max="3" width="27.54296875" customWidth="1"/>
    <col min="4" max="4" width="38.54296875" bestFit="1" customWidth="1"/>
    <col min="5" max="5" width="24.08984375" customWidth="1"/>
    <col min="6" max="6" width="64.453125" bestFit="1" customWidth="1"/>
    <col min="7" max="7" width="79.1796875" bestFit="1" customWidth="1"/>
    <col min="8" max="8" width="50.453125" bestFit="1" customWidth="1"/>
    <col min="12" max="13" width="9" customWidth="1"/>
  </cols>
  <sheetData>
    <row r="1" spans="1:13" ht="40">
      <c r="A1" s="985" t="s">
        <v>26</v>
      </c>
      <c r="B1" s="985" t="s">
        <v>56</v>
      </c>
      <c r="C1" s="985" t="s">
        <v>57</v>
      </c>
      <c r="D1" s="1381" t="s">
        <v>58</v>
      </c>
      <c r="E1" s="1383"/>
      <c r="F1" s="985"/>
      <c r="G1" s="1381" t="s">
        <v>59</v>
      </c>
      <c r="H1" s="1382"/>
      <c r="I1" s="1383"/>
      <c r="J1" s="985"/>
      <c r="K1" s="985"/>
      <c r="L1" s="985"/>
      <c r="M1" s="985" t="s">
        <v>34</v>
      </c>
    </row>
    <row r="2" spans="1:13" ht="20">
      <c r="A2" s="986" t="s">
        <v>60</v>
      </c>
      <c r="B2" s="992" t="s">
        <v>61</v>
      </c>
      <c r="C2" s="987"/>
      <c r="D2" s="1384"/>
      <c r="E2" s="1384"/>
      <c r="F2" s="988"/>
      <c r="G2" s="989"/>
      <c r="H2" s="989"/>
      <c r="I2" s="989"/>
      <c r="J2" s="990"/>
      <c r="K2" s="990"/>
      <c r="L2" s="990"/>
      <c r="M2" s="991"/>
    </row>
    <row r="3" spans="1:13" ht="45">
      <c r="A3" s="1073">
        <v>1</v>
      </c>
      <c r="B3" s="1073" t="s">
        <v>1755</v>
      </c>
      <c r="C3" s="1073" t="s">
        <v>1581</v>
      </c>
      <c r="D3" s="1073" t="s">
        <v>1559</v>
      </c>
      <c r="E3" s="1073" t="s">
        <v>1558</v>
      </c>
      <c r="F3" s="1073" t="s">
        <v>1769</v>
      </c>
      <c r="G3" s="1074" t="s">
        <v>1794</v>
      </c>
      <c r="H3" s="1073"/>
      <c r="I3" s="1073"/>
      <c r="J3" s="1073"/>
      <c r="K3" s="1073"/>
      <c r="L3" s="1073"/>
      <c r="M3" s="1073"/>
    </row>
    <row r="4" spans="1:13" ht="45">
      <c r="A4" s="1073">
        <v>2</v>
      </c>
      <c r="B4" s="1073" t="s">
        <v>1756</v>
      </c>
      <c r="C4" s="1073" t="s">
        <v>1582</v>
      </c>
      <c r="D4" s="1073" t="s">
        <v>1337</v>
      </c>
      <c r="E4" s="1073" t="s">
        <v>1558</v>
      </c>
      <c r="F4" s="1073" t="s">
        <v>1769</v>
      </c>
      <c r="G4" s="1074" t="s">
        <v>1794</v>
      </c>
      <c r="H4" s="1073"/>
      <c r="I4" s="1073"/>
      <c r="J4" s="1073"/>
      <c r="K4" s="1073"/>
      <c r="L4" s="1073"/>
      <c r="M4" s="1073"/>
    </row>
    <row r="5" spans="1:13" ht="34" customHeight="1">
      <c r="A5" s="1073">
        <v>3</v>
      </c>
      <c r="B5" s="1073" t="s">
        <v>1757</v>
      </c>
      <c r="C5" s="1073" t="s">
        <v>1583</v>
      </c>
      <c r="D5" s="1073" t="s">
        <v>1337</v>
      </c>
      <c r="E5" s="1073" t="s">
        <v>1558</v>
      </c>
      <c r="F5" s="1073" t="s">
        <v>1769</v>
      </c>
      <c r="G5" s="1074" t="s">
        <v>1794</v>
      </c>
      <c r="H5" s="1073"/>
      <c r="I5" s="1073"/>
      <c r="J5" s="1073"/>
      <c r="K5" s="1073"/>
      <c r="L5" s="1073"/>
      <c r="M5" s="1073"/>
    </row>
    <row r="6" spans="1:13" ht="47.5" customHeight="1">
      <c r="A6" s="1073">
        <v>4</v>
      </c>
      <c r="B6" s="1073" t="s">
        <v>1560</v>
      </c>
      <c r="C6" s="1073" t="s">
        <v>1584</v>
      </c>
      <c r="D6" s="1073" t="s">
        <v>1337</v>
      </c>
      <c r="E6" s="1073" t="s">
        <v>1594</v>
      </c>
      <c r="F6" s="1073" t="s">
        <v>1768</v>
      </c>
      <c r="G6" s="1074" t="s">
        <v>1766</v>
      </c>
      <c r="H6" s="1073"/>
      <c r="I6" s="1073"/>
      <c r="J6" s="1073"/>
      <c r="K6" s="1073"/>
      <c r="L6" s="1073"/>
      <c r="M6" s="1073"/>
    </row>
    <row r="7" spans="1:13" ht="31" customHeight="1">
      <c r="A7" s="1073">
        <v>5</v>
      </c>
      <c r="B7" s="1073" t="s">
        <v>1561</v>
      </c>
      <c r="C7" s="1073" t="s">
        <v>1585</v>
      </c>
      <c r="D7" s="1073" t="s">
        <v>1337</v>
      </c>
      <c r="E7" s="1073"/>
      <c r="F7" s="1073" t="s">
        <v>1592</v>
      </c>
      <c r="G7" s="1391" t="s">
        <v>1771</v>
      </c>
      <c r="H7" s="1392"/>
      <c r="I7" s="1392"/>
      <c r="J7" s="1392"/>
      <c r="K7" s="1392"/>
      <c r="L7" s="1392"/>
      <c r="M7" s="1393"/>
    </row>
    <row r="8" spans="1:13" ht="31" customHeight="1">
      <c r="A8" s="1073">
        <v>6</v>
      </c>
      <c r="B8" s="1073" t="s">
        <v>1562</v>
      </c>
      <c r="C8" s="1073" t="s">
        <v>1586</v>
      </c>
      <c r="D8" s="1073" t="s">
        <v>1337</v>
      </c>
      <c r="E8" s="1073"/>
      <c r="F8" s="1073" t="s">
        <v>1592</v>
      </c>
      <c r="G8" s="1394"/>
      <c r="H8" s="1395"/>
      <c r="I8" s="1395"/>
      <c r="J8" s="1395"/>
      <c r="K8" s="1395"/>
      <c r="L8" s="1395"/>
      <c r="M8" s="1396"/>
    </row>
    <row r="9" spans="1:13" ht="45" customHeight="1">
      <c r="A9" s="1073">
        <v>7</v>
      </c>
      <c r="B9" s="1073" t="s">
        <v>1563</v>
      </c>
      <c r="C9" s="1073" t="s">
        <v>1587</v>
      </c>
      <c r="D9" s="1073" t="s">
        <v>1337</v>
      </c>
      <c r="E9" s="1073"/>
      <c r="F9" s="1073" t="s">
        <v>1592</v>
      </c>
      <c r="G9" s="1397"/>
      <c r="H9" s="1398"/>
      <c r="I9" s="1398"/>
      <c r="J9" s="1398"/>
      <c r="K9" s="1398"/>
      <c r="L9" s="1398"/>
      <c r="M9" s="1399"/>
    </row>
    <row r="10" spans="1:13" ht="31">
      <c r="A10" s="1073">
        <v>8</v>
      </c>
      <c r="B10" s="1073" t="s">
        <v>1564</v>
      </c>
      <c r="C10" s="1073" t="s">
        <v>1588</v>
      </c>
      <c r="D10" s="1073" t="s">
        <v>1337</v>
      </c>
      <c r="E10" s="1073"/>
      <c r="F10" s="1073" t="s">
        <v>1592</v>
      </c>
      <c r="G10" s="1074" t="s">
        <v>1792</v>
      </c>
      <c r="H10" s="1073"/>
      <c r="I10" s="1073"/>
      <c r="J10" s="1073"/>
      <c r="K10" s="1073"/>
      <c r="L10" s="1073"/>
      <c r="M10" s="1073"/>
    </row>
    <row r="11" spans="1:13" ht="31">
      <c r="A11" s="1073">
        <v>9</v>
      </c>
      <c r="B11" s="1073" t="s">
        <v>1565</v>
      </c>
      <c r="C11" s="1073" t="s">
        <v>1589</v>
      </c>
      <c r="D11" s="1073" t="s">
        <v>1337</v>
      </c>
      <c r="E11" s="1073"/>
      <c r="F11" s="1073" t="s">
        <v>1592</v>
      </c>
      <c r="G11" s="1073"/>
      <c r="H11" s="1073"/>
      <c r="I11" s="1073"/>
      <c r="J11" s="1073"/>
      <c r="K11" s="1073"/>
      <c r="L11" s="1073"/>
      <c r="M11" s="1073"/>
    </row>
    <row r="12" spans="1:13" ht="46.5">
      <c r="A12" s="1073">
        <v>10</v>
      </c>
      <c r="B12" s="1073" t="s">
        <v>1566</v>
      </c>
      <c r="C12" s="1073" t="s">
        <v>1590</v>
      </c>
      <c r="D12" s="1073" t="s">
        <v>1567</v>
      </c>
      <c r="E12" s="1073"/>
      <c r="F12" s="1073" t="s">
        <v>1592</v>
      </c>
      <c r="G12" s="1073"/>
      <c r="H12" s="1073"/>
      <c r="I12" s="1073"/>
      <c r="J12" s="1073"/>
      <c r="K12" s="1073"/>
      <c r="L12" s="1073"/>
      <c r="M12" s="1073"/>
    </row>
    <row r="13" spans="1:13" ht="31">
      <c r="A13" s="1073">
        <v>11</v>
      </c>
      <c r="B13" s="1073" t="s">
        <v>1568</v>
      </c>
      <c r="C13" s="1073" t="s">
        <v>1591</v>
      </c>
      <c r="D13" s="1073" t="s">
        <v>1567</v>
      </c>
      <c r="E13" s="1073" t="s">
        <v>1594</v>
      </c>
      <c r="F13" s="1073" t="s">
        <v>1767</v>
      </c>
      <c r="G13" s="1073" t="s">
        <v>1772</v>
      </c>
      <c r="H13" s="1073"/>
      <c r="I13" s="1073"/>
      <c r="J13" s="1073"/>
      <c r="K13" s="1073"/>
      <c r="L13" s="1073"/>
      <c r="M13" s="1073"/>
    </row>
    <row r="14" spans="1:13" ht="21">
      <c r="A14" s="1076" t="s">
        <v>63</v>
      </c>
      <c r="B14" s="1077" t="s">
        <v>64</v>
      </c>
      <c r="C14" s="1076"/>
      <c r="D14" s="1073"/>
      <c r="E14" s="1073"/>
      <c r="F14" s="1073"/>
      <c r="G14" s="1073"/>
      <c r="H14" s="1073"/>
      <c r="I14" s="1073"/>
      <c r="J14" s="1073"/>
      <c r="K14" s="1073"/>
      <c r="L14" s="1073"/>
      <c r="M14" s="1073"/>
    </row>
    <row r="15" spans="1:13" ht="31">
      <c r="A15" s="1073">
        <v>1</v>
      </c>
      <c r="B15" s="1073" t="s">
        <v>65</v>
      </c>
      <c r="C15" s="1073" t="s">
        <v>66</v>
      </c>
      <c r="D15" s="1073" t="s">
        <v>64</v>
      </c>
      <c r="E15" s="1073"/>
      <c r="F15" s="1073"/>
      <c r="G15" s="1073"/>
      <c r="H15" s="1073"/>
      <c r="I15" s="1073"/>
      <c r="J15" s="1073"/>
      <c r="K15" s="1073"/>
      <c r="L15" s="1073"/>
      <c r="M15" s="1073"/>
    </row>
    <row r="16" spans="1:13" ht="31">
      <c r="A16" s="1073">
        <v>2</v>
      </c>
      <c r="B16" s="1073" t="s">
        <v>67</v>
      </c>
      <c r="C16" s="1073" t="s">
        <v>68</v>
      </c>
      <c r="D16" s="1073" t="s">
        <v>64</v>
      </c>
      <c r="E16" s="1073"/>
      <c r="F16" s="1073"/>
      <c r="G16" s="1073"/>
      <c r="H16" s="1073"/>
      <c r="I16" s="1073"/>
      <c r="J16" s="1073"/>
      <c r="K16" s="1073"/>
      <c r="L16" s="1073"/>
      <c r="M16" s="1073"/>
    </row>
    <row r="17" spans="1:13" ht="31">
      <c r="A17" s="1073">
        <v>3</v>
      </c>
      <c r="B17" s="1073" t="s">
        <v>69</v>
      </c>
      <c r="C17" s="1073" t="s">
        <v>70</v>
      </c>
      <c r="D17" s="1073" t="s">
        <v>64</v>
      </c>
      <c r="E17" s="1073"/>
      <c r="F17" s="1073"/>
      <c r="G17" s="1073"/>
      <c r="H17" s="1073"/>
      <c r="I17" s="1073"/>
      <c r="J17" s="1073"/>
      <c r="K17" s="1073"/>
      <c r="L17" s="1073"/>
      <c r="M17" s="1073"/>
    </row>
    <row r="18" spans="1:13" ht="21">
      <c r="A18" s="1076" t="s">
        <v>71</v>
      </c>
      <c r="B18" s="1077" t="s">
        <v>72</v>
      </c>
      <c r="C18" s="1076"/>
      <c r="D18" s="1073"/>
      <c r="E18" s="1073"/>
      <c r="F18" s="1073"/>
      <c r="G18" s="1073"/>
      <c r="H18" s="1073"/>
      <c r="I18" s="1073"/>
      <c r="J18" s="1073"/>
      <c r="K18" s="1073"/>
      <c r="L18" s="1073"/>
      <c r="M18" s="1073"/>
    </row>
    <row r="19" spans="1:13" ht="14.5" customHeight="1">
      <c r="A19" s="1073">
        <v>1</v>
      </c>
      <c r="B19" s="1073" t="s">
        <v>73</v>
      </c>
      <c r="C19" s="1073" t="s">
        <v>74</v>
      </c>
      <c r="D19" s="1073" t="s">
        <v>1344</v>
      </c>
      <c r="E19" s="1073"/>
      <c r="F19" s="1073"/>
      <c r="G19" s="1073" t="s">
        <v>1773</v>
      </c>
      <c r="H19" s="1073"/>
      <c r="I19" s="1073"/>
      <c r="J19" s="1073"/>
      <c r="K19" s="1073"/>
      <c r="L19" s="1073"/>
      <c r="M19" s="1073"/>
    </row>
    <row r="20" spans="1:13" ht="31">
      <c r="A20" s="1073">
        <f>A19+1</f>
        <v>2</v>
      </c>
      <c r="B20" s="1073" t="s">
        <v>75</v>
      </c>
      <c r="C20" s="1073" t="s">
        <v>74</v>
      </c>
      <c r="D20" s="1073" t="s">
        <v>1593</v>
      </c>
      <c r="E20" s="1073"/>
      <c r="F20" s="1073"/>
      <c r="G20" s="1073"/>
      <c r="H20" s="1073"/>
      <c r="I20" s="1073"/>
      <c r="J20" s="1073"/>
      <c r="K20" s="1073"/>
      <c r="L20" s="1073"/>
      <c r="M20" s="1073"/>
    </row>
    <row r="21" spans="1:13" ht="41" customHeight="1">
      <c r="A21" s="1078" t="s">
        <v>44</v>
      </c>
      <c r="B21" s="1079" t="s">
        <v>76</v>
      </c>
      <c r="C21" s="1078"/>
      <c r="D21" s="1073"/>
      <c r="E21" s="1073"/>
      <c r="F21" s="1073"/>
      <c r="G21" s="1073"/>
      <c r="H21" s="1073"/>
      <c r="I21" s="1073"/>
      <c r="J21" s="1073"/>
      <c r="K21" s="1073"/>
      <c r="L21" s="1073"/>
      <c r="M21" s="1073"/>
    </row>
    <row r="22" spans="1:13" ht="41" customHeight="1">
      <c r="A22" s="1073">
        <v>1</v>
      </c>
      <c r="B22" s="1073" t="s">
        <v>1774</v>
      </c>
      <c r="C22" s="1073" t="s">
        <v>1775</v>
      </c>
      <c r="D22" s="1073" t="s">
        <v>1776</v>
      </c>
      <c r="E22" s="1073"/>
      <c r="F22" s="1073" t="s">
        <v>1777</v>
      </c>
      <c r="G22" s="1073"/>
      <c r="H22" s="1073"/>
      <c r="I22" s="1073"/>
      <c r="J22" s="1073"/>
      <c r="K22" s="1073"/>
      <c r="L22" s="1073"/>
      <c r="M22" s="1073"/>
    </row>
    <row r="23" spans="1:13" ht="31">
      <c r="A23" s="1073">
        <v>2</v>
      </c>
      <c r="B23" s="1073" t="s">
        <v>1778</v>
      </c>
      <c r="C23" s="1073" t="s">
        <v>1779</v>
      </c>
      <c r="D23" s="1073" t="s">
        <v>1776</v>
      </c>
      <c r="E23" s="1073"/>
      <c r="F23" s="1073"/>
      <c r="G23" s="1073"/>
      <c r="H23" s="1073"/>
      <c r="I23" s="1073"/>
      <c r="J23" s="1073"/>
      <c r="K23" s="1073"/>
      <c r="L23" s="1073"/>
      <c r="M23" s="1073"/>
    </row>
    <row r="24" spans="1:13" ht="31">
      <c r="A24" s="1073">
        <v>3</v>
      </c>
      <c r="B24" s="1073" t="s">
        <v>1780</v>
      </c>
      <c r="C24" s="1073" t="s">
        <v>1781</v>
      </c>
      <c r="D24" s="1073" t="s">
        <v>1776</v>
      </c>
      <c r="E24" s="1073" t="s">
        <v>1793</v>
      </c>
      <c r="F24" s="1073"/>
      <c r="G24" s="1073"/>
      <c r="H24" s="1073"/>
      <c r="I24" s="1073"/>
      <c r="J24" s="1073"/>
      <c r="K24" s="1073"/>
      <c r="L24" s="1073"/>
      <c r="M24" s="1073"/>
    </row>
    <row r="25" spans="1:13" ht="14.5" customHeight="1">
      <c r="A25" s="1073">
        <v>4</v>
      </c>
      <c r="B25" s="1073" t="s">
        <v>1782</v>
      </c>
      <c r="C25" s="1073" t="s">
        <v>1783</v>
      </c>
      <c r="D25" s="1073" t="s">
        <v>1776</v>
      </c>
      <c r="E25" s="1073"/>
      <c r="F25" s="1073"/>
      <c r="G25" s="1073"/>
      <c r="H25" s="1073"/>
      <c r="I25" s="1073"/>
      <c r="J25" s="1073"/>
      <c r="K25" s="1073"/>
      <c r="L25" s="1073"/>
      <c r="M25" s="1073"/>
    </row>
    <row r="26" spans="1:13" ht="31">
      <c r="A26" s="1073">
        <v>5</v>
      </c>
      <c r="B26" s="1073" t="s">
        <v>1784</v>
      </c>
      <c r="C26" s="1073" t="s">
        <v>1785</v>
      </c>
      <c r="D26" s="1073" t="s">
        <v>1776</v>
      </c>
      <c r="E26" s="1073"/>
      <c r="F26" s="1073"/>
      <c r="G26" s="1073"/>
      <c r="H26" s="1073"/>
      <c r="I26" s="1073"/>
      <c r="J26" s="1073"/>
      <c r="K26" s="1073"/>
      <c r="L26" s="1073"/>
      <c r="M26" s="1073"/>
    </row>
    <row r="27" spans="1:13" ht="29" customHeight="1">
      <c r="A27" s="1073">
        <v>6</v>
      </c>
      <c r="B27" s="1073" t="s">
        <v>1345</v>
      </c>
      <c r="C27" s="1073" t="s">
        <v>1786</v>
      </c>
      <c r="D27" s="1073"/>
      <c r="E27" s="1073"/>
      <c r="F27" s="1073" t="s">
        <v>1787</v>
      </c>
      <c r="G27" s="1073"/>
      <c r="H27" s="1073"/>
      <c r="I27" s="1073"/>
      <c r="J27" s="1073"/>
      <c r="K27" s="1073"/>
      <c r="L27" s="1073"/>
      <c r="M27" s="1073"/>
    </row>
    <row r="28" spans="1:13" ht="35" customHeight="1">
      <c r="A28" s="1080" t="s">
        <v>46</v>
      </c>
      <c r="B28" s="1081" t="s">
        <v>1315</v>
      </c>
      <c r="C28" s="1073"/>
      <c r="D28" s="1073"/>
      <c r="E28" s="1073"/>
      <c r="F28" s="1073"/>
      <c r="G28" s="1073"/>
      <c r="H28" s="1073"/>
      <c r="I28" s="1073"/>
      <c r="J28" s="1073"/>
      <c r="K28" s="1073"/>
      <c r="L28" s="1073"/>
      <c r="M28" s="1073"/>
    </row>
    <row r="29" spans="1:13" ht="31">
      <c r="A29" s="1073">
        <v>1</v>
      </c>
      <c r="B29" s="1073" t="s">
        <v>1316</v>
      </c>
      <c r="C29" s="1073"/>
      <c r="D29" s="1073" t="s">
        <v>1346</v>
      </c>
      <c r="E29" s="1073"/>
      <c r="F29" s="1073"/>
      <c r="G29" s="1073" t="s">
        <v>1795</v>
      </c>
      <c r="H29" s="1073"/>
      <c r="I29" s="1073"/>
      <c r="J29" s="1073"/>
      <c r="K29" s="1073"/>
      <c r="L29" s="1073"/>
      <c r="M29" s="1073"/>
    </row>
    <row r="30" spans="1:13" ht="46.5">
      <c r="A30" s="1073">
        <f>A29+1</f>
        <v>2</v>
      </c>
      <c r="B30" s="1073" t="s">
        <v>1317</v>
      </c>
      <c r="C30" s="1073"/>
      <c r="D30" s="1073" t="s">
        <v>1351</v>
      </c>
      <c r="E30" s="1073"/>
      <c r="F30" s="1073"/>
      <c r="G30" s="1075" t="s">
        <v>1788</v>
      </c>
      <c r="H30" s="1073"/>
      <c r="I30" s="1073"/>
      <c r="J30" s="1073"/>
      <c r="K30" s="1073"/>
      <c r="L30" s="1073"/>
      <c r="M30" s="1073"/>
    </row>
    <row r="31" spans="1:13" ht="46.5">
      <c r="A31" s="1073">
        <f t="shared" ref="A31:A33" si="0">A30+1</f>
        <v>3</v>
      </c>
      <c r="B31" s="1073" t="s">
        <v>1318</v>
      </c>
      <c r="C31" s="1073"/>
      <c r="D31" s="1073" t="s">
        <v>1347</v>
      </c>
      <c r="E31" s="1073"/>
      <c r="F31" s="1073"/>
      <c r="G31" s="1075" t="s">
        <v>1789</v>
      </c>
      <c r="H31" s="1073"/>
      <c r="I31" s="1073"/>
      <c r="J31" s="1073"/>
      <c r="K31" s="1073"/>
      <c r="L31" s="1073"/>
      <c r="M31" s="1073"/>
    </row>
    <row r="32" spans="1:13" ht="46.5">
      <c r="A32" s="1073">
        <f t="shared" si="0"/>
        <v>4</v>
      </c>
      <c r="B32" s="1073" t="s">
        <v>1314</v>
      </c>
      <c r="C32" s="1073"/>
      <c r="D32" s="1073" t="s">
        <v>1348</v>
      </c>
      <c r="E32" s="1073"/>
      <c r="F32" s="1073"/>
      <c r="G32" s="1075" t="s">
        <v>1790</v>
      </c>
      <c r="H32" s="1073"/>
      <c r="I32" s="1073"/>
      <c r="J32" s="1073"/>
      <c r="K32" s="1073"/>
      <c r="L32" s="1073"/>
      <c r="M32" s="1073"/>
    </row>
    <row r="33" spans="1:13" ht="46.5">
      <c r="A33" s="1073">
        <f t="shared" si="0"/>
        <v>5</v>
      </c>
      <c r="B33" s="1073" t="s">
        <v>1319</v>
      </c>
      <c r="C33" s="1073"/>
      <c r="D33" s="1073" t="s">
        <v>1349</v>
      </c>
      <c r="E33" s="1073"/>
      <c r="F33" s="1073"/>
      <c r="G33" s="1075" t="s">
        <v>1788</v>
      </c>
      <c r="H33" s="1073"/>
      <c r="I33" s="1073"/>
      <c r="J33" s="1073"/>
      <c r="K33" s="1073"/>
      <c r="L33" s="1073"/>
      <c r="M33" s="1073"/>
    </row>
    <row r="34" spans="1:13" ht="57.5">
      <c r="A34" s="1073">
        <v>6</v>
      </c>
      <c r="B34" s="1073" t="s">
        <v>1320</v>
      </c>
      <c r="C34" s="1073"/>
      <c r="D34" s="1073" t="s">
        <v>1665</v>
      </c>
      <c r="E34" s="1073"/>
      <c r="F34" s="1073"/>
      <c r="G34" s="1075" t="s">
        <v>1791</v>
      </c>
      <c r="H34" s="1073"/>
      <c r="I34" s="1073"/>
      <c r="J34" s="1073"/>
      <c r="K34" s="1073"/>
      <c r="L34" s="1073"/>
      <c r="M34" s="1073"/>
    </row>
    <row r="42" spans="1:13" ht="16">
      <c r="C42" s="908"/>
      <c r="D42" s="908"/>
      <c r="E42" s="908"/>
      <c r="F42" s="908"/>
    </row>
    <row r="43" spans="1:13" ht="16">
      <c r="C43" s="908"/>
      <c r="D43" s="909"/>
      <c r="E43" s="910"/>
      <c r="F43" s="910"/>
    </row>
    <row r="44" spans="1:13" ht="16">
      <c r="C44" s="908"/>
      <c r="D44" s="909"/>
      <c r="E44" s="910"/>
      <c r="F44" s="910"/>
    </row>
    <row r="45" spans="1:13" ht="16">
      <c r="C45" s="908"/>
      <c r="D45" s="909"/>
      <c r="E45" s="910"/>
      <c r="F45" s="910"/>
    </row>
    <row r="46" spans="1:13" ht="16">
      <c r="C46" s="908"/>
      <c r="D46" s="909"/>
      <c r="E46" s="910"/>
      <c r="F46" s="910"/>
    </row>
    <row r="47" spans="1:13" ht="16">
      <c r="C47" s="908"/>
      <c r="D47" s="909"/>
      <c r="E47" s="910"/>
      <c r="F47" s="910"/>
    </row>
    <row r="48" spans="1:13" ht="16">
      <c r="C48" s="908"/>
      <c r="D48" s="911"/>
      <c r="E48" s="912"/>
      <c r="F48" s="910"/>
    </row>
    <row r="182" spans="2:2">
      <c r="B182" s="310"/>
    </row>
    <row r="183" spans="2:2">
      <c r="B183" s="310"/>
    </row>
    <row r="184" spans="2:2">
      <c r="B184" s="310"/>
    </row>
    <row r="185" spans="2:2">
      <c r="B185" s="310"/>
    </row>
    <row r="186" spans="2:2">
      <c r="B186" s="310"/>
    </row>
    <row r="187" spans="2:2">
      <c r="B187" s="310"/>
    </row>
    <row r="188" spans="2:2">
      <c r="B188" s="310"/>
    </row>
    <row r="189" spans="2:2">
      <c r="B189" s="310"/>
    </row>
    <row r="190" spans="2:2">
      <c r="B190" s="310"/>
    </row>
    <row r="191" spans="2:2">
      <c r="B191" s="310"/>
    </row>
    <row r="192" spans="2:2">
      <c r="B192" s="310"/>
    </row>
    <row r="299" spans="29:29">
      <c r="AC299">
        <v>185</v>
      </c>
    </row>
    <row r="300" spans="29:29">
      <c r="AC300">
        <v>5</v>
      </c>
    </row>
  </sheetData>
  <protectedRanges>
    <protectedRange sqref="L9:M16 C25:C26 A29:A33 B27:E27 F14:G21 J11:K16 I11 I13:I16 B14:E24 A1:M2 H7:K9 A14:A27 H3:M6" name="Range1_6"/>
    <protectedRange sqref="B28" name="Range1_1_1_3"/>
    <protectedRange sqref="B29:B33" name="Range1_3_2_3"/>
    <protectedRange sqref="D34" name="Range1_4_3"/>
  </protectedRanges>
  <mergeCells count="4">
    <mergeCell ref="D1:E1"/>
    <mergeCell ref="G1:I1"/>
    <mergeCell ref="D2:E2"/>
    <mergeCell ref="G7:M9"/>
  </mergeCells>
  <phoneticPr fontId="196" type="noConversion"/>
  <pageMargins left="0.7" right="0.7" top="0.75" bottom="0.75" header="0.3" footer="0.3"/>
  <pageSetup paperSize="9" orientation="portrait" horizontalDpi="300" verticalDpi="3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L29"/>
  <sheetViews>
    <sheetView topLeftCell="A19" workbookViewId="0">
      <selection activeCell="C23" sqref="C23:C29"/>
    </sheetView>
  </sheetViews>
  <sheetFormatPr defaultColWidth="9" defaultRowHeight="14.5"/>
  <cols>
    <col min="6" max="6" width="9.1796875" customWidth="1"/>
    <col min="8" max="9" width="10.08984375" customWidth="1"/>
    <col min="12" max="12" width="37.08984375" customWidth="1"/>
  </cols>
  <sheetData>
    <row r="1" spans="2:12">
      <c r="B1" s="321" t="s">
        <v>218</v>
      </c>
      <c r="C1" s="322"/>
      <c r="D1" s="321"/>
      <c r="E1" s="322"/>
      <c r="F1" s="322"/>
      <c r="G1" s="322"/>
      <c r="H1" s="321"/>
      <c r="I1" s="321"/>
      <c r="J1" s="57">
        <f>SUBTOTAL(3,J5:J24)</f>
        <v>18</v>
      </c>
      <c r="K1" s="321"/>
      <c r="L1" s="321"/>
    </row>
    <row r="2" spans="2:12">
      <c r="B2" s="1489" t="s">
        <v>203</v>
      </c>
      <c r="C2" s="1489" t="s">
        <v>204</v>
      </c>
      <c r="D2" s="1491" t="s">
        <v>219</v>
      </c>
      <c r="E2" s="1489" t="s">
        <v>205</v>
      </c>
      <c r="F2" s="1490" t="s">
        <v>220</v>
      </c>
      <c r="G2" s="1489" t="s">
        <v>221</v>
      </c>
      <c r="H2" s="1489"/>
      <c r="I2" s="1489"/>
      <c r="J2" s="1489"/>
      <c r="K2" s="1489"/>
      <c r="L2" s="321"/>
    </row>
    <row r="3" spans="2:12" ht="26">
      <c r="B3" s="1490"/>
      <c r="C3" s="1490"/>
      <c r="D3" s="1491"/>
      <c r="E3" s="1490"/>
      <c r="F3" s="1492"/>
      <c r="G3" s="1490"/>
      <c r="H3" s="312" t="s">
        <v>222</v>
      </c>
      <c r="I3" s="312" t="s">
        <v>208</v>
      </c>
      <c r="J3" s="311" t="s">
        <v>223</v>
      </c>
      <c r="K3" s="311" t="s">
        <v>224</v>
      </c>
      <c r="L3" s="311" t="s">
        <v>34</v>
      </c>
    </row>
    <row r="4" spans="2:12" ht="26">
      <c r="B4" s="323">
        <v>1</v>
      </c>
      <c r="C4" s="309" t="s">
        <v>225</v>
      </c>
      <c r="D4" s="309" t="s">
        <v>225</v>
      </c>
      <c r="E4" s="309" t="s">
        <v>185</v>
      </c>
      <c r="F4" s="309"/>
      <c r="G4" s="309" t="s">
        <v>210</v>
      </c>
      <c r="H4" s="314">
        <v>45665</v>
      </c>
      <c r="I4" s="314">
        <v>45674</v>
      </c>
      <c r="J4" s="309" t="s">
        <v>226</v>
      </c>
      <c r="K4" s="343">
        <v>45674</v>
      </c>
      <c r="L4" s="344" t="s">
        <v>103</v>
      </c>
    </row>
    <row r="5" spans="2:12" ht="26">
      <c r="B5" s="325">
        <f>B4+1</f>
        <v>2</v>
      </c>
      <c r="C5" s="325" t="s">
        <v>227</v>
      </c>
      <c r="D5" s="309" t="s">
        <v>227</v>
      </c>
      <c r="E5" s="309" t="s">
        <v>182</v>
      </c>
      <c r="F5" s="309"/>
      <c r="G5" s="309" t="s">
        <v>210</v>
      </c>
      <c r="H5" s="314">
        <v>45675</v>
      </c>
      <c r="I5" s="345" t="s">
        <v>228</v>
      </c>
      <c r="J5" s="309" t="s">
        <v>226</v>
      </c>
      <c r="K5" s="345" t="s">
        <v>229</v>
      </c>
      <c r="L5" s="327" t="s">
        <v>230</v>
      </c>
    </row>
    <row r="6" spans="2:12">
      <c r="B6" s="325">
        <f t="shared" ref="B6:B29" si="0">B5+1</f>
        <v>3</v>
      </c>
      <c r="C6" s="325" t="s">
        <v>231</v>
      </c>
      <c r="D6" s="326" t="s">
        <v>231</v>
      </c>
      <c r="E6" s="309" t="s">
        <v>182</v>
      </c>
      <c r="F6" s="309"/>
      <c r="G6" s="309" t="s">
        <v>210</v>
      </c>
      <c r="H6" s="314">
        <v>45675</v>
      </c>
      <c r="I6" s="314">
        <v>45684</v>
      </c>
      <c r="J6" s="309" t="s">
        <v>232</v>
      </c>
      <c r="K6" s="345"/>
      <c r="L6" s="344" t="s">
        <v>233</v>
      </c>
    </row>
    <row r="7" spans="2:12">
      <c r="B7" s="325">
        <f t="shared" si="0"/>
        <v>4</v>
      </c>
      <c r="C7" s="326" t="s">
        <v>209</v>
      </c>
      <c r="D7" s="327"/>
      <c r="E7" s="309" t="s">
        <v>182</v>
      </c>
      <c r="F7" s="325"/>
      <c r="G7" s="309" t="s">
        <v>210</v>
      </c>
      <c r="H7" s="314">
        <v>45685</v>
      </c>
      <c r="I7" s="314">
        <v>45690</v>
      </c>
      <c r="J7" s="309" t="s">
        <v>232</v>
      </c>
      <c r="K7" s="346"/>
      <c r="L7" s="344" t="s">
        <v>211</v>
      </c>
    </row>
    <row r="8" spans="2:12">
      <c r="B8" s="325">
        <f t="shared" si="0"/>
        <v>5</v>
      </c>
      <c r="C8" s="326" t="s">
        <v>212</v>
      </c>
      <c r="D8" s="327"/>
      <c r="E8" s="309" t="s">
        <v>182</v>
      </c>
      <c r="F8" s="325"/>
      <c r="G8" s="309" t="s">
        <v>210</v>
      </c>
      <c r="H8" s="314">
        <v>45685</v>
      </c>
      <c r="I8" s="314">
        <v>45693</v>
      </c>
      <c r="J8" s="309" t="s">
        <v>232</v>
      </c>
      <c r="K8" s="346"/>
      <c r="L8" s="344" t="s">
        <v>234</v>
      </c>
    </row>
    <row r="9" spans="2:12" ht="39">
      <c r="B9" s="325">
        <f t="shared" si="0"/>
        <v>6</v>
      </c>
      <c r="C9" s="326" t="s">
        <v>213</v>
      </c>
      <c r="D9" s="327"/>
      <c r="E9" s="309" t="s">
        <v>182</v>
      </c>
      <c r="F9" s="325"/>
      <c r="G9" s="309" t="s">
        <v>210</v>
      </c>
      <c r="H9" s="314">
        <v>45686</v>
      </c>
      <c r="I9" s="314">
        <v>45693</v>
      </c>
      <c r="J9" s="309" t="s">
        <v>235</v>
      </c>
      <c r="K9" s="346"/>
      <c r="L9" s="344" t="s">
        <v>211</v>
      </c>
    </row>
    <row r="10" spans="2:12" ht="39">
      <c r="B10" s="325">
        <f t="shared" si="0"/>
        <v>7</v>
      </c>
      <c r="C10" s="326" t="s">
        <v>214</v>
      </c>
      <c r="D10" s="327"/>
      <c r="E10" s="309" t="s">
        <v>185</v>
      </c>
      <c r="F10" s="325"/>
      <c r="G10" s="309" t="s">
        <v>210</v>
      </c>
      <c r="H10" s="314">
        <v>45691</v>
      </c>
      <c r="I10" s="314">
        <v>45698</v>
      </c>
      <c r="J10" s="309" t="s">
        <v>235</v>
      </c>
      <c r="K10" s="346"/>
      <c r="L10" s="344" t="s">
        <v>234</v>
      </c>
    </row>
    <row r="11" spans="2:12" ht="39">
      <c r="B11" s="325">
        <f t="shared" si="0"/>
        <v>8</v>
      </c>
      <c r="C11" s="326" t="s">
        <v>236</v>
      </c>
      <c r="D11" s="327"/>
      <c r="E11" s="309" t="s">
        <v>182</v>
      </c>
      <c r="F11" s="325"/>
      <c r="G11" s="309" t="s">
        <v>210</v>
      </c>
      <c r="H11" s="314">
        <v>45697</v>
      </c>
      <c r="I11" s="314">
        <v>45705</v>
      </c>
      <c r="J11" s="309" t="s">
        <v>235</v>
      </c>
      <c r="K11" s="346"/>
      <c r="L11" s="344" t="s">
        <v>234</v>
      </c>
    </row>
    <row r="12" spans="2:12" ht="39">
      <c r="B12" s="325">
        <f t="shared" si="0"/>
        <v>9</v>
      </c>
      <c r="C12" s="326" t="s">
        <v>237</v>
      </c>
      <c r="D12" s="327"/>
      <c r="E12" s="309" t="s">
        <v>182</v>
      </c>
      <c r="F12" s="325"/>
      <c r="G12" s="309" t="s">
        <v>210</v>
      </c>
      <c r="H12" s="314">
        <v>45700</v>
      </c>
      <c r="I12" s="314">
        <v>45706</v>
      </c>
      <c r="J12" s="309" t="s">
        <v>235</v>
      </c>
      <c r="K12" s="346"/>
      <c r="L12" s="344" t="s">
        <v>234</v>
      </c>
    </row>
    <row r="13" spans="2:12" ht="39">
      <c r="B13" s="325">
        <f t="shared" si="0"/>
        <v>10</v>
      </c>
      <c r="C13" s="326" t="s">
        <v>215</v>
      </c>
      <c r="D13" s="327"/>
      <c r="E13" s="309" t="s">
        <v>182</v>
      </c>
      <c r="F13" s="325"/>
      <c r="G13" s="309" t="s">
        <v>210</v>
      </c>
      <c r="H13" s="314">
        <v>45691</v>
      </c>
      <c r="I13" s="314">
        <v>45699</v>
      </c>
      <c r="J13" s="309" t="s">
        <v>238</v>
      </c>
      <c r="K13" s="346"/>
      <c r="L13" s="344" t="s">
        <v>234</v>
      </c>
    </row>
    <row r="14" spans="2:12">
      <c r="B14" s="325">
        <f t="shared" si="0"/>
        <v>11</v>
      </c>
      <c r="C14" s="326" t="s">
        <v>216</v>
      </c>
      <c r="D14" s="327"/>
      <c r="E14" s="309" t="s">
        <v>185</v>
      </c>
      <c r="F14" s="325"/>
      <c r="G14" s="309" t="s">
        <v>210</v>
      </c>
      <c r="H14" s="314">
        <v>45691</v>
      </c>
      <c r="I14" s="314">
        <v>45697</v>
      </c>
      <c r="J14" s="309" t="s">
        <v>232</v>
      </c>
      <c r="K14" s="346"/>
      <c r="L14" s="344" t="s">
        <v>211</v>
      </c>
    </row>
    <row r="15" spans="2:12">
      <c r="B15" s="325">
        <f t="shared" si="0"/>
        <v>12</v>
      </c>
      <c r="C15" s="326" t="s">
        <v>239</v>
      </c>
      <c r="D15" s="327"/>
      <c r="E15" s="309" t="s">
        <v>182</v>
      </c>
      <c r="F15" s="325"/>
      <c r="G15" s="309" t="s">
        <v>210</v>
      </c>
      <c r="H15" s="314">
        <v>45696</v>
      </c>
      <c r="I15" s="314">
        <v>45702</v>
      </c>
      <c r="J15" s="309" t="s">
        <v>232</v>
      </c>
      <c r="K15" s="346"/>
      <c r="L15" s="344" t="s">
        <v>234</v>
      </c>
    </row>
    <row r="16" spans="2:12" ht="39">
      <c r="B16" s="325">
        <f t="shared" si="0"/>
        <v>13</v>
      </c>
      <c r="C16" s="326" t="s">
        <v>240</v>
      </c>
      <c r="D16" s="327"/>
      <c r="E16" s="309" t="s">
        <v>185</v>
      </c>
      <c r="F16" s="325"/>
      <c r="G16" s="309" t="s">
        <v>210</v>
      </c>
      <c r="H16" s="314">
        <v>42046</v>
      </c>
      <c r="I16" s="314">
        <v>45705</v>
      </c>
      <c r="J16" s="309" t="s">
        <v>238</v>
      </c>
      <c r="K16" s="346"/>
      <c r="L16" s="344" t="s">
        <v>234</v>
      </c>
    </row>
    <row r="17" spans="2:12">
      <c r="B17" s="325">
        <f t="shared" si="0"/>
        <v>14</v>
      </c>
      <c r="C17" s="326" t="s">
        <v>241</v>
      </c>
      <c r="D17" s="327"/>
      <c r="E17" s="309" t="s">
        <v>242</v>
      </c>
      <c r="F17" s="325"/>
      <c r="G17" s="309" t="s">
        <v>210</v>
      </c>
      <c r="H17" s="314">
        <v>45701</v>
      </c>
      <c r="I17" s="345"/>
      <c r="J17" s="309" t="s">
        <v>232</v>
      </c>
      <c r="K17" s="346"/>
      <c r="L17" s="347" t="s">
        <v>243</v>
      </c>
    </row>
    <row r="18" spans="2:12" ht="39">
      <c r="B18" s="325">
        <f t="shared" si="0"/>
        <v>15</v>
      </c>
      <c r="C18" s="326" t="s">
        <v>244</v>
      </c>
      <c r="D18" s="327"/>
      <c r="E18" s="309" t="s">
        <v>182</v>
      </c>
      <c r="F18" s="325"/>
      <c r="G18" s="309" t="s">
        <v>210</v>
      </c>
      <c r="H18" s="314">
        <v>45698</v>
      </c>
      <c r="I18" s="345"/>
      <c r="J18" s="309" t="s">
        <v>245</v>
      </c>
      <c r="K18" s="346"/>
      <c r="L18" s="347" t="s">
        <v>246</v>
      </c>
    </row>
    <row r="19" spans="2:12" ht="39">
      <c r="B19" s="325">
        <f t="shared" si="0"/>
        <v>16</v>
      </c>
      <c r="C19" s="326" t="s">
        <v>247</v>
      </c>
      <c r="D19" s="327"/>
      <c r="E19" s="309" t="s">
        <v>248</v>
      </c>
      <c r="F19" s="325"/>
      <c r="G19" s="309" t="s">
        <v>210</v>
      </c>
      <c r="H19" s="314">
        <v>45705</v>
      </c>
      <c r="I19" s="345"/>
      <c r="J19" s="309" t="s">
        <v>249</v>
      </c>
      <c r="K19" s="346"/>
      <c r="L19" s="347" t="s">
        <v>250</v>
      </c>
    </row>
    <row r="20" spans="2:12" ht="39">
      <c r="B20" s="325">
        <f t="shared" si="0"/>
        <v>17</v>
      </c>
      <c r="C20" s="326" t="s">
        <v>251</v>
      </c>
      <c r="D20" s="327"/>
      <c r="E20" s="309" t="s">
        <v>248</v>
      </c>
      <c r="F20" s="325"/>
      <c r="G20" s="309" t="s">
        <v>210</v>
      </c>
      <c r="H20" s="314">
        <v>45705</v>
      </c>
      <c r="I20" s="345"/>
      <c r="J20" s="309" t="s">
        <v>235</v>
      </c>
      <c r="K20" s="346"/>
      <c r="L20" s="347" t="s">
        <v>252</v>
      </c>
    </row>
    <row r="21" spans="2:12" ht="39">
      <c r="B21" s="325">
        <f t="shared" si="0"/>
        <v>18</v>
      </c>
      <c r="C21" s="326" t="s">
        <v>253</v>
      </c>
      <c r="D21" s="327"/>
      <c r="E21" s="309" t="s">
        <v>248</v>
      </c>
      <c r="F21" s="325"/>
      <c r="G21" s="309" t="s">
        <v>210</v>
      </c>
      <c r="H21" s="314">
        <v>45705</v>
      </c>
      <c r="I21" s="345"/>
      <c r="J21" s="309" t="s">
        <v>254</v>
      </c>
      <c r="K21" s="346"/>
      <c r="L21" s="347" t="s">
        <v>252</v>
      </c>
    </row>
    <row r="22" spans="2:12" ht="39">
      <c r="B22" s="325">
        <f t="shared" si="0"/>
        <v>19</v>
      </c>
      <c r="C22" s="326" t="s">
        <v>217</v>
      </c>
      <c r="D22" s="327"/>
      <c r="E22" s="309" t="s">
        <v>182</v>
      </c>
      <c r="F22" s="325"/>
      <c r="G22" s="309" t="s">
        <v>210</v>
      </c>
      <c r="H22" s="336"/>
      <c r="I22" s="345"/>
      <c r="J22" s="309" t="s">
        <v>255</v>
      </c>
      <c r="K22" s="346"/>
      <c r="L22" s="327" t="s">
        <v>256</v>
      </c>
    </row>
    <row r="23" spans="2:12">
      <c r="B23" s="325">
        <f t="shared" si="0"/>
        <v>20</v>
      </c>
      <c r="C23" s="337" t="s">
        <v>257</v>
      </c>
      <c r="D23" s="338"/>
      <c r="E23" s="339"/>
      <c r="F23" s="340"/>
      <c r="G23" s="341"/>
      <c r="H23" s="338"/>
      <c r="I23" s="340"/>
      <c r="J23" s="341"/>
      <c r="K23" s="338"/>
      <c r="L23" s="348"/>
    </row>
    <row r="24" spans="2:12">
      <c r="B24" s="325">
        <f t="shared" si="0"/>
        <v>21</v>
      </c>
      <c r="C24" s="337" t="s">
        <v>258</v>
      </c>
      <c r="D24" s="338"/>
      <c r="E24" s="339"/>
      <c r="F24" s="340"/>
      <c r="G24" s="339"/>
      <c r="H24" s="338"/>
      <c r="I24" s="340"/>
      <c r="J24" s="339"/>
      <c r="K24" s="338"/>
      <c r="L24" s="348"/>
    </row>
    <row r="25" spans="2:12">
      <c r="B25" s="325">
        <f t="shared" si="0"/>
        <v>22</v>
      </c>
      <c r="C25" s="342" t="s">
        <v>259</v>
      </c>
      <c r="D25" s="338"/>
      <c r="E25" s="342"/>
      <c r="F25" s="340"/>
      <c r="G25" s="342"/>
      <c r="H25" s="338"/>
      <c r="I25" s="340"/>
      <c r="J25" s="342"/>
      <c r="K25" s="338"/>
      <c r="L25" s="348"/>
    </row>
    <row r="26" spans="2:12">
      <c r="B26" s="325">
        <f t="shared" si="0"/>
        <v>23</v>
      </c>
      <c r="C26" s="342" t="s">
        <v>260</v>
      </c>
      <c r="D26" s="338"/>
      <c r="E26" s="342"/>
      <c r="F26" s="342"/>
      <c r="G26" s="342"/>
      <c r="H26" s="338"/>
      <c r="I26" s="342"/>
      <c r="J26" s="342"/>
      <c r="K26" s="338"/>
      <c r="L26" s="348"/>
    </row>
    <row r="27" spans="2:12">
      <c r="B27" s="325">
        <f t="shared" si="0"/>
        <v>24</v>
      </c>
      <c r="C27" s="342" t="s">
        <v>261</v>
      </c>
      <c r="D27" s="338"/>
      <c r="E27" s="342"/>
      <c r="F27" s="342"/>
      <c r="G27" s="342"/>
      <c r="H27" s="338"/>
      <c r="I27" s="342"/>
      <c r="J27" s="342"/>
      <c r="K27" s="338"/>
      <c r="L27" s="348"/>
    </row>
    <row r="28" spans="2:12">
      <c r="B28" s="325">
        <f t="shared" si="0"/>
        <v>25</v>
      </c>
      <c r="C28" s="342" t="s">
        <v>262</v>
      </c>
      <c r="D28" s="338"/>
      <c r="E28" s="342"/>
      <c r="F28" s="342"/>
      <c r="G28" s="342"/>
      <c r="H28" s="338"/>
      <c r="I28" s="342"/>
      <c r="J28" s="342"/>
      <c r="K28" s="338"/>
      <c r="L28" s="348"/>
    </row>
    <row r="29" spans="2:12">
      <c r="B29" s="325">
        <f t="shared" si="0"/>
        <v>26</v>
      </c>
      <c r="C29" s="342" t="s">
        <v>263</v>
      </c>
      <c r="D29" s="338"/>
      <c r="E29" s="342"/>
      <c r="F29" s="342"/>
      <c r="G29" s="342"/>
      <c r="H29" s="338"/>
      <c r="I29" s="342"/>
      <c r="J29" s="342"/>
      <c r="K29" s="338"/>
      <c r="L29" s="348"/>
    </row>
  </sheetData>
  <mergeCells count="7">
    <mergeCell ref="H2:K2"/>
    <mergeCell ref="B2:B3"/>
    <mergeCell ref="C2:C3"/>
    <mergeCell ref="D2:D3"/>
    <mergeCell ref="E2:E3"/>
    <mergeCell ref="F2:F3"/>
    <mergeCell ref="G2:G3"/>
  </mergeCells>
  <conditionalFormatting sqref="C2:C3">
    <cfRule type="duplicateValues" dxfId="3441" priority="7"/>
    <cfRule type="duplicateValues" dxfId="3440" priority="8"/>
    <cfRule type="duplicateValues" dxfId="3439" priority="9" stopIfTrue="1"/>
  </conditionalFormatting>
  <conditionalFormatting sqref="C7:C22">
    <cfRule type="duplicateValues" dxfId="3438" priority="22"/>
    <cfRule type="duplicateValues" dxfId="3437" priority="26"/>
    <cfRule type="duplicateValues" dxfId="3436" priority="27" stopIfTrue="1"/>
  </conditionalFormatting>
  <conditionalFormatting sqref="C23:C24">
    <cfRule type="duplicateValues" dxfId="3435" priority="125"/>
  </conditionalFormatting>
  <conditionalFormatting sqref="C23:C29">
    <cfRule type="duplicateValues" dxfId="3434" priority="127" stopIfTrue="1"/>
    <cfRule type="duplicateValues" dxfId="3433" priority="129"/>
  </conditionalFormatting>
  <conditionalFormatting sqref="D4 D6 D5:G5">
    <cfRule type="duplicateValues" dxfId="3432" priority="19"/>
    <cfRule type="duplicateValues" dxfId="3431" priority="20"/>
    <cfRule type="duplicateValues" dxfId="3430" priority="21" stopIfTrue="1"/>
  </conditionalFormatting>
  <conditionalFormatting sqref="E11">
    <cfRule type="duplicateValues" dxfId="3429" priority="13"/>
    <cfRule type="duplicateValues" dxfId="3428" priority="14"/>
    <cfRule type="duplicateValues" dxfId="3427" priority="15" stopIfTrue="1"/>
  </conditionalFormatting>
  <conditionalFormatting sqref="E12">
    <cfRule type="duplicateValues" dxfId="3426" priority="10"/>
    <cfRule type="duplicateValues" dxfId="3425" priority="11"/>
    <cfRule type="duplicateValues" dxfId="3424" priority="12" stopIfTrue="1"/>
  </conditionalFormatting>
  <conditionalFormatting sqref="E17">
    <cfRule type="duplicateValues" dxfId="3423" priority="23"/>
    <cfRule type="duplicateValues" dxfId="3422" priority="24"/>
    <cfRule type="duplicateValues" dxfId="3421" priority="25" stopIfTrue="1"/>
  </conditionalFormatting>
  <conditionalFormatting sqref="E23:E24">
    <cfRule type="duplicateValues" dxfId="3420" priority="119"/>
    <cfRule type="duplicateValues" dxfId="3419" priority="120"/>
    <cfRule type="duplicateValues" dxfId="3418" priority="121" stopIfTrue="1"/>
  </conditionalFormatting>
  <conditionalFormatting sqref="E6:G6">
    <cfRule type="duplicateValues" dxfId="3417" priority="16"/>
    <cfRule type="duplicateValues" dxfId="3416" priority="17"/>
    <cfRule type="duplicateValues" dxfId="3415" priority="18" stopIfTrue="1"/>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V212"/>
  <sheetViews>
    <sheetView topLeftCell="A41" zoomScale="70" zoomScaleNormal="70" zoomScaleSheetLayoutView="70" workbookViewId="0">
      <selection activeCell="N74" sqref="N74"/>
    </sheetView>
  </sheetViews>
  <sheetFormatPr defaultColWidth="9" defaultRowHeight="14.5"/>
  <cols>
    <col min="4" max="4" width="12" customWidth="1"/>
  </cols>
  <sheetData>
    <row r="1" spans="1:22">
      <c r="A1" s="247"/>
      <c r="B1" s="1506" t="s">
        <v>298</v>
      </c>
      <c r="C1" s="1507"/>
      <c r="D1" s="1507"/>
      <c r="E1" s="1507"/>
      <c r="F1" s="1507"/>
      <c r="G1" s="1507"/>
      <c r="H1" s="1507"/>
      <c r="I1" s="1507"/>
      <c r="J1" s="1507"/>
      <c r="K1" s="1507"/>
      <c r="L1" s="1507"/>
      <c r="M1" s="1507"/>
      <c r="N1" s="1507"/>
      <c r="O1" s="1507"/>
      <c r="P1" s="1507"/>
      <c r="Q1" s="1507"/>
      <c r="R1" s="1507"/>
      <c r="S1" s="1507"/>
      <c r="T1" s="1507"/>
      <c r="U1" s="1508"/>
      <c r="V1" s="166"/>
    </row>
    <row r="2" spans="1:22">
      <c r="A2" s="1509" t="s">
        <v>299</v>
      </c>
      <c r="B2" s="1510"/>
      <c r="C2" s="1510"/>
      <c r="D2" s="1510"/>
      <c r="E2" s="1510"/>
      <c r="F2" s="1510"/>
      <c r="G2" s="1510"/>
      <c r="H2" s="1510"/>
      <c r="I2" s="1510"/>
      <c r="J2" s="1510"/>
      <c r="K2" s="1510"/>
      <c r="L2" s="1510"/>
      <c r="M2" s="1510"/>
      <c r="N2" s="1510"/>
      <c r="O2" s="1510"/>
      <c r="P2" s="1510"/>
      <c r="Q2" s="1510"/>
      <c r="R2" s="1510"/>
      <c r="S2" s="1510"/>
      <c r="T2" s="1511"/>
      <c r="U2" s="264"/>
    </row>
    <row r="3" spans="1:22">
      <c r="A3" s="296"/>
      <c r="B3" s="126"/>
      <c r="C3" s="126"/>
      <c r="D3" s="126"/>
      <c r="E3" s="126"/>
      <c r="F3" s="126"/>
      <c r="G3" s="126"/>
      <c r="H3" s="126"/>
      <c r="I3" s="126"/>
      <c r="J3" s="126"/>
      <c r="K3" s="126"/>
      <c r="L3" s="126"/>
      <c r="M3" s="126"/>
      <c r="N3" s="126"/>
      <c r="O3" s="126"/>
      <c r="P3" s="126"/>
      <c r="Q3" s="126"/>
      <c r="R3" s="126"/>
      <c r="S3" s="126"/>
      <c r="T3" s="126"/>
      <c r="U3" s="262"/>
    </row>
    <row r="4" spans="1:22">
      <c r="A4" s="1500" t="s">
        <v>300</v>
      </c>
      <c r="B4" s="1501"/>
      <c r="C4" s="127"/>
      <c r="D4" s="1502" t="s">
        <v>301</v>
      </c>
      <c r="E4" s="1503"/>
      <c r="F4" s="1495" t="s">
        <v>302</v>
      </c>
      <c r="G4" s="1496" t="s">
        <v>303</v>
      </c>
      <c r="H4" s="1496" t="s">
        <v>304</v>
      </c>
      <c r="I4" s="1496"/>
      <c r="J4" s="1496"/>
      <c r="K4" s="128" t="s">
        <v>305</v>
      </c>
      <c r="L4" s="1512" t="s">
        <v>306</v>
      </c>
      <c r="M4" s="1513"/>
      <c r="N4" s="1514"/>
      <c r="O4" s="1496" t="s">
        <v>307</v>
      </c>
      <c r="P4" s="1496"/>
      <c r="Q4" s="1496"/>
      <c r="R4" s="1515"/>
      <c r="S4" s="1515"/>
      <c r="T4" s="1515"/>
      <c r="U4" s="264"/>
    </row>
    <row r="5" spans="1:22">
      <c r="A5" s="1500"/>
      <c r="B5" s="1501"/>
      <c r="C5" s="127"/>
      <c r="D5" s="1504"/>
      <c r="E5" s="1505"/>
      <c r="F5" s="1495"/>
      <c r="G5" s="1496"/>
      <c r="H5" s="128" t="s">
        <v>308</v>
      </c>
      <c r="I5" s="128" t="s">
        <v>278</v>
      </c>
      <c r="J5" s="128" t="s">
        <v>309</v>
      </c>
      <c r="K5" s="128" t="s">
        <v>308</v>
      </c>
      <c r="L5" s="128" t="s">
        <v>308</v>
      </c>
      <c r="M5" s="128" t="s">
        <v>278</v>
      </c>
      <c r="N5" s="128" t="s">
        <v>309</v>
      </c>
      <c r="O5" s="128" t="s">
        <v>308</v>
      </c>
      <c r="P5" s="128" t="s">
        <v>278</v>
      </c>
      <c r="Q5" s="128" t="s">
        <v>309</v>
      </c>
      <c r="R5" s="165"/>
      <c r="S5" s="165"/>
      <c r="T5" s="165"/>
      <c r="U5" s="264"/>
    </row>
    <row r="6" spans="1:22">
      <c r="A6" s="297"/>
      <c r="B6" s="127"/>
      <c r="C6" s="127"/>
      <c r="D6" s="1493"/>
      <c r="E6" s="1494"/>
      <c r="F6" s="130">
        <v>163</v>
      </c>
      <c r="G6" s="131">
        <v>50.886000000000003</v>
      </c>
      <c r="H6" s="130">
        <v>16</v>
      </c>
      <c r="I6" s="130">
        <v>5</v>
      </c>
      <c r="J6" s="130">
        <f>F6-H6-I6</f>
        <v>142</v>
      </c>
      <c r="K6" s="130">
        <v>10</v>
      </c>
      <c r="L6" s="130"/>
      <c r="M6" s="130"/>
      <c r="N6" s="130">
        <f>F6-L6</f>
        <v>163</v>
      </c>
      <c r="O6" s="130"/>
      <c r="P6" s="130"/>
      <c r="Q6" s="168">
        <f>G6-O6</f>
        <v>50.886000000000003</v>
      </c>
      <c r="R6" s="165"/>
      <c r="S6" s="165"/>
      <c r="T6" s="169"/>
      <c r="U6" s="264"/>
    </row>
    <row r="7" spans="1:22">
      <c r="A7" s="209"/>
      <c r="B7" s="133"/>
      <c r="C7" s="133"/>
      <c r="D7" s="133"/>
      <c r="E7" s="133"/>
      <c r="F7" s="133"/>
      <c r="G7" s="133"/>
      <c r="H7" s="133"/>
      <c r="I7" s="133"/>
      <c r="J7" s="133"/>
      <c r="K7" s="133"/>
      <c r="L7" s="133"/>
      <c r="M7" s="133"/>
      <c r="N7" s="133"/>
      <c r="O7" s="133"/>
      <c r="P7" s="133"/>
      <c r="Q7" s="133"/>
      <c r="R7" s="133"/>
      <c r="S7" s="133"/>
      <c r="T7" s="133"/>
      <c r="U7" s="236"/>
    </row>
    <row r="8" spans="1:22">
      <c r="A8" s="209"/>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236"/>
    </row>
    <row r="9" spans="1:22">
      <c r="A9" s="209"/>
      <c r="B9" s="133"/>
      <c r="C9" s="133"/>
      <c r="D9" s="133"/>
      <c r="E9" s="133"/>
      <c r="F9" s="133"/>
      <c r="G9" s="133"/>
      <c r="H9" s="133"/>
      <c r="I9" s="133"/>
      <c r="J9" s="133"/>
      <c r="K9" s="133"/>
      <c r="L9" s="133"/>
      <c r="M9" s="133"/>
      <c r="N9" s="133"/>
      <c r="O9" s="133"/>
      <c r="P9" s="133"/>
      <c r="Q9" s="133"/>
      <c r="R9" s="133"/>
      <c r="S9" s="133"/>
      <c r="T9" s="133"/>
      <c r="U9" s="236"/>
    </row>
    <row r="10" spans="1:22">
      <c r="A10" s="298"/>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265">
        <f>B10+F10+H10+J10+L10+D10+N10+P10+R10+T10</f>
        <v>3579.85</v>
      </c>
    </row>
    <row r="11" spans="1:22">
      <c r="A11" s="299"/>
      <c r="B11" s="137"/>
      <c r="C11" s="138"/>
      <c r="D11" s="139"/>
      <c r="E11" s="138"/>
      <c r="F11" s="133"/>
      <c r="G11" s="140"/>
      <c r="H11" s="139"/>
      <c r="I11" s="140"/>
      <c r="J11" s="139"/>
      <c r="K11" s="140"/>
      <c r="L11" s="139"/>
      <c r="M11" s="140"/>
      <c r="N11" s="139"/>
      <c r="O11" s="140"/>
      <c r="P11" s="139"/>
      <c r="Q11" s="140"/>
      <c r="R11" s="139"/>
      <c r="S11" s="140"/>
      <c r="T11" s="162"/>
      <c r="U11" s="265"/>
    </row>
    <row r="12" spans="1:22">
      <c r="A12" s="209"/>
      <c r="B12" s="133"/>
      <c r="C12" s="141"/>
      <c r="D12" s="139"/>
      <c r="E12" s="141"/>
      <c r="F12" s="133"/>
      <c r="G12" s="141"/>
      <c r="H12" s="139"/>
      <c r="I12" s="141"/>
      <c r="J12" s="139"/>
      <c r="K12" s="141"/>
      <c r="L12" s="139"/>
      <c r="M12" s="141"/>
      <c r="N12" s="139"/>
      <c r="O12" s="141"/>
      <c r="P12" s="139"/>
      <c r="Q12" s="141"/>
      <c r="R12" s="139"/>
      <c r="S12" s="141"/>
      <c r="T12" s="162"/>
      <c r="U12" s="236"/>
    </row>
    <row r="13" spans="1:22">
      <c r="A13" s="300"/>
      <c r="B13" s="143"/>
      <c r="C13" s="144" t="s">
        <v>310</v>
      </c>
      <c r="D13" s="145"/>
      <c r="E13" s="384" t="s">
        <v>272</v>
      </c>
      <c r="F13" s="145"/>
      <c r="G13" s="384" t="s">
        <v>273</v>
      </c>
      <c r="H13" s="145"/>
      <c r="I13" s="384" t="s">
        <v>311</v>
      </c>
      <c r="J13" s="133"/>
      <c r="K13" s="144" t="s">
        <v>312</v>
      </c>
      <c r="L13" s="133"/>
      <c r="M13" s="384" t="s">
        <v>313</v>
      </c>
      <c r="N13" s="133"/>
      <c r="O13" s="144" t="s">
        <v>314</v>
      </c>
      <c r="P13" s="133"/>
      <c r="Q13" s="144" t="s">
        <v>315</v>
      </c>
      <c r="R13" s="133"/>
      <c r="S13" s="384" t="s">
        <v>316</v>
      </c>
      <c r="T13" s="133"/>
      <c r="U13" s="236"/>
    </row>
    <row r="14" spans="1:22">
      <c r="A14" s="301"/>
      <c r="B14" s="143"/>
      <c r="C14" s="147" t="s">
        <v>117</v>
      </c>
      <c r="D14" s="148"/>
      <c r="E14" s="148" t="s">
        <v>317</v>
      </c>
      <c r="F14" s="148"/>
      <c r="G14" s="149" t="s">
        <v>296</v>
      </c>
      <c r="H14" s="148"/>
      <c r="I14" s="149" t="s">
        <v>317</v>
      </c>
      <c r="J14" s="149"/>
      <c r="K14" s="147" t="s">
        <v>119</v>
      </c>
      <c r="L14" s="149"/>
      <c r="M14" s="149" t="s">
        <v>318</v>
      </c>
      <c r="N14" s="149"/>
      <c r="O14" s="147" t="s">
        <v>125</v>
      </c>
      <c r="P14" s="149"/>
      <c r="Q14" s="147" t="s">
        <v>319</v>
      </c>
      <c r="R14" s="149"/>
      <c r="S14" s="149" t="s">
        <v>317</v>
      </c>
      <c r="T14" s="133"/>
      <c r="U14" s="236"/>
    </row>
    <row r="15" spans="1:22">
      <c r="A15" s="302"/>
      <c r="B15" s="255"/>
      <c r="C15" s="255"/>
      <c r="D15" s="255"/>
      <c r="E15" s="255"/>
      <c r="F15" s="255"/>
      <c r="G15" s="255"/>
      <c r="H15" s="255"/>
      <c r="I15" s="255"/>
      <c r="J15" s="255"/>
      <c r="K15" s="306" t="s">
        <v>220</v>
      </c>
      <c r="L15" s="255"/>
      <c r="M15" s="306" t="s">
        <v>220</v>
      </c>
      <c r="N15" s="255"/>
      <c r="O15" s="255"/>
      <c r="P15" s="255"/>
      <c r="Q15" s="255"/>
      <c r="R15" s="255"/>
      <c r="S15" s="255"/>
      <c r="T15" s="224"/>
      <c r="U15" s="244"/>
    </row>
    <row r="16" spans="1:22">
      <c r="A16" s="303"/>
      <c r="B16" s="149"/>
      <c r="C16" s="149"/>
      <c r="D16" s="149"/>
      <c r="E16" s="149"/>
      <c r="F16" s="149"/>
      <c r="G16" s="149"/>
      <c r="H16" s="149"/>
      <c r="I16" s="149"/>
      <c r="J16" s="149"/>
      <c r="K16" s="149"/>
      <c r="L16" s="149"/>
      <c r="M16" s="149"/>
      <c r="N16" s="149"/>
      <c r="O16" s="149"/>
      <c r="P16" s="149"/>
      <c r="Q16" s="149"/>
      <c r="R16" s="149"/>
      <c r="S16" s="149"/>
      <c r="T16" s="149"/>
      <c r="U16" s="133"/>
      <c r="V16" s="170"/>
    </row>
    <row r="17" spans="1:22">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170"/>
    </row>
    <row r="18" spans="1:22">
      <c r="A18" s="209"/>
      <c r="B18" s="149"/>
      <c r="C18" s="149"/>
      <c r="D18" s="149"/>
      <c r="E18" s="149"/>
      <c r="F18" s="149"/>
      <c r="G18" s="149"/>
      <c r="H18" s="149"/>
      <c r="I18" s="149"/>
      <c r="J18" s="149"/>
      <c r="K18" s="149"/>
      <c r="L18" s="149"/>
      <c r="M18" s="149"/>
      <c r="N18" s="149"/>
      <c r="O18" s="149"/>
      <c r="P18" s="149"/>
      <c r="Q18" s="149"/>
      <c r="R18" s="149"/>
      <c r="S18" s="149"/>
      <c r="T18" s="149"/>
      <c r="U18" s="133"/>
      <c r="V18" s="170"/>
    </row>
    <row r="19" spans="1:22">
      <c r="A19" s="209"/>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171">
        <f>C19+G19+I19+K19+M19+E19+O19+Q19+S19+U19</f>
        <v>3657.95</v>
      </c>
    </row>
    <row r="20" spans="1:22">
      <c r="A20" s="209"/>
      <c r="B20" s="140"/>
      <c r="C20" s="139"/>
      <c r="D20" s="140"/>
      <c r="E20" s="139"/>
      <c r="F20" s="140"/>
      <c r="G20" s="133"/>
      <c r="H20" s="140"/>
      <c r="I20" s="139"/>
      <c r="J20" s="140"/>
      <c r="K20" s="139"/>
      <c r="L20" s="140"/>
      <c r="M20" s="139"/>
      <c r="N20" s="140"/>
      <c r="O20" s="139"/>
      <c r="P20" s="140"/>
      <c r="Q20" s="139"/>
      <c r="R20" s="140"/>
      <c r="S20" s="139"/>
      <c r="T20" s="140"/>
      <c r="U20" s="162"/>
      <c r="V20" s="171"/>
    </row>
    <row r="21" spans="1:22">
      <c r="A21" s="209"/>
      <c r="B21" s="141"/>
      <c r="C21" s="139"/>
      <c r="D21" s="141"/>
      <c r="E21" s="139"/>
      <c r="F21" s="141"/>
      <c r="G21" s="133"/>
      <c r="H21" s="141"/>
      <c r="I21" s="139"/>
      <c r="J21" s="141"/>
      <c r="K21" s="139"/>
      <c r="L21" s="141"/>
      <c r="M21" s="139"/>
      <c r="N21" s="141"/>
      <c r="O21" s="139"/>
      <c r="P21" s="141"/>
      <c r="Q21" s="139"/>
      <c r="R21" s="141"/>
      <c r="S21" s="139"/>
      <c r="T21" s="141"/>
      <c r="U21" s="162"/>
      <c r="V21" s="170"/>
    </row>
    <row r="22" spans="1:22">
      <c r="A22" s="209"/>
      <c r="B22" s="385" t="s">
        <v>320</v>
      </c>
      <c r="C22" s="133"/>
      <c r="D22" s="385" t="s">
        <v>321</v>
      </c>
      <c r="E22" s="133"/>
      <c r="F22" s="144" t="s">
        <v>322</v>
      </c>
      <c r="G22" s="133"/>
      <c r="H22" s="144" t="s">
        <v>323</v>
      </c>
      <c r="I22" s="133"/>
      <c r="J22" s="144" t="s">
        <v>324</v>
      </c>
      <c r="K22" s="133"/>
      <c r="L22" s="385" t="s">
        <v>325</v>
      </c>
      <c r="M22" s="133"/>
      <c r="N22" s="144" t="s">
        <v>326</v>
      </c>
      <c r="O22" s="133"/>
      <c r="P22" s="385" t="s">
        <v>327</v>
      </c>
      <c r="Q22" s="133"/>
      <c r="R22" s="385" t="s">
        <v>328</v>
      </c>
      <c r="S22" s="133"/>
      <c r="T22" s="144" t="s">
        <v>329</v>
      </c>
      <c r="U22" s="133"/>
      <c r="V22" s="144"/>
    </row>
    <row r="23" spans="1:22">
      <c r="A23" s="209"/>
      <c r="B23" s="133" t="s">
        <v>318</v>
      </c>
      <c r="C23" s="133"/>
      <c r="D23" s="133" t="s">
        <v>317</v>
      </c>
      <c r="E23" s="133"/>
      <c r="F23" s="144" t="s">
        <v>117</v>
      </c>
      <c r="G23" s="133"/>
      <c r="H23" s="144" t="s">
        <v>330</v>
      </c>
      <c r="I23" s="133"/>
      <c r="J23" s="144" t="s">
        <v>132</v>
      </c>
      <c r="K23" s="133"/>
      <c r="L23" s="145" t="s">
        <v>182</v>
      </c>
      <c r="M23" s="133"/>
      <c r="N23" s="144" t="s">
        <v>132</v>
      </c>
      <c r="O23" s="133"/>
      <c r="P23" s="145" t="s">
        <v>242</v>
      </c>
      <c r="Q23" s="133"/>
      <c r="R23" s="145" t="s">
        <v>242</v>
      </c>
      <c r="S23" s="133"/>
      <c r="T23" s="144" t="s">
        <v>330</v>
      </c>
      <c r="U23" s="133"/>
      <c r="V23" s="144"/>
    </row>
    <row r="24" spans="1:22">
      <c r="A24" s="209"/>
      <c r="B24" s="144" t="s">
        <v>331</v>
      </c>
      <c r="C24" s="133"/>
      <c r="D24" s="144" t="s">
        <v>220</v>
      </c>
      <c r="E24" s="133"/>
      <c r="F24" s="144" t="s">
        <v>220</v>
      </c>
      <c r="G24" s="133"/>
      <c r="H24" s="144" t="s">
        <v>331</v>
      </c>
      <c r="I24" s="133"/>
      <c r="J24" s="133"/>
      <c r="K24" s="133"/>
      <c r="L24" s="144" t="s">
        <v>332</v>
      </c>
      <c r="M24" s="133"/>
      <c r="N24" s="133"/>
      <c r="O24" s="133"/>
      <c r="P24" s="160"/>
      <c r="Q24" s="133"/>
      <c r="R24" s="144" t="s">
        <v>331</v>
      </c>
      <c r="S24" s="133"/>
      <c r="T24" s="144" t="s">
        <v>331</v>
      </c>
      <c r="U24" s="143"/>
      <c r="V24" s="170"/>
    </row>
    <row r="25" spans="1:22">
      <c r="A25" s="209"/>
      <c r="B25" s="133"/>
      <c r="C25" s="133"/>
      <c r="D25" s="133"/>
      <c r="E25" s="133"/>
      <c r="F25" s="133"/>
      <c r="G25" s="133"/>
      <c r="H25" s="133"/>
      <c r="I25" s="133"/>
      <c r="J25" s="133"/>
      <c r="K25" s="133"/>
      <c r="L25" s="133"/>
      <c r="M25" s="133"/>
      <c r="N25" s="133"/>
      <c r="O25" s="133"/>
      <c r="P25" s="133"/>
      <c r="Q25" s="133"/>
      <c r="R25" s="133"/>
      <c r="S25" s="133"/>
      <c r="T25" s="133"/>
      <c r="U25" s="133"/>
      <c r="V25" s="170"/>
    </row>
    <row r="26" spans="1:22">
      <c r="A26" s="209"/>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170"/>
    </row>
    <row r="27" spans="1:22">
      <c r="A27" s="209"/>
      <c r="B27" s="133"/>
      <c r="C27" s="133"/>
      <c r="D27" s="133"/>
      <c r="E27" s="133"/>
      <c r="F27" s="133"/>
      <c r="G27" s="133"/>
      <c r="H27" s="133"/>
      <c r="I27" s="133"/>
      <c r="J27" s="133"/>
      <c r="K27" s="133"/>
      <c r="L27" s="133"/>
      <c r="M27" s="133"/>
      <c r="N27" s="133"/>
      <c r="O27" s="133"/>
      <c r="P27" s="133"/>
      <c r="Q27" s="133"/>
      <c r="R27" s="133"/>
      <c r="S27" s="133"/>
      <c r="T27" s="133"/>
      <c r="U27" s="133"/>
      <c r="V27" s="170"/>
    </row>
    <row r="28" spans="1:22">
      <c r="A28" s="209"/>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171">
        <f>C28+G28+I28+K28+M28+E28+O28+Q28+S28+U28</f>
        <v>3669.36</v>
      </c>
    </row>
    <row r="29" spans="1:22">
      <c r="A29" s="209"/>
      <c r="B29" s="138"/>
      <c r="C29" s="139"/>
      <c r="D29" s="140"/>
      <c r="E29" s="139"/>
      <c r="F29" s="140"/>
      <c r="G29" s="133"/>
      <c r="H29" s="140"/>
      <c r="I29" s="139"/>
      <c r="J29" s="140"/>
      <c r="K29" s="139"/>
      <c r="L29" s="140"/>
      <c r="M29" s="139"/>
      <c r="N29" s="138"/>
      <c r="O29" s="139"/>
      <c r="P29" s="140"/>
      <c r="Q29" s="139"/>
      <c r="R29" s="138"/>
      <c r="S29" s="139"/>
      <c r="T29" s="140"/>
      <c r="U29" s="162"/>
      <c r="V29" s="171"/>
    </row>
    <row r="30" spans="1:22">
      <c r="A30" s="209"/>
      <c r="B30" s="141"/>
      <c r="C30" s="139"/>
      <c r="D30" s="141"/>
      <c r="E30" s="139"/>
      <c r="F30" s="141"/>
      <c r="G30" s="133"/>
      <c r="H30" s="141"/>
      <c r="I30" s="139"/>
      <c r="J30" s="141"/>
      <c r="K30" s="139"/>
      <c r="L30" s="141"/>
      <c r="M30" s="139"/>
      <c r="N30" s="141"/>
      <c r="O30" s="139"/>
      <c r="P30" s="141"/>
      <c r="Q30" s="139"/>
      <c r="R30" s="141"/>
      <c r="S30" s="139"/>
      <c r="T30" s="141"/>
      <c r="U30" s="162"/>
      <c r="V30" s="170"/>
    </row>
    <row r="31" spans="1:22">
      <c r="A31" s="209"/>
      <c r="B31" s="144" t="s">
        <v>333</v>
      </c>
      <c r="C31" s="133"/>
      <c r="D31" s="144" t="s">
        <v>334</v>
      </c>
      <c r="E31" s="133"/>
      <c r="F31" s="385" t="s">
        <v>335</v>
      </c>
      <c r="G31" s="133"/>
      <c r="H31" s="144" t="s">
        <v>336</v>
      </c>
      <c r="I31" s="133"/>
      <c r="J31" s="385" t="s">
        <v>337</v>
      </c>
      <c r="K31" s="133"/>
      <c r="L31" s="385" t="s">
        <v>338</v>
      </c>
      <c r="M31" s="133"/>
      <c r="N31" s="385" t="s">
        <v>339</v>
      </c>
      <c r="O31" s="133"/>
      <c r="P31" s="144" t="s">
        <v>340</v>
      </c>
      <c r="Q31" s="133"/>
      <c r="R31" s="385" t="s">
        <v>281</v>
      </c>
      <c r="S31" s="133"/>
      <c r="T31" s="144" t="s">
        <v>341</v>
      </c>
      <c r="U31" s="133"/>
      <c r="V31" s="304"/>
    </row>
    <row r="32" spans="1:22">
      <c r="A32" s="209"/>
      <c r="B32" s="144" t="s">
        <v>330</v>
      </c>
      <c r="C32" s="133"/>
      <c r="D32" s="144" t="s">
        <v>342</v>
      </c>
      <c r="E32" s="133"/>
      <c r="F32" s="145" t="s">
        <v>182</v>
      </c>
      <c r="G32" s="133"/>
      <c r="H32" s="144" t="s">
        <v>343</v>
      </c>
      <c r="I32" s="133"/>
      <c r="J32" s="145" t="s">
        <v>248</v>
      </c>
      <c r="K32" s="133"/>
      <c r="L32" s="145" t="s">
        <v>182</v>
      </c>
      <c r="M32" s="133"/>
      <c r="N32" s="145" t="s">
        <v>248</v>
      </c>
      <c r="O32" s="133"/>
      <c r="P32" s="144" t="s">
        <v>319</v>
      </c>
      <c r="Q32" s="133"/>
      <c r="R32" s="145" t="s">
        <v>248</v>
      </c>
      <c r="S32" s="133"/>
      <c r="T32" s="144" t="s">
        <v>344</v>
      </c>
      <c r="U32" s="133"/>
      <c r="V32" s="145"/>
    </row>
    <row r="33" spans="1:22">
      <c r="A33" s="209"/>
      <c r="B33" s="133"/>
      <c r="C33" s="133"/>
      <c r="D33" s="133"/>
      <c r="E33" s="133"/>
      <c r="F33" s="144" t="s">
        <v>345</v>
      </c>
      <c r="G33" s="133"/>
      <c r="H33" s="144"/>
      <c r="I33" s="133"/>
      <c r="J33" s="155"/>
      <c r="K33" s="155"/>
      <c r="L33" s="155"/>
      <c r="M33" s="155"/>
      <c r="N33" s="144" t="s">
        <v>220</v>
      </c>
      <c r="O33" s="155"/>
      <c r="P33" s="155"/>
      <c r="Q33" s="155"/>
      <c r="R33" s="155"/>
      <c r="S33" s="155"/>
      <c r="T33" s="155"/>
      <c r="U33" s="133"/>
      <c r="V33" s="170"/>
    </row>
    <row r="34" spans="1:22">
      <c r="A34" s="209"/>
      <c r="B34" s="133"/>
      <c r="C34" s="133"/>
      <c r="D34" s="133"/>
      <c r="E34" s="133"/>
      <c r="F34" s="133"/>
      <c r="G34" s="133"/>
      <c r="H34" s="133"/>
      <c r="I34" s="133"/>
      <c r="J34" s="133"/>
      <c r="K34" s="133"/>
      <c r="L34" s="133"/>
      <c r="M34" s="133"/>
      <c r="N34" s="133"/>
      <c r="O34" s="133"/>
      <c r="P34" s="133"/>
      <c r="Q34" s="133"/>
      <c r="R34" s="133"/>
      <c r="S34" s="133"/>
      <c r="T34" s="133"/>
      <c r="U34" s="133"/>
      <c r="V34" s="170"/>
    </row>
    <row r="35" spans="1:22">
      <c r="A35" s="209"/>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170"/>
    </row>
    <row r="36" spans="1:22">
      <c r="A36" s="209"/>
      <c r="B36" s="133"/>
      <c r="C36" s="133"/>
      <c r="D36" s="133"/>
      <c r="E36" s="133"/>
      <c r="F36" s="133"/>
      <c r="G36" s="133"/>
      <c r="H36" s="133"/>
      <c r="I36" s="133"/>
      <c r="J36" s="133"/>
      <c r="K36" s="133"/>
      <c r="L36" s="133"/>
      <c r="M36" s="133"/>
      <c r="N36" s="133"/>
      <c r="O36" s="133"/>
      <c r="P36" s="133"/>
      <c r="Q36" s="133"/>
      <c r="R36" s="133"/>
      <c r="S36" s="133"/>
      <c r="T36" s="149"/>
      <c r="U36" s="149"/>
      <c r="V36" s="170"/>
    </row>
    <row r="37" spans="1:22">
      <c r="A37" s="209"/>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56"/>
      <c r="U37" s="156">
        <v>423.77</v>
      </c>
      <c r="V37" s="171" t="e">
        <f>C37+G37+I37+K37+M37+E37+#REF!+O37+Q37+#REF!</f>
        <v>#REF!</v>
      </c>
    </row>
    <row r="38" spans="1:22">
      <c r="A38" s="209"/>
      <c r="B38" s="140"/>
      <c r="C38" s="139"/>
      <c r="D38" s="140"/>
      <c r="E38" s="139"/>
      <c r="F38" s="140"/>
      <c r="G38" s="133"/>
      <c r="H38" s="140"/>
      <c r="I38" s="139"/>
      <c r="J38" s="140"/>
      <c r="K38" s="139"/>
      <c r="L38" s="140"/>
      <c r="M38" s="139"/>
      <c r="N38" s="140"/>
      <c r="O38" s="137"/>
      <c r="P38" s="140"/>
      <c r="Q38" s="162"/>
      <c r="R38" s="181"/>
      <c r="S38" s="133"/>
      <c r="T38" s="181"/>
      <c r="U38" s="133"/>
      <c r="V38" s="171"/>
    </row>
    <row r="39" spans="1:22">
      <c r="A39" s="209"/>
      <c r="B39" s="141"/>
      <c r="C39" s="139"/>
      <c r="D39" s="141"/>
      <c r="E39" s="139"/>
      <c r="F39" s="141"/>
      <c r="G39" s="133"/>
      <c r="H39" s="141"/>
      <c r="I39" s="139"/>
      <c r="J39" s="141"/>
      <c r="K39" s="139"/>
      <c r="L39" s="141"/>
      <c r="M39" s="139"/>
      <c r="N39" s="141"/>
      <c r="O39" s="137"/>
      <c r="P39" s="141"/>
      <c r="Q39" s="162"/>
      <c r="R39" s="182"/>
      <c r="S39" s="133"/>
      <c r="T39" s="182"/>
      <c r="U39" s="133"/>
      <c r="V39" s="170"/>
    </row>
    <row r="40" spans="1:22">
      <c r="A40" s="209"/>
      <c r="B40" s="385" t="s">
        <v>346</v>
      </c>
      <c r="C40" s="133"/>
      <c r="D40" s="385" t="s">
        <v>347</v>
      </c>
      <c r="E40" s="133"/>
      <c r="F40" s="385" t="s">
        <v>348</v>
      </c>
      <c r="G40" s="133"/>
      <c r="H40" s="385" t="s">
        <v>282</v>
      </c>
      <c r="I40" s="133"/>
      <c r="J40" s="385" t="s">
        <v>283</v>
      </c>
      <c r="K40" s="133"/>
      <c r="L40" s="144" t="s">
        <v>349</v>
      </c>
      <c r="M40" s="133"/>
      <c r="N40" s="385" t="s">
        <v>350</v>
      </c>
      <c r="O40" s="133"/>
      <c r="P40" s="144" t="s">
        <v>351</v>
      </c>
      <c r="Q40" s="133"/>
      <c r="R40" s="385" t="s">
        <v>352</v>
      </c>
      <c r="S40" s="133"/>
      <c r="T40" s="385" t="s">
        <v>353</v>
      </c>
      <c r="U40" s="133"/>
      <c r="V40" s="170"/>
    </row>
    <row r="41" spans="1:22">
      <c r="A41" s="209"/>
      <c r="B41" s="145" t="s">
        <v>182</v>
      </c>
      <c r="C41" s="149"/>
      <c r="D41" s="148" t="s">
        <v>182</v>
      </c>
      <c r="E41" s="149"/>
      <c r="F41" s="148" t="s">
        <v>295</v>
      </c>
      <c r="G41" s="149"/>
      <c r="H41" s="148" t="s">
        <v>318</v>
      </c>
      <c r="I41" s="149"/>
      <c r="J41" s="148" t="s">
        <v>318</v>
      </c>
      <c r="K41" s="149"/>
      <c r="L41" s="147" t="s">
        <v>319</v>
      </c>
      <c r="M41" s="149"/>
      <c r="N41" s="148" t="s">
        <v>182</v>
      </c>
      <c r="O41" s="149"/>
      <c r="P41" s="147" t="s">
        <v>342</v>
      </c>
      <c r="Q41" s="149"/>
      <c r="R41" s="148" t="s">
        <v>248</v>
      </c>
      <c r="S41" s="133"/>
      <c r="T41" s="148" t="s">
        <v>248</v>
      </c>
      <c r="U41" s="133"/>
      <c r="V41" s="170"/>
    </row>
    <row r="42" spans="1:22">
      <c r="A42" s="209"/>
      <c r="B42" s="154" t="s">
        <v>220</v>
      </c>
      <c r="C42" s="155"/>
      <c r="D42" s="155"/>
      <c r="E42" s="155"/>
      <c r="F42" s="154" t="s">
        <v>220</v>
      </c>
      <c r="G42" s="155"/>
      <c r="H42" s="155"/>
      <c r="I42" s="155"/>
      <c r="J42" s="155"/>
      <c r="K42" s="155"/>
      <c r="L42" s="155"/>
      <c r="M42" s="155"/>
      <c r="N42" s="155"/>
      <c r="O42" s="155"/>
      <c r="P42" s="144" t="s">
        <v>331</v>
      </c>
      <c r="Q42" s="155"/>
      <c r="R42" s="155"/>
      <c r="S42" s="133"/>
      <c r="T42" s="154" t="s">
        <v>220</v>
      </c>
      <c r="U42" s="133"/>
      <c r="V42" s="170"/>
    </row>
    <row r="43" spans="1:22">
      <c r="A43" s="209"/>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row>
    <row r="44" spans="1:22">
      <c r="A44" s="209"/>
      <c r="B44" s="149"/>
      <c r="C44" s="149"/>
      <c r="D44" s="149"/>
      <c r="E44" s="149"/>
      <c r="F44" s="149"/>
      <c r="G44" s="149"/>
      <c r="H44" s="149"/>
      <c r="I44" s="149"/>
      <c r="J44" s="149"/>
      <c r="K44" s="149"/>
      <c r="L44" s="149"/>
      <c r="M44" s="149"/>
      <c r="N44" s="149"/>
      <c r="O44" s="149"/>
      <c r="P44" s="149"/>
      <c r="Q44" s="149"/>
      <c r="R44" s="149"/>
      <c r="S44" s="149"/>
      <c r="T44" s="149"/>
      <c r="U44" s="149"/>
    </row>
    <row r="45" spans="1:22">
      <c r="A45" s="209"/>
      <c r="B45" s="156"/>
      <c r="C45" s="156">
        <v>407.9</v>
      </c>
      <c r="D45" s="149"/>
      <c r="E45" s="156">
        <v>426.63</v>
      </c>
      <c r="F45" s="149"/>
      <c r="G45" s="156">
        <v>392.27</v>
      </c>
      <c r="H45" s="149"/>
      <c r="I45" s="156">
        <v>431.96</v>
      </c>
      <c r="J45" s="156"/>
      <c r="K45" s="156">
        <v>426.02</v>
      </c>
      <c r="L45" s="149"/>
      <c r="M45" s="156">
        <v>405.36</v>
      </c>
      <c r="N45" s="156"/>
      <c r="O45" s="156">
        <v>411.93</v>
      </c>
      <c r="P45" s="156"/>
      <c r="Q45" s="156">
        <v>423.77</v>
      </c>
      <c r="R45" s="156"/>
      <c r="S45" s="156">
        <v>407.9</v>
      </c>
      <c r="T45" s="149"/>
      <c r="U45" s="156">
        <v>426.63</v>
      </c>
    </row>
    <row r="46" spans="1:22">
      <c r="A46" s="209"/>
      <c r="B46" s="157" t="s">
        <v>354</v>
      </c>
      <c r="C46" s="139"/>
      <c r="D46" s="305" t="s">
        <v>278</v>
      </c>
      <c r="E46" s="133"/>
      <c r="F46" s="140"/>
      <c r="G46" s="139"/>
      <c r="H46" s="140"/>
      <c r="I46" s="139"/>
      <c r="J46" s="140"/>
      <c r="K46" s="139"/>
      <c r="L46" s="140"/>
      <c r="M46" s="139"/>
      <c r="N46" s="140"/>
      <c r="O46" s="139"/>
      <c r="P46" s="140"/>
      <c r="Q46" s="137"/>
      <c r="R46" s="157" t="s">
        <v>354</v>
      </c>
      <c r="S46" s="139"/>
      <c r="T46" s="157" t="s">
        <v>354</v>
      </c>
      <c r="U46" s="133"/>
    </row>
    <row r="47" spans="1:22">
      <c r="A47" s="209"/>
      <c r="B47" s="141"/>
      <c r="C47" s="139"/>
      <c r="D47" s="141"/>
      <c r="E47" s="133"/>
      <c r="F47" s="141"/>
      <c r="G47" s="139"/>
      <c r="H47" s="141"/>
      <c r="I47" s="139"/>
      <c r="J47" s="141"/>
      <c r="K47" s="139"/>
      <c r="L47" s="141"/>
      <c r="M47" s="139"/>
      <c r="N47" s="141"/>
      <c r="O47" s="139"/>
      <c r="P47" s="141"/>
      <c r="Q47" s="137"/>
      <c r="R47" s="141"/>
      <c r="S47" s="139"/>
      <c r="T47" s="141"/>
      <c r="U47" s="133"/>
      <c r="V47" s="170"/>
    </row>
    <row r="48" spans="1:22">
      <c r="A48" s="209"/>
      <c r="B48" s="385" t="s">
        <v>274</v>
      </c>
      <c r="C48" s="133"/>
      <c r="D48" s="385" t="s">
        <v>275</v>
      </c>
      <c r="E48" s="133"/>
      <c r="F48" s="385" t="s">
        <v>355</v>
      </c>
      <c r="G48" s="133"/>
      <c r="H48" s="385" t="s">
        <v>284</v>
      </c>
      <c r="I48" s="133"/>
      <c r="J48" s="385" t="s">
        <v>285</v>
      </c>
      <c r="K48" s="133"/>
      <c r="L48" s="144" t="s">
        <v>356</v>
      </c>
      <c r="M48" s="133"/>
      <c r="N48" s="144" t="s">
        <v>357</v>
      </c>
      <c r="O48" s="133"/>
      <c r="P48" s="144" t="s">
        <v>154</v>
      </c>
      <c r="Q48" s="133"/>
      <c r="R48" s="385" t="s">
        <v>247</v>
      </c>
      <c r="S48" s="133"/>
      <c r="T48" s="385" t="s">
        <v>260</v>
      </c>
      <c r="U48" s="133"/>
      <c r="V48" s="170"/>
    </row>
    <row r="49" spans="1:22">
      <c r="A49" s="209"/>
      <c r="B49" s="145" t="s">
        <v>248</v>
      </c>
      <c r="C49" s="133"/>
      <c r="D49" s="145" t="s">
        <v>248</v>
      </c>
      <c r="E49" s="133"/>
      <c r="F49" s="145" t="s">
        <v>248</v>
      </c>
      <c r="G49" s="133"/>
      <c r="H49" s="145" t="s">
        <v>185</v>
      </c>
      <c r="I49" s="133"/>
      <c r="J49" s="145" t="s">
        <v>185</v>
      </c>
      <c r="K49" s="133"/>
      <c r="L49" s="144" t="s">
        <v>125</v>
      </c>
      <c r="M49" s="133"/>
      <c r="N49" s="144" t="s">
        <v>330</v>
      </c>
      <c r="O49" s="133"/>
      <c r="P49" s="144" t="s">
        <v>125</v>
      </c>
      <c r="Q49" s="133"/>
      <c r="R49" s="148" t="s">
        <v>248</v>
      </c>
      <c r="S49" s="133"/>
      <c r="T49" s="145" t="s">
        <v>182</v>
      </c>
      <c r="U49" s="133"/>
      <c r="V49" s="171" t="e">
        <f>#REF!+I77+K77+M77+O77+G77+Q77+S77+#REF!+#REF!</f>
        <v>#REF!</v>
      </c>
    </row>
    <row r="50" spans="1:22">
      <c r="A50" s="209"/>
      <c r="B50" s="145"/>
      <c r="C50" s="133"/>
      <c r="D50" s="145"/>
      <c r="E50" s="133"/>
      <c r="F50" s="145"/>
      <c r="G50" s="133"/>
      <c r="H50" s="145"/>
      <c r="I50" s="133"/>
      <c r="J50" s="145"/>
      <c r="K50" s="133"/>
      <c r="L50" s="144"/>
      <c r="M50" s="133"/>
      <c r="N50" s="144"/>
      <c r="O50" s="133"/>
      <c r="P50" s="154" t="s">
        <v>220</v>
      </c>
      <c r="Q50" s="133"/>
      <c r="R50" s="148"/>
      <c r="S50" s="133"/>
      <c r="T50" s="145"/>
      <c r="U50" s="133"/>
      <c r="V50" s="171"/>
    </row>
    <row r="51" spans="1:22">
      <c r="A51" s="209"/>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70"/>
    </row>
    <row r="52" spans="1:22">
      <c r="A52" s="209"/>
      <c r="B52" s="149"/>
      <c r="C52" s="149"/>
      <c r="D52" s="149"/>
      <c r="E52" s="149"/>
      <c r="F52" s="149"/>
      <c r="G52" s="149"/>
      <c r="H52" s="149"/>
      <c r="I52" s="149"/>
      <c r="J52" s="149"/>
      <c r="K52" s="149"/>
      <c r="L52" s="149"/>
      <c r="M52" s="149"/>
      <c r="N52" s="149"/>
      <c r="O52" s="133"/>
      <c r="P52" s="149"/>
      <c r="Q52" s="133"/>
      <c r="R52" s="133"/>
      <c r="S52" s="133"/>
      <c r="T52" s="133"/>
      <c r="V52" s="147"/>
    </row>
    <row r="53" spans="1:22">
      <c r="A53" s="209"/>
      <c r="B53" s="149"/>
      <c r="C53" s="156">
        <v>392.27</v>
      </c>
      <c r="D53" s="149"/>
      <c r="E53" s="156">
        <v>431.96</v>
      </c>
      <c r="F53" s="156"/>
      <c r="G53" s="156">
        <v>426.02</v>
      </c>
      <c r="H53" s="149"/>
      <c r="I53" s="156">
        <v>405.36</v>
      </c>
      <c r="J53" s="156"/>
      <c r="K53" s="156">
        <v>411.93</v>
      </c>
      <c r="L53" s="156"/>
      <c r="M53" s="156">
        <v>350.33</v>
      </c>
      <c r="N53" s="149"/>
      <c r="O53" s="135">
        <v>378.3</v>
      </c>
      <c r="P53" s="156"/>
      <c r="Q53" s="135">
        <v>416.82</v>
      </c>
      <c r="R53" s="135"/>
      <c r="S53" s="135">
        <v>371.85</v>
      </c>
      <c r="T53" s="133"/>
      <c r="V53" s="147"/>
    </row>
    <row r="54" spans="1:22">
      <c r="A54" s="209"/>
      <c r="B54" s="305" t="s">
        <v>278</v>
      </c>
      <c r="C54" s="139"/>
      <c r="D54" s="140"/>
      <c r="E54" s="139"/>
      <c r="F54" s="140"/>
      <c r="G54" s="139"/>
      <c r="H54" s="140"/>
      <c r="I54" s="139"/>
      <c r="J54" s="140"/>
      <c r="K54" s="139"/>
      <c r="L54" s="140"/>
      <c r="M54" s="139"/>
      <c r="N54" s="140"/>
      <c r="O54" s="162"/>
      <c r="P54" s="140"/>
      <c r="Q54" s="139"/>
      <c r="R54" s="140"/>
      <c r="S54" s="139"/>
      <c r="T54" s="140"/>
      <c r="V54" s="170"/>
    </row>
    <row r="55" spans="1:22">
      <c r="A55" s="209"/>
      <c r="B55" s="141"/>
      <c r="C55" s="139"/>
      <c r="D55" s="141"/>
      <c r="E55" s="139"/>
      <c r="F55" s="141"/>
      <c r="G55" s="139"/>
      <c r="H55" s="141"/>
      <c r="I55" s="139"/>
      <c r="J55" s="141"/>
      <c r="K55" s="139"/>
      <c r="L55" s="141"/>
      <c r="M55" s="139"/>
      <c r="N55" s="141"/>
      <c r="O55" s="162"/>
      <c r="P55" s="141"/>
      <c r="Q55" s="139"/>
      <c r="R55" s="141"/>
      <c r="S55" s="139"/>
      <c r="T55" s="141"/>
      <c r="U55" s="133"/>
      <c r="V55" s="170"/>
    </row>
    <row r="56" spans="1:22">
      <c r="A56" s="209"/>
      <c r="B56" s="385" t="s">
        <v>261</v>
      </c>
      <c r="C56" s="133"/>
      <c r="D56" s="385" t="s">
        <v>286</v>
      </c>
      <c r="E56" s="133"/>
      <c r="F56" s="144" t="s">
        <v>358</v>
      </c>
      <c r="G56" s="133"/>
      <c r="H56" s="385" t="s">
        <v>359</v>
      </c>
      <c r="I56" s="133"/>
      <c r="J56" s="385" t="s">
        <v>360</v>
      </c>
      <c r="K56" s="133"/>
      <c r="L56" s="144" t="s">
        <v>361</v>
      </c>
      <c r="M56" s="133"/>
      <c r="N56" s="144" t="s">
        <v>362</v>
      </c>
      <c r="O56" s="133"/>
      <c r="P56" s="385" t="s">
        <v>363</v>
      </c>
      <c r="Q56" s="133"/>
      <c r="R56" s="385" t="s">
        <v>364</v>
      </c>
      <c r="S56" s="133"/>
      <c r="T56" s="385" t="s">
        <v>365</v>
      </c>
      <c r="V56" s="170"/>
    </row>
    <row r="57" spans="1:22">
      <c r="A57" s="209"/>
      <c r="B57" s="148" t="s">
        <v>185</v>
      </c>
      <c r="C57" s="133"/>
      <c r="D57" s="145" t="s">
        <v>248</v>
      </c>
      <c r="E57" s="133"/>
      <c r="F57" s="147" t="s">
        <v>128</v>
      </c>
      <c r="G57" s="133"/>
      <c r="H57" s="145" t="s">
        <v>242</v>
      </c>
      <c r="I57" s="133"/>
      <c r="J57" s="145" t="s">
        <v>119</v>
      </c>
      <c r="K57" s="133"/>
      <c r="L57" s="144" t="s">
        <v>330</v>
      </c>
      <c r="M57" s="133"/>
      <c r="N57" s="144" t="s">
        <v>143</v>
      </c>
      <c r="O57" s="133"/>
      <c r="P57" s="145" t="s">
        <v>242</v>
      </c>
      <c r="Q57" s="133"/>
      <c r="R57" s="145" t="s">
        <v>182</v>
      </c>
      <c r="S57" s="133"/>
      <c r="T57" s="145" t="s">
        <v>296</v>
      </c>
      <c r="V57" s="170"/>
    </row>
    <row r="58" spans="1:22">
      <c r="A58" s="209"/>
      <c r="B58" s="154"/>
      <c r="C58" s="155"/>
      <c r="D58" s="155"/>
      <c r="E58" s="155"/>
      <c r="F58" s="154" t="s">
        <v>220</v>
      </c>
      <c r="G58" s="155"/>
      <c r="H58" s="155"/>
      <c r="I58" s="155"/>
      <c r="J58" s="155"/>
      <c r="K58" s="155"/>
      <c r="L58" s="155"/>
      <c r="M58" s="155"/>
      <c r="N58" s="155"/>
      <c r="O58" s="155"/>
      <c r="P58" s="155"/>
      <c r="Q58" s="155"/>
      <c r="R58" s="154" t="s">
        <v>366</v>
      </c>
      <c r="S58" s="133"/>
      <c r="T58" s="154" t="s">
        <v>220</v>
      </c>
      <c r="V58" s="171" t="e">
        <f>A85+I77+K77+M77+O77+G77+Q77+S77+#REF!+C77</f>
        <v>#REF!</v>
      </c>
    </row>
    <row r="59" spans="1:22">
      <c r="A59" s="209"/>
      <c r="B59" s="133">
        <f>T51+1</f>
        <v>60</v>
      </c>
      <c r="C59" s="133"/>
      <c r="D59" s="133">
        <f>B59+1</f>
        <v>61</v>
      </c>
      <c r="E59" s="133"/>
      <c r="F59" s="133">
        <f>D59+1</f>
        <v>62</v>
      </c>
      <c r="G59" s="133"/>
      <c r="H59" s="133">
        <f>F59+1</f>
        <v>63</v>
      </c>
      <c r="I59" s="133"/>
      <c r="J59" s="133">
        <f>H59+1</f>
        <v>64</v>
      </c>
      <c r="K59" s="133"/>
      <c r="L59" s="133">
        <f>J59+1</f>
        <v>65</v>
      </c>
      <c r="M59" s="133"/>
      <c r="N59" s="133">
        <f>L59+1</f>
        <v>66</v>
      </c>
      <c r="O59" s="133"/>
      <c r="P59" s="161">
        <f>N59+1</f>
        <v>67</v>
      </c>
      <c r="Q59" s="133"/>
      <c r="R59" s="133">
        <f>P59+1</f>
        <v>68</v>
      </c>
      <c r="S59" s="133"/>
      <c r="T59" s="133">
        <f>R59+1</f>
        <v>69</v>
      </c>
      <c r="V59" s="170"/>
    </row>
    <row r="60" spans="1:22">
      <c r="A60" s="209"/>
      <c r="B60" s="149"/>
      <c r="C60" s="149"/>
      <c r="D60" s="149"/>
      <c r="E60" s="149"/>
      <c r="F60" s="149"/>
      <c r="G60" s="149"/>
      <c r="H60" s="149"/>
      <c r="I60" s="149"/>
      <c r="J60" s="149"/>
      <c r="K60" s="149"/>
      <c r="L60" s="149"/>
      <c r="M60" s="149"/>
      <c r="N60" s="149"/>
      <c r="O60" s="133"/>
      <c r="P60" s="149"/>
      <c r="Q60" s="133"/>
      <c r="R60" s="133"/>
      <c r="S60" s="133"/>
      <c r="T60" s="133"/>
      <c r="V60" s="147"/>
    </row>
    <row r="61" spans="1:22">
      <c r="A61" s="209"/>
      <c r="B61" s="149"/>
      <c r="C61" s="156">
        <v>392.27</v>
      </c>
      <c r="D61" s="149"/>
      <c r="E61" s="156">
        <v>431.96</v>
      </c>
      <c r="F61" s="156"/>
      <c r="G61" s="156">
        <v>426.02</v>
      </c>
      <c r="H61" s="149"/>
      <c r="I61" s="156">
        <v>405.36</v>
      </c>
      <c r="J61" s="156"/>
      <c r="K61" s="156">
        <v>411.93</v>
      </c>
      <c r="L61" s="156"/>
      <c r="M61" s="156">
        <v>350.33</v>
      </c>
      <c r="N61" s="149"/>
      <c r="O61" s="135">
        <v>378.3</v>
      </c>
      <c r="P61" s="156"/>
      <c r="Q61" s="135">
        <v>416.82</v>
      </c>
      <c r="R61" s="135"/>
      <c r="S61" s="135">
        <v>371.85</v>
      </c>
      <c r="T61" s="133"/>
      <c r="V61" s="147"/>
    </row>
    <row r="62" spans="1:22">
      <c r="A62" s="209"/>
      <c r="B62" s="140"/>
      <c r="C62" s="139"/>
      <c r="D62" s="140"/>
      <c r="E62" s="139"/>
      <c r="F62" s="140"/>
      <c r="G62" s="139"/>
      <c r="H62" s="140"/>
      <c r="I62" s="139"/>
      <c r="J62" s="140"/>
      <c r="K62" s="139"/>
      <c r="L62" s="140"/>
      <c r="M62" s="139"/>
      <c r="N62" s="140"/>
      <c r="O62" s="162"/>
      <c r="P62" s="140"/>
      <c r="Q62" s="139"/>
      <c r="R62" s="140"/>
      <c r="S62" s="139"/>
      <c r="T62" s="157" t="s">
        <v>354</v>
      </c>
      <c r="V62" s="170"/>
    </row>
    <row r="63" spans="1:22">
      <c r="A63" s="209"/>
      <c r="B63" s="141"/>
      <c r="C63" s="139"/>
      <c r="D63" s="141"/>
      <c r="E63" s="139"/>
      <c r="F63" s="141"/>
      <c r="G63" s="139"/>
      <c r="H63" s="141"/>
      <c r="I63" s="139"/>
      <c r="J63" s="141"/>
      <c r="K63" s="139"/>
      <c r="L63" s="141"/>
      <c r="M63" s="139"/>
      <c r="N63" s="141"/>
      <c r="O63" s="162"/>
      <c r="P63" s="141"/>
      <c r="Q63" s="139"/>
      <c r="R63" s="141"/>
      <c r="S63" s="139"/>
      <c r="T63" s="141"/>
      <c r="U63" s="133"/>
      <c r="V63" s="170"/>
    </row>
    <row r="64" spans="1:22">
      <c r="A64" s="209"/>
      <c r="B64" s="147" t="s">
        <v>367</v>
      </c>
      <c r="C64" s="149"/>
      <c r="D64" s="386" t="s">
        <v>287</v>
      </c>
      <c r="E64" s="133"/>
      <c r="F64" s="386" t="s">
        <v>368</v>
      </c>
      <c r="G64" s="149"/>
      <c r="H64" s="386" t="s">
        <v>369</v>
      </c>
      <c r="I64" s="133"/>
      <c r="J64" s="147" t="s">
        <v>370</v>
      </c>
      <c r="K64" s="149"/>
      <c r="L64" s="386" t="s">
        <v>371</v>
      </c>
      <c r="M64" s="149"/>
      <c r="N64" s="386" t="s">
        <v>372</v>
      </c>
      <c r="O64" s="149"/>
      <c r="P64" s="147" t="s">
        <v>373</v>
      </c>
      <c r="Q64" s="149"/>
      <c r="R64" s="386" t="s">
        <v>288</v>
      </c>
      <c r="S64" s="149"/>
      <c r="T64" s="386" t="s">
        <v>259</v>
      </c>
      <c r="V64" s="170"/>
    </row>
    <row r="65" spans="1:22">
      <c r="A65" s="209"/>
      <c r="B65" s="147" t="s">
        <v>344</v>
      </c>
      <c r="C65" s="149"/>
      <c r="D65" s="148" t="s">
        <v>295</v>
      </c>
      <c r="E65" s="133"/>
      <c r="F65" s="148" t="s">
        <v>296</v>
      </c>
      <c r="G65" s="149"/>
      <c r="H65" s="148" t="s">
        <v>296</v>
      </c>
      <c r="I65" s="133"/>
      <c r="J65" s="147" t="s">
        <v>343</v>
      </c>
      <c r="K65" s="149"/>
      <c r="L65" s="148" t="s">
        <v>317</v>
      </c>
      <c r="M65" s="149"/>
      <c r="N65" s="148" t="s">
        <v>317</v>
      </c>
      <c r="O65" s="149"/>
      <c r="P65" s="147" t="s">
        <v>344</v>
      </c>
      <c r="Q65" s="149"/>
      <c r="R65" s="148" t="s">
        <v>296</v>
      </c>
      <c r="S65" s="149"/>
      <c r="T65" s="148" t="s">
        <v>295</v>
      </c>
      <c r="V65" s="170"/>
    </row>
    <row r="66" spans="1:22">
      <c r="A66" s="209"/>
      <c r="B66" s="154"/>
      <c r="C66" s="155"/>
      <c r="D66" s="155"/>
      <c r="E66" s="155"/>
      <c r="F66" s="155"/>
      <c r="G66" s="155"/>
      <c r="H66" s="154" t="s">
        <v>220</v>
      </c>
      <c r="I66" s="133"/>
      <c r="J66" s="144" t="s">
        <v>331</v>
      </c>
      <c r="K66" s="155"/>
      <c r="L66" s="154" t="s">
        <v>220</v>
      </c>
      <c r="M66" s="155"/>
      <c r="N66" s="155"/>
      <c r="O66" s="155"/>
      <c r="P66" s="155"/>
      <c r="Q66" s="155"/>
      <c r="R66" s="154" t="s">
        <v>374</v>
      </c>
      <c r="S66" s="155"/>
      <c r="T66" s="184" t="s">
        <v>375</v>
      </c>
      <c r="V66" s="171">
        <f>A93+I85+K85+M85+O85+G85+Q85+S85+U85+C85</f>
        <v>3994.99</v>
      </c>
    </row>
    <row r="67" spans="1:22">
      <c r="A67" s="209"/>
      <c r="B67" s="133">
        <f>T59+1</f>
        <v>70</v>
      </c>
      <c r="C67" s="133"/>
      <c r="D67" s="133">
        <f>B67+1</f>
        <v>71</v>
      </c>
      <c r="E67" s="133"/>
      <c r="F67" s="133">
        <f>D67+1</f>
        <v>72</v>
      </c>
      <c r="G67" s="133"/>
      <c r="H67" s="133">
        <f>F67+1</f>
        <v>73</v>
      </c>
      <c r="I67" s="133"/>
      <c r="J67" s="133">
        <f>H67+1</f>
        <v>74</v>
      </c>
      <c r="K67" s="133"/>
      <c r="L67" s="133">
        <f>J67+1</f>
        <v>75</v>
      </c>
      <c r="M67" s="133"/>
      <c r="N67" s="133">
        <f>L67+1</f>
        <v>76</v>
      </c>
      <c r="O67" s="133"/>
      <c r="P67" s="133">
        <f>N67+1</f>
        <v>77</v>
      </c>
      <c r="Q67" s="133"/>
      <c r="R67" s="133">
        <f>P67+1</f>
        <v>78</v>
      </c>
      <c r="S67" s="133"/>
      <c r="T67" s="161">
        <f>R67+1</f>
        <v>79</v>
      </c>
      <c r="V67" s="171"/>
    </row>
    <row r="68" spans="1:22">
      <c r="A68" s="209"/>
      <c r="B68" s="133"/>
      <c r="C68" s="133"/>
      <c r="D68" s="133"/>
      <c r="E68" s="133"/>
      <c r="F68" s="133"/>
      <c r="G68" s="133"/>
      <c r="H68" s="133"/>
      <c r="I68" s="133"/>
      <c r="J68" s="133"/>
      <c r="K68" s="133"/>
      <c r="L68" s="133"/>
      <c r="M68" s="133"/>
      <c r="N68" s="133"/>
      <c r="O68" s="133"/>
      <c r="P68" s="133"/>
      <c r="Q68" s="133"/>
      <c r="R68" s="133"/>
      <c r="S68" s="133"/>
      <c r="T68" s="133"/>
      <c r="V68" s="170"/>
    </row>
    <row r="69" spans="1:22">
      <c r="A69" s="209"/>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170"/>
    </row>
    <row r="70" spans="1:22">
      <c r="A70" s="209"/>
      <c r="B70" s="158" t="s">
        <v>354</v>
      </c>
      <c r="C70" s="139"/>
      <c r="D70" s="140"/>
      <c r="E70" s="139"/>
      <c r="F70" s="157" t="s">
        <v>354</v>
      </c>
      <c r="G70" s="133"/>
      <c r="H70" s="141"/>
      <c r="I70" s="139"/>
      <c r="J70" s="158" t="s">
        <v>354</v>
      </c>
      <c r="K70" s="139"/>
      <c r="L70" s="158" t="s">
        <v>354</v>
      </c>
      <c r="M70" s="139"/>
      <c r="N70" s="158" t="s">
        <v>354</v>
      </c>
      <c r="O70" s="139"/>
      <c r="P70" s="158" t="s">
        <v>354</v>
      </c>
      <c r="Q70" s="139"/>
      <c r="R70" s="158" t="s">
        <v>354</v>
      </c>
      <c r="S70" s="139"/>
      <c r="T70" s="158" t="s">
        <v>354</v>
      </c>
      <c r="V70" s="170"/>
    </row>
    <row r="71" spans="1:22">
      <c r="A71" s="209"/>
      <c r="B71" s="141" t="s">
        <v>376</v>
      </c>
      <c r="C71" s="139"/>
      <c r="D71" s="141"/>
      <c r="E71" s="139"/>
      <c r="F71" s="141"/>
      <c r="G71" s="133"/>
      <c r="H71" s="141"/>
      <c r="I71" s="139"/>
      <c r="J71" s="141" t="s">
        <v>376</v>
      </c>
      <c r="K71" s="139"/>
      <c r="L71" s="141" t="s">
        <v>376</v>
      </c>
      <c r="M71" s="139"/>
      <c r="N71" s="141" t="s">
        <v>376</v>
      </c>
      <c r="O71" s="139"/>
      <c r="P71" s="141"/>
      <c r="Q71" s="139"/>
      <c r="R71" s="141"/>
      <c r="S71" s="139"/>
      <c r="T71" s="141" t="s">
        <v>376</v>
      </c>
      <c r="V71" s="170"/>
    </row>
    <row r="72" spans="1:22">
      <c r="A72" s="209"/>
      <c r="B72" s="386" t="s">
        <v>251</v>
      </c>
      <c r="C72" s="133"/>
      <c r="D72" s="147" t="s">
        <v>377</v>
      </c>
      <c r="E72" s="133"/>
      <c r="F72" s="386" t="s">
        <v>297</v>
      </c>
      <c r="G72" s="133"/>
      <c r="H72" s="147" t="s">
        <v>378</v>
      </c>
      <c r="I72" s="133"/>
      <c r="J72" s="386" t="s">
        <v>236</v>
      </c>
      <c r="K72" s="133"/>
      <c r="L72" s="386" t="s">
        <v>237</v>
      </c>
      <c r="M72" s="133"/>
      <c r="N72" s="386" t="s">
        <v>214</v>
      </c>
      <c r="O72" s="133"/>
      <c r="P72" s="386" t="s">
        <v>213</v>
      </c>
      <c r="Q72" s="133"/>
      <c r="R72" s="386" t="s">
        <v>212</v>
      </c>
      <c r="S72" s="133"/>
      <c r="T72" s="386" t="s">
        <v>209</v>
      </c>
      <c r="V72" s="170"/>
    </row>
    <row r="73" spans="1:22">
      <c r="A73" s="209"/>
      <c r="B73" s="148" t="s">
        <v>295</v>
      </c>
      <c r="C73" s="133"/>
      <c r="D73" s="147" t="s">
        <v>330</v>
      </c>
      <c r="E73" s="133"/>
      <c r="F73" s="145" t="s">
        <v>182</v>
      </c>
      <c r="G73" s="133"/>
      <c r="H73" s="147" t="s">
        <v>115</v>
      </c>
      <c r="I73" s="133"/>
      <c r="J73" s="145" t="s">
        <v>296</v>
      </c>
      <c r="K73" s="133"/>
      <c r="L73" s="145" t="s">
        <v>182</v>
      </c>
      <c r="M73" s="133"/>
      <c r="N73" s="145" t="s">
        <v>185</v>
      </c>
      <c r="O73" s="133"/>
      <c r="P73" s="145" t="s">
        <v>182</v>
      </c>
      <c r="Q73" s="133"/>
      <c r="R73" s="145" t="s">
        <v>182</v>
      </c>
      <c r="S73" s="133"/>
      <c r="T73" s="145" t="s">
        <v>182</v>
      </c>
    </row>
    <row r="74" spans="1:22">
      <c r="A74" s="209"/>
      <c r="B74" s="184" t="s">
        <v>375</v>
      </c>
      <c r="C74" s="133"/>
      <c r="D74" s="155"/>
      <c r="E74" s="155"/>
      <c r="F74" s="155"/>
      <c r="G74" s="155"/>
      <c r="H74" s="144" t="s">
        <v>366</v>
      </c>
      <c r="I74" s="192"/>
      <c r="J74" s="144" t="s">
        <v>366</v>
      </c>
      <c r="K74" s="192"/>
      <c r="L74" s="144" t="s">
        <v>331</v>
      </c>
      <c r="M74" s="192"/>
      <c r="N74" s="192"/>
      <c r="O74" s="192"/>
      <c r="P74" s="192"/>
      <c r="Q74" s="192"/>
      <c r="R74" s="192"/>
      <c r="S74" s="192"/>
      <c r="T74" s="192"/>
    </row>
    <row r="75" spans="1:22">
      <c r="A75" s="209"/>
      <c r="B75" s="133">
        <f>T67+1</f>
        <v>80</v>
      </c>
      <c r="D75" s="133">
        <f>B75+1</f>
        <v>81</v>
      </c>
      <c r="F75" s="133">
        <f>D75+1</f>
        <v>82</v>
      </c>
      <c r="G75" s="133"/>
      <c r="H75" s="133">
        <f>F75+1</f>
        <v>83</v>
      </c>
      <c r="I75" s="133"/>
      <c r="J75" s="133">
        <f>H75+1</f>
        <v>84</v>
      </c>
      <c r="K75" s="133"/>
      <c r="L75" s="133">
        <f>J75+1</f>
        <v>85</v>
      </c>
      <c r="M75" s="133"/>
      <c r="N75" s="133">
        <f>L75+1</f>
        <v>86</v>
      </c>
      <c r="O75" s="133"/>
      <c r="P75" s="133">
        <f>N75+1</f>
        <v>87</v>
      </c>
      <c r="Q75" s="133"/>
      <c r="R75" s="133">
        <f>P75+1</f>
        <v>88</v>
      </c>
      <c r="S75" s="133"/>
      <c r="T75" s="133">
        <f>R75+1</f>
        <v>89</v>
      </c>
    </row>
    <row r="76" spans="1:22">
      <c r="A76" s="209"/>
      <c r="B76" s="149"/>
      <c r="D76" s="133"/>
      <c r="F76" s="133"/>
      <c r="G76" s="133"/>
      <c r="H76" s="133"/>
      <c r="I76" s="133"/>
      <c r="J76" s="133"/>
      <c r="K76" s="133"/>
      <c r="L76" s="133"/>
      <c r="M76" s="133"/>
      <c r="N76" s="133"/>
      <c r="O76" s="133"/>
      <c r="P76" s="133"/>
      <c r="Q76" s="133"/>
      <c r="R76" s="133"/>
      <c r="S76" s="133"/>
      <c r="T76" s="133"/>
    </row>
    <row r="77" spans="1:22">
      <c r="A77" s="209"/>
      <c r="B77" s="156"/>
      <c r="D77" s="135"/>
      <c r="F77" s="135"/>
      <c r="G77" s="135">
        <v>388.46</v>
      </c>
      <c r="H77" s="133"/>
      <c r="I77" s="135">
        <v>380.96</v>
      </c>
      <c r="J77" s="133"/>
      <c r="K77" s="135">
        <v>374.03</v>
      </c>
      <c r="L77" s="133"/>
      <c r="M77" s="135">
        <v>351.96</v>
      </c>
      <c r="N77" s="135"/>
      <c r="O77" s="135">
        <v>395.64</v>
      </c>
      <c r="P77" s="133"/>
      <c r="Q77" s="135">
        <v>414.76</v>
      </c>
      <c r="R77" s="135"/>
      <c r="S77" s="135">
        <v>401.93</v>
      </c>
      <c r="T77" s="135"/>
    </row>
    <row r="78" spans="1:22">
      <c r="A78" s="209"/>
      <c r="B78" s="185" t="s">
        <v>354</v>
      </c>
      <c r="D78" s="140"/>
      <c r="F78" s="157" t="s">
        <v>354</v>
      </c>
      <c r="G78" s="139"/>
      <c r="H78" s="140"/>
      <c r="I78" s="133"/>
      <c r="J78" s="158" t="s">
        <v>354</v>
      </c>
      <c r="K78" s="139"/>
      <c r="L78" s="158" t="s">
        <v>354</v>
      </c>
      <c r="M78" s="139"/>
      <c r="N78" s="158" t="s">
        <v>354</v>
      </c>
      <c r="O78" s="139"/>
      <c r="P78" s="158" t="s">
        <v>354</v>
      </c>
      <c r="Q78" s="139"/>
      <c r="R78" s="158" t="s">
        <v>354</v>
      </c>
      <c r="S78" s="139"/>
      <c r="T78" s="140"/>
    </row>
    <row r="79" spans="1:22">
      <c r="A79" s="209"/>
      <c r="B79" s="186" t="s">
        <v>376</v>
      </c>
      <c r="D79" s="141"/>
      <c r="F79" s="141"/>
      <c r="G79" s="139"/>
      <c r="H79" s="141"/>
      <c r="I79" s="133"/>
      <c r="J79" s="141" t="s">
        <v>376</v>
      </c>
      <c r="K79" s="139"/>
      <c r="L79" s="141"/>
      <c r="M79" s="139"/>
      <c r="N79" s="141"/>
      <c r="O79" s="139"/>
      <c r="P79" s="141" t="s">
        <v>376</v>
      </c>
      <c r="Q79" s="139"/>
      <c r="R79" s="141" t="s">
        <v>376</v>
      </c>
      <c r="S79" s="139"/>
      <c r="T79" s="141"/>
    </row>
    <row r="80" spans="1:22">
      <c r="A80" s="209"/>
      <c r="B80" s="386" t="s">
        <v>231</v>
      </c>
      <c r="D80" s="144" t="s">
        <v>379</v>
      </c>
      <c r="F80" s="386" t="s">
        <v>263</v>
      </c>
      <c r="G80" s="149"/>
      <c r="H80" s="147" t="s">
        <v>380</v>
      </c>
      <c r="I80" s="149"/>
      <c r="J80" s="386" t="s">
        <v>215</v>
      </c>
      <c r="K80" s="149"/>
      <c r="L80" s="386" t="s">
        <v>216</v>
      </c>
      <c r="M80" s="149"/>
      <c r="N80" s="386" t="s">
        <v>239</v>
      </c>
      <c r="O80" s="149"/>
      <c r="P80" s="386" t="s">
        <v>240</v>
      </c>
      <c r="Q80" s="149"/>
      <c r="R80" s="386" t="s">
        <v>241</v>
      </c>
      <c r="S80" s="149"/>
      <c r="T80" s="147" t="s">
        <v>381</v>
      </c>
    </row>
    <row r="81" spans="1:22">
      <c r="A81" s="209"/>
      <c r="B81" s="145" t="s">
        <v>182</v>
      </c>
      <c r="C81" s="149"/>
      <c r="D81" s="144" t="s">
        <v>319</v>
      </c>
      <c r="F81" s="145" t="s">
        <v>318</v>
      </c>
      <c r="G81" s="149"/>
      <c r="H81" s="147" t="s">
        <v>344</v>
      </c>
      <c r="I81" s="149"/>
      <c r="J81" s="148" t="s">
        <v>296</v>
      </c>
      <c r="K81" s="149"/>
      <c r="L81" s="148" t="s">
        <v>317</v>
      </c>
      <c r="M81" s="149"/>
      <c r="N81" s="148" t="s">
        <v>296</v>
      </c>
      <c r="O81" s="149"/>
      <c r="P81" s="148" t="s">
        <v>317</v>
      </c>
      <c r="Q81" s="149"/>
      <c r="R81" s="148" t="s">
        <v>318</v>
      </c>
      <c r="S81" s="149"/>
      <c r="T81" s="147" t="s">
        <v>319</v>
      </c>
      <c r="U81" s="133"/>
      <c r="V81" s="170"/>
    </row>
    <row r="82" spans="1:22">
      <c r="F82" s="184" t="s">
        <v>382</v>
      </c>
      <c r="G82" s="149"/>
      <c r="H82" s="148"/>
      <c r="I82" s="149"/>
      <c r="J82" s="147"/>
      <c r="K82" s="149"/>
      <c r="L82" s="144" t="s">
        <v>366</v>
      </c>
      <c r="M82" s="149"/>
      <c r="N82" s="148"/>
      <c r="O82" s="149"/>
      <c r="P82" s="147"/>
      <c r="Q82" s="149"/>
      <c r="R82" s="148"/>
      <c r="S82" s="149"/>
      <c r="T82" s="148"/>
    </row>
    <row r="83" spans="1:22">
      <c r="B83" s="161">
        <f>T75+1</f>
        <v>90</v>
      </c>
      <c r="C83" s="133"/>
      <c r="D83" s="133">
        <f>B83+1</f>
        <v>91</v>
      </c>
      <c r="F83" s="133">
        <f>D83+1</f>
        <v>92</v>
      </c>
      <c r="G83" s="133"/>
      <c r="H83" s="133">
        <f>F83+1</f>
        <v>93</v>
      </c>
      <c r="I83" s="133"/>
      <c r="J83" s="133">
        <f>H83+1</f>
        <v>94</v>
      </c>
      <c r="K83" s="133"/>
      <c r="L83" s="133">
        <f>J83+1</f>
        <v>95</v>
      </c>
      <c r="M83" s="133"/>
      <c r="N83" s="133">
        <f>L83+1</f>
        <v>96</v>
      </c>
      <c r="O83" s="133"/>
      <c r="P83" s="133">
        <f>N83+1</f>
        <v>97</v>
      </c>
      <c r="Q83" s="133"/>
      <c r="R83" s="133">
        <f>P83+1</f>
        <v>98</v>
      </c>
      <c r="S83" s="133"/>
      <c r="T83" s="133">
        <f>R83+1</f>
        <v>99</v>
      </c>
      <c r="U83" s="133"/>
    </row>
    <row r="84" spans="1:22">
      <c r="B84" s="133"/>
      <c r="C84" s="133"/>
      <c r="D84" s="133"/>
      <c r="F84" s="133"/>
      <c r="G84" s="133"/>
      <c r="H84" s="133"/>
      <c r="I84" s="133"/>
      <c r="J84" s="133"/>
      <c r="K84" s="133"/>
      <c r="L84" s="133"/>
      <c r="M84" s="133"/>
      <c r="N84" s="133"/>
      <c r="O84" s="133"/>
      <c r="P84" s="133"/>
      <c r="Q84" s="133"/>
      <c r="R84" s="133"/>
      <c r="S84" s="133"/>
      <c r="T84" s="133"/>
      <c r="U84" s="133"/>
    </row>
    <row r="85" spans="1:22">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row>
    <row r="86" spans="1:22">
      <c r="B86" s="140"/>
      <c r="C86" s="133"/>
      <c r="D86" s="140"/>
      <c r="F86" s="158" t="s">
        <v>354</v>
      </c>
      <c r="G86" s="139"/>
      <c r="H86" s="140"/>
      <c r="I86" s="133"/>
      <c r="J86" s="140"/>
      <c r="K86" s="139"/>
      <c r="L86" s="158" t="s">
        <v>354</v>
      </c>
      <c r="M86" s="139"/>
      <c r="N86" s="140"/>
      <c r="O86" s="139"/>
      <c r="P86" s="140"/>
      <c r="Q86" s="139"/>
      <c r="R86" s="140"/>
      <c r="S86" s="139"/>
      <c r="T86" s="138"/>
      <c r="U86" s="162"/>
    </row>
    <row r="87" spans="1:22">
      <c r="B87" s="141"/>
      <c r="C87" s="133"/>
      <c r="D87" s="141"/>
      <c r="F87" s="141" t="s">
        <v>376</v>
      </c>
      <c r="G87" s="139"/>
      <c r="H87" s="141"/>
      <c r="I87" s="133"/>
      <c r="J87" s="141"/>
      <c r="K87" s="139"/>
      <c r="L87" s="141"/>
      <c r="M87" s="139"/>
      <c r="N87" s="141"/>
      <c r="O87" s="139"/>
      <c r="P87" s="141"/>
      <c r="Q87" s="139"/>
      <c r="R87" s="141"/>
      <c r="S87" s="139"/>
      <c r="T87" s="141"/>
      <c r="U87" s="162"/>
    </row>
    <row r="88" spans="1:22">
      <c r="B88" s="386" t="s">
        <v>383</v>
      </c>
      <c r="C88" s="133"/>
      <c r="D88" s="147" t="s">
        <v>384</v>
      </c>
      <c r="F88" s="386" t="s">
        <v>253</v>
      </c>
      <c r="G88" s="133"/>
      <c r="H88" s="386" t="s">
        <v>385</v>
      </c>
      <c r="I88" s="133"/>
      <c r="J88" s="147" t="s">
        <v>386</v>
      </c>
      <c r="K88" s="133"/>
      <c r="L88" s="147" t="s">
        <v>257</v>
      </c>
      <c r="M88" s="133"/>
      <c r="N88" s="147" t="s">
        <v>387</v>
      </c>
      <c r="O88" s="133"/>
      <c r="P88" s="386" t="s">
        <v>267</v>
      </c>
      <c r="Q88" s="133"/>
      <c r="R88" s="386" t="s">
        <v>268</v>
      </c>
      <c r="S88" s="133"/>
      <c r="T88" s="386" t="s">
        <v>269</v>
      </c>
      <c r="U88" s="133"/>
    </row>
    <row r="89" spans="1:22">
      <c r="B89" s="148" t="s">
        <v>317</v>
      </c>
      <c r="C89" s="133"/>
      <c r="D89" s="147" t="s">
        <v>343</v>
      </c>
      <c r="F89" s="148" t="s">
        <v>295</v>
      </c>
      <c r="G89" s="133"/>
      <c r="H89" s="148" t="s">
        <v>296</v>
      </c>
      <c r="I89" s="133"/>
      <c r="J89" s="147" t="s">
        <v>388</v>
      </c>
      <c r="K89" s="133"/>
      <c r="L89" s="147" t="s">
        <v>248</v>
      </c>
      <c r="M89" s="133"/>
      <c r="N89" s="147" t="s">
        <v>330</v>
      </c>
      <c r="O89" s="133"/>
      <c r="P89" s="148" t="s">
        <v>296</v>
      </c>
      <c r="Q89" s="133"/>
      <c r="R89" s="148" t="s">
        <v>317</v>
      </c>
      <c r="S89" s="133"/>
      <c r="T89" s="148" t="s">
        <v>296</v>
      </c>
      <c r="U89" s="133"/>
    </row>
    <row r="90" spans="1:22">
      <c r="F90" s="184" t="s">
        <v>382</v>
      </c>
      <c r="G90" s="133"/>
      <c r="H90" s="144" t="s">
        <v>389</v>
      </c>
      <c r="I90" s="133"/>
      <c r="J90" s="147"/>
      <c r="K90" s="133"/>
      <c r="L90" s="144" t="s">
        <v>366</v>
      </c>
      <c r="M90" s="133"/>
      <c r="N90" s="147"/>
      <c r="O90" s="133"/>
      <c r="P90" s="144" t="s">
        <v>331</v>
      </c>
      <c r="Q90" s="133"/>
      <c r="R90" s="148"/>
      <c r="S90" s="133"/>
      <c r="T90" s="148"/>
      <c r="U90" s="133"/>
      <c r="V90" s="170"/>
    </row>
    <row r="91" spans="1:22">
      <c r="A91" s="133"/>
      <c r="B91" s="161">
        <f>T83+1</f>
        <v>100</v>
      </c>
      <c r="C91" s="133"/>
      <c r="D91" s="133">
        <f>B91+1</f>
        <v>101</v>
      </c>
      <c r="E91" s="188"/>
      <c r="F91" s="188">
        <f>D91+1</f>
        <v>102</v>
      </c>
      <c r="G91" s="188"/>
      <c r="H91" s="188">
        <f>F91+1</f>
        <v>103</v>
      </c>
      <c r="I91" s="188"/>
      <c r="J91" s="188">
        <f>H91+1</f>
        <v>104</v>
      </c>
      <c r="K91" s="133"/>
      <c r="L91" s="188">
        <f>J91+1</f>
        <v>105</v>
      </c>
      <c r="M91" s="133"/>
      <c r="N91" s="188">
        <f>L91+1</f>
        <v>106</v>
      </c>
      <c r="O91" s="133"/>
      <c r="P91" s="188">
        <f>N91+1</f>
        <v>107</v>
      </c>
      <c r="Q91" s="133"/>
      <c r="R91" s="188">
        <f>P91+1</f>
        <v>108</v>
      </c>
      <c r="S91" s="133"/>
      <c r="T91" s="188">
        <f>R91+1</f>
        <v>109</v>
      </c>
      <c r="V91" s="170"/>
    </row>
    <row r="92" spans="1:22">
      <c r="A92" s="133"/>
      <c r="B92" s="133"/>
      <c r="C92" s="133"/>
      <c r="D92" s="133"/>
      <c r="F92" s="133"/>
      <c r="G92" s="133"/>
      <c r="H92" s="133"/>
      <c r="I92" s="133"/>
      <c r="J92" s="133"/>
      <c r="K92" s="133"/>
      <c r="L92" s="133"/>
      <c r="M92" s="133"/>
      <c r="N92" s="133"/>
      <c r="O92" s="133"/>
      <c r="P92" s="133"/>
      <c r="Q92" s="133"/>
      <c r="R92" s="133"/>
      <c r="S92" s="133"/>
      <c r="T92" s="133"/>
      <c r="V92" s="171" t="e">
        <f>G110+K110+M110+O110+Q110+I110+S110+#REF!+C110+#REF!</f>
        <v>#REF!</v>
      </c>
    </row>
    <row r="93" spans="1:22">
      <c r="A93" s="135">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171"/>
    </row>
    <row r="94" spans="1:22">
      <c r="A94" s="139"/>
      <c r="B94" s="190" t="s">
        <v>228</v>
      </c>
      <c r="C94" s="162"/>
      <c r="D94" s="140"/>
      <c r="F94" s="140"/>
      <c r="G94" s="139"/>
      <c r="H94" s="140"/>
      <c r="I94" s="133"/>
      <c r="J94" s="140"/>
      <c r="K94" s="139"/>
      <c r="L94" s="141"/>
      <c r="M94" s="139"/>
      <c r="N94" s="158" t="s">
        <v>354</v>
      </c>
      <c r="O94" s="139"/>
      <c r="P94" s="140"/>
      <c r="Q94" s="139"/>
      <c r="R94" s="140"/>
      <c r="S94" s="139"/>
      <c r="T94" s="140"/>
      <c r="V94" s="170"/>
    </row>
    <row r="95" spans="1:22">
      <c r="A95" s="139"/>
      <c r="B95" s="141" t="s">
        <v>390</v>
      </c>
      <c r="C95" s="162"/>
      <c r="D95" s="141"/>
      <c r="F95" s="141"/>
      <c r="G95" s="139"/>
      <c r="H95" s="141"/>
      <c r="I95" s="133"/>
      <c r="J95" s="141"/>
      <c r="K95" s="139"/>
      <c r="L95" s="141"/>
      <c r="M95" s="139"/>
      <c r="N95" s="141"/>
      <c r="O95" s="139"/>
      <c r="P95" s="141"/>
      <c r="Q95" s="139"/>
      <c r="R95" s="141"/>
      <c r="S95" s="139"/>
      <c r="T95" s="141"/>
      <c r="V95" s="170"/>
    </row>
    <row r="96" spans="1:22">
      <c r="A96" s="133"/>
      <c r="B96" s="386" t="s">
        <v>227</v>
      </c>
      <c r="C96" s="149"/>
      <c r="D96" s="386" t="s">
        <v>271</v>
      </c>
      <c r="F96" s="147" t="s">
        <v>391</v>
      </c>
      <c r="G96" s="149"/>
      <c r="H96" s="386" t="s">
        <v>392</v>
      </c>
      <c r="I96" s="149"/>
      <c r="J96" s="386" t="s">
        <v>393</v>
      </c>
      <c r="K96" s="149"/>
      <c r="L96" s="147" t="s">
        <v>394</v>
      </c>
      <c r="M96" s="149"/>
      <c r="N96" s="386" t="s">
        <v>225</v>
      </c>
      <c r="O96" s="149"/>
      <c r="P96" s="147" t="s">
        <v>395</v>
      </c>
      <c r="Q96" s="149"/>
      <c r="R96" s="147" t="s">
        <v>396</v>
      </c>
      <c r="S96" s="149"/>
      <c r="T96" s="386" t="s">
        <v>258</v>
      </c>
      <c r="V96" s="170"/>
    </row>
    <row r="97" spans="1:22">
      <c r="A97" s="133"/>
      <c r="B97" s="148" t="s">
        <v>296</v>
      </c>
      <c r="C97" s="149"/>
      <c r="D97" s="148" t="s">
        <v>318</v>
      </c>
      <c r="F97" s="147" t="s">
        <v>388</v>
      </c>
      <c r="G97" s="149"/>
      <c r="H97" s="148" t="s">
        <v>296</v>
      </c>
      <c r="I97" s="149"/>
      <c r="J97" s="148" t="s">
        <v>317</v>
      </c>
      <c r="K97" s="149"/>
      <c r="L97" s="147" t="s">
        <v>319</v>
      </c>
      <c r="M97" s="149"/>
      <c r="N97" s="148" t="s">
        <v>317</v>
      </c>
      <c r="O97" s="149"/>
      <c r="P97" s="147" t="s">
        <v>397</v>
      </c>
      <c r="Q97" s="149"/>
      <c r="R97" s="147" t="s">
        <v>319</v>
      </c>
      <c r="S97" s="149"/>
      <c r="T97" s="148" t="s">
        <v>296</v>
      </c>
      <c r="V97" s="170"/>
    </row>
    <row r="98" spans="1:22">
      <c r="A98" s="133"/>
      <c r="F98" s="148"/>
      <c r="G98" s="149"/>
      <c r="H98" s="147" t="s">
        <v>220</v>
      </c>
      <c r="I98" s="149"/>
      <c r="J98" s="147"/>
      <c r="K98" s="149"/>
      <c r="L98" s="148"/>
      <c r="M98" s="149"/>
      <c r="N98" s="148"/>
      <c r="O98" s="149"/>
      <c r="P98" s="147"/>
      <c r="Q98" s="149"/>
      <c r="R98" s="148"/>
      <c r="S98" s="149"/>
      <c r="T98" s="184" t="s">
        <v>375</v>
      </c>
      <c r="U98" s="133"/>
      <c r="V98" s="170"/>
    </row>
    <row r="99" spans="1:22">
      <c r="A99" s="133"/>
      <c r="B99" s="188">
        <f>T91+1</f>
        <v>110</v>
      </c>
      <c r="C99" s="133"/>
      <c r="D99" s="188">
        <f>B99+1</f>
        <v>111</v>
      </c>
      <c r="E99" s="188"/>
      <c r="F99" s="133">
        <f>D99+1</f>
        <v>112</v>
      </c>
      <c r="G99" s="133"/>
      <c r="H99" s="133">
        <f>F99+1</f>
        <v>113</v>
      </c>
      <c r="I99" s="133"/>
      <c r="J99" s="133">
        <f>H99+1</f>
        <v>114</v>
      </c>
      <c r="K99" s="133"/>
      <c r="L99" s="133">
        <f>J99+1</f>
        <v>115</v>
      </c>
      <c r="M99" s="133"/>
      <c r="N99" s="133">
        <f>L99+1</f>
        <v>116</v>
      </c>
      <c r="O99" s="133"/>
      <c r="P99" s="133">
        <f>N99+1</f>
        <v>117</v>
      </c>
      <c r="Q99" s="133"/>
      <c r="R99" s="133">
        <f>P99+1</f>
        <v>118</v>
      </c>
      <c r="S99" s="133"/>
      <c r="T99" s="133">
        <f>R99+1</f>
        <v>119</v>
      </c>
      <c r="U99" s="133"/>
      <c r="V99" s="170"/>
    </row>
    <row r="100" spans="1:22">
      <c r="A100" s="209"/>
      <c r="B100" s="133"/>
      <c r="C100" s="133"/>
      <c r="D100" s="170"/>
      <c r="F100" s="133"/>
      <c r="G100" s="133"/>
      <c r="H100" s="133"/>
      <c r="I100" s="133"/>
      <c r="J100" s="133"/>
      <c r="K100" s="133"/>
      <c r="L100" s="133"/>
      <c r="M100" s="133"/>
      <c r="N100" s="133"/>
      <c r="O100" s="133"/>
      <c r="P100" s="133"/>
      <c r="Q100" s="133"/>
      <c r="R100" s="133"/>
      <c r="S100" s="133"/>
      <c r="T100" s="133"/>
      <c r="U100" s="135"/>
      <c r="V100" s="171">
        <f>G117+K117+O117+Q117+S117+I117+U117+Q125+C117+U100</f>
        <v>3121.94</v>
      </c>
    </row>
    <row r="101" spans="1:22">
      <c r="A101" s="209"/>
      <c r="B101" s="133"/>
      <c r="C101" s="135">
        <v>395.01</v>
      </c>
      <c r="D101" s="17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171"/>
    </row>
    <row r="102" spans="1:22">
      <c r="A102" s="209"/>
      <c r="B102" s="140"/>
      <c r="C102" s="139"/>
      <c r="D102" s="140"/>
      <c r="F102" s="158" t="s">
        <v>354</v>
      </c>
      <c r="G102" s="139"/>
      <c r="H102" s="140"/>
      <c r="I102" s="139"/>
      <c r="J102" s="140"/>
      <c r="K102" s="133"/>
      <c r="L102" s="140"/>
      <c r="M102" s="139"/>
      <c r="N102" s="140"/>
      <c r="O102" s="139"/>
      <c r="P102" s="140"/>
      <c r="Q102" s="139"/>
      <c r="R102" s="140"/>
      <c r="S102" s="139"/>
      <c r="T102" s="140"/>
      <c r="U102" s="133"/>
      <c r="V102" s="170"/>
    </row>
    <row r="103" spans="1:22">
      <c r="A103" s="209"/>
      <c r="B103" s="141"/>
      <c r="C103" s="139"/>
      <c r="D103" s="141"/>
      <c r="F103" s="141"/>
      <c r="G103" s="139"/>
      <c r="H103" s="141"/>
      <c r="I103" s="139"/>
      <c r="J103" s="141"/>
      <c r="K103" s="133"/>
      <c r="L103" s="141"/>
      <c r="M103" s="139"/>
      <c r="N103" s="141"/>
      <c r="O103" s="139"/>
      <c r="P103" s="141"/>
      <c r="Q103" s="139"/>
      <c r="R103" s="141"/>
      <c r="S103" s="139"/>
      <c r="T103" s="141"/>
      <c r="U103" s="133"/>
      <c r="V103" s="170"/>
    </row>
    <row r="104" spans="1:22">
      <c r="A104" s="209"/>
      <c r="B104" s="147" t="s">
        <v>398</v>
      </c>
      <c r="C104" s="133"/>
      <c r="D104" s="386" t="s">
        <v>262</v>
      </c>
      <c r="F104" s="386" t="s">
        <v>244</v>
      </c>
      <c r="G104" s="133"/>
      <c r="H104" s="147" t="s">
        <v>399</v>
      </c>
      <c r="I104" s="133"/>
      <c r="J104" s="386" t="s">
        <v>277</v>
      </c>
      <c r="K104" s="133"/>
      <c r="L104" s="386" t="s">
        <v>280</v>
      </c>
      <c r="M104" s="133"/>
      <c r="N104" s="147" t="s">
        <v>400</v>
      </c>
      <c r="O104" s="133"/>
      <c r="P104" s="147" t="s">
        <v>401</v>
      </c>
      <c r="Q104" s="133"/>
      <c r="R104" s="386" t="s">
        <v>402</v>
      </c>
      <c r="S104" s="133"/>
      <c r="T104" s="147" t="s">
        <v>403</v>
      </c>
      <c r="U104" s="133"/>
      <c r="V104" s="170"/>
    </row>
    <row r="105" spans="1:22">
      <c r="A105" s="209"/>
      <c r="B105" s="147" t="s">
        <v>343</v>
      </c>
      <c r="C105" s="133"/>
      <c r="D105" s="148" t="s">
        <v>318</v>
      </c>
      <c r="F105" s="148" t="s">
        <v>296</v>
      </c>
      <c r="G105" s="133"/>
      <c r="H105" s="147" t="s">
        <v>319</v>
      </c>
      <c r="I105" s="133"/>
      <c r="J105" s="148" t="s">
        <v>317</v>
      </c>
      <c r="K105" s="133"/>
      <c r="L105" s="148" t="s">
        <v>295</v>
      </c>
      <c r="M105" s="133"/>
      <c r="N105" s="147" t="s">
        <v>319</v>
      </c>
      <c r="O105" s="133"/>
      <c r="P105" s="147" t="s">
        <v>319</v>
      </c>
      <c r="Q105" s="133"/>
      <c r="R105" s="148" t="s">
        <v>295</v>
      </c>
      <c r="S105" s="133"/>
      <c r="T105" s="147" t="s">
        <v>319</v>
      </c>
      <c r="U105" s="133"/>
      <c r="V105" s="170"/>
    </row>
    <row r="106" spans="1:22">
      <c r="A106" s="209"/>
      <c r="B106" s="184" t="s">
        <v>375</v>
      </c>
      <c r="C106" s="133"/>
      <c r="D106" s="184" t="s">
        <v>375</v>
      </c>
      <c r="F106" s="184" t="s">
        <v>375</v>
      </c>
      <c r="G106" s="133"/>
      <c r="H106" s="133"/>
      <c r="I106" s="133"/>
      <c r="J106" s="133"/>
      <c r="K106" s="133"/>
      <c r="L106" s="133"/>
      <c r="M106" s="133"/>
      <c r="N106" s="133"/>
      <c r="O106" s="133"/>
      <c r="P106" s="133"/>
      <c r="Q106" s="133"/>
      <c r="R106" s="133"/>
      <c r="S106" s="133"/>
      <c r="T106" s="133"/>
      <c r="U106" s="133"/>
      <c r="V106" s="170"/>
    </row>
    <row r="107" spans="1:22">
      <c r="A107" s="209"/>
      <c r="Q107" s="133"/>
      <c r="U107" s="133"/>
      <c r="V107" s="170"/>
    </row>
    <row r="108" spans="1:22">
      <c r="A108" s="209"/>
      <c r="B108" s="133">
        <f>T99+1</f>
        <v>120</v>
      </c>
      <c r="C108" s="133"/>
      <c r="D108" s="161">
        <f>B108+1</f>
        <v>121</v>
      </c>
      <c r="F108" s="133">
        <f>D108+1</f>
        <v>122</v>
      </c>
      <c r="G108" s="133"/>
      <c r="H108" s="133">
        <f>F108+1</f>
        <v>123</v>
      </c>
      <c r="I108" s="133"/>
      <c r="J108" s="133">
        <f>H108+1</f>
        <v>124</v>
      </c>
      <c r="K108" s="133"/>
      <c r="L108" s="133">
        <f>J108+1</f>
        <v>125</v>
      </c>
      <c r="M108" s="133"/>
      <c r="N108" s="133">
        <f>L108+1</f>
        <v>126</v>
      </c>
      <c r="O108" s="133"/>
      <c r="P108" s="133">
        <f>N108+1</f>
        <v>127</v>
      </c>
      <c r="Q108" s="133"/>
      <c r="R108" s="133">
        <f>P108+1</f>
        <v>128</v>
      </c>
      <c r="S108" s="133"/>
      <c r="T108" s="133">
        <f>R108+1</f>
        <v>129</v>
      </c>
      <c r="U108" s="133"/>
      <c r="V108" s="170"/>
    </row>
    <row r="109" spans="1:22">
      <c r="A109" s="209"/>
      <c r="B109" s="133"/>
      <c r="C109" s="133"/>
      <c r="D109" s="133"/>
      <c r="F109" s="133"/>
      <c r="G109" s="133"/>
      <c r="H109" s="133"/>
      <c r="I109" s="133"/>
      <c r="J109" s="133"/>
      <c r="K109" s="133"/>
      <c r="L109" s="133"/>
      <c r="M109" s="133"/>
      <c r="N109" s="133"/>
      <c r="O109" s="133"/>
      <c r="P109" s="133"/>
      <c r="Q109" s="133"/>
      <c r="R109" s="133"/>
      <c r="S109" s="133"/>
      <c r="T109" s="133"/>
      <c r="U109" s="135"/>
      <c r="V109" s="171" t="e">
        <f>G101+K101+M101+O101+Q101+I101+S101+#REF!+C101+U109</f>
        <v>#REF!</v>
      </c>
    </row>
    <row r="110" spans="1:22">
      <c r="A110" s="209"/>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171"/>
    </row>
    <row r="111" spans="1:22">
      <c r="A111" s="209"/>
      <c r="B111" s="140"/>
      <c r="C111" s="139"/>
      <c r="D111" s="140"/>
      <c r="F111" s="140"/>
      <c r="G111" s="139"/>
      <c r="H111" s="140"/>
      <c r="I111" s="139"/>
      <c r="J111" s="140"/>
      <c r="K111" s="133"/>
      <c r="L111" s="140"/>
      <c r="M111" s="139"/>
      <c r="N111" s="140"/>
      <c r="O111" s="139"/>
      <c r="P111" s="140"/>
      <c r="Q111" s="139"/>
      <c r="R111" s="140"/>
      <c r="S111" s="139"/>
      <c r="T111" s="140"/>
      <c r="U111" s="133"/>
      <c r="V111" s="170"/>
    </row>
    <row r="112" spans="1:22">
      <c r="A112" s="209"/>
      <c r="B112" s="141"/>
      <c r="C112" s="139"/>
      <c r="D112" s="141"/>
      <c r="F112" s="141"/>
      <c r="G112" s="139"/>
      <c r="H112" s="141"/>
      <c r="I112" s="139"/>
      <c r="J112" s="141"/>
      <c r="K112" s="133"/>
      <c r="L112" s="141"/>
      <c r="M112" s="139"/>
      <c r="N112" s="141"/>
      <c r="O112" s="139"/>
      <c r="P112" s="141"/>
      <c r="Q112" s="139"/>
      <c r="R112" s="141"/>
      <c r="S112" s="139"/>
      <c r="T112" s="141"/>
      <c r="U112" s="133"/>
      <c r="V112" s="170"/>
    </row>
    <row r="113" spans="1:22">
      <c r="A113" s="209"/>
      <c r="B113" s="386" t="s">
        <v>404</v>
      </c>
      <c r="C113" s="149"/>
      <c r="D113" s="147" t="s">
        <v>405</v>
      </c>
      <c r="F113" s="386" t="s">
        <v>406</v>
      </c>
      <c r="G113" s="149"/>
      <c r="H113" s="386" t="s">
        <v>290</v>
      </c>
      <c r="I113" s="149"/>
      <c r="J113" s="386" t="s">
        <v>407</v>
      </c>
      <c r="K113" s="149"/>
      <c r="L113" s="147" t="s">
        <v>408</v>
      </c>
      <c r="M113" s="149"/>
      <c r="N113" s="147" t="s">
        <v>409</v>
      </c>
      <c r="O113" s="149"/>
      <c r="P113" s="147" t="s">
        <v>410</v>
      </c>
      <c r="Q113" s="149"/>
      <c r="R113" s="147" t="s">
        <v>411</v>
      </c>
      <c r="S113" s="149"/>
      <c r="T113" s="147" t="s">
        <v>412</v>
      </c>
      <c r="U113" s="133"/>
      <c r="V113" s="170"/>
    </row>
    <row r="114" spans="1:22">
      <c r="A114" s="209"/>
      <c r="B114" s="148" t="s">
        <v>295</v>
      </c>
      <c r="C114" s="149"/>
      <c r="D114" s="147" t="s">
        <v>343</v>
      </c>
      <c r="F114" s="148" t="s">
        <v>296</v>
      </c>
      <c r="G114" s="149"/>
      <c r="H114" s="148" t="s">
        <v>296</v>
      </c>
      <c r="I114" s="149"/>
      <c r="J114" s="148" t="s">
        <v>296</v>
      </c>
      <c r="K114" s="149"/>
      <c r="L114" s="147" t="s">
        <v>319</v>
      </c>
      <c r="M114" s="149"/>
      <c r="N114" s="147" t="s">
        <v>319</v>
      </c>
      <c r="O114" s="149"/>
      <c r="P114" s="147" t="s">
        <v>413</v>
      </c>
      <c r="Q114" s="149"/>
      <c r="R114" s="147" t="s">
        <v>413</v>
      </c>
      <c r="S114" s="149"/>
      <c r="T114" s="147" t="s">
        <v>344</v>
      </c>
      <c r="U114" s="133"/>
      <c r="V114" s="170"/>
    </row>
    <row r="115" spans="1:22">
      <c r="A115" s="209"/>
      <c r="B115" s="133">
        <f>T108+1</f>
        <v>130</v>
      </c>
      <c r="C115" s="155"/>
      <c r="D115" s="161">
        <f>B115+1</f>
        <v>131</v>
      </c>
      <c r="F115" s="161">
        <f>D115+1</f>
        <v>132</v>
      </c>
      <c r="G115" s="155"/>
      <c r="H115" s="161">
        <f>F115+1</f>
        <v>133</v>
      </c>
      <c r="I115" s="155"/>
      <c r="J115" s="161">
        <f>H115+1</f>
        <v>134</v>
      </c>
      <c r="K115" s="155"/>
      <c r="L115" s="161">
        <f>J115+1</f>
        <v>135</v>
      </c>
      <c r="M115" s="155"/>
      <c r="N115" s="161">
        <f>L115+1</f>
        <v>136</v>
      </c>
      <c r="O115" s="155"/>
      <c r="P115" s="161">
        <f>N115+1</f>
        <v>137</v>
      </c>
      <c r="Q115" s="155"/>
      <c r="R115" s="161">
        <f>P115+1</f>
        <v>138</v>
      </c>
      <c r="S115" s="155"/>
      <c r="T115" s="161">
        <f>R115+1</f>
        <v>139</v>
      </c>
      <c r="U115" s="133"/>
      <c r="V115" s="307">
        <v>130</v>
      </c>
    </row>
    <row r="116" spans="1:22">
      <c r="A116" s="209"/>
      <c r="B116" s="133"/>
      <c r="C116" s="133"/>
      <c r="D116" s="133"/>
      <c r="F116" s="133"/>
      <c r="G116" s="133"/>
      <c r="H116" s="133"/>
      <c r="I116" s="133"/>
      <c r="J116" s="133"/>
      <c r="K116" s="133"/>
      <c r="L116" s="133"/>
      <c r="N116" s="133"/>
      <c r="O116" s="133"/>
      <c r="P116" s="133"/>
      <c r="Q116" s="133"/>
      <c r="R116" s="133"/>
      <c r="S116" s="133"/>
      <c r="T116" s="133"/>
      <c r="U116" s="133"/>
      <c r="V116" s="133"/>
    </row>
    <row r="117" spans="1:22">
      <c r="A117" s="209"/>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35"/>
    </row>
    <row r="118" spans="1:22">
      <c r="A118" s="209"/>
      <c r="B118" s="140"/>
      <c r="C118" s="139"/>
      <c r="D118" s="140"/>
      <c r="F118" s="158" t="s">
        <v>354</v>
      </c>
      <c r="G118" s="139"/>
      <c r="H118" s="140"/>
      <c r="I118" s="139"/>
      <c r="J118" s="158" t="s">
        <v>354</v>
      </c>
      <c r="K118" s="133"/>
      <c r="L118" s="141"/>
      <c r="N118" s="140"/>
      <c r="O118" s="139"/>
      <c r="P118" s="140"/>
      <c r="Q118" s="139"/>
      <c r="R118" s="140"/>
      <c r="S118" s="139"/>
      <c r="T118" s="140"/>
      <c r="U118" s="139"/>
      <c r="V118" s="140"/>
    </row>
    <row r="119" spans="1:22">
      <c r="A119" s="209"/>
      <c r="B119" s="141"/>
      <c r="C119" s="139"/>
      <c r="D119" s="141"/>
      <c r="F119" s="141"/>
      <c r="G119" s="139"/>
      <c r="H119" s="141"/>
      <c r="I119" s="139"/>
      <c r="J119" s="141"/>
      <c r="K119" s="133"/>
      <c r="L119" s="141"/>
      <c r="N119" s="141"/>
      <c r="O119" s="139"/>
      <c r="P119" s="141"/>
      <c r="Q119" s="139"/>
      <c r="R119" s="141"/>
      <c r="S119" s="139"/>
      <c r="T119" s="141"/>
      <c r="U119" s="139"/>
      <c r="V119" s="141"/>
    </row>
    <row r="120" spans="1:22">
      <c r="A120" s="209"/>
      <c r="B120" s="386" t="s">
        <v>414</v>
      </c>
      <c r="C120" s="133"/>
      <c r="D120" s="147" t="s">
        <v>415</v>
      </c>
      <c r="F120" s="386" t="s">
        <v>217</v>
      </c>
      <c r="G120" s="133"/>
      <c r="H120" s="147" t="s">
        <v>416</v>
      </c>
      <c r="I120" s="133"/>
      <c r="J120" s="386" t="s">
        <v>294</v>
      </c>
      <c r="K120" s="133"/>
      <c r="L120" s="386" t="s">
        <v>276</v>
      </c>
      <c r="N120" s="147" t="s">
        <v>417</v>
      </c>
      <c r="O120" s="133"/>
      <c r="P120" s="386" t="s">
        <v>418</v>
      </c>
      <c r="Q120" s="133"/>
      <c r="R120" s="147" t="s">
        <v>419</v>
      </c>
      <c r="S120" s="133"/>
      <c r="T120" s="148" t="s">
        <v>420</v>
      </c>
      <c r="U120" s="133"/>
      <c r="V120" s="386" t="s">
        <v>421</v>
      </c>
    </row>
    <row r="121" spans="1:22">
      <c r="A121" s="209"/>
      <c r="B121" s="148" t="s">
        <v>295</v>
      </c>
      <c r="C121" s="133"/>
      <c r="D121" s="147" t="s">
        <v>119</v>
      </c>
      <c r="F121" s="148" t="s">
        <v>296</v>
      </c>
      <c r="G121" s="133"/>
      <c r="H121" s="147" t="s">
        <v>319</v>
      </c>
      <c r="I121" s="133"/>
      <c r="J121" s="145" t="s">
        <v>296</v>
      </c>
      <c r="K121" s="133"/>
      <c r="L121" s="145" t="s">
        <v>296</v>
      </c>
      <c r="N121" s="147" t="s">
        <v>319</v>
      </c>
      <c r="O121" s="133"/>
      <c r="P121" s="148" t="s">
        <v>317</v>
      </c>
      <c r="Q121" s="133"/>
      <c r="R121" s="147" t="s">
        <v>319</v>
      </c>
      <c r="S121" s="133"/>
      <c r="T121" s="148" t="s">
        <v>296</v>
      </c>
      <c r="U121" s="133"/>
      <c r="V121" s="148" t="s">
        <v>319</v>
      </c>
    </row>
    <row r="122" spans="1:22">
      <c r="A122" s="209"/>
      <c r="B122" s="144"/>
      <c r="C122" s="133"/>
      <c r="D122" s="145"/>
      <c r="E122" s="133"/>
      <c r="F122" s="145"/>
      <c r="G122" s="149"/>
      <c r="H122" s="147"/>
      <c r="I122" s="149"/>
      <c r="J122" s="193"/>
      <c r="K122" s="193"/>
      <c r="L122" s="193"/>
      <c r="M122" s="193"/>
      <c r="O122" s="193"/>
      <c r="P122" s="144" t="s">
        <v>220</v>
      </c>
      <c r="Q122" s="193"/>
      <c r="R122" s="193"/>
      <c r="S122" s="155"/>
      <c r="T122" s="161"/>
      <c r="U122" s="133"/>
      <c r="V122" s="170"/>
    </row>
    <row r="123" spans="1:22">
      <c r="A123" s="209"/>
      <c r="B123" s="161">
        <f>V115+1</f>
        <v>131</v>
      </c>
      <c r="C123" s="133"/>
      <c r="D123" s="161">
        <f>B123+1</f>
        <v>132</v>
      </c>
      <c r="F123" s="161">
        <f>D123+1</f>
        <v>133</v>
      </c>
      <c r="H123" s="161">
        <f>F123+1</f>
        <v>134</v>
      </c>
      <c r="J123" s="161">
        <f>H123+1</f>
        <v>135</v>
      </c>
      <c r="L123" s="161">
        <f>J123+1</f>
        <v>136</v>
      </c>
      <c r="N123" s="161">
        <f>L123+1</f>
        <v>137</v>
      </c>
      <c r="P123" s="161">
        <f>N123+1</f>
        <v>138</v>
      </c>
      <c r="Q123" s="155"/>
      <c r="R123" s="161">
        <f>P123+1</f>
        <v>139</v>
      </c>
      <c r="T123" s="161">
        <f>R123+1</f>
        <v>140</v>
      </c>
      <c r="U123" s="133"/>
      <c r="V123" s="161">
        <f>T123+1</f>
        <v>141</v>
      </c>
    </row>
    <row r="124" spans="1:22">
      <c r="A124" s="209"/>
      <c r="B124" s="133"/>
      <c r="C124" s="133"/>
      <c r="D124" s="133"/>
      <c r="F124" s="133"/>
      <c r="H124" s="133"/>
      <c r="J124" s="133"/>
      <c r="L124" s="133"/>
      <c r="N124" s="133"/>
      <c r="P124" s="133"/>
      <c r="Q124" s="133"/>
      <c r="R124" s="133"/>
      <c r="T124" s="133"/>
      <c r="U124" s="133"/>
      <c r="V124" s="133"/>
    </row>
    <row r="125" spans="1:22">
      <c r="A125" s="209"/>
      <c r="B125" s="135"/>
      <c r="C125" s="133"/>
      <c r="D125" s="133"/>
      <c r="F125" s="133"/>
      <c r="H125" s="133"/>
      <c r="J125" s="133"/>
      <c r="L125" s="133"/>
      <c r="N125" s="133"/>
      <c r="P125" s="133"/>
      <c r="Q125" s="135"/>
      <c r="R125" s="133"/>
      <c r="T125" s="133"/>
      <c r="U125" s="133"/>
      <c r="V125" s="133"/>
    </row>
    <row r="126" spans="1:22">
      <c r="A126" s="209"/>
      <c r="B126" s="140"/>
      <c r="C126" s="133"/>
      <c r="D126" s="140"/>
      <c r="F126" s="140"/>
      <c r="H126" s="140"/>
      <c r="J126" s="140"/>
      <c r="L126" s="140"/>
      <c r="N126" s="140"/>
      <c r="P126" s="140"/>
      <c r="Q126" s="133"/>
      <c r="R126" s="140"/>
      <c r="T126" s="140"/>
      <c r="U126" s="133"/>
      <c r="V126" s="140"/>
    </row>
    <row r="127" spans="1:22">
      <c r="A127" s="209"/>
      <c r="B127" s="141"/>
      <c r="C127" s="133"/>
      <c r="D127" s="141"/>
      <c r="F127" s="141"/>
      <c r="H127" s="141"/>
      <c r="J127" s="141"/>
      <c r="L127" s="141"/>
      <c r="N127" s="141"/>
      <c r="P127" s="141"/>
      <c r="Q127" s="133"/>
      <c r="R127" s="141"/>
      <c r="T127" s="141"/>
      <c r="U127" s="133"/>
      <c r="V127" s="141"/>
    </row>
    <row r="128" spans="1:22">
      <c r="A128" s="209"/>
      <c r="B128" s="386" t="s">
        <v>289</v>
      </c>
      <c r="C128" s="191"/>
      <c r="D128" s="386" t="s">
        <v>422</v>
      </c>
      <c r="F128" s="386" t="s">
        <v>423</v>
      </c>
      <c r="H128" s="386" t="s">
        <v>424</v>
      </c>
      <c r="J128" s="386" t="s">
        <v>425</v>
      </c>
      <c r="L128" s="386" t="s">
        <v>279</v>
      </c>
      <c r="N128" s="386" t="s">
        <v>426</v>
      </c>
      <c r="P128" s="386" t="s">
        <v>427</v>
      </c>
      <c r="Q128" s="133"/>
      <c r="R128" s="386" t="s">
        <v>428</v>
      </c>
      <c r="T128" s="386" t="s">
        <v>291</v>
      </c>
      <c r="U128" s="133"/>
      <c r="V128" s="386" t="s">
        <v>429</v>
      </c>
    </row>
    <row r="129" spans="1:22">
      <c r="A129" s="209"/>
      <c r="B129" s="148" t="s">
        <v>296</v>
      </c>
      <c r="C129" s="133"/>
      <c r="D129" s="148" t="s">
        <v>343</v>
      </c>
      <c r="F129" s="148" t="s">
        <v>296</v>
      </c>
      <c r="H129" s="148" t="s">
        <v>430</v>
      </c>
      <c r="J129" s="148" t="s">
        <v>115</v>
      </c>
      <c r="L129" s="148" t="s">
        <v>318</v>
      </c>
      <c r="N129" s="148" t="s">
        <v>296</v>
      </c>
      <c r="P129" s="148" t="s">
        <v>296</v>
      </c>
      <c r="Q129" s="133"/>
      <c r="R129" s="148" t="s">
        <v>318</v>
      </c>
      <c r="T129" s="148" t="s">
        <v>317</v>
      </c>
      <c r="U129" s="133"/>
      <c r="V129" s="148" t="s">
        <v>317</v>
      </c>
    </row>
    <row r="130" spans="1:22">
      <c r="A130" s="209"/>
      <c r="B130" s="148"/>
      <c r="C130" s="133"/>
      <c r="D130" s="148"/>
      <c r="F130" s="201" t="s">
        <v>220</v>
      </c>
      <c r="H130" s="148"/>
      <c r="J130" s="148"/>
      <c r="L130" s="148"/>
      <c r="N130" s="148"/>
      <c r="P130" s="201" t="s">
        <v>220</v>
      </c>
      <c r="Q130" s="133"/>
      <c r="R130" s="148"/>
      <c r="T130" s="148"/>
      <c r="U130" s="133"/>
      <c r="V130" s="148"/>
    </row>
    <row r="131" spans="1:22">
      <c r="A131" s="209"/>
      <c r="B131" s="148"/>
      <c r="C131" s="133"/>
      <c r="D131" s="148"/>
      <c r="F131" s="148"/>
      <c r="H131" s="148"/>
      <c r="J131" s="148"/>
      <c r="L131" s="148"/>
      <c r="N131" s="148"/>
      <c r="P131" s="148"/>
      <c r="Q131" s="133"/>
      <c r="R131" s="148"/>
      <c r="T131" s="148"/>
      <c r="U131" s="133"/>
      <c r="V131" s="148"/>
    </row>
    <row r="132" spans="1:22">
      <c r="A132" s="209"/>
      <c r="B132" s="161">
        <f>V123+1</f>
        <v>142</v>
      </c>
      <c r="C132" s="133"/>
      <c r="D132" s="161">
        <f>B132+1</f>
        <v>143</v>
      </c>
      <c r="F132" s="161">
        <f>D132+1</f>
        <v>144</v>
      </c>
      <c r="H132" s="161">
        <f>F132+1</f>
        <v>145</v>
      </c>
      <c r="J132" s="161">
        <f>H132+1</f>
        <v>146</v>
      </c>
      <c r="L132" s="161">
        <f>J132+1</f>
        <v>147</v>
      </c>
      <c r="N132" s="161">
        <f>L132+1</f>
        <v>148</v>
      </c>
      <c r="P132" s="161">
        <f>N132+1</f>
        <v>149</v>
      </c>
      <c r="Q132" s="155"/>
      <c r="R132" s="161">
        <f>P132+1</f>
        <v>150</v>
      </c>
      <c r="T132" s="161">
        <f>R132+1</f>
        <v>151</v>
      </c>
      <c r="U132" s="133"/>
      <c r="V132" s="161">
        <f>T132+1</f>
        <v>152</v>
      </c>
    </row>
    <row r="133" spans="1:22">
      <c r="A133" s="209"/>
      <c r="B133" s="133"/>
      <c r="C133" s="133"/>
      <c r="D133" s="133"/>
      <c r="F133" s="133"/>
      <c r="H133" s="133"/>
      <c r="J133" s="133"/>
      <c r="L133" s="133"/>
      <c r="N133" s="133"/>
      <c r="P133" s="133"/>
      <c r="Q133" s="133"/>
      <c r="R133" s="133"/>
      <c r="T133" s="133"/>
      <c r="U133" s="133"/>
      <c r="V133" s="133"/>
    </row>
    <row r="134" spans="1:22">
      <c r="A134" s="209"/>
      <c r="B134" s="135"/>
      <c r="C134" s="133"/>
      <c r="D134" s="133"/>
      <c r="F134" s="133"/>
      <c r="H134" s="133"/>
      <c r="J134" s="133"/>
      <c r="L134" s="133"/>
      <c r="N134" s="133"/>
      <c r="P134" s="133"/>
      <c r="Q134" s="135"/>
      <c r="R134" s="133"/>
      <c r="T134" s="133"/>
      <c r="U134" s="133"/>
      <c r="V134" s="133"/>
    </row>
    <row r="135" spans="1:22">
      <c r="A135" s="209"/>
      <c r="B135" s="140"/>
      <c r="C135" s="133"/>
      <c r="D135" s="140"/>
      <c r="F135" s="140"/>
      <c r="H135" s="140"/>
      <c r="J135" s="140"/>
      <c r="L135" s="140"/>
      <c r="N135" s="140"/>
      <c r="P135" s="140"/>
      <c r="Q135" s="133"/>
      <c r="R135" s="140"/>
      <c r="T135" s="140"/>
      <c r="U135" s="133"/>
      <c r="V135" s="140"/>
    </row>
    <row r="136" spans="1:22">
      <c r="A136" s="209"/>
      <c r="B136" s="141"/>
      <c r="C136" s="133"/>
      <c r="D136" s="141"/>
      <c r="F136" s="141"/>
      <c r="H136" s="141"/>
      <c r="J136" s="141"/>
      <c r="L136" s="141"/>
      <c r="N136" s="141"/>
      <c r="P136" s="141"/>
      <c r="Q136" s="133"/>
      <c r="R136" s="141"/>
      <c r="T136" s="141"/>
      <c r="U136" s="133"/>
      <c r="V136" s="141"/>
    </row>
    <row r="137" spans="1:22">
      <c r="A137" s="209"/>
      <c r="B137" s="386" t="s">
        <v>431</v>
      </c>
      <c r="C137" s="191"/>
      <c r="D137" s="386" t="s">
        <v>432</v>
      </c>
      <c r="F137" s="386" t="s">
        <v>433</v>
      </c>
      <c r="H137" s="386" t="s">
        <v>434</v>
      </c>
      <c r="J137" s="387" t="s">
        <v>435</v>
      </c>
      <c r="L137" s="386" t="s">
        <v>436</v>
      </c>
      <c r="N137" s="386" t="s">
        <v>437</v>
      </c>
      <c r="P137" s="386" t="s">
        <v>438</v>
      </c>
      <c r="Q137" s="133"/>
      <c r="R137" s="386" t="s">
        <v>439</v>
      </c>
      <c r="T137" s="386" t="s">
        <v>440</v>
      </c>
      <c r="U137" s="133"/>
      <c r="V137" s="386" t="s">
        <v>441</v>
      </c>
    </row>
    <row r="138" spans="1:22">
      <c r="A138" s="209"/>
      <c r="B138" s="148" t="s">
        <v>344</v>
      </c>
      <c r="C138" s="133"/>
      <c r="D138" s="148" t="s">
        <v>296</v>
      </c>
      <c r="F138" s="148" t="s">
        <v>296</v>
      </c>
      <c r="H138" s="148" t="s">
        <v>319</v>
      </c>
      <c r="J138" s="148" t="s">
        <v>242</v>
      </c>
      <c r="L138" s="148" t="s">
        <v>442</v>
      </c>
      <c r="N138" s="148" t="s">
        <v>143</v>
      </c>
      <c r="P138" s="148" t="s">
        <v>296</v>
      </c>
      <c r="Q138" s="133"/>
      <c r="R138" s="148" t="s">
        <v>296</v>
      </c>
      <c r="T138" s="148" t="s">
        <v>115</v>
      </c>
      <c r="U138" s="133"/>
      <c r="V138" s="148" t="s">
        <v>242</v>
      </c>
    </row>
    <row r="139" spans="1:22">
      <c r="A139" s="209"/>
      <c r="B139" s="148"/>
      <c r="C139" s="133"/>
      <c r="D139" s="148"/>
      <c r="F139" s="148"/>
      <c r="H139" s="148"/>
      <c r="J139" s="148"/>
      <c r="L139" s="148"/>
      <c r="N139" s="148"/>
      <c r="P139" s="148"/>
      <c r="Q139" s="133"/>
      <c r="R139" s="148"/>
      <c r="T139" s="148"/>
      <c r="U139" s="133"/>
      <c r="V139" s="148"/>
    </row>
    <row r="140" spans="1:22">
      <c r="A140" s="209"/>
      <c r="B140" s="148"/>
      <c r="C140" s="133"/>
      <c r="D140" s="148"/>
      <c r="F140" s="148"/>
      <c r="H140" s="148"/>
      <c r="J140" s="148"/>
      <c r="L140" s="148"/>
      <c r="N140" s="148"/>
      <c r="P140" s="148"/>
      <c r="Q140" s="133"/>
      <c r="R140" s="148"/>
      <c r="T140" s="148"/>
      <c r="U140" s="133"/>
      <c r="V140" s="148"/>
    </row>
    <row r="141" spans="1:22">
      <c r="A141" s="209"/>
      <c r="B141" s="161">
        <f>V132+1</f>
        <v>153</v>
      </c>
      <c r="C141" s="133"/>
      <c r="D141" s="161">
        <f>B141+1</f>
        <v>154</v>
      </c>
      <c r="F141" s="161">
        <f>D141+1</f>
        <v>155</v>
      </c>
      <c r="H141" s="161">
        <f>F141+1</f>
        <v>156</v>
      </c>
      <c r="J141" s="161">
        <f>H141+1</f>
        <v>157</v>
      </c>
      <c r="L141" s="161">
        <f>J141+1</f>
        <v>158</v>
      </c>
      <c r="N141" s="161">
        <f>L141+1</f>
        <v>159</v>
      </c>
      <c r="P141" s="161">
        <f>N141+1</f>
        <v>160</v>
      </c>
      <c r="Q141" s="155"/>
      <c r="R141" s="161">
        <f>P141+1</f>
        <v>161</v>
      </c>
      <c r="T141" s="161">
        <f>R141+1</f>
        <v>162</v>
      </c>
      <c r="U141" s="133"/>
      <c r="V141" s="161">
        <f>T141+1</f>
        <v>163</v>
      </c>
    </row>
    <row r="142" spans="1:22">
      <c r="A142" s="209"/>
      <c r="B142" s="133"/>
      <c r="C142" s="133"/>
      <c r="D142" s="133"/>
      <c r="F142" s="133"/>
      <c r="H142" s="133"/>
      <c r="J142" s="133"/>
      <c r="L142" s="133"/>
      <c r="N142" s="133"/>
      <c r="P142" s="133"/>
      <c r="Q142" s="133"/>
      <c r="R142" s="133"/>
      <c r="T142" s="133"/>
      <c r="U142" s="133"/>
      <c r="V142" s="133"/>
    </row>
    <row r="143" spans="1:22">
      <c r="A143" s="209"/>
      <c r="B143" s="135"/>
      <c r="C143" s="133"/>
      <c r="D143" s="133"/>
      <c r="F143" s="133"/>
      <c r="H143" s="133"/>
      <c r="J143" s="133"/>
      <c r="L143" s="133"/>
      <c r="N143" s="133"/>
      <c r="P143" s="133"/>
      <c r="Q143" s="135"/>
      <c r="R143" s="133"/>
      <c r="T143" s="133"/>
      <c r="U143" s="133"/>
      <c r="V143" s="133"/>
    </row>
    <row r="144" spans="1:22">
      <c r="A144" s="209"/>
      <c r="B144" s="140"/>
      <c r="C144" s="133"/>
      <c r="D144" s="140"/>
      <c r="F144" s="140"/>
      <c r="H144" s="140"/>
      <c r="J144" s="140"/>
      <c r="L144" s="140"/>
      <c r="N144" s="140"/>
      <c r="P144" s="140"/>
      <c r="Q144" s="133"/>
      <c r="R144" s="140"/>
      <c r="T144" s="140"/>
      <c r="U144" s="133"/>
      <c r="V144" s="140"/>
    </row>
    <row r="145" spans="1:22">
      <c r="A145" s="209"/>
      <c r="B145" s="141"/>
      <c r="C145" s="133"/>
      <c r="D145" s="141"/>
      <c r="F145" s="141"/>
      <c r="H145" s="141"/>
      <c r="J145" s="141"/>
      <c r="L145" s="141"/>
      <c r="N145" s="141"/>
      <c r="P145" s="141"/>
      <c r="Q145" s="133"/>
      <c r="R145" s="141"/>
      <c r="T145" s="141"/>
      <c r="U145" s="133"/>
      <c r="V145" s="141"/>
    </row>
    <row r="146" spans="1:22">
      <c r="A146" s="209"/>
      <c r="B146" s="386" t="s">
        <v>443</v>
      </c>
      <c r="C146" s="191"/>
      <c r="D146" s="386" t="s">
        <v>444</v>
      </c>
      <c r="F146" s="386" t="s">
        <v>445</v>
      </c>
      <c r="H146" s="386" t="s">
        <v>446</v>
      </c>
      <c r="J146" s="386" t="s">
        <v>447</v>
      </c>
      <c r="L146" s="386" t="s">
        <v>448</v>
      </c>
      <c r="N146" s="387" t="s">
        <v>449</v>
      </c>
      <c r="P146" s="386" t="s">
        <v>450</v>
      </c>
      <c r="Q146" s="133"/>
      <c r="R146" s="386" t="s">
        <v>451</v>
      </c>
      <c r="T146" s="283"/>
      <c r="U146" s="133"/>
      <c r="V146" s="283"/>
    </row>
    <row r="147" spans="1:22">
      <c r="A147" s="209"/>
      <c r="B147" s="148" t="s">
        <v>132</v>
      </c>
      <c r="C147" s="133"/>
      <c r="D147" s="148" t="s">
        <v>123</v>
      </c>
      <c r="F147" s="148" t="s">
        <v>132</v>
      </c>
      <c r="H147" s="148" t="s">
        <v>182</v>
      </c>
      <c r="J147" s="148" t="s">
        <v>182</v>
      </c>
      <c r="L147" s="148" t="s">
        <v>125</v>
      </c>
      <c r="N147" s="148" t="s">
        <v>185</v>
      </c>
      <c r="P147" s="148" t="s">
        <v>128</v>
      </c>
      <c r="Q147" s="133"/>
      <c r="R147" s="148" t="s">
        <v>143</v>
      </c>
      <c r="T147" s="148"/>
      <c r="U147" s="133"/>
      <c r="V147" s="148"/>
    </row>
    <row r="148" spans="1:22">
      <c r="A148" s="209"/>
      <c r="B148" s="148"/>
      <c r="C148" s="133"/>
      <c r="D148" s="201" t="s">
        <v>220</v>
      </c>
      <c r="F148" s="201" t="s">
        <v>220</v>
      </c>
      <c r="H148" s="148"/>
      <c r="J148" s="148"/>
      <c r="L148" s="148"/>
      <c r="N148" s="148"/>
      <c r="P148" s="148"/>
      <c r="Q148" s="133"/>
      <c r="R148" s="148"/>
      <c r="T148" s="148"/>
      <c r="U148" s="133"/>
      <c r="V148" s="148"/>
    </row>
    <row r="149" spans="1:22">
      <c r="A149" s="209"/>
      <c r="B149" s="148"/>
      <c r="C149" s="133"/>
      <c r="D149" s="201"/>
      <c r="F149" s="201"/>
      <c r="H149" s="148"/>
      <c r="J149" s="148"/>
      <c r="L149" s="148"/>
      <c r="N149" s="148"/>
      <c r="P149" s="148"/>
      <c r="Q149" s="133"/>
      <c r="R149" s="148"/>
      <c r="T149" s="148"/>
      <c r="U149" s="133"/>
      <c r="V149" s="148"/>
    </row>
    <row r="150" spans="1:22">
      <c r="A150" s="209"/>
      <c r="B150" s="161">
        <f>V141+1</f>
        <v>164</v>
      </c>
      <c r="C150" s="133"/>
      <c r="D150" s="161">
        <f>B150+1</f>
        <v>165</v>
      </c>
      <c r="F150" s="161">
        <f>D150+1</f>
        <v>166</v>
      </c>
      <c r="H150" s="161">
        <f>F150+1</f>
        <v>167</v>
      </c>
      <c r="J150" s="161">
        <f>H150+1</f>
        <v>168</v>
      </c>
      <c r="L150" s="161">
        <f>J150+1</f>
        <v>169</v>
      </c>
      <c r="N150" s="161">
        <f>L150+1</f>
        <v>170</v>
      </c>
      <c r="P150" s="161">
        <f>N150+1</f>
        <v>171</v>
      </c>
      <c r="Q150" s="155"/>
      <c r="R150" s="161">
        <f>P150+1</f>
        <v>172</v>
      </c>
      <c r="T150" s="161">
        <f>R150+1</f>
        <v>173</v>
      </c>
      <c r="U150" s="133"/>
      <c r="V150" s="161">
        <f>T150+1</f>
        <v>174</v>
      </c>
    </row>
    <row r="151" spans="1:22">
      <c r="A151" s="209"/>
      <c r="B151" s="133"/>
      <c r="C151" s="133"/>
      <c r="D151" s="133"/>
      <c r="F151" s="133"/>
      <c r="H151" s="133"/>
      <c r="J151" s="133"/>
      <c r="L151" s="133"/>
      <c r="N151" s="133"/>
      <c r="P151" s="133"/>
      <c r="Q151" s="133"/>
      <c r="R151" s="133"/>
      <c r="T151" s="133"/>
      <c r="U151" s="133"/>
      <c r="V151" s="133"/>
    </row>
    <row r="152" spans="1:22">
      <c r="A152" s="209"/>
      <c r="B152" s="135"/>
      <c r="C152" s="133"/>
      <c r="D152" s="133"/>
      <c r="F152" s="133"/>
      <c r="H152" s="133"/>
      <c r="J152" s="133"/>
      <c r="L152" s="133"/>
      <c r="N152" s="133"/>
      <c r="P152" s="133"/>
      <c r="Q152" s="135"/>
      <c r="R152" s="133"/>
      <c r="T152" s="133"/>
      <c r="U152" s="133"/>
      <c r="V152" s="133"/>
    </row>
    <row r="153" spans="1:22">
      <c r="A153" s="209"/>
      <c r="B153" s="140"/>
      <c r="C153" s="133"/>
      <c r="D153" s="140"/>
      <c r="F153" s="140"/>
      <c r="H153" s="140"/>
      <c r="J153" s="140"/>
      <c r="L153" s="140"/>
      <c r="N153" s="140"/>
      <c r="P153" s="140"/>
      <c r="Q153" s="133"/>
      <c r="R153" s="140"/>
      <c r="T153" s="140"/>
      <c r="U153" s="133"/>
      <c r="V153" s="140"/>
    </row>
    <row r="154" spans="1:22">
      <c r="A154" s="209"/>
      <c r="B154" s="141"/>
      <c r="C154" s="133"/>
      <c r="D154" s="141"/>
      <c r="F154" s="141"/>
      <c r="H154" s="141"/>
      <c r="J154" s="141"/>
      <c r="L154" s="141"/>
      <c r="N154" s="141"/>
      <c r="P154" s="141"/>
      <c r="Q154" s="133"/>
      <c r="R154" s="141"/>
      <c r="T154" s="141"/>
      <c r="U154" s="133"/>
      <c r="V154" s="141"/>
    </row>
    <row r="155" spans="1:22">
      <c r="A155" s="209"/>
      <c r="B155" s="386" t="s">
        <v>443</v>
      </c>
      <c r="C155" s="191"/>
      <c r="D155" s="386" t="s">
        <v>444</v>
      </c>
      <c r="F155" s="386" t="s">
        <v>445</v>
      </c>
      <c r="H155" s="386" t="s">
        <v>446</v>
      </c>
      <c r="J155" s="386" t="s">
        <v>447</v>
      </c>
      <c r="L155" s="386" t="s">
        <v>448</v>
      </c>
      <c r="N155" s="387" t="s">
        <v>449</v>
      </c>
      <c r="P155" s="386" t="s">
        <v>450</v>
      </c>
      <c r="Q155" s="133"/>
      <c r="R155" s="386" t="s">
        <v>451</v>
      </c>
      <c r="T155" s="387" t="s">
        <v>452</v>
      </c>
      <c r="U155" s="133"/>
      <c r="V155" s="386" t="s">
        <v>453</v>
      </c>
    </row>
    <row r="156" spans="1:22">
      <c r="A156" s="209"/>
      <c r="B156" s="148" t="s">
        <v>132</v>
      </c>
      <c r="C156" s="133"/>
      <c r="D156" s="148" t="s">
        <v>123</v>
      </c>
      <c r="F156" s="148" t="s">
        <v>132</v>
      </c>
      <c r="H156" s="148" t="s">
        <v>182</v>
      </c>
      <c r="J156" s="148" t="s">
        <v>182</v>
      </c>
      <c r="L156" s="148" t="s">
        <v>125</v>
      </c>
      <c r="N156" s="148" t="s">
        <v>185</v>
      </c>
      <c r="P156" s="148" t="s">
        <v>128</v>
      </c>
      <c r="Q156" s="133"/>
      <c r="R156" s="148" t="s">
        <v>143</v>
      </c>
      <c r="T156" s="148" t="s">
        <v>248</v>
      </c>
      <c r="U156" s="133"/>
      <c r="V156" s="148" t="s">
        <v>115</v>
      </c>
    </row>
    <row r="157" spans="1:22">
      <c r="A157" s="209"/>
      <c r="B157" s="148"/>
      <c r="C157" s="133"/>
      <c r="D157" s="201" t="s">
        <v>220</v>
      </c>
      <c r="F157" s="201" t="s">
        <v>220</v>
      </c>
      <c r="H157" s="148"/>
      <c r="J157" s="148"/>
      <c r="L157" s="148"/>
      <c r="N157" s="148"/>
      <c r="P157" s="148"/>
      <c r="Q157" s="133"/>
      <c r="R157" s="148"/>
      <c r="T157" s="148"/>
      <c r="U157" s="133"/>
      <c r="V157" s="201" t="s">
        <v>454</v>
      </c>
    </row>
    <row r="158" spans="1:22">
      <c r="A158" s="209"/>
      <c r="B158" s="161">
        <f>V150+1</f>
        <v>175</v>
      </c>
      <c r="C158" s="133"/>
      <c r="D158" s="161">
        <f>B158+1</f>
        <v>176</v>
      </c>
      <c r="F158" s="161">
        <f>D158+1</f>
        <v>177</v>
      </c>
      <c r="H158" s="161">
        <f>F158+1</f>
        <v>178</v>
      </c>
      <c r="J158" s="161">
        <f>H158+1</f>
        <v>179</v>
      </c>
      <c r="L158" s="161">
        <f>J158+1</f>
        <v>180</v>
      </c>
      <c r="N158" s="161">
        <f>L158+1</f>
        <v>181</v>
      </c>
      <c r="P158" s="161">
        <f>N158+1</f>
        <v>182</v>
      </c>
      <c r="Q158" s="155"/>
      <c r="R158" s="161">
        <f>P158+1</f>
        <v>183</v>
      </c>
      <c r="T158" s="161">
        <f>R158+1</f>
        <v>184</v>
      </c>
      <c r="U158" s="133"/>
      <c r="V158" s="161">
        <f>T158+1</f>
        <v>185</v>
      </c>
    </row>
    <row r="159" spans="1:22">
      <c r="A159" s="209"/>
      <c r="B159" s="133"/>
      <c r="C159" s="133"/>
      <c r="D159" s="133"/>
      <c r="F159" s="133"/>
      <c r="H159" s="133"/>
      <c r="J159" s="133"/>
      <c r="L159" s="133"/>
      <c r="N159" s="133"/>
      <c r="P159" s="133"/>
      <c r="Q159" s="133"/>
      <c r="R159" s="133"/>
      <c r="T159" s="133"/>
      <c r="U159" s="133"/>
      <c r="V159" s="133"/>
    </row>
    <row r="160" spans="1:22">
      <c r="A160" s="209"/>
      <c r="B160" s="135"/>
      <c r="C160" s="133"/>
      <c r="D160" s="133"/>
      <c r="F160" s="133"/>
      <c r="H160" s="133"/>
      <c r="J160" s="133"/>
      <c r="L160" s="133"/>
      <c r="N160" s="133"/>
      <c r="P160" s="133"/>
      <c r="Q160" s="135"/>
      <c r="R160" s="133"/>
      <c r="T160" s="133"/>
      <c r="U160" s="133"/>
      <c r="V160" s="133"/>
    </row>
    <row r="161" spans="1:22">
      <c r="A161" s="209"/>
      <c r="B161" s="140"/>
      <c r="C161" s="133"/>
      <c r="D161" s="140"/>
      <c r="F161" s="140"/>
      <c r="H161" s="140"/>
      <c r="J161" s="140"/>
      <c r="L161" s="140"/>
      <c r="N161" s="140"/>
      <c r="P161" s="140"/>
      <c r="Q161" s="133"/>
      <c r="R161" s="140"/>
      <c r="T161" s="140"/>
      <c r="U161" s="133"/>
      <c r="V161" s="140"/>
    </row>
    <row r="162" spans="1:22">
      <c r="A162" s="209"/>
      <c r="B162" s="141"/>
      <c r="C162" s="133"/>
      <c r="D162" s="141"/>
      <c r="F162" s="141"/>
      <c r="H162" s="141"/>
      <c r="J162" s="141"/>
      <c r="L162" s="141"/>
      <c r="N162" s="141"/>
      <c r="P162" s="141"/>
      <c r="Q162" s="133"/>
      <c r="R162" s="141"/>
      <c r="T162" s="141"/>
      <c r="U162" s="133"/>
      <c r="V162" s="141"/>
    </row>
    <row r="163" spans="1:22">
      <c r="A163" s="209"/>
      <c r="B163" s="386" t="s">
        <v>455</v>
      </c>
      <c r="C163" s="191"/>
      <c r="D163" s="386" t="s">
        <v>456</v>
      </c>
      <c r="F163" s="386" t="s">
        <v>457</v>
      </c>
      <c r="H163" s="386" t="s">
        <v>458</v>
      </c>
      <c r="J163" s="386" t="s">
        <v>459</v>
      </c>
      <c r="L163" s="386" t="s">
        <v>460</v>
      </c>
      <c r="N163" s="386" t="s">
        <v>461</v>
      </c>
      <c r="P163" s="386" t="s">
        <v>462</v>
      </c>
      <c r="Q163" s="133"/>
      <c r="R163" s="387" t="s">
        <v>463</v>
      </c>
      <c r="T163" s="386" t="s">
        <v>464</v>
      </c>
      <c r="U163" s="133"/>
      <c r="V163" s="387" t="s">
        <v>465</v>
      </c>
    </row>
    <row r="164" spans="1:22">
      <c r="A164" s="209"/>
      <c r="B164" s="148" t="s">
        <v>137</v>
      </c>
      <c r="C164" s="133"/>
      <c r="D164" s="148" t="s">
        <v>167</v>
      </c>
      <c r="F164" s="148" t="s">
        <v>115</v>
      </c>
      <c r="H164" s="148" t="s">
        <v>132</v>
      </c>
      <c r="J164" s="148" t="s">
        <v>123</v>
      </c>
      <c r="L164" s="148" t="s">
        <v>125</v>
      </c>
      <c r="N164" s="148" t="s">
        <v>115</v>
      </c>
      <c r="P164" s="148" t="s">
        <v>115</v>
      </c>
      <c r="Q164" s="133"/>
      <c r="R164" s="148" t="s">
        <v>248</v>
      </c>
      <c r="T164" s="148" t="s">
        <v>115</v>
      </c>
      <c r="U164" s="133"/>
      <c r="V164" s="148" t="s">
        <v>132</v>
      </c>
    </row>
    <row r="165" spans="1:22">
      <c r="A165" s="209"/>
      <c r="B165" s="148"/>
      <c r="C165" s="133"/>
      <c r="D165" s="201"/>
      <c r="F165" s="201"/>
      <c r="H165" s="201" t="s">
        <v>466</v>
      </c>
      <c r="J165" s="201" t="s">
        <v>466</v>
      </c>
      <c r="L165" s="148"/>
      <c r="N165" s="148"/>
      <c r="P165" s="148"/>
      <c r="Q165" s="133"/>
      <c r="R165" s="148"/>
      <c r="T165" s="201" t="s">
        <v>454</v>
      </c>
      <c r="U165" s="133"/>
      <c r="V165" s="148"/>
    </row>
    <row r="166" spans="1:22">
      <c r="A166" s="209"/>
      <c r="B166" s="161">
        <f>V158+1</f>
        <v>186</v>
      </c>
      <c r="C166" s="133"/>
      <c r="D166" s="161">
        <f>B166+1</f>
        <v>187</v>
      </c>
      <c r="F166" s="161">
        <f>D166+1</f>
        <v>188</v>
      </c>
      <c r="H166" s="161">
        <f>F166+1</f>
        <v>189</v>
      </c>
      <c r="J166" s="161">
        <f>H166+1</f>
        <v>190</v>
      </c>
      <c r="L166" s="161">
        <f>J166+1</f>
        <v>191</v>
      </c>
      <c r="N166" s="161">
        <f>L166+1</f>
        <v>192</v>
      </c>
      <c r="P166" s="161">
        <f>N166+1</f>
        <v>193</v>
      </c>
      <c r="Q166" s="155"/>
      <c r="R166" s="161">
        <f>P166+1</f>
        <v>194</v>
      </c>
      <c r="T166" s="161">
        <f>R166+1</f>
        <v>195</v>
      </c>
      <c r="U166" s="133"/>
      <c r="V166" s="161">
        <f>T166+1</f>
        <v>196</v>
      </c>
    </row>
    <row r="167" spans="1:22">
      <c r="A167" s="209"/>
      <c r="B167" s="133"/>
      <c r="C167" s="133"/>
      <c r="D167" s="133"/>
      <c r="F167" s="133"/>
      <c r="H167" s="133"/>
      <c r="J167" s="133"/>
      <c r="L167" s="133"/>
      <c r="N167" s="133"/>
      <c r="P167" s="133"/>
      <c r="Q167" s="133"/>
      <c r="R167" s="133"/>
      <c r="T167" s="133"/>
      <c r="U167" s="133"/>
      <c r="V167" s="133"/>
    </row>
    <row r="168" spans="1:22">
      <c r="A168" s="209"/>
      <c r="B168" s="135"/>
      <c r="C168" s="133"/>
      <c r="D168" s="133"/>
      <c r="F168" s="133"/>
      <c r="H168" s="133"/>
      <c r="J168" s="133"/>
      <c r="L168" s="133"/>
      <c r="N168" s="133"/>
      <c r="P168" s="133"/>
      <c r="Q168" s="135"/>
      <c r="R168" s="133"/>
      <c r="T168" s="133"/>
      <c r="U168" s="133"/>
      <c r="V168" s="133"/>
    </row>
    <row r="169" spans="1:22">
      <c r="A169" s="209"/>
      <c r="B169" s="140"/>
      <c r="C169" s="133"/>
      <c r="D169" s="140"/>
      <c r="F169" s="140"/>
      <c r="H169" s="140"/>
      <c r="J169" s="140"/>
      <c r="L169" s="140"/>
      <c r="N169" s="140"/>
      <c r="P169" s="140"/>
      <c r="Q169" s="133"/>
      <c r="R169" s="140"/>
      <c r="T169" s="140"/>
      <c r="U169" s="133"/>
      <c r="V169" s="140"/>
    </row>
    <row r="170" spans="1:22">
      <c r="A170" s="209"/>
      <c r="B170" s="141"/>
      <c r="C170" s="133"/>
      <c r="D170" s="141"/>
      <c r="F170" s="141"/>
      <c r="H170" s="141"/>
      <c r="J170" s="141"/>
      <c r="L170" s="141"/>
      <c r="N170" s="141"/>
      <c r="P170" s="141"/>
      <c r="Q170" s="133"/>
      <c r="R170" s="141"/>
      <c r="T170" s="141"/>
      <c r="U170" s="133"/>
      <c r="V170" s="141"/>
    </row>
    <row r="171" spans="1:22">
      <c r="A171" s="209"/>
      <c r="B171" s="386" t="s">
        <v>467</v>
      </c>
      <c r="C171" s="191"/>
      <c r="D171" s="387" t="s">
        <v>468</v>
      </c>
      <c r="F171" s="386" t="s">
        <v>469</v>
      </c>
      <c r="H171" s="387" t="s">
        <v>470</v>
      </c>
      <c r="J171" s="387" t="s">
        <v>471</v>
      </c>
      <c r="L171" s="386" t="s">
        <v>472</v>
      </c>
      <c r="N171" s="386" t="s">
        <v>473</v>
      </c>
      <c r="P171" s="386" t="s">
        <v>474</v>
      </c>
      <c r="Q171" s="133"/>
      <c r="R171" s="386" t="s">
        <v>475</v>
      </c>
      <c r="T171" s="386" t="s">
        <v>476</v>
      </c>
      <c r="U171" s="133"/>
      <c r="V171" s="387" t="s">
        <v>477</v>
      </c>
    </row>
    <row r="172" spans="1:22">
      <c r="A172" s="209"/>
      <c r="B172" s="148" t="s">
        <v>125</v>
      </c>
      <c r="C172" s="133"/>
      <c r="D172" s="148" t="s">
        <v>182</v>
      </c>
      <c r="F172" s="148" t="s">
        <v>125</v>
      </c>
      <c r="H172" s="148" t="s">
        <v>185</v>
      </c>
      <c r="J172" s="148" t="s">
        <v>132</v>
      </c>
      <c r="L172" s="148" t="s">
        <v>137</v>
      </c>
      <c r="N172" s="148" t="s">
        <v>143</v>
      </c>
      <c r="P172" s="148" t="s">
        <v>185</v>
      </c>
      <c r="Q172" s="133"/>
      <c r="R172" s="148" t="s">
        <v>185</v>
      </c>
      <c r="T172" s="148" t="s">
        <v>115</v>
      </c>
      <c r="U172" s="133"/>
      <c r="V172" s="148" t="s">
        <v>242</v>
      </c>
    </row>
    <row r="173" spans="1:22">
      <c r="A173" s="209"/>
      <c r="B173" s="148"/>
      <c r="C173" s="133"/>
      <c r="D173" s="201" t="s">
        <v>366</v>
      </c>
      <c r="F173" s="201" t="s">
        <v>220</v>
      </c>
      <c r="H173" s="148"/>
      <c r="J173" s="148"/>
      <c r="L173" s="148"/>
      <c r="N173" s="148"/>
      <c r="P173" s="148"/>
      <c r="Q173" s="133"/>
      <c r="R173" s="148"/>
      <c r="T173" s="148"/>
      <c r="U173" s="133"/>
      <c r="V173" s="148"/>
    </row>
    <row r="174" spans="1:22">
      <c r="A174" s="209"/>
      <c r="B174" s="161">
        <f>V166+1</f>
        <v>197</v>
      </c>
      <c r="C174" s="133"/>
      <c r="D174" s="161"/>
      <c r="F174" s="161"/>
      <c r="H174" s="161"/>
      <c r="J174" s="161"/>
      <c r="L174" s="161"/>
      <c r="N174" s="161"/>
      <c r="P174" s="161"/>
      <c r="Q174" s="155"/>
      <c r="R174" s="161"/>
      <c r="T174" s="161"/>
      <c r="U174" s="133"/>
      <c r="V174" s="161"/>
    </row>
    <row r="175" spans="1:22">
      <c r="A175" s="209"/>
      <c r="B175" s="133"/>
      <c r="C175" s="133"/>
      <c r="D175" s="133"/>
      <c r="F175" s="133"/>
      <c r="H175" s="133"/>
      <c r="J175" s="133"/>
      <c r="L175" s="133"/>
      <c r="N175" s="133"/>
      <c r="P175" s="133"/>
      <c r="Q175" s="133"/>
      <c r="R175" s="133"/>
      <c r="T175" s="133"/>
      <c r="U175" s="133"/>
      <c r="V175" s="133"/>
    </row>
    <row r="176" spans="1:22">
      <c r="A176" s="209"/>
      <c r="B176" s="135"/>
      <c r="C176" s="133"/>
      <c r="D176" s="133"/>
      <c r="F176" s="133"/>
      <c r="H176" s="133"/>
      <c r="J176" s="133"/>
      <c r="L176" s="133"/>
      <c r="N176" s="133"/>
      <c r="P176" s="133"/>
      <c r="Q176" s="135"/>
      <c r="R176" s="133"/>
      <c r="T176" s="133"/>
      <c r="U176" s="133"/>
      <c r="V176" s="133"/>
    </row>
    <row r="177" spans="1:22">
      <c r="A177" s="209"/>
      <c r="B177" s="140"/>
      <c r="C177" s="133"/>
      <c r="D177" s="290"/>
      <c r="F177" s="290"/>
      <c r="H177" s="290"/>
      <c r="J177" s="290"/>
      <c r="L177" s="290"/>
      <c r="N177" s="290"/>
      <c r="P177" s="290"/>
      <c r="Q177" s="133"/>
      <c r="R177" s="290"/>
      <c r="T177" s="290"/>
      <c r="U177" s="133"/>
      <c r="V177" s="290"/>
    </row>
    <row r="178" spans="1:22">
      <c r="A178" s="209"/>
      <c r="B178" s="141"/>
      <c r="C178" s="133"/>
      <c r="D178" s="133"/>
      <c r="F178" s="133"/>
      <c r="H178" s="133"/>
      <c r="J178" s="133"/>
      <c r="L178" s="133"/>
      <c r="N178" s="133"/>
      <c r="P178" s="133"/>
      <c r="Q178" s="133"/>
      <c r="R178" s="133"/>
      <c r="T178" s="133"/>
      <c r="U178" s="133"/>
      <c r="V178" s="133"/>
    </row>
    <row r="179" spans="1:22">
      <c r="A179" s="209"/>
      <c r="B179" s="386" t="s">
        <v>478</v>
      </c>
      <c r="C179" s="191"/>
      <c r="D179" s="283"/>
      <c r="F179" s="283"/>
      <c r="H179" s="283"/>
      <c r="J179" s="283"/>
      <c r="L179" s="283"/>
      <c r="N179" s="308"/>
      <c r="P179" s="283"/>
      <c r="Q179" s="133"/>
      <c r="R179" s="283"/>
      <c r="T179" s="283"/>
      <c r="U179" s="133"/>
      <c r="V179" s="283"/>
    </row>
    <row r="180" spans="1:22">
      <c r="A180" s="209"/>
      <c r="B180" s="148" t="s">
        <v>125</v>
      </c>
      <c r="C180" s="133"/>
      <c r="D180" s="148"/>
      <c r="F180" s="148"/>
      <c r="H180" s="148"/>
      <c r="J180" s="148"/>
      <c r="L180" s="148"/>
      <c r="N180" s="148"/>
      <c r="P180" s="148"/>
      <c r="Q180" s="133"/>
      <c r="R180" s="148"/>
      <c r="T180" s="148"/>
      <c r="U180" s="133"/>
      <c r="V180" s="148"/>
    </row>
    <row r="181" spans="1:22">
      <c r="A181" s="209"/>
      <c r="B181" s="148"/>
      <c r="C181" s="133"/>
      <c r="D181" s="201"/>
      <c r="F181" s="201"/>
      <c r="H181" s="148"/>
      <c r="J181" s="148"/>
      <c r="L181" s="148"/>
      <c r="N181" s="148"/>
      <c r="P181" s="148"/>
      <c r="Q181" s="133"/>
      <c r="R181" s="148"/>
      <c r="T181" s="148"/>
      <c r="U181" s="133"/>
      <c r="V181" s="148"/>
    </row>
    <row r="182" spans="1:22">
      <c r="A182" s="209"/>
      <c r="B182" s="148"/>
      <c r="C182" s="133"/>
      <c r="D182" s="201"/>
      <c r="F182" s="201"/>
      <c r="H182" s="148"/>
      <c r="J182" s="148"/>
      <c r="L182" s="148"/>
      <c r="N182" s="148"/>
      <c r="P182" s="148"/>
      <c r="Q182" s="133"/>
      <c r="R182" s="148"/>
      <c r="T182" s="148"/>
      <c r="U182" s="133"/>
      <c r="V182" s="148"/>
    </row>
    <row r="183" spans="1:22">
      <c r="A183" s="209"/>
      <c r="B183" s="148"/>
      <c r="C183" s="133"/>
      <c r="D183" s="148"/>
      <c r="F183" s="148"/>
      <c r="H183" s="148"/>
      <c r="J183" s="148"/>
      <c r="L183" s="148"/>
      <c r="N183" s="148"/>
      <c r="P183" s="148"/>
      <c r="Q183" s="133"/>
      <c r="R183" s="148"/>
      <c r="T183" s="148"/>
      <c r="U183" s="133"/>
      <c r="V183" s="148"/>
    </row>
    <row r="184" spans="1:22">
      <c r="A184" s="209"/>
      <c r="B184" s="148"/>
      <c r="C184" s="133"/>
      <c r="D184" s="148"/>
      <c r="F184" s="148"/>
      <c r="H184" s="148"/>
      <c r="J184" s="148"/>
      <c r="L184" s="148"/>
      <c r="N184" s="148"/>
      <c r="P184" s="148"/>
      <c r="Q184" s="133"/>
      <c r="R184" s="148"/>
      <c r="T184" s="148"/>
      <c r="U184" s="133"/>
      <c r="V184" s="148"/>
    </row>
    <row r="185" spans="1:22">
      <c r="A185" s="209"/>
      <c r="B185" s="148"/>
      <c r="C185" s="133"/>
      <c r="D185" s="148"/>
      <c r="F185" s="148"/>
      <c r="H185" s="148"/>
      <c r="J185" s="148"/>
      <c r="L185" s="148"/>
      <c r="N185" s="148"/>
      <c r="P185" s="148"/>
      <c r="Q185" s="133"/>
      <c r="R185" s="148"/>
      <c r="T185" s="148"/>
      <c r="U185" s="133"/>
      <c r="V185" s="148"/>
    </row>
    <row r="186" spans="1:22">
      <c r="A186" s="209"/>
      <c r="B186" s="155"/>
      <c r="C186" s="155"/>
      <c r="D186" s="155"/>
      <c r="E186" s="155"/>
      <c r="F186" s="155"/>
      <c r="G186" s="155"/>
      <c r="H186" s="155"/>
      <c r="I186" s="155"/>
      <c r="J186" s="155"/>
      <c r="K186" s="155"/>
      <c r="L186" s="155"/>
      <c r="M186" s="155"/>
      <c r="N186" s="155"/>
      <c r="O186" s="155"/>
      <c r="P186" s="155"/>
      <c r="Q186" s="155"/>
      <c r="R186" s="155"/>
      <c r="S186" s="133"/>
      <c r="T186" s="155"/>
      <c r="U186" s="133"/>
      <c r="V186" s="265"/>
    </row>
    <row r="187" spans="1:22">
      <c r="A187" s="209"/>
      <c r="B187" s="133"/>
      <c r="C187" s="133"/>
      <c r="D187" s="133"/>
      <c r="E187" s="205" t="s">
        <v>479</v>
      </c>
      <c r="F187" s="206"/>
      <c r="G187" s="206"/>
      <c r="H187" s="206"/>
      <c r="I187" s="206"/>
      <c r="J187" s="206"/>
      <c r="K187" s="206"/>
      <c r="L187" s="228"/>
      <c r="M187" s="206"/>
      <c r="N187" s="1497"/>
      <c r="O187" s="133"/>
      <c r="P187" s="133"/>
      <c r="Q187" s="133"/>
      <c r="R187" s="133"/>
      <c r="S187" s="133"/>
      <c r="T187" s="133"/>
      <c r="U187" s="133"/>
      <c r="V187" s="265"/>
    </row>
    <row r="188" spans="1:22">
      <c r="A188" s="209"/>
      <c r="B188" s="133"/>
      <c r="C188" s="133"/>
      <c r="D188" s="133"/>
      <c r="E188" s="205" t="s">
        <v>480</v>
      </c>
      <c r="F188" s="206"/>
      <c r="G188" s="206"/>
      <c r="H188" s="206"/>
      <c r="I188" s="206"/>
      <c r="J188" s="206"/>
      <c r="K188" s="206"/>
      <c r="L188" s="206"/>
      <c r="M188" s="206"/>
      <c r="N188" s="1498"/>
      <c r="O188" s="133"/>
      <c r="P188" s="229"/>
      <c r="Q188" s="133"/>
      <c r="R188" s="133"/>
      <c r="S188" s="133"/>
      <c r="T188" s="133"/>
      <c r="U188" s="133"/>
      <c r="V188" s="265"/>
    </row>
    <row r="189" spans="1:22">
      <c r="A189" s="209"/>
      <c r="B189" s="133"/>
      <c r="C189" s="133"/>
      <c r="D189" s="133"/>
      <c r="E189" s="205" t="s">
        <v>481</v>
      </c>
      <c r="F189" s="206"/>
      <c r="G189" s="206"/>
      <c r="H189" s="206"/>
      <c r="I189" s="206"/>
      <c r="J189" s="206"/>
      <c r="K189" s="206"/>
      <c r="L189" s="206"/>
      <c r="M189" s="206"/>
      <c r="N189" s="1499"/>
      <c r="O189" s="133"/>
      <c r="P189" s="133"/>
      <c r="Q189" s="133"/>
      <c r="R189" s="133"/>
      <c r="S189" s="133"/>
      <c r="T189" s="133"/>
      <c r="U189" s="133"/>
      <c r="V189" s="265"/>
    </row>
    <row r="190" spans="1:22">
      <c r="A190" s="209"/>
      <c r="B190" s="133"/>
      <c r="C190" s="133"/>
      <c r="D190" s="133"/>
      <c r="E190" s="133"/>
      <c r="F190" s="133"/>
      <c r="G190" s="133"/>
      <c r="H190" s="133"/>
      <c r="I190" s="133"/>
      <c r="J190" s="133"/>
      <c r="K190" s="133"/>
      <c r="L190" s="133"/>
      <c r="M190" s="133"/>
      <c r="N190" s="133"/>
      <c r="O190" s="133"/>
      <c r="P190" s="133"/>
      <c r="Q190" s="133"/>
      <c r="R190" s="133"/>
      <c r="S190" s="133"/>
      <c r="T190" s="133"/>
      <c r="U190" s="133"/>
      <c r="V190" s="265"/>
    </row>
    <row r="191" spans="1:22">
      <c r="A191" s="209"/>
      <c r="B191" s="133"/>
      <c r="C191" s="133"/>
      <c r="D191" s="133"/>
      <c r="E191" s="133"/>
      <c r="F191" s="133"/>
      <c r="G191" s="133"/>
      <c r="H191" s="133"/>
      <c r="I191" s="133"/>
      <c r="J191" s="133"/>
      <c r="K191" s="133"/>
      <c r="L191" s="133"/>
      <c r="M191" s="133"/>
      <c r="N191" s="133"/>
      <c r="O191" s="133"/>
      <c r="P191" s="133"/>
      <c r="Q191" s="133"/>
      <c r="R191" s="133"/>
      <c r="S191" s="133"/>
      <c r="T191" s="133"/>
      <c r="U191" s="133"/>
      <c r="V191" s="265"/>
    </row>
    <row r="192" spans="1:22">
      <c r="A192" s="288"/>
      <c r="B192" s="289"/>
      <c r="C192" s="289"/>
      <c r="D192" s="289"/>
      <c r="E192" s="289"/>
      <c r="F192" s="289"/>
      <c r="G192" s="289"/>
      <c r="H192" s="289"/>
      <c r="I192" s="289"/>
      <c r="J192" s="289"/>
      <c r="K192" s="289"/>
      <c r="L192" s="289"/>
      <c r="M192" s="289"/>
      <c r="N192" s="289"/>
      <c r="O192" s="289"/>
      <c r="P192" s="289"/>
      <c r="Q192" s="289"/>
      <c r="R192" s="289"/>
      <c r="S192" s="133"/>
      <c r="T192" s="289"/>
      <c r="U192" s="289"/>
      <c r="V192" s="292"/>
    </row>
    <row r="193" spans="1:22">
      <c r="A193" s="209"/>
      <c r="B193" s="133"/>
      <c r="C193" s="133"/>
      <c r="D193" s="133"/>
      <c r="E193" s="133"/>
      <c r="F193" s="133"/>
      <c r="G193" s="133"/>
      <c r="H193" s="133"/>
      <c r="I193" s="133"/>
      <c r="J193" s="133"/>
      <c r="K193" s="133"/>
      <c r="L193" s="133"/>
      <c r="M193" s="133"/>
      <c r="N193" s="133"/>
      <c r="O193" s="133"/>
      <c r="P193" s="133"/>
      <c r="Q193" s="133"/>
      <c r="R193" s="133"/>
      <c r="S193" s="215"/>
      <c r="T193" s="133"/>
      <c r="U193" s="133"/>
      <c r="V193" s="236"/>
    </row>
    <row r="194" spans="1:22">
      <c r="A194" s="209"/>
      <c r="B194" s="133"/>
      <c r="C194" s="133"/>
      <c r="D194" s="210"/>
      <c r="E194" s="210"/>
      <c r="F194" s="210"/>
      <c r="G194" s="210"/>
      <c r="H194" s="210"/>
      <c r="I194" s="210" t="s">
        <v>482</v>
      </c>
      <c r="J194" s="210"/>
      <c r="K194" s="210"/>
      <c r="L194" s="133"/>
      <c r="M194" s="133"/>
      <c r="N194" s="133"/>
      <c r="O194" s="133"/>
      <c r="P194" s="133"/>
      <c r="Q194" s="133"/>
      <c r="R194" s="133"/>
      <c r="S194" s="215"/>
      <c r="T194" s="133"/>
      <c r="U194" s="133"/>
      <c r="V194" s="236"/>
    </row>
    <row r="195" spans="1:22">
      <c r="A195" s="209"/>
      <c r="B195" s="133"/>
      <c r="C195" s="133"/>
      <c r="D195" s="210"/>
      <c r="E195" s="210"/>
      <c r="F195" s="133"/>
      <c r="G195" s="133"/>
      <c r="H195" s="133"/>
      <c r="I195" s="210"/>
      <c r="J195" s="133"/>
      <c r="K195" s="210"/>
      <c r="L195" s="133" t="s">
        <v>483</v>
      </c>
      <c r="M195" s="133"/>
      <c r="N195" s="133"/>
      <c r="O195" s="133"/>
      <c r="P195" s="133"/>
      <c r="Q195" s="133"/>
      <c r="R195" s="237" t="s">
        <v>484</v>
      </c>
      <c r="S195" s="215"/>
      <c r="T195" s="133"/>
      <c r="U195" s="133"/>
      <c r="V195" s="236"/>
    </row>
    <row r="196" spans="1:22">
      <c r="A196" s="209"/>
      <c r="B196" s="133"/>
      <c r="C196" s="211" t="s">
        <v>485</v>
      </c>
      <c r="D196" s="210"/>
      <c r="E196" s="210"/>
      <c r="F196" s="133"/>
      <c r="G196" s="133"/>
      <c r="H196" s="133"/>
      <c r="I196" s="210"/>
      <c r="J196" s="133"/>
      <c r="K196" s="210"/>
      <c r="L196" s="133"/>
      <c r="M196" s="133"/>
      <c r="N196" s="133"/>
      <c r="O196" s="133"/>
      <c r="P196" s="133"/>
      <c r="Q196" s="133"/>
      <c r="R196" s="133"/>
      <c r="S196" s="215"/>
      <c r="T196" s="133"/>
      <c r="U196" s="133"/>
      <c r="V196" s="236"/>
    </row>
    <row r="197" spans="1:22">
      <c r="A197" s="209"/>
      <c r="B197" s="133"/>
      <c r="C197" s="211" t="s">
        <v>486</v>
      </c>
      <c r="D197" s="210"/>
      <c r="E197" s="210"/>
      <c r="F197" s="158"/>
      <c r="G197" s="139"/>
      <c r="H197" s="212"/>
      <c r="I197" s="210"/>
      <c r="J197" s="158"/>
      <c r="K197" s="210"/>
      <c r="L197" s="133" t="s">
        <v>487</v>
      </c>
      <c r="M197" s="133"/>
      <c r="N197" s="133"/>
      <c r="O197" s="133"/>
      <c r="P197" s="133"/>
      <c r="Q197" s="133"/>
      <c r="R197" s="133"/>
      <c r="S197" s="215"/>
      <c r="T197" s="133"/>
      <c r="U197" s="133"/>
      <c r="V197" s="236"/>
    </row>
    <row r="198" spans="1:22">
      <c r="A198" s="209"/>
      <c r="B198" s="133"/>
      <c r="C198" s="211" t="s">
        <v>488</v>
      </c>
      <c r="D198" s="210"/>
      <c r="E198" s="210"/>
      <c r="F198" s="213"/>
      <c r="G198" s="139"/>
      <c r="H198" s="214" t="s">
        <v>390</v>
      </c>
      <c r="I198" s="210"/>
      <c r="J198" s="213"/>
      <c r="K198" s="210"/>
      <c r="L198" s="133"/>
      <c r="M198" s="133"/>
      <c r="N198" s="133"/>
      <c r="O198" s="133"/>
      <c r="P198" s="133"/>
      <c r="Q198" s="133"/>
      <c r="R198" s="237" t="s">
        <v>489</v>
      </c>
      <c r="S198" s="215"/>
      <c r="T198" s="133"/>
      <c r="U198" s="133"/>
      <c r="V198" s="236"/>
    </row>
    <row r="199" spans="1:22">
      <c r="A199" s="209"/>
      <c r="B199" s="133"/>
      <c r="C199" s="133"/>
      <c r="D199" s="210"/>
      <c r="E199" s="210"/>
      <c r="F199" s="210"/>
      <c r="G199" s="210"/>
      <c r="H199" s="210"/>
      <c r="I199" s="210"/>
      <c r="J199" s="210"/>
      <c r="K199" s="210"/>
      <c r="L199" s="133"/>
      <c r="M199" s="133" t="s">
        <v>77</v>
      </c>
      <c r="N199" s="133"/>
      <c r="O199" s="133"/>
      <c r="P199" s="133"/>
      <c r="Q199" s="133"/>
      <c r="R199" s="133"/>
      <c r="S199" s="238"/>
      <c r="T199" s="133"/>
      <c r="U199" s="133"/>
      <c r="V199" s="236"/>
    </row>
    <row r="200" spans="1:22">
      <c r="A200" s="209"/>
      <c r="B200" s="133"/>
      <c r="C200" s="215"/>
      <c r="D200" s="143"/>
      <c r="E200" s="215"/>
      <c r="F200" s="216"/>
      <c r="G200" s="217"/>
      <c r="H200" s="215">
        <v>325</v>
      </c>
      <c r="I200" s="215" t="s">
        <v>219</v>
      </c>
      <c r="J200" s="143"/>
      <c r="K200" s="215"/>
      <c r="L200" s="133"/>
      <c r="M200" s="133"/>
      <c r="N200" s="133"/>
      <c r="O200" s="133"/>
      <c r="P200" s="133"/>
      <c r="Q200" s="133"/>
      <c r="R200" s="133"/>
      <c r="S200" s="215"/>
      <c r="T200" s="133"/>
      <c r="U200" s="133"/>
      <c r="V200" s="236"/>
    </row>
    <row r="201" spans="1:22">
      <c r="A201" s="209"/>
      <c r="B201" s="133"/>
      <c r="C201" s="215"/>
      <c r="D201" s="143"/>
      <c r="E201" s="215"/>
      <c r="F201" s="143"/>
      <c r="G201" s="217"/>
      <c r="H201" s="143"/>
      <c r="I201" s="215"/>
      <c r="J201" s="143"/>
      <c r="K201" s="215"/>
      <c r="L201" s="143"/>
      <c r="M201" s="216" t="s">
        <v>490</v>
      </c>
      <c r="N201" s="143"/>
      <c r="O201" s="215"/>
      <c r="P201" s="143"/>
      <c r="Q201" s="215"/>
      <c r="R201" s="239" t="s">
        <v>491</v>
      </c>
      <c r="S201" s="215"/>
      <c r="T201" s="143"/>
      <c r="U201" s="215"/>
      <c r="V201" s="236"/>
    </row>
    <row r="202" spans="1:22">
      <c r="A202" s="209"/>
      <c r="B202" s="211" t="s">
        <v>492</v>
      </c>
      <c r="C202" s="215"/>
      <c r="D202" s="143"/>
      <c r="E202" s="218" t="s">
        <v>228</v>
      </c>
      <c r="F202" s="133" t="s">
        <v>228</v>
      </c>
      <c r="G202" s="217"/>
      <c r="H202" s="143"/>
      <c r="I202" s="133" t="s">
        <v>493</v>
      </c>
      <c r="J202" s="215"/>
      <c r="K202" s="215"/>
      <c r="L202" s="143"/>
      <c r="M202" s="215"/>
      <c r="N202" s="143"/>
      <c r="O202" s="215"/>
      <c r="P202" s="143"/>
      <c r="Q202" s="143"/>
      <c r="R202" s="143"/>
      <c r="S202" s="215"/>
      <c r="T202" s="143"/>
      <c r="U202" s="215"/>
      <c r="V202" s="236"/>
    </row>
    <row r="203" spans="1:22">
      <c r="A203" s="209"/>
      <c r="B203" s="133"/>
      <c r="C203" s="215"/>
      <c r="D203" s="143"/>
      <c r="E203" s="215"/>
      <c r="F203" s="143"/>
      <c r="G203" s="217"/>
      <c r="H203" s="143"/>
      <c r="I203" s="215"/>
      <c r="J203" s="143"/>
      <c r="K203" s="215"/>
      <c r="L203" s="143"/>
      <c r="M203" s="215"/>
      <c r="N203" s="143"/>
      <c r="O203" s="215"/>
      <c r="P203" s="143"/>
      <c r="Q203" s="215"/>
      <c r="R203" s="143"/>
      <c r="S203" s="234"/>
      <c r="T203" s="143"/>
      <c r="U203" s="215"/>
      <c r="V203" s="236"/>
    </row>
    <row r="204" spans="1:22">
      <c r="A204" s="209"/>
      <c r="B204" s="211" t="s">
        <v>494</v>
      </c>
      <c r="C204" s="215"/>
      <c r="D204" s="143"/>
      <c r="E204" s="143" t="s">
        <v>495</v>
      </c>
      <c r="F204" s="216" t="s">
        <v>109</v>
      </c>
      <c r="G204" s="217"/>
      <c r="H204" s="219"/>
      <c r="I204" s="216" t="s">
        <v>496</v>
      </c>
      <c r="J204" s="143"/>
      <c r="K204" s="215"/>
      <c r="L204" s="133"/>
      <c r="M204" s="216" t="s">
        <v>497</v>
      </c>
      <c r="N204" s="143"/>
      <c r="O204" s="215"/>
      <c r="P204" s="143"/>
      <c r="Q204" s="215"/>
      <c r="R204" s="240" t="s">
        <v>498</v>
      </c>
      <c r="S204" s="133"/>
      <c r="T204" s="143"/>
      <c r="U204" s="215"/>
      <c r="V204" s="236"/>
    </row>
    <row r="205" spans="1:22">
      <c r="A205" s="209"/>
      <c r="B205" s="133"/>
      <c r="C205" s="215"/>
      <c r="D205" s="143"/>
      <c r="E205" s="143"/>
      <c r="F205" s="143"/>
      <c r="G205" s="217"/>
      <c r="H205" s="143"/>
      <c r="I205" s="216" t="s">
        <v>499</v>
      </c>
      <c r="J205" s="143"/>
      <c r="K205" s="215"/>
      <c r="L205" s="143"/>
      <c r="M205" s="215"/>
      <c r="N205" s="143"/>
      <c r="O205" s="215"/>
      <c r="P205" s="143"/>
      <c r="Q205" s="215"/>
      <c r="R205" s="240" t="s">
        <v>500</v>
      </c>
      <c r="T205" s="143"/>
      <c r="U205" s="215"/>
      <c r="V205" s="236"/>
    </row>
    <row r="206" spans="1:22">
      <c r="A206" s="209"/>
      <c r="B206" s="211" t="s">
        <v>501</v>
      </c>
      <c r="C206" s="143"/>
      <c r="D206" s="143"/>
      <c r="E206" s="220" t="s">
        <v>502</v>
      </c>
      <c r="F206" s="216" t="s">
        <v>503</v>
      </c>
      <c r="G206" s="217"/>
      <c r="H206" s="143"/>
      <c r="I206" s="216" t="s">
        <v>504</v>
      </c>
      <c r="J206" s="143"/>
      <c r="K206" s="215"/>
      <c r="L206" s="143"/>
      <c r="M206" s="215"/>
      <c r="N206" s="143"/>
      <c r="O206" s="215"/>
      <c r="P206" s="143"/>
      <c r="Q206" s="241"/>
      <c r="R206" s="143"/>
      <c r="T206" s="143"/>
      <c r="U206" s="215"/>
      <c r="V206" s="236"/>
    </row>
    <row r="207" spans="1:22">
      <c r="A207" s="209"/>
      <c r="B207" s="133"/>
      <c r="C207" s="143"/>
      <c r="D207" s="143"/>
      <c r="E207" s="143"/>
      <c r="F207" s="143"/>
      <c r="G207" s="143"/>
      <c r="H207" s="221"/>
      <c r="I207" s="216"/>
      <c r="J207" s="143"/>
      <c r="K207" s="215"/>
      <c r="L207" s="143"/>
      <c r="M207" s="230"/>
      <c r="N207" s="143"/>
      <c r="O207" s="215"/>
      <c r="P207" s="143"/>
      <c r="Q207" s="241"/>
      <c r="R207" s="238"/>
      <c r="T207" s="143"/>
      <c r="U207" s="215"/>
      <c r="V207" s="236"/>
    </row>
    <row r="208" spans="1:22">
      <c r="A208" s="209"/>
      <c r="B208" s="211" t="s">
        <v>505</v>
      </c>
      <c r="C208" s="143"/>
      <c r="D208" s="143"/>
      <c r="E208" s="222"/>
      <c r="F208" s="143" t="s">
        <v>506</v>
      </c>
      <c r="G208" s="217"/>
      <c r="H208" s="143"/>
      <c r="I208" s="215"/>
      <c r="J208" s="143"/>
      <c r="K208" s="215"/>
      <c r="L208" s="231"/>
      <c r="M208" s="232" t="s">
        <v>507</v>
      </c>
      <c r="N208" s="143"/>
      <c r="O208" s="215"/>
      <c r="P208" s="143"/>
      <c r="Q208" s="215"/>
      <c r="R208" s="216" t="s">
        <v>508</v>
      </c>
      <c r="T208" s="143"/>
      <c r="U208" s="215"/>
      <c r="V208" s="236"/>
    </row>
    <row r="209" spans="1:22">
      <c r="A209" s="209"/>
      <c r="B209" s="133"/>
      <c r="C209" s="143"/>
      <c r="D209" s="143"/>
      <c r="E209" s="215"/>
      <c r="F209" s="143"/>
      <c r="G209" s="217"/>
      <c r="H209" s="143"/>
      <c r="I209" s="215"/>
      <c r="J209" s="143"/>
      <c r="K209" s="215"/>
      <c r="L209" s="143"/>
      <c r="M209" s="215"/>
      <c r="N209" s="143"/>
      <c r="O209" s="215"/>
      <c r="P209" s="143"/>
      <c r="Q209" s="215"/>
      <c r="R209" s="143"/>
      <c r="T209" s="143"/>
      <c r="U209" s="215"/>
      <c r="V209" s="236"/>
    </row>
    <row r="210" spans="1:22">
      <c r="A210" s="209"/>
      <c r="B210" s="211" t="s">
        <v>509</v>
      </c>
      <c r="C210" s="143"/>
      <c r="D210" s="210"/>
      <c r="E210" s="143" t="s">
        <v>220</v>
      </c>
      <c r="F210" s="143" t="s">
        <v>510</v>
      </c>
      <c r="G210" s="217"/>
      <c r="H210" s="143"/>
      <c r="I210" s="233" t="s">
        <v>511</v>
      </c>
      <c r="J210" s="143"/>
      <c r="K210" s="215"/>
      <c r="L210" s="133"/>
      <c r="M210" s="216" t="s">
        <v>512</v>
      </c>
      <c r="N210" s="143"/>
      <c r="O210" s="215"/>
      <c r="P210" s="143"/>
      <c r="Q210" s="242"/>
      <c r="R210" s="243" t="s">
        <v>513</v>
      </c>
      <c r="T210" s="143"/>
      <c r="U210" s="215"/>
      <c r="V210" s="236"/>
    </row>
    <row r="211" spans="1:22">
      <c r="A211" s="223"/>
      <c r="B211" s="224"/>
      <c r="C211" s="225"/>
      <c r="D211" s="225"/>
      <c r="E211" s="225"/>
      <c r="F211" s="226"/>
      <c r="G211" s="227"/>
      <c r="H211" s="225"/>
      <c r="I211" s="234"/>
      <c r="J211" s="225"/>
      <c r="K211" s="234"/>
      <c r="L211" s="224"/>
      <c r="M211" s="226"/>
      <c r="N211" s="225"/>
      <c r="O211" s="234"/>
      <c r="P211" s="225"/>
      <c r="Q211" s="234"/>
      <c r="R211" s="225"/>
      <c r="T211" s="225"/>
      <c r="U211" s="234"/>
      <c r="V211" s="244"/>
    </row>
    <row r="212" spans="1:22">
      <c r="A212" s="133"/>
      <c r="B212" s="133"/>
      <c r="C212" s="133"/>
      <c r="D212" s="133"/>
      <c r="E212" s="133"/>
      <c r="F212" s="133"/>
      <c r="G212" s="133"/>
      <c r="H212" s="133"/>
      <c r="I212" s="133"/>
      <c r="J212" s="133"/>
      <c r="K212" s="133"/>
      <c r="L212" s="133"/>
      <c r="M212" s="133"/>
      <c r="N212" s="133"/>
      <c r="O212" s="133"/>
      <c r="P212" s="133"/>
      <c r="Q212" s="133"/>
      <c r="R212" s="133"/>
      <c r="T212" s="133"/>
      <c r="U212" s="133"/>
      <c r="V212" s="170"/>
    </row>
  </sheetData>
  <mergeCells count="12">
    <mergeCell ref="B1:U1"/>
    <mergeCell ref="A2:T2"/>
    <mergeCell ref="H4:J4"/>
    <mergeCell ref="L4:N4"/>
    <mergeCell ref="O4:Q4"/>
    <mergeCell ref="R4:T4"/>
    <mergeCell ref="D6:E6"/>
    <mergeCell ref="F4:F5"/>
    <mergeCell ref="G4:G5"/>
    <mergeCell ref="N187:N189"/>
    <mergeCell ref="A4:B5"/>
    <mergeCell ref="D4:E5"/>
  </mergeCells>
  <conditionalFormatting sqref="L86">
    <cfRule type="expression" dxfId="3414" priority="1">
      <formula>"F"</formula>
    </cfRule>
    <cfRule type="dataBar" priority="2">
      <dataBar>
        <cfvo type="min"/>
        <cfvo type="max"/>
        <color rgb="FF638EC6"/>
      </dataBar>
      <extLst>
        <ext xmlns:x14="http://schemas.microsoft.com/office/spreadsheetml/2009/9/main" uri="{B025F937-C7B1-47D3-B67F-A62EFF666E3E}">
          <x14:id>{69F5BBF0-9FF9-457D-944F-E11E6AA6B76F}</x14:id>
        </ext>
      </extLst>
    </cfRule>
    <cfRule type="colorScale" priority="3">
      <colorScale>
        <cfvo type="min"/>
        <cfvo type="percentile" val="50"/>
        <cfvo type="max"/>
        <color rgb="FFF8696B"/>
        <color rgb="FFFFEB84"/>
        <color rgb="FF63BE7B"/>
      </colorScale>
    </cfRule>
  </conditionalFormatting>
  <pageMargins left="0.7" right="0.7" top="0.75" bottom="0.75" header="0.3" footer="0.3"/>
  <pageSetup paperSize="9" scale="64" fitToHeight="0" orientation="landscape" r:id="rId1"/>
  <rowBreaks count="4" manualBreakCount="4">
    <brk id="42" max="16383" man="1"/>
    <brk id="90" max="16383" man="1"/>
    <brk id="140" max="16383" man="1"/>
    <brk id="185" max="16383" man="1"/>
  </rowBreaks>
  <drawing r:id="rId2"/>
  <extLst>
    <ext xmlns:x14="http://schemas.microsoft.com/office/spreadsheetml/2009/9/main" uri="{78C0D931-6437-407d-A8EE-F0AAD7539E65}">
      <x14:conditionalFormattings>
        <x14:conditionalFormatting xmlns:xm="http://schemas.microsoft.com/office/excel/2006/main">
          <x14:cfRule type="dataBar" id="{69F5BBF0-9FF9-457D-944F-E11E6AA6B76F}">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F451"/>
  <sheetViews>
    <sheetView topLeftCell="A192" zoomScale="85" zoomScaleNormal="85" workbookViewId="0">
      <selection activeCell="T200" sqref="T200"/>
    </sheetView>
  </sheetViews>
  <sheetFormatPr defaultColWidth="9.1796875" defaultRowHeight="12.5"/>
  <cols>
    <col min="1" max="2" width="9.1796875" style="133"/>
    <col min="3" max="3" width="7.1796875" style="133" customWidth="1"/>
    <col min="4" max="4" width="10.54296875" style="133" customWidth="1"/>
    <col min="5" max="21" width="7.1796875" style="133" customWidth="1"/>
    <col min="22" max="22" width="9.1796875" style="133"/>
    <col min="23" max="23" width="12.54296875" style="170" customWidth="1"/>
    <col min="24" max="24" width="9.1796875" style="133"/>
    <col min="25" max="25" width="13.81640625" style="133" customWidth="1"/>
    <col min="26" max="28" width="9.1796875" style="133"/>
    <col min="29" max="29" width="10.1796875" style="133" customWidth="1"/>
    <col min="30" max="30" width="9.1796875" style="133"/>
    <col min="31" max="31" width="10" style="133" customWidth="1"/>
    <col min="32" max="16384" width="9.1796875" style="133"/>
  </cols>
  <sheetData>
    <row r="1" spans="1:31" ht="14">
      <c r="B1" s="245"/>
      <c r="C1" s="246"/>
      <c r="D1" s="246"/>
      <c r="E1" s="246"/>
      <c r="F1" s="246"/>
      <c r="G1" s="246"/>
      <c r="H1" s="246"/>
      <c r="I1" s="126"/>
      <c r="J1" s="126"/>
      <c r="K1" s="126"/>
      <c r="L1" s="126"/>
      <c r="M1" s="126"/>
      <c r="N1" s="126"/>
      <c r="O1" s="126"/>
      <c r="P1" s="126"/>
      <c r="Q1" s="126"/>
      <c r="R1" s="126"/>
      <c r="S1" s="126"/>
      <c r="T1" s="126"/>
      <c r="U1" s="126"/>
      <c r="V1" s="126"/>
      <c r="W1" s="262"/>
      <c r="X1" s="263"/>
      <c r="Y1" s="263"/>
      <c r="Z1" s="263"/>
      <c r="AA1" s="263"/>
    </row>
    <row r="2" spans="1:31" ht="14">
      <c r="B2" s="247"/>
      <c r="C2" s="1506" t="s">
        <v>298</v>
      </c>
      <c r="D2" s="1507"/>
      <c r="E2" s="1507"/>
      <c r="F2" s="1507"/>
      <c r="G2" s="1507"/>
      <c r="H2" s="1507"/>
      <c r="I2" s="1507"/>
      <c r="J2" s="1507"/>
      <c r="K2" s="1507"/>
      <c r="L2" s="1507"/>
      <c r="M2" s="1507"/>
      <c r="N2" s="1507"/>
      <c r="O2" s="1507"/>
      <c r="P2" s="1507"/>
      <c r="Q2" s="1507"/>
      <c r="R2" s="1507"/>
      <c r="S2" s="1507"/>
      <c r="T2" s="1507"/>
      <c r="U2" s="1507"/>
      <c r="V2" s="1508"/>
      <c r="W2" s="264"/>
    </row>
    <row r="3" spans="1:31" ht="14">
      <c r="B3" s="247"/>
      <c r="C3" s="1530" t="s">
        <v>299</v>
      </c>
      <c r="D3" s="1531"/>
      <c r="E3" s="1531"/>
      <c r="F3" s="1531"/>
      <c r="G3" s="1531"/>
      <c r="H3" s="1531"/>
      <c r="I3" s="1531"/>
      <c r="J3" s="1531"/>
      <c r="K3" s="1531"/>
      <c r="L3" s="1531"/>
      <c r="M3" s="1531"/>
      <c r="N3" s="1531"/>
      <c r="O3" s="1531"/>
      <c r="P3" s="1531"/>
      <c r="Q3" s="1531"/>
      <c r="R3" s="1531"/>
      <c r="S3" s="1531"/>
      <c r="T3" s="1531"/>
      <c r="U3" s="1531"/>
      <c r="V3" s="1532"/>
      <c r="W3" s="264"/>
    </row>
    <row r="4" spans="1:31" ht="14">
      <c r="B4" s="247"/>
      <c r="C4" s="127"/>
      <c r="D4" s="127"/>
      <c r="E4" s="127"/>
      <c r="F4" s="127"/>
      <c r="G4" s="127"/>
      <c r="H4" s="127"/>
      <c r="I4" s="127"/>
      <c r="J4" s="127"/>
      <c r="K4" s="127"/>
      <c r="L4" s="127"/>
      <c r="M4" s="127"/>
      <c r="N4" s="127"/>
      <c r="O4" s="127"/>
      <c r="P4" s="127"/>
      <c r="Q4" s="127"/>
      <c r="R4" s="127"/>
      <c r="S4" s="127"/>
      <c r="T4" s="127"/>
      <c r="U4" s="127"/>
      <c r="V4" s="127"/>
      <c r="W4" s="264"/>
    </row>
    <row r="5" spans="1:31" ht="14">
      <c r="B5" s="247"/>
      <c r="C5" s="1501" t="s">
        <v>300</v>
      </c>
      <c r="D5" s="1501"/>
      <c r="E5" s="127"/>
      <c r="F5" s="1502" t="s">
        <v>301</v>
      </c>
      <c r="G5" s="1503"/>
      <c r="H5" s="1495" t="s">
        <v>302</v>
      </c>
      <c r="I5" s="1496" t="s">
        <v>303</v>
      </c>
      <c r="J5" s="1496" t="s">
        <v>304</v>
      </c>
      <c r="K5" s="1496"/>
      <c r="L5" s="1496"/>
      <c r="M5" s="128" t="s">
        <v>305</v>
      </c>
      <c r="N5" s="1512" t="s">
        <v>306</v>
      </c>
      <c r="O5" s="1513"/>
      <c r="P5" s="1514"/>
      <c r="Q5" s="1496" t="s">
        <v>307</v>
      </c>
      <c r="R5" s="1496"/>
      <c r="S5" s="1496"/>
      <c r="T5" s="1515"/>
      <c r="U5" s="1515"/>
      <c r="V5" s="1515"/>
      <c r="W5" s="264"/>
    </row>
    <row r="6" spans="1:31" ht="14">
      <c r="B6" s="247"/>
      <c r="C6" s="1501"/>
      <c r="D6" s="1501"/>
      <c r="E6" s="127"/>
      <c r="F6" s="1504"/>
      <c r="G6" s="1505"/>
      <c r="H6" s="1495"/>
      <c r="I6" s="1496"/>
      <c r="J6" s="128" t="s">
        <v>308</v>
      </c>
      <c r="K6" s="128" t="s">
        <v>278</v>
      </c>
      <c r="L6" s="128" t="s">
        <v>309</v>
      </c>
      <c r="M6" s="128" t="s">
        <v>308</v>
      </c>
      <c r="N6" s="128" t="s">
        <v>308</v>
      </c>
      <c r="O6" s="128" t="s">
        <v>278</v>
      </c>
      <c r="P6" s="128" t="s">
        <v>309</v>
      </c>
      <c r="Q6" s="128" t="s">
        <v>308</v>
      </c>
      <c r="R6" s="128" t="s">
        <v>278</v>
      </c>
      <c r="S6" s="128" t="s">
        <v>309</v>
      </c>
      <c r="T6" s="165"/>
      <c r="U6" s="165"/>
      <c r="V6" s="165"/>
      <c r="W6" s="264"/>
    </row>
    <row r="7" spans="1:31" ht="25" customHeight="1">
      <c r="B7" s="247"/>
      <c r="C7" s="127"/>
      <c r="D7" s="127"/>
      <c r="E7" s="127"/>
      <c r="F7" s="1493"/>
      <c r="G7" s="1494"/>
      <c r="H7" s="130">
        <v>495</v>
      </c>
      <c r="I7" s="131">
        <v>187.17500000000001</v>
      </c>
      <c r="J7" s="130">
        <v>9</v>
      </c>
      <c r="K7" s="130">
        <v>5</v>
      </c>
      <c r="L7" s="130">
        <f>H7-J7-K7</f>
        <v>481</v>
      </c>
      <c r="M7" s="130">
        <v>3</v>
      </c>
      <c r="N7" s="130"/>
      <c r="O7" s="130"/>
      <c r="P7" s="130">
        <f>H7-N7</f>
        <v>495</v>
      </c>
      <c r="Q7" s="130"/>
      <c r="R7" s="130"/>
      <c r="S7" s="168">
        <f>I7-Q7</f>
        <v>187.17500000000001</v>
      </c>
      <c r="T7" s="165"/>
      <c r="U7" s="165"/>
      <c r="V7" s="169"/>
      <c r="W7" s="264"/>
      <c r="AD7" s="211"/>
    </row>
    <row r="8" spans="1:31" ht="14">
      <c r="B8" s="247"/>
      <c r="C8" s="127"/>
      <c r="D8" s="127"/>
      <c r="E8" s="127"/>
      <c r="F8" s="127"/>
      <c r="G8" s="127"/>
      <c r="H8" s="127"/>
      <c r="I8" s="127" t="s">
        <v>514</v>
      </c>
      <c r="J8" s="127"/>
      <c r="K8" s="127"/>
      <c r="L8" s="127"/>
      <c r="M8" s="127"/>
      <c r="N8" s="127"/>
      <c r="O8" s="127"/>
      <c r="P8" s="127"/>
      <c r="Q8" s="127"/>
      <c r="R8" s="127"/>
      <c r="S8" s="127"/>
      <c r="T8" s="127"/>
      <c r="U8" s="127"/>
      <c r="V8" s="127"/>
      <c r="W8" s="264"/>
    </row>
    <row r="9" spans="1:31" ht="14">
      <c r="B9" s="209"/>
      <c r="C9" s="248">
        <v>1</v>
      </c>
      <c r="D9" s="248"/>
      <c r="E9" s="133">
        <f>C9+1</f>
        <v>2</v>
      </c>
      <c r="F9" s="248"/>
      <c r="G9" s="133">
        <f>E9+1</f>
        <v>3</v>
      </c>
      <c r="H9" s="248"/>
      <c r="I9" s="133">
        <f>G9+1</f>
        <v>4</v>
      </c>
      <c r="K9" s="133">
        <f>I9+1</f>
        <v>5</v>
      </c>
      <c r="M9" s="133">
        <f>K9+1</f>
        <v>6</v>
      </c>
      <c r="O9" s="133">
        <f>M9+1</f>
        <v>7</v>
      </c>
      <c r="Q9" s="133">
        <f>O9+1</f>
        <v>8</v>
      </c>
      <c r="S9" s="133">
        <f>Q9+1</f>
        <v>9</v>
      </c>
      <c r="U9" s="133">
        <f>S9+1</f>
        <v>10</v>
      </c>
      <c r="V9" s="161"/>
      <c r="W9" s="236"/>
    </row>
    <row r="10" spans="1:31" ht="13">
      <c r="B10" s="209"/>
      <c r="L10" s="252"/>
      <c r="T10" s="252"/>
      <c r="V10" s="252"/>
      <c r="W10" s="236"/>
    </row>
    <row r="11" spans="1:31">
      <c r="B11" s="209"/>
      <c r="D11" s="135">
        <v>97.4</v>
      </c>
      <c r="E11" s="135"/>
      <c r="F11" s="135">
        <v>139.41999999999999</v>
      </c>
      <c r="G11" s="135"/>
      <c r="H11" s="135">
        <v>484.04</v>
      </c>
      <c r="J11" s="135">
        <v>398</v>
      </c>
      <c r="K11" s="135"/>
      <c r="L11" s="135">
        <v>443.16</v>
      </c>
      <c r="M11" s="135"/>
      <c r="N11" s="135">
        <v>399.53</v>
      </c>
      <c r="P11" s="135">
        <v>402.87</v>
      </c>
      <c r="Q11" s="135"/>
      <c r="R11" s="135">
        <v>437.15</v>
      </c>
      <c r="S11" s="135"/>
      <c r="T11" s="135">
        <v>381.84</v>
      </c>
      <c r="V11" s="135">
        <v>416.91</v>
      </c>
      <c r="W11" s="265">
        <f>D11+H11+J11+L11+N11+F11+P11+R11+T11+V11</f>
        <v>3600.32</v>
      </c>
      <c r="X11" s="133" t="s">
        <v>515</v>
      </c>
      <c r="Y11" s="133" t="s">
        <v>516</v>
      </c>
      <c r="Z11" s="133" t="s">
        <v>305</v>
      </c>
      <c r="AA11" s="133" t="s">
        <v>307</v>
      </c>
      <c r="AC11" s="211" t="s">
        <v>517</v>
      </c>
      <c r="AE11" s="135">
        <f>SUM(D11:V11)</f>
        <v>3600.32</v>
      </c>
    </row>
    <row r="12" spans="1:31">
      <c r="A12" s="133">
        <v>1</v>
      </c>
      <c r="B12" s="209"/>
      <c r="C12" s="141"/>
      <c r="D12" s="139"/>
      <c r="E12" s="249"/>
      <c r="F12" s="250"/>
      <c r="G12" s="249"/>
      <c r="H12" s="250"/>
      <c r="I12" s="249"/>
      <c r="J12" s="250"/>
      <c r="K12" s="249"/>
      <c r="L12" s="250"/>
      <c r="M12" s="140"/>
      <c r="N12" s="250"/>
      <c r="O12" s="140"/>
      <c r="P12" s="250"/>
      <c r="Q12" s="140"/>
      <c r="R12" s="250"/>
      <c r="S12" s="140"/>
      <c r="T12" s="250"/>
      <c r="U12" s="140"/>
      <c r="V12" s="162"/>
      <c r="W12" s="236"/>
      <c r="X12" s="133">
        <f>COUNTIF(C12:U12,"F")</f>
        <v>0</v>
      </c>
      <c r="Y12" s="133">
        <f>COUNTIF(C11:U11,"E")</f>
        <v>0</v>
      </c>
      <c r="Z12" s="133">
        <f>COUNTIF(C13:V13,"Er")</f>
        <v>0</v>
      </c>
      <c r="AB12" s="133" t="s">
        <v>518</v>
      </c>
    </row>
    <row r="13" spans="1:31">
      <c r="B13" s="209"/>
      <c r="C13" s="141"/>
      <c r="D13" s="139"/>
      <c r="E13" s="251"/>
      <c r="F13" s="250"/>
      <c r="G13" s="251"/>
      <c r="H13" s="250"/>
      <c r="I13" s="251"/>
      <c r="J13" s="250"/>
      <c r="K13" s="251"/>
      <c r="L13" s="250"/>
      <c r="M13" s="141"/>
      <c r="N13" s="250"/>
      <c r="O13" s="141"/>
      <c r="P13" s="250"/>
      <c r="Q13" s="141"/>
      <c r="R13" s="250"/>
      <c r="S13" s="141"/>
      <c r="T13" s="250"/>
      <c r="U13" s="141"/>
      <c r="V13" s="162"/>
      <c r="W13" s="236"/>
      <c r="X13" s="133">
        <f>COUNTIF(C13:U13,"U/P")</f>
        <v>0</v>
      </c>
      <c r="Y13" s="133">
        <v>0</v>
      </c>
      <c r="Z13" s="133">
        <v>0</v>
      </c>
      <c r="AB13" s="133" t="s">
        <v>278</v>
      </c>
    </row>
    <row r="14" spans="1:31" ht="13">
      <c r="B14" s="209"/>
      <c r="C14" s="144" t="s">
        <v>519</v>
      </c>
      <c r="D14" s="252"/>
      <c r="E14" s="144" t="s">
        <v>520</v>
      </c>
      <c r="F14" s="252"/>
      <c r="G14" s="144" t="s">
        <v>521</v>
      </c>
      <c r="H14" s="252"/>
      <c r="I14" s="144" t="s">
        <v>522</v>
      </c>
      <c r="J14" s="252"/>
      <c r="K14" s="388" t="s">
        <v>523</v>
      </c>
      <c r="L14" s="259"/>
      <c r="M14" s="389" t="s">
        <v>524</v>
      </c>
      <c r="O14" s="390" t="s">
        <v>525</v>
      </c>
      <c r="Q14" s="390" t="s">
        <v>526</v>
      </c>
      <c r="S14" s="390" t="s">
        <v>527</v>
      </c>
      <c r="U14" s="390" t="s">
        <v>528</v>
      </c>
      <c r="W14" s="236"/>
      <c r="X14" s="133">
        <f>COUNTIF(C12:U12,"ROW")</f>
        <v>0</v>
      </c>
      <c r="Y14" s="133">
        <v>0</v>
      </c>
      <c r="Z14" s="133">
        <v>0</v>
      </c>
      <c r="AB14" s="133" t="s">
        <v>228</v>
      </c>
    </row>
    <row r="15" spans="1:31" ht="13">
      <c r="B15" s="209"/>
      <c r="C15" s="144"/>
      <c r="D15" s="252"/>
      <c r="E15" s="144" t="s">
        <v>529</v>
      </c>
      <c r="F15" s="252"/>
      <c r="G15" s="144" t="s">
        <v>147</v>
      </c>
      <c r="H15" s="252"/>
      <c r="I15" s="144" t="s">
        <v>123</v>
      </c>
      <c r="J15" s="252"/>
      <c r="K15" s="259" t="s">
        <v>248</v>
      </c>
      <c r="L15" s="259"/>
      <c r="M15" s="259" t="s">
        <v>182</v>
      </c>
      <c r="O15" s="133" t="s">
        <v>185</v>
      </c>
      <c r="Q15" s="133" t="s">
        <v>242</v>
      </c>
      <c r="S15" s="133" t="s">
        <v>185</v>
      </c>
      <c r="U15" s="133" t="s">
        <v>296</v>
      </c>
      <c r="W15" s="236"/>
    </row>
    <row r="16" spans="1:31">
      <c r="B16" s="209"/>
      <c r="W16" s="236"/>
    </row>
    <row r="17" spans="1:31">
      <c r="B17" s="209"/>
      <c r="C17" s="133">
        <f>U9+1</f>
        <v>11</v>
      </c>
      <c r="E17" s="133">
        <f>C17+1</f>
        <v>12</v>
      </c>
      <c r="G17" s="133">
        <f>E17+1</f>
        <v>13</v>
      </c>
      <c r="I17" s="133">
        <f>G17+1</f>
        <v>14</v>
      </c>
      <c r="K17" s="133">
        <f>I17+1</f>
        <v>15</v>
      </c>
      <c r="M17" s="133">
        <f>K17+1</f>
        <v>16</v>
      </c>
      <c r="O17" s="133">
        <f>M17+1</f>
        <v>17</v>
      </c>
      <c r="Q17" s="133">
        <f>O17+1</f>
        <v>18</v>
      </c>
      <c r="S17" s="133">
        <f>Q17+1</f>
        <v>19</v>
      </c>
      <c r="U17" s="161">
        <f>S17+1</f>
        <v>20</v>
      </c>
      <c r="W17" s="236"/>
    </row>
    <row r="18" spans="1:31">
      <c r="B18" s="209"/>
      <c r="W18" s="236"/>
    </row>
    <row r="19" spans="1:31">
      <c r="B19" s="209"/>
      <c r="C19" s="135"/>
      <c r="D19" s="135">
        <v>428.12</v>
      </c>
      <c r="F19" s="135">
        <v>249.58</v>
      </c>
      <c r="H19" s="135">
        <v>454.54</v>
      </c>
      <c r="J19" s="135">
        <v>377.83</v>
      </c>
      <c r="L19" s="135">
        <v>447.64</v>
      </c>
      <c r="N19" s="135">
        <v>396.44</v>
      </c>
      <c r="P19" s="135">
        <v>445.93</v>
      </c>
      <c r="R19" s="135">
        <v>156.97999999999999</v>
      </c>
      <c r="T19" s="135">
        <v>409.67</v>
      </c>
      <c r="V19" s="135">
        <v>382.38</v>
      </c>
      <c r="W19" s="265">
        <f>D19+H19+J19+L19+N19+F19+P19+R19+T19+V19</f>
        <v>3749.11</v>
      </c>
      <c r="AE19" s="135">
        <f>SUM(D19:V19)</f>
        <v>3749.11</v>
      </c>
    </row>
    <row r="20" spans="1:31">
      <c r="A20" s="133">
        <f>A12+1</f>
        <v>2</v>
      </c>
      <c r="B20" s="209"/>
      <c r="C20" s="140"/>
      <c r="D20" s="139"/>
      <c r="E20" s="140"/>
      <c r="F20" s="250"/>
      <c r="G20" s="140"/>
      <c r="H20" s="149"/>
      <c r="I20" s="140"/>
      <c r="J20" s="250"/>
      <c r="K20" s="140"/>
      <c r="L20" s="139"/>
      <c r="M20" s="140"/>
      <c r="N20" s="139"/>
      <c r="O20" s="140"/>
      <c r="P20" s="139"/>
      <c r="Q20" s="140"/>
      <c r="R20" s="139"/>
      <c r="S20" s="140"/>
      <c r="T20" s="139"/>
      <c r="U20" s="140"/>
      <c r="V20" s="162"/>
      <c r="W20" s="265"/>
      <c r="X20" s="133">
        <f>COUNTIF(C20:U20,"F")</f>
        <v>0</v>
      </c>
      <c r="Y20" s="133">
        <f>COUNTIF(C19:U19,"E")</f>
        <v>0</v>
      </c>
      <c r="Z20" s="133">
        <f>COUNTIF(C21:V21,"Er")</f>
        <v>0</v>
      </c>
      <c r="AB20" s="133" t="s">
        <v>518</v>
      </c>
    </row>
    <row r="21" spans="1:31">
      <c r="B21" s="209"/>
      <c r="C21" s="141"/>
      <c r="D21" s="250"/>
      <c r="E21" s="141"/>
      <c r="F21" s="250"/>
      <c r="G21" s="141"/>
      <c r="H21" s="149"/>
      <c r="I21" s="141"/>
      <c r="J21" s="250"/>
      <c r="K21" s="141"/>
      <c r="L21" s="139"/>
      <c r="M21" s="141"/>
      <c r="N21" s="139"/>
      <c r="O21" s="141"/>
      <c r="P21" s="139"/>
      <c r="Q21" s="141"/>
      <c r="S21" s="141"/>
      <c r="T21" s="139"/>
      <c r="U21" s="141"/>
      <c r="V21" s="162"/>
      <c r="W21" s="236"/>
      <c r="X21" s="133">
        <f>COUNTIF(C21:U21,"U/P")</f>
        <v>0</v>
      </c>
      <c r="Y21" s="133">
        <v>0</v>
      </c>
      <c r="Z21" s="133">
        <v>0</v>
      </c>
      <c r="AB21" s="133" t="s">
        <v>278</v>
      </c>
    </row>
    <row r="22" spans="1:31" ht="13">
      <c r="B22" s="209"/>
      <c r="C22" s="390" t="s">
        <v>530</v>
      </c>
      <c r="E22" s="390" t="s">
        <v>531</v>
      </c>
      <c r="G22" s="391" t="s">
        <v>532</v>
      </c>
      <c r="I22" s="390" t="s">
        <v>533</v>
      </c>
      <c r="K22" s="391" t="s">
        <v>534</v>
      </c>
      <c r="M22" s="390" t="s">
        <v>535</v>
      </c>
      <c r="O22" s="390" t="s">
        <v>536</v>
      </c>
      <c r="Q22" s="147" t="s">
        <v>537</v>
      </c>
      <c r="R22" s="143"/>
      <c r="S22" s="147" t="s">
        <v>538</v>
      </c>
      <c r="U22" s="149" t="s">
        <v>539</v>
      </c>
      <c r="W22" s="236"/>
      <c r="X22" s="133">
        <f>COUNTIF(C20:U20,"ROW")</f>
        <v>0</v>
      </c>
      <c r="Y22" s="133">
        <v>0</v>
      </c>
      <c r="Z22" s="133">
        <v>0</v>
      </c>
      <c r="AB22" s="133" t="s">
        <v>228</v>
      </c>
    </row>
    <row r="23" spans="1:31" ht="13">
      <c r="B23" s="209"/>
      <c r="C23" s="149" t="s">
        <v>317</v>
      </c>
      <c r="D23" s="149"/>
      <c r="E23" s="144" t="s">
        <v>540</v>
      </c>
      <c r="F23" s="149"/>
      <c r="G23" s="144" t="s">
        <v>529</v>
      </c>
      <c r="H23" s="149"/>
      <c r="I23" s="149" t="s">
        <v>295</v>
      </c>
      <c r="J23" s="149"/>
      <c r="K23" s="144" t="s">
        <v>137</v>
      </c>
      <c r="L23" s="149"/>
      <c r="M23" s="149" t="s">
        <v>318</v>
      </c>
      <c r="N23" s="149"/>
      <c r="O23" s="149" t="s">
        <v>317</v>
      </c>
      <c r="P23" s="149"/>
      <c r="Q23" s="147" t="s">
        <v>541</v>
      </c>
      <c r="R23" s="143"/>
      <c r="S23" s="147" t="s">
        <v>541</v>
      </c>
      <c r="T23" s="149"/>
      <c r="U23" s="133" t="s">
        <v>296</v>
      </c>
      <c r="W23" s="236"/>
    </row>
    <row r="24" spans="1:31">
      <c r="B24" s="209"/>
      <c r="C24" s="149"/>
      <c r="D24" s="149"/>
      <c r="E24" s="149"/>
      <c r="F24" s="149"/>
      <c r="G24" s="149"/>
      <c r="H24" s="149"/>
      <c r="I24" s="149"/>
      <c r="J24" s="149"/>
      <c r="K24" s="149"/>
      <c r="L24" s="149"/>
      <c r="M24" s="149"/>
      <c r="N24" s="149"/>
      <c r="O24" s="149"/>
      <c r="P24" s="149"/>
      <c r="Q24" s="149"/>
      <c r="R24" s="149"/>
      <c r="S24" s="149"/>
      <c r="T24" s="149"/>
      <c r="U24" s="149"/>
      <c r="W24" s="236"/>
    </row>
    <row r="25" spans="1:31">
      <c r="B25" s="209"/>
      <c r="C25" s="133">
        <f>U17+1</f>
        <v>21</v>
      </c>
      <c r="E25" s="133">
        <f>C25+1</f>
        <v>22</v>
      </c>
      <c r="G25" s="133">
        <f>E25+1</f>
        <v>23</v>
      </c>
      <c r="I25" s="133">
        <f>G25+1</f>
        <v>24</v>
      </c>
      <c r="K25" s="133">
        <f>I25+1</f>
        <v>25</v>
      </c>
      <c r="M25" s="133">
        <f>K25+1</f>
        <v>26</v>
      </c>
      <c r="O25" s="133">
        <f>M25+1</f>
        <v>27</v>
      </c>
      <c r="Q25" s="133">
        <f>O25+1</f>
        <v>28</v>
      </c>
      <c r="S25" s="133">
        <f>Q25+1</f>
        <v>29</v>
      </c>
      <c r="U25" s="161">
        <f>S25+1</f>
        <v>30</v>
      </c>
      <c r="W25" s="236"/>
      <c r="AE25" s="270"/>
    </row>
    <row r="26" spans="1:31" ht="13">
      <c r="B26" s="209"/>
      <c r="C26" s="149"/>
      <c r="D26" s="149"/>
      <c r="E26" s="149"/>
      <c r="F26" s="149"/>
      <c r="G26" s="149"/>
      <c r="H26" s="149"/>
      <c r="I26" s="149"/>
      <c r="J26" s="149"/>
      <c r="K26" s="149"/>
      <c r="L26" s="260"/>
      <c r="M26" s="149"/>
      <c r="N26" s="149"/>
      <c r="O26" s="149"/>
      <c r="P26" s="149"/>
      <c r="Q26" s="149"/>
      <c r="R26" s="149"/>
      <c r="S26" s="149"/>
      <c r="T26" s="149"/>
      <c r="U26" s="149"/>
      <c r="W26" s="236"/>
    </row>
    <row r="27" spans="1:31">
      <c r="B27" s="209"/>
      <c r="C27" s="156"/>
      <c r="D27" s="156">
        <v>353.89</v>
      </c>
      <c r="E27" s="156"/>
      <c r="F27" s="156">
        <v>385.21</v>
      </c>
      <c r="G27" s="149"/>
      <c r="H27" s="156">
        <v>367.67</v>
      </c>
      <c r="I27" s="149"/>
      <c r="J27" s="156">
        <v>378.32</v>
      </c>
      <c r="K27" s="149"/>
      <c r="L27" s="156">
        <v>392.49</v>
      </c>
      <c r="M27" s="156"/>
      <c r="N27" s="156">
        <v>399.24</v>
      </c>
      <c r="O27" s="149"/>
      <c r="P27" s="156">
        <v>390.93</v>
      </c>
      <c r="Q27" s="156"/>
      <c r="R27" s="156">
        <v>412.07</v>
      </c>
      <c r="S27" s="156"/>
      <c r="T27" s="156">
        <v>421.95</v>
      </c>
      <c r="U27" s="149"/>
      <c r="V27" s="135">
        <v>391.87</v>
      </c>
      <c r="W27" s="265">
        <f>D27+H27+J27+L27+N27+F27+P27+R27+T27+V27</f>
        <v>3893.64</v>
      </c>
      <c r="AE27" s="135">
        <f>SUM(D27:V27)</f>
        <v>3893.64</v>
      </c>
    </row>
    <row r="28" spans="1:31">
      <c r="A28" s="133">
        <f>A20+1</f>
        <v>3</v>
      </c>
      <c r="B28" s="209"/>
      <c r="C28" s="140"/>
      <c r="E28" s="139"/>
      <c r="F28" s="139"/>
      <c r="G28" s="140"/>
      <c r="I28" s="140"/>
      <c r="J28" s="139"/>
      <c r="K28" s="140"/>
      <c r="L28" s="139"/>
      <c r="M28" s="140"/>
      <c r="N28" s="139"/>
      <c r="O28" s="140"/>
      <c r="P28" s="139"/>
      <c r="Q28" s="140"/>
      <c r="R28" s="139"/>
      <c r="S28" s="140"/>
      <c r="T28" s="139"/>
      <c r="U28" s="140"/>
      <c r="V28" s="162"/>
      <c r="W28" s="265"/>
      <c r="X28" s="133">
        <f>COUNTIF(C28:U28,"F")</f>
        <v>0</v>
      </c>
      <c r="Y28" s="133">
        <f>COUNTIF(C27:U27,"E")</f>
        <v>0</v>
      </c>
      <c r="Z28" s="133">
        <f>COUNTIF(C29:V29,"Er")</f>
        <v>0</v>
      </c>
      <c r="AB28" s="133" t="s">
        <v>518</v>
      </c>
    </row>
    <row r="29" spans="1:31">
      <c r="B29" s="209"/>
      <c r="C29" s="141"/>
      <c r="D29" s="139"/>
      <c r="E29" s="141"/>
      <c r="F29" s="139"/>
      <c r="G29" s="141"/>
      <c r="I29" s="141"/>
      <c r="J29" s="139"/>
      <c r="K29" s="141"/>
      <c r="L29" s="139"/>
      <c r="M29" s="141"/>
      <c r="N29" s="139"/>
      <c r="O29" s="141"/>
      <c r="P29" s="139"/>
      <c r="Q29" s="141"/>
      <c r="R29" s="139"/>
      <c r="S29" s="141"/>
      <c r="T29" s="139"/>
      <c r="U29" s="141"/>
      <c r="V29" s="162"/>
      <c r="W29" s="236"/>
      <c r="X29" s="133">
        <f>COUNTIF(C29:U29,"U/P")</f>
        <v>0</v>
      </c>
      <c r="Y29" s="133">
        <v>0</v>
      </c>
      <c r="Z29" s="133">
        <v>0</v>
      </c>
      <c r="AB29" s="133" t="s">
        <v>278</v>
      </c>
    </row>
    <row r="30" spans="1:31" ht="13">
      <c r="B30" s="209"/>
      <c r="C30" s="149" t="s">
        <v>542</v>
      </c>
      <c r="D30" s="149"/>
      <c r="E30" s="149" t="s">
        <v>543</v>
      </c>
      <c r="F30" s="149"/>
      <c r="G30" s="149" t="s">
        <v>544</v>
      </c>
      <c r="H30" s="149"/>
      <c r="I30" s="392" t="s">
        <v>545</v>
      </c>
      <c r="J30" s="149"/>
      <c r="K30" s="392" t="s">
        <v>546</v>
      </c>
      <c r="L30" s="149"/>
      <c r="M30" s="392" t="s">
        <v>547</v>
      </c>
      <c r="N30" s="149"/>
      <c r="O30" s="147" t="s">
        <v>548</v>
      </c>
      <c r="P30" s="149"/>
      <c r="Q30" s="393" t="s">
        <v>549</v>
      </c>
      <c r="R30" s="149"/>
      <c r="S30" s="393" t="s">
        <v>550</v>
      </c>
      <c r="T30" s="149"/>
      <c r="U30" s="393" t="s">
        <v>551</v>
      </c>
      <c r="W30" s="236"/>
      <c r="X30" s="133">
        <f>COUNTIF(C28:U28,"ROW")</f>
        <v>0</v>
      </c>
      <c r="Y30" s="133">
        <v>0</v>
      </c>
      <c r="Z30" s="133">
        <v>0</v>
      </c>
      <c r="AB30" s="133" t="s">
        <v>228</v>
      </c>
    </row>
    <row r="31" spans="1:31" ht="13">
      <c r="B31" s="209"/>
      <c r="C31" s="149" t="s">
        <v>296</v>
      </c>
      <c r="D31" s="149"/>
      <c r="E31" s="149" t="s">
        <v>296</v>
      </c>
      <c r="F31" s="149"/>
      <c r="G31" s="149" t="s">
        <v>296</v>
      </c>
      <c r="H31" s="149"/>
      <c r="I31" s="149" t="s">
        <v>296</v>
      </c>
      <c r="J31" s="149"/>
      <c r="K31" s="149" t="s">
        <v>296</v>
      </c>
      <c r="L31" s="149"/>
      <c r="M31" s="149" t="s">
        <v>296</v>
      </c>
      <c r="N31" s="149"/>
      <c r="O31" s="147" t="s">
        <v>344</v>
      </c>
      <c r="P31" s="149"/>
      <c r="Q31" s="149" t="s">
        <v>318</v>
      </c>
      <c r="R31" s="149"/>
      <c r="S31" s="149" t="s">
        <v>296</v>
      </c>
      <c r="T31" s="149"/>
      <c r="U31" s="149" t="s">
        <v>296</v>
      </c>
      <c r="W31" s="236"/>
    </row>
    <row r="32" spans="1:31">
      <c r="B32" s="209"/>
      <c r="C32" s="149"/>
      <c r="D32" s="149"/>
      <c r="E32" s="149"/>
      <c r="F32" s="149"/>
      <c r="G32" s="149"/>
      <c r="H32" s="149"/>
      <c r="I32" s="149"/>
      <c r="J32" s="149"/>
      <c r="K32" s="149"/>
      <c r="L32" s="149"/>
      <c r="M32" s="149"/>
      <c r="N32" s="149"/>
      <c r="O32" s="149"/>
      <c r="P32" s="149"/>
      <c r="Q32" s="149"/>
      <c r="R32" s="149"/>
      <c r="S32" s="149"/>
      <c r="T32" s="149"/>
      <c r="U32" s="149"/>
      <c r="W32" s="236"/>
    </row>
    <row r="33" spans="1:31">
      <c r="B33" s="209"/>
      <c r="C33" s="133">
        <f>U25+1</f>
        <v>31</v>
      </c>
      <c r="E33" s="133">
        <f>C33+1</f>
        <v>32</v>
      </c>
      <c r="G33" s="133">
        <f>E33+1</f>
        <v>33</v>
      </c>
      <c r="I33" s="133">
        <f>G33+1</f>
        <v>34</v>
      </c>
      <c r="K33" s="133">
        <f>I33+1</f>
        <v>35</v>
      </c>
      <c r="M33" s="133">
        <f>K33+1</f>
        <v>36</v>
      </c>
      <c r="O33" s="133">
        <f>M33+1</f>
        <v>37</v>
      </c>
      <c r="Q33" s="133">
        <f>O33+1</f>
        <v>38</v>
      </c>
      <c r="S33" s="133">
        <f>Q33+1</f>
        <v>39</v>
      </c>
      <c r="U33" s="161">
        <f>S33+1</f>
        <v>40</v>
      </c>
      <c r="W33" s="236"/>
    </row>
    <row r="34" spans="1:31">
      <c r="B34" s="209"/>
      <c r="C34" s="149"/>
      <c r="D34" s="149"/>
      <c r="E34" s="149"/>
      <c r="F34" s="149"/>
      <c r="G34" s="149"/>
      <c r="H34" s="149"/>
      <c r="I34" s="149"/>
      <c r="J34" s="149"/>
      <c r="K34" s="149"/>
      <c r="L34" s="149"/>
      <c r="M34" s="149"/>
      <c r="N34" s="149"/>
      <c r="O34" s="149"/>
      <c r="P34" s="149"/>
      <c r="Q34" s="149"/>
      <c r="R34" s="149"/>
      <c r="S34" s="149"/>
      <c r="T34" s="149"/>
      <c r="U34" s="149"/>
      <c r="W34" s="236"/>
    </row>
    <row r="35" spans="1:31">
      <c r="B35" s="209"/>
      <c r="C35" s="156"/>
      <c r="D35" s="156">
        <v>406.65</v>
      </c>
      <c r="E35" s="156"/>
      <c r="F35" s="156">
        <v>383.31</v>
      </c>
      <c r="G35" s="149"/>
      <c r="H35" s="156">
        <v>402.96</v>
      </c>
      <c r="I35" s="149"/>
      <c r="J35" s="156">
        <v>433.9</v>
      </c>
      <c r="K35" s="149"/>
      <c r="L35" s="156">
        <v>328.55</v>
      </c>
      <c r="M35" s="156"/>
      <c r="N35" s="156">
        <v>331.44</v>
      </c>
      <c r="O35" s="149"/>
      <c r="P35" s="156">
        <v>358.83</v>
      </c>
      <c r="Q35" s="156"/>
      <c r="R35" s="156">
        <v>358.55</v>
      </c>
      <c r="S35" s="156"/>
      <c r="T35" s="156">
        <v>429.37</v>
      </c>
      <c r="U35" s="149"/>
      <c r="V35" s="135">
        <v>354.9</v>
      </c>
      <c r="W35" s="265">
        <f>D35+H35+J35+L35+N35+F35+P35+R35+T35+V35</f>
        <v>3788.46</v>
      </c>
      <c r="AE35" s="135">
        <f>SUM(D35:V35)</f>
        <v>3788.46</v>
      </c>
    </row>
    <row r="36" spans="1:31">
      <c r="A36" s="133">
        <f>A28+1</f>
        <v>4</v>
      </c>
      <c r="B36" s="209"/>
      <c r="C36" s="140"/>
      <c r="D36" s="139"/>
      <c r="E36" s="140"/>
      <c r="F36" s="139"/>
      <c r="G36" s="140"/>
      <c r="I36" s="140"/>
      <c r="J36" s="139"/>
      <c r="K36" s="140"/>
      <c r="L36" s="139"/>
      <c r="M36" s="140"/>
      <c r="N36" s="139"/>
      <c r="O36" s="140"/>
      <c r="P36" s="139"/>
      <c r="Q36" s="140"/>
      <c r="R36" s="139"/>
      <c r="S36" s="140"/>
      <c r="T36" s="139"/>
      <c r="U36" s="140"/>
      <c r="V36" s="162"/>
      <c r="W36" s="265"/>
      <c r="X36" s="133">
        <f>COUNTIF(C36:U36,"F")</f>
        <v>0</v>
      </c>
      <c r="Y36" s="133">
        <f>COUNTIF(C35:U35,"E")</f>
        <v>0</v>
      </c>
      <c r="Z36" s="133">
        <f>COUNTIF(C37:V37,"Er")</f>
        <v>0</v>
      </c>
      <c r="AB36" s="133" t="s">
        <v>518</v>
      </c>
    </row>
    <row r="37" spans="1:31">
      <c r="B37" s="209"/>
      <c r="C37" s="141"/>
      <c r="D37" s="139"/>
      <c r="E37" s="141"/>
      <c r="F37" s="139"/>
      <c r="G37" s="141"/>
      <c r="I37" s="141"/>
      <c r="J37" s="139"/>
      <c r="K37" s="141"/>
      <c r="L37" s="139"/>
      <c r="M37" s="141"/>
      <c r="N37" s="139"/>
      <c r="O37" s="141"/>
      <c r="P37" s="139"/>
      <c r="Q37" s="141"/>
      <c r="R37" s="139"/>
      <c r="S37" s="141"/>
      <c r="T37" s="139"/>
      <c r="U37" s="141"/>
      <c r="V37" s="162"/>
      <c r="W37" s="236"/>
      <c r="X37" s="133">
        <f>COUNTIF(C37:U37,"U/P")</f>
        <v>0</v>
      </c>
      <c r="Y37" s="133">
        <v>0</v>
      </c>
      <c r="Z37" s="133">
        <v>0</v>
      </c>
      <c r="AB37" s="133" t="s">
        <v>278</v>
      </c>
    </row>
    <row r="38" spans="1:31" ht="13">
      <c r="B38" s="209"/>
      <c r="C38" s="393" t="s">
        <v>552</v>
      </c>
      <c r="D38" s="149"/>
      <c r="E38" s="393" t="s">
        <v>553</v>
      </c>
      <c r="F38" s="149"/>
      <c r="G38" s="393" t="s">
        <v>554</v>
      </c>
      <c r="H38" s="149"/>
      <c r="I38" s="393" t="s">
        <v>555</v>
      </c>
      <c r="J38" s="149"/>
      <c r="K38" s="147" t="s">
        <v>556</v>
      </c>
      <c r="L38" s="149"/>
      <c r="M38" s="393" t="s">
        <v>557</v>
      </c>
      <c r="N38" s="149"/>
      <c r="O38" s="393" t="s">
        <v>558</v>
      </c>
      <c r="P38" s="149"/>
      <c r="Q38" s="393" t="s">
        <v>559</v>
      </c>
      <c r="R38" s="149"/>
      <c r="S38" s="393" t="s">
        <v>560</v>
      </c>
      <c r="T38" s="149"/>
      <c r="U38" s="393" t="s">
        <v>561</v>
      </c>
      <c r="W38" s="236"/>
      <c r="X38" s="133">
        <f>COUNTIF(C36:U36,"ROW")</f>
        <v>0</v>
      </c>
      <c r="Y38" s="133">
        <v>0</v>
      </c>
      <c r="Z38" s="133">
        <v>0</v>
      </c>
      <c r="AB38" s="133" t="s">
        <v>228</v>
      </c>
    </row>
    <row r="39" spans="1:31" ht="13">
      <c r="B39" s="209"/>
      <c r="C39" s="149" t="s">
        <v>317</v>
      </c>
      <c r="D39" s="149"/>
      <c r="E39" s="149" t="s">
        <v>296</v>
      </c>
      <c r="F39" s="149"/>
      <c r="G39" s="149" t="s">
        <v>318</v>
      </c>
      <c r="H39" s="149"/>
      <c r="I39" s="149" t="s">
        <v>318</v>
      </c>
      <c r="J39" s="149"/>
      <c r="K39" s="147" t="s">
        <v>344</v>
      </c>
      <c r="L39" s="149"/>
      <c r="M39" s="149" t="s">
        <v>296</v>
      </c>
      <c r="N39" s="149"/>
      <c r="O39" s="149" t="s">
        <v>296</v>
      </c>
      <c r="P39" s="149"/>
      <c r="Q39" s="149" t="s">
        <v>296</v>
      </c>
      <c r="R39" s="149"/>
      <c r="S39" s="149" t="s">
        <v>296</v>
      </c>
      <c r="T39" s="149"/>
      <c r="U39" s="149" t="s">
        <v>296</v>
      </c>
      <c r="W39" s="236"/>
    </row>
    <row r="40" spans="1:31">
      <c r="B40" s="209"/>
      <c r="C40" s="149"/>
      <c r="D40" s="149"/>
      <c r="E40" s="149"/>
      <c r="F40" s="149"/>
      <c r="G40" s="149"/>
      <c r="H40" s="149"/>
      <c r="I40" s="149"/>
      <c r="J40" s="149"/>
      <c r="K40" s="149"/>
      <c r="L40" s="149"/>
      <c r="M40" s="149"/>
      <c r="N40" s="149"/>
      <c r="O40" s="149"/>
      <c r="P40" s="149"/>
      <c r="Q40" s="149"/>
      <c r="R40" s="149"/>
      <c r="S40" s="149"/>
      <c r="T40" s="149"/>
      <c r="U40" s="149"/>
      <c r="W40" s="236"/>
    </row>
    <row r="41" spans="1:31">
      <c r="B41" s="209"/>
      <c r="C41" s="133">
        <f>U33+1</f>
        <v>41</v>
      </c>
      <c r="E41" s="133">
        <f>C41+1</f>
        <v>42</v>
      </c>
      <c r="G41" s="133">
        <f>E41+1</f>
        <v>43</v>
      </c>
      <c r="I41" s="133">
        <f>G41+1</f>
        <v>44</v>
      </c>
      <c r="K41" s="133">
        <f>I41+1</f>
        <v>45</v>
      </c>
      <c r="M41" s="133">
        <f>K41+1</f>
        <v>46</v>
      </c>
      <c r="O41" s="133">
        <f>M41+1</f>
        <v>47</v>
      </c>
      <c r="Q41" s="133">
        <f>O41+1</f>
        <v>48</v>
      </c>
      <c r="S41" s="133">
        <f>Q41+1</f>
        <v>49</v>
      </c>
      <c r="U41" s="161">
        <f>S41+1</f>
        <v>50</v>
      </c>
      <c r="W41" s="236"/>
    </row>
    <row r="42" spans="1:31">
      <c r="B42" s="209"/>
      <c r="C42" s="149"/>
      <c r="D42" s="149"/>
      <c r="E42" s="149"/>
      <c r="F42" s="149"/>
      <c r="G42" s="149"/>
      <c r="H42" s="149"/>
      <c r="I42" s="149"/>
      <c r="J42" s="149"/>
      <c r="K42" s="149"/>
      <c r="L42" s="149"/>
      <c r="M42" s="149"/>
      <c r="N42" s="149"/>
      <c r="O42" s="149"/>
      <c r="P42" s="149"/>
      <c r="Q42" s="149"/>
      <c r="R42" s="149"/>
      <c r="S42" s="149"/>
      <c r="T42" s="149"/>
      <c r="U42" s="149"/>
      <c r="W42" s="236"/>
    </row>
    <row r="43" spans="1:31">
      <c r="B43" s="209"/>
      <c r="C43" s="156"/>
      <c r="D43" s="156">
        <v>340.94</v>
      </c>
      <c r="E43" s="156"/>
      <c r="F43" s="156">
        <v>405.66</v>
      </c>
      <c r="G43" s="149"/>
      <c r="H43" s="156">
        <v>409.41</v>
      </c>
      <c r="I43" s="149"/>
      <c r="J43" s="156">
        <v>378.36</v>
      </c>
      <c r="K43" s="149"/>
      <c r="L43" s="156">
        <v>322.47000000000003</v>
      </c>
      <c r="M43" s="156"/>
      <c r="N43" s="156">
        <v>386.39</v>
      </c>
      <c r="O43" s="149"/>
      <c r="P43" s="156">
        <v>386.19</v>
      </c>
      <c r="Q43" s="156"/>
      <c r="R43" s="156">
        <v>406.2</v>
      </c>
      <c r="S43" s="156"/>
      <c r="T43" s="156">
        <v>351.15</v>
      </c>
      <c r="U43" s="149"/>
      <c r="V43" s="135">
        <v>380.59</v>
      </c>
      <c r="W43" s="265">
        <f>D43+H43+J43+L43+N43+F43+P43+R43+T43+V43</f>
        <v>3767.36</v>
      </c>
      <c r="AE43" s="135">
        <f>SUM(D43:V43)</f>
        <v>3767.36</v>
      </c>
    </row>
    <row r="44" spans="1:31">
      <c r="A44" s="133">
        <f>A36+1</f>
        <v>5</v>
      </c>
      <c r="B44" s="209"/>
      <c r="C44" s="140"/>
      <c r="D44" s="139"/>
      <c r="E44" s="140"/>
      <c r="F44" s="162"/>
      <c r="G44" s="253"/>
      <c r="H44" s="254"/>
      <c r="I44" s="140"/>
      <c r="J44" s="254"/>
      <c r="K44" s="140"/>
      <c r="L44" s="254"/>
      <c r="M44" s="140"/>
      <c r="N44" s="139"/>
      <c r="O44" s="140"/>
      <c r="P44" s="139"/>
      <c r="Q44" s="140"/>
      <c r="R44" s="139"/>
      <c r="S44" s="140"/>
      <c r="T44" s="254"/>
      <c r="U44" s="140"/>
      <c r="V44" s="254"/>
      <c r="W44" s="265"/>
      <c r="X44" s="133">
        <f>COUNTIF(C44:U44,"F")</f>
        <v>0</v>
      </c>
      <c r="Y44" s="133">
        <f>COUNTIF(C43:U43,"E")</f>
        <v>0</v>
      </c>
      <c r="Z44" s="133">
        <f>COUNTIF(C45:V45,"Er")</f>
        <v>0</v>
      </c>
      <c r="AB44" s="133" t="s">
        <v>518</v>
      </c>
    </row>
    <row r="45" spans="1:31">
      <c r="B45" s="209"/>
      <c r="C45" s="141"/>
      <c r="D45" s="139"/>
      <c r="E45" s="141"/>
      <c r="F45" s="162"/>
      <c r="G45" s="206"/>
      <c r="I45" s="141"/>
      <c r="J45" s="139"/>
      <c r="K45" s="141"/>
      <c r="L45" s="139"/>
      <c r="M45" s="141"/>
      <c r="N45" s="139"/>
      <c r="O45" s="141"/>
      <c r="P45" s="139"/>
      <c r="Q45" s="141"/>
      <c r="R45" s="139"/>
      <c r="S45" s="141"/>
      <c r="T45" s="139"/>
      <c r="U45" s="141"/>
      <c r="V45" s="162"/>
      <c r="W45" s="236"/>
      <c r="X45" s="133">
        <f>COUNTIF(C45:U45,"U/P")</f>
        <v>0</v>
      </c>
      <c r="Y45" s="133">
        <v>0</v>
      </c>
      <c r="Z45" s="133">
        <v>0</v>
      </c>
      <c r="AB45" s="133" t="s">
        <v>278</v>
      </c>
    </row>
    <row r="46" spans="1:31" ht="13">
      <c r="B46" s="209"/>
      <c r="C46" s="393" t="s">
        <v>562</v>
      </c>
      <c r="D46" s="149"/>
      <c r="E46" s="147" t="s">
        <v>563</v>
      </c>
      <c r="F46" s="149"/>
      <c r="G46" s="393" t="s">
        <v>564</v>
      </c>
      <c r="H46" s="149"/>
      <c r="I46" s="393" t="s">
        <v>565</v>
      </c>
      <c r="J46" s="149"/>
      <c r="K46" s="393" t="s">
        <v>566</v>
      </c>
      <c r="L46" s="149"/>
      <c r="M46" s="393" t="s">
        <v>567</v>
      </c>
      <c r="N46" s="149"/>
      <c r="O46" s="393" t="s">
        <v>568</v>
      </c>
      <c r="P46" s="149"/>
      <c r="Q46" s="393" t="s">
        <v>569</v>
      </c>
      <c r="R46" s="149"/>
      <c r="S46" s="393" t="s">
        <v>570</v>
      </c>
      <c r="T46" s="149"/>
      <c r="U46" s="393" t="s">
        <v>571</v>
      </c>
      <c r="W46" s="236"/>
      <c r="X46" s="133">
        <f>COUNTIF(C44:U44,"ROW")</f>
        <v>0</v>
      </c>
      <c r="Y46" s="133">
        <v>0</v>
      </c>
      <c r="Z46" s="133">
        <v>0</v>
      </c>
      <c r="AB46" s="133" t="s">
        <v>228</v>
      </c>
    </row>
    <row r="47" spans="1:31" ht="13">
      <c r="B47" s="209"/>
      <c r="C47" s="149" t="s">
        <v>296</v>
      </c>
      <c r="D47" s="149"/>
      <c r="E47" s="147" t="s">
        <v>123</v>
      </c>
      <c r="F47" s="149"/>
      <c r="G47" s="149" t="s">
        <v>295</v>
      </c>
      <c r="H47" s="149"/>
      <c r="I47" s="149" t="s">
        <v>296</v>
      </c>
      <c r="J47" s="149"/>
      <c r="K47" s="149" t="s">
        <v>296</v>
      </c>
      <c r="L47" s="149"/>
      <c r="M47" s="149" t="s">
        <v>296</v>
      </c>
      <c r="N47" s="149"/>
      <c r="O47" s="149" t="s">
        <v>296</v>
      </c>
      <c r="P47" s="149"/>
      <c r="Q47" s="149" t="s">
        <v>296</v>
      </c>
      <c r="R47" s="149"/>
      <c r="S47" s="149" t="s">
        <v>296</v>
      </c>
      <c r="T47" s="149"/>
      <c r="U47" s="149" t="s">
        <v>296</v>
      </c>
      <c r="W47" s="236"/>
    </row>
    <row r="48" spans="1:31">
      <c r="B48" s="209"/>
      <c r="C48" s="149"/>
      <c r="D48" s="149"/>
      <c r="E48" s="149"/>
      <c r="F48" s="149"/>
      <c r="G48" s="149"/>
      <c r="H48" s="149"/>
      <c r="I48" s="149"/>
      <c r="J48" s="149"/>
      <c r="K48" s="149"/>
      <c r="L48" s="149"/>
      <c r="M48" s="149"/>
      <c r="N48" s="149"/>
      <c r="O48" s="149"/>
      <c r="P48" s="149"/>
      <c r="Q48" s="149"/>
      <c r="R48" s="149"/>
      <c r="S48" s="149"/>
      <c r="T48" s="149"/>
      <c r="U48" s="149"/>
      <c r="W48" s="236"/>
    </row>
    <row r="49" spans="1:31">
      <c r="B49" s="209"/>
      <c r="C49" s="133">
        <f>U41+1</f>
        <v>51</v>
      </c>
      <c r="E49" s="133">
        <f>C49+1</f>
        <v>52</v>
      </c>
      <c r="G49" s="133">
        <f>E49+1</f>
        <v>53</v>
      </c>
      <c r="I49" s="133">
        <f>G49+1</f>
        <v>54</v>
      </c>
      <c r="K49" s="133">
        <f>I49+1</f>
        <v>55</v>
      </c>
      <c r="M49" s="133">
        <f>K49+1</f>
        <v>56</v>
      </c>
      <c r="O49" s="133">
        <f>M49+1</f>
        <v>57</v>
      </c>
      <c r="Q49" s="133">
        <f>O49+1</f>
        <v>58</v>
      </c>
      <c r="S49" s="133">
        <f>Q49+1</f>
        <v>59</v>
      </c>
      <c r="U49" s="161">
        <f>S49+1</f>
        <v>60</v>
      </c>
      <c r="W49" s="236"/>
    </row>
    <row r="50" spans="1:31">
      <c r="B50" s="209"/>
      <c r="C50" s="149"/>
      <c r="D50" s="149"/>
      <c r="E50" s="149"/>
      <c r="F50" s="149"/>
      <c r="G50" s="149"/>
      <c r="H50" s="149"/>
      <c r="I50" s="149"/>
      <c r="J50" s="149"/>
      <c r="K50" s="149"/>
      <c r="L50" s="149"/>
      <c r="M50" s="149"/>
      <c r="N50" s="149"/>
      <c r="O50" s="149"/>
      <c r="P50" s="149"/>
      <c r="Q50" s="149"/>
      <c r="R50" s="149"/>
      <c r="S50" s="149"/>
      <c r="T50" s="149"/>
      <c r="U50" s="149"/>
      <c r="W50" s="236"/>
    </row>
    <row r="51" spans="1:31">
      <c r="B51" s="209"/>
      <c r="C51" s="156"/>
      <c r="D51" s="156">
        <v>380.02</v>
      </c>
      <c r="E51" s="156"/>
      <c r="F51" s="156">
        <v>393.7</v>
      </c>
      <c r="G51" s="149"/>
      <c r="H51" s="156">
        <v>390.68</v>
      </c>
      <c r="I51" s="149"/>
      <c r="J51" s="156">
        <v>349.16</v>
      </c>
      <c r="K51" s="149"/>
      <c r="L51" s="156">
        <v>416.01</v>
      </c>
      <c r="M51" s="156"/>
      <c r="N51" s="156">
        <v>400.75</v>
      </c>
      <c r="O51" s="149"/>
      <c r="P51" s="156">
        <v>406.84</v>
      </c>
      <c r="Q51" s="156"/>
      <c r="R51" s="156">
        <v>404.76</v>
      </c>
      <c r="S51" s="156"/>
      <c r="T51" s="156">
        <v>311.74</v>
      </c>
      <c r="U51" s="149"/>
      <c r="V51" s="135">
        <v>389.98</v>
      </c>
      <c r="W51" s="265">
        <f>D51+H51+J51+L51+N51+F51+P51+R51+T51+V51</f>
        <v>3843.64</v>
      </c>
      <c r="AE51" s="135">
        <f>SUM(D51:V51)</f>
        <v>3843.64</v>
      </c>
    </row>
    <row r="52" spans="1:31">
      <c r="A52" s="133">
        <f>A44+1</f>
        <v>6</v>
      </c>
      <c r="B52" s="209"/>
      <c r="C52" s="140"/>
      <c r="D52" s="254"/>
      <c r="E52" s="140"/>
      <c r="G52" s="140"/>
      <c r="I52" s="140"/>
      <c r="J52" s="139"/>
      <c r="K52" s="140"/>
      <c r="L52" s="139"/>
      <c r="M52" s="140"/>
      <c r="N52" s="139"/>
      <c r="O52" s="140"/>
      <c r="P52" s="139"/>
      <c r="Q52" s="140"/>
      <c r="R52" s="139"/>
      <c r="S52" s="140"/>
      <c r="T52" s="139"/>
      <c r="U52" s="140"/>
      <c r="V52" s="162"/>
      <c r="W52" s="265"/>
      <c r="X52" s="133">
        <f>COUNTIF(C52:U52,"F")</f>
        <v>0</v>
      </c>
      <c r="Y52" s="133">
        <f>COUNTIF(C51:U51,"E")</f>
        <v>0</v>
      </c>
      <c r="Z52" s="133">
        <f>COUNTIF(C53:V53,"Er")</f>
        <v>0</v>
      </c>
      <c r="AB52" s="133" t="s">
        <v>518</v>
      </c>
    </row>
    <row r="53" spans="1:31">
      <c r="B53" s="209"/>
      <c r="C53" s="141"/>
      <c r="D53" s="139"/>
      <c r="E53" s="141"/>
      <c r="F53" s="139"/>
      <c r="G53" s="141"/>
      <c r="I53" s="141"/>
      <c r="J53" s="139"/>
      <c r="K53" s="141"/>
      <c r="L53" s="139"/>
      <c r="M53" s="141"/>
      <c r="N53" s="139"/>
      <c r="O53" s="141"/>
      <c r="P53" s="139"/>
      <c r="Q53" s="141"/>
      <c r="R53" s="139"/>
      <c r="S53" s="141"/>
      <c r="T53" s="139"/>
      <c r="U53" s="141"/>
      <c r="V53" s="162"/>
      <c r="W53" s="236"/>
      <c r="X53" s="133">
        <f>COUNTIF(C53:U53,"U/P")</f>
        <v>0</v>
      </c>
      <c r="Y53" s="133">
        <v>0</v>
      </c>
      <c r="Z53" s="133">
        <v>0</v>
      </c>
      <c r="AB53" s="133" t="s">
        <v>278</v>
      </c>
    </row>
    <row r="54" spans="1:31" ht="13">
      <c r="B54" s="209"/>
      <c r="C54" s="393" t="s">
        <v>572</v>
      </c>
      <c r="D54" s="149"/>
      <c r="E54" s="147" t="s">
        <v>573</v>
      </c>
      <c r="F54" s="149"/>
      <c r="G54" s="393" t="s">
        <v>574</v>
      </c>
      <c r="H54" s="149"/>
      <c r="I54" s="147" t="s">
        <v>575</v>
      </c>
      <c r="J54" s="149"/>
      <c r="K54" s="393" t="s">
        <v>576</v>
      </c>
      <c r="L54" s="149"/>
      <c r="M54" s="393" t="s">
        <v>577</v>
      </c>
      <c r="N54" s="149"/>
      <c r="O54" s="393" t="s">
        <v>578</v>
      </c>
      <c r="P54" s="149"/>
      <c r="Q54" s="393" t="s">
        <v>579</v>
      </c>
      <c r="R54" s="149"/>
      <c r="S54" s="393" t="s">
        <v>580</v>
      </c>
      <c r="T54" s="149"/>
      <c r="U54" s="393" t="s">
        <v>581</v>
      </c>
      <c r="W54" s="236"/>
      <c r="X54" s="133">
        <f>COUNTIF(C52:U52,"ROW")</f>
        <v>0</v>
      </c>
      <c r="Y54" s="133">
        <v>0</v>
      </c>
      <c r="Z54" s="133">
        <v>0</v>
      </c>
      <c r="AB54" s="133" t="s">
        <v>228</v>
      </c>
    </row>
    <row r="55" spans="1:31" ht="13">
      <c r="B55" s="209"/>
      <c r="C55" s="133" t="s">
        <v>296</v>
      </c>
      <c r="E55" s="147" t="s">
        <v>319</v>
      </c>
      <c r="F55" s="149"/>
      <c r="G55" s="133" t="s">
        <v>317</v>
      </c>
      <c r="H55" s="149"/>
      <c r="I55" s="147" t="s">
        <v>343</v>
      </c>
      <c r="J55" s="149"/>
      <c r="K55" s="149" t="s">
        <v>317</v>
      </c>
      <c r="L55" s="149"/>
      <c r="M55" s="149" t="s">
        <v>317</v>
      </c>
      <c r="N55" s="149"/>
      <c r="O55" s="149" t="s">
        <v>296</v>
      </c>
      <c r="P55" s="149"/>
      <c r="Q55" s="149" t="s">
        <v>317</v>
      </c>
      <c r="R55" s="149"/>
      <c r="S55" s="149" t="s">
        <v>296</v>
      </c>
      <c r="T55" s="149"/>
      <c r="U55" s="149" t="s">
        <v>296</v>
      </c>
      <c r="W55" s="236"/>
    </row>
    <row r="56" spans="1:31">
      <c r="B56" s="223"/>
      <c r="C56" s="255"/>
      <c r="D56" s="255"/>
      <c r="E56" s="255"/>
      <c r="F56" s="255"/>
      <c r="G56" s="255"/>
      <c r="H56" s="255"/>
      <c r="I56" s="255"/>
      <c r="J56" s="255"/>
      <c r="K56" s="255"/>
      <c r="L56" s="255"/>
      <c r="M56" s="255"/>
      <c r="N56" s="255"/>
      <c r="O56" s="255"/>
      <c r="P56" s="255"/>
      <c r="Q56" s="255"/>
      <c r="R56" s="255"/>
      <c r="S56" s="255"/>
      <c r="T56" s="255"/>
      <c r="U56" s="255"/>
      <c r="V56" s="224"/>
      <c r="W56" s="244"/>
    </row>
    <row r="57" spans="1:31">
      <c r="B57" s="256"/>
      <c r="C57" s="257">
        <f>U49+1</f>
        <v>61</v>
      </c>
      <c r="D57" s="257"/>
      <c r="E57" s="257">
        <f>C57+1</f>
        <v>62</v>
      </c>
      <c r="F57" s="257"/>
      <c r="G57" s="257">
        <f>E57+1</f>
        <v>63</v>
      </c>
      <c r="H57" s="257"/>
      <c r="I57" s="257">
        <f>G57+1</f>
        <v>64</v>
      </c>
      <c r="J57" s="257"/>
      <c r="K57" s="257">
        <f>I57+1</f>
        <v>65</v>
      </c>
      <c r="L57" s="257"/>
      <c r="M57" s="257">
        <f>K57+1</f>
        <v>66</v>
      </c>
      <c r="N57" s="257"/>
      <c r="O57" s="257">
        <f>M57+1</f>
        <v>67</v>
      </c>
      <c r="P57" s="257"/>
      <c r="Q57" s="257">
        <f>O57+1</f>
        <v>68</v>
      </c>
      <c r="R57" s="257"/>
      <c r="S57" s="257">
        <f>Q57+1</f>
        <v>69</v>
      </c>
      <c r="T57" s="257"/>
      <c r="U57" s="266">
        <f>S57+1</f>
        <v>70</v>
      </c>
      <c r="V57" s="257"/>
      <c r="W57" s="267"/>
    </row>
    <row r="58" spans="1:31">
      <c r="B58" s="209"/>
      <c r="C58" s="149"/>
      <c r="D58" s="149"/>
      <c r="E58" s="149"/>
      <c r="F58" s="149"/>
      <c r="G58" s="149"/>
      <c r="H58" s="149"/>
      <c r="I58" s="149"/>
      <c r="J58" s="149"/>
      <c r="K58" s="149"/>
      <c r="L58" s="149"/>
      <c r="M58" s="149"/>
      <c r="N58" s="149"/>
      <c r="O58" s="149"/>
      <c r="P58" s="149"/>
      <c r="Q58" s="149"/>
      <c r="R58" s="149"/>
      <c r="S58" s="149"/>
      <c r="U58" s="149"/>
      <c r="V58" s="149"/>
      <c r="W58" s="236"/>
    </row>
    <row r="59" spans="1:31">
      <c r="B59" s="209"/>
      <c r="C59" s="156"/>
      <c r="D59" s="133">
        <v>384.15</v>
      </c>
      <c r="E59" s="156"/>
      <c r="F59" s="133">
        <v>350.96</v>
      </c>
      <c r="G59" s="149"/>
      <c r="H59" s="133">
        <v>437.11</v>
      </c>
      <c r="I59" s="149"/>
      <c r="J59" s="133">
        <v>406.67</v>
      </c>
      <c r="K59" s="156"/>
      <c r="L59" s="156">
        <v>421.42</v>
      </c>
      <c r="M59" s="149"/>
      <c r="N59" s="156">
        <v>421.75</v>
      </c>
      <c r="O59" s="156"/>
      <c r="P59" s="156">
        <v>380.8</v>
      </c>
      <c r="Q59" s="156"/>
      <c r="R59" s="156">
        <v>438.78</v>
      </c>
      <c r="S59" s="149"/>
      <c r="T59" s="156">
        <v>426.5</v>
      </c>
      <c r="U59" s="156"/>
      <c r="V59" s="156">
        <v>375.59</v>
      </c>
      <c r="W59" s="265">
        <f>N59+R59+T59+V59+D68+P59+F68+H68+J68+L68</f>
        <v>4066.13</v>
      </c>
      <c r="AE59" s="135">
        <f>SUM(D59:V59)</f>
        <v>4043.73</v>
      </c>
    </row>
    <row r="60" spans="1:31">
      <c r="A60" s="133">
        <f>A52+1</f>
        <v>7</v>
      </c>
      <c r="B60" s="209"/>
      <c r="C60" s="140"/>
      <c r="D60" s="139"/>
      <c r="E60" s="140"/>
      <c r="F60" s="139"/>
      <c r="G60" s="140"/>
      <c r="I60" s="140"/>
      <c r="J60" s="139"/>
      <c r="K60" s="140"/>
      <c r="L60" s="139"/>
      <c r="M60" s="140"/>
      <c r="N60" s="139"/>
      <c r="O60" s="140"/>
      <c r="P60" s="139"/>
      <c r="Q60" s="140"/>
      <c r="R60" s="139"/>
      <c r="S60" s="249"/>
      <c r="T60" s="162"/>
      <c r="U60" s="268"/>
      <c r="V60" s="269"/>
      <c r="W60" s="265"/>
      <c r="X60" s="133">
        <f>COUNTIF(C60:U60,"F")</f>
        <v>0</v>
      </c>
      <c r="Y60" s="133">
        <f>COUNTIF(C59:U59,"E")</f>
        <v>0</v>
      </c>
      <c r="Z60" s="133">
        <f>COUNTIF(C61:V61,"Er")</f>
        <v>0</v>
      </c>
      <c r="AB60" s="133" t="s">
        <v>518</v>
      </c>
    </row>
    <row r="61" spans="1:31">
      <c r="B61" s="209"/>
      <c r="C61" s="141"/>
      <c r="D61" s="139"/>
      <c r="E61" s="141"/>
      <c r="F61" s="139"/>
      <c r="G61" s="141"/>
      <c r="I61" s="141"/>
      <c r="J61" s="139"/>
      <c r="K61" s="141"/>
      <c r="L61" s="139"/>
      <c r="M61" s="141"/>
      <c r="N61" s="139"/>
      <c r="O61" s="141"/>
      <c r="P61" s="261"/>
      <c r="Q61" s="141"/>
      <c r="R61" s="139"/>
      <c r="S61" s="251"/>
      <c r="T61" s="162"/>
      <c r="U61" s="251"/>
      <c r="V61" s="269"/>
      <c r="W61" s="236"/>
      <c r="X61" s="133">
        <f>COUNTIF(C61:U61,"U/P")</f>
        <v>0</v>
      </c>
      <c r="Y61" s="133">
        <v>0</v>
      </c>
      <c r="Z61" s="133">
        <v>0</v>
      </c>
      <c r="AB61" s="133" t="s">
        <v>278</v>
      </c>
    </row>
    <row r="62" spans="1:31" ht="13">
      <c r="B62" s="209"/>
      <c r="C62" s="393" t="s">
        <v>582</v>
      </c>
      <c r="D62" s="149"/>
      <c r="E62" s="393" t="s">
        <v>583</v>
      </c>
      <c r="F62" s="258"/>
      <c r="G62" s="147" t="s">
        <v>584</v>
      </c>
      <c r="H62" s="258"/>
      <c r="I62" s="393" t="s">
        <v>585</v>
      </c>
      <c r="J62" s="149"/>
      <c r="K62" s="393" t="s">
        <v>586</v>
      </c>
      <c r="L62" s="149"/>
      <c r="M62" s="393" t="s">
        <v>587</v>
      </c>
      <c r="N62" s="149"/>
      <c r="O62" s="393" t="s">
        <v>588</v>
      </c>
      <c r="P62" s="149"/>
      <c r="Q62" s="147" t="s">
        <v>589</v>
      </c>
      <c r="R62" s="149"/>
      <c r="S62" s="147" t="s">
        <v>590</v>
      </c>
      <c r="U62" s="393" t="s">
        <v>591</v>
      </c>
      <c r="V62" s="149"/>
      <c r="W62" s="236"/>
      <c r="X62" s="133">
        <f>COUNTIF(C60:U60,"ROW")</f>
        <v>0</v>
      </c>
      <c r="Y62" s="133">
        <v>0</v>
      </c>
      <c r="Z62" s="133">
        <v>0</v>
      </c>
      <c r="AB62" s="133" t="s">
        <v>228</v>
      </c>
    </row>
    <row r="63" spans="1:31" ht="13">
      <c r="B63" s="209"/>
      <c r="C63" s="149" t="s">
        <v>296</v>
      </c>
      <c r="E63" s="149" t="s">
        <v>296</v>
      </c>
      <c r="F63" s="149"/>
      <c r="G63" s="147" t="s">
        <v>319</v>
      </c>
      <c r="H63" s="149"/>
      <c r="I63" s="149" t="s">
        <v>295</v>
      </c>
      <c r="J63" s="149"/>
      <c r="K63" s="149" t="s">
        <v>296</v>
      </c>
      <c r="L63" s="149"/>
      <c r="M63" s="149" t="s">
        <v>318</v>
      </c>
      <c r="N63" s="149"/>
      <c r="O63" s="149" t="s">
        <v>317</v>
      </c>
      <c r="P63" s="149"/>
      <c r="Q63" s="147" t="s">
        <v>330</v>
      </c>
      <c r="R63" s="149"/>
      <c r="S63" s="147" t="s">
        <v>397</v>
      </c>
      <c r="U63" s="149" t="s">
        <v>317</v>
      </c>
      <c r="V63" s="149"/>
      <c r="W63" s="236"/>
    </row>
    <row r="64" spans="1:31">
      <c r="B64" s="209"/>
      <c r="C64" s="149"/>
      <c r="D64" s="149"/>
      <c r="E64" s="149"/>
      <c r="F64" s="149"/>
      <c r="G64" s="149"/>
      <c r="H64" s="149"/>
      <c r="I64" s="149"/>
      <c r="J64" s="149"/>
      <c r="K64" s="149"/>
      <c r="L64" s="149"/>
      <c r="M64" s="149"/>
      <c r="N64" s="149"/>
      <c r="O64" s="149"/>
      <c r="P64" s="149"/>
      <c r="Q64" s="149"/>
      <c r="R64" s="149"/>
      <c r="S64" s="149"/>
      <c r="T64" s="149"/>
      <c r="U64" s="149"/>
      <c r="W64" s="236"/>
    </row>
    <row r="65" spans="1:31">
      <c r="B65" s="209"/>
      <c r="C65" s="149"/>
      <c r="D65" s="149"/>
      <c r="E65" s="149"/>
      <c r="F65" s="149"/>
      <c r="G65" s="149"/>
      <c r="H65" s="149"/>
      <c r="I65" s="149"/>
      <c r="J65" s="149"/>
      <c r="K65" s="149"/>
      <c r="L65" s="149"/>
      <c r="M65" s="149"/>
      <c r="N65" s="149"/>
      <c r="O65" s="149" t="s">
        <v>592</v>
      </c>
      <c r="P65" s="149"/>
      <c r="Q65" s="149"/>
      <c r="R65" s="149"/>
      <c r="S65" s="149"/>
      <c r="T65" s="149"/>
      <c r="U65" s="149"/>
      <c r="W65" s="236"/>
    </row>
    <row r="66" spans="1:31">
      <c r="B66" s="209"/>
      <c r="C66" s="133">
        <f>U57+1</f>
        <v>71</v>
      </c>
      <c r="E66" s="133">
        <f>C66+1</f>
        <v>72</v>
      </c>
      <c r="G66" s="133">
        <f>E66+1</f>
        <v>73</v>
      </c>
      <c r="I66" s="133">
        <f>G66+1</f>
        <v>74</v>
      </c>
      <c r="K66" s="133">
        <f>I66+1</f>
        <v>75</v>
      </c>
      <c r="M66" s="133">
        <f>K66+1</f>
        <v>76</v>
      </c>
      <c r="O66" s="133">
        <f>M66+1</f>
        <v>77</v>
      </c>
      <c r="Q66" s="133">
        <f>O66+1</f>
        <v>78</v>
      </c>
      <c r="S66" s="133">
        <f>Q66+1</f>
        <v>79</v>
      </c>
      <c r="U66" s="161">
        <f>S66+1</f>
        <v>80</v>
      </c>
      <c r="W66" s="236"/>
    </row>
    <row r="67" spans="1:31">
      <c r="B67" s="209"/>
      <c r="C67" s="149"/>
      <c r="D67" s="149"/>
      <c r="E67" s="149"/>
      <c r="F67" s="149"/>
      <c r="G67" s="149"/>
      <c r="H67" s="149"/>
      <c r="I67" s="149"/>
      <c r="J67" s="149"/>
      <c r="K67" s="149"/>
      <c r="L67" s="149"/>
      <c r="M67" s="149"/>
      <c r="N67" s="149"/>
      <c r="O67" s="149"/>
      <c r="P67" s="149"/>
      <c r="Q67" s="149"/>
      <c r="R67" s="149"/>
      <c r="S67" s="149"/>
      <c r="U67" s="149"/>
      <c r="V67" s="149"/>
      <c r="W67" s="236"/>
    </row>
    <row r="68" spans="1:31">
      <c r="B68" s="209"/>
      <c r="C68" s="156"/>
      <c r="D68" s="156">
        <v>413.56</v>
      </c>
      <c r="E68" s="149"/>
      <c r="F68" s="156">
        <v>407.62</v>
      </c>
      <c r="G68" s="149"/>
      <c r="H68" s="156">
        <v>397.38</v>
      </c>
      <c r="I68" s="149"/>
      <c r="J68" s="135">
        <v>408.9</v>
      </c>
      <c r="K68" s="156"/>
      <c r="L68" s="156">
        <v>395.25</v>
      </c>
      <c r="M68" s="149"/>
      <c r="N68" s="156">
        <v>384.81</v>
      </c>
      <c r="O68" s="156"/>
      <c r="P68" s="156">
        <v>388.05</v>
      </c>
      <c r="Q68" s="156"/>
      <c r="R68" s="156">
        <v>362.31</v>
      </c>
      <c r="S68" s="149"/>
      <c r="T68" s="156">
        <v>359.92</v>
      </c>
      <c r="U68" s="156"/>
      <c r="V68" s="156">
        <v>386.31</v>
      </c>
      <c r="W68" s="265" t="e">
        <f>#REF!+R68+T68+V68+N68+P68+#REF!+#REF!+#REF!+#REF!</f>
        <v>#REF!</v>
      </c>
      <c r="AE68" s="135">
        <f>SUM(D68:V68)</f>
        <v>3904.11</v>
      </c>
    </row>
    <row r="69" spans="1:31">
      <c r="A69" s="133">
        <f>A60+1</f>
        <v>8</v>
      </c>
      <c r="B69" s="209"/>
      <c r="C69" s="140"/>
      <c r="D69" s="139"/>
      <c r="E69" s="140"/>
      <c r="G69" s="140"/>
      <c r="H69" s="139"/>
      <c r="I69" s="140"/>
      <c r="J69" s="139"/>
      <c r="K69" s="140"/>
      <c r="L69" s="139"/>
      <c r="M69" s="140"/>
      <c r="N69" s="139"/>
      <c r="O69" s="140"/>
      <c r="P69" s="139"/>
      <c r="Q69" s="140"/>
      <c r="R69" s="139"/>
      <c r="S69" s="140"/>
      <c r="T69" s="162"/>
      <c r="U69" s="140"/>
      <c r="V69" s="269"/>
      <c r="W69" s="265"/>
      <c r="X69" s="133">
        <f>COUNTIF(C69:U69,"F")</f>
        <v>0</v>
      </c>
      <c r="Y69" s="133">
        <f>COUNTIF(C68:U68,"E")</f>
        <v>0</v>
      </c>
      <c r="Z69" s="133">
        <f>COUNTIF(C70:V70,"Er")</f>
        <v>0</v>
      </c>
      <c r="AB69" s="133" t="s">
        <v>518</v>
      </c>
      <c r="AE69" s="135"/>
    </row>
    <row r="70" spans="1:31">
      <c r="B70" s="209"/>
      <c r="C70" s="141"/>
      <c r="D70" s="139"/>
      <c r="E70" s="141"/>
      <c r="G70" s="141"/>
      <c r="H70" s="139"/>
      <c r="I70" s="141"/>
      <c r="J70" s="139"/>
      <c r="K70" s="141"/>
      <c r="L70" s="139"/>
      <c r="M70" s="141"/>
      <c r="N70" s="139"/>
      <c r="O70" s="141"/>
      <c r="P70" s="139"/>
      <c r="Q70" s="141"/>
      <c r="R70" s="139"/>
      <c r="S70" s="141"/>
      <c r="T70" s="162"/>
      <c r="U70" s="141"/>
      <c r="V70" s="269"/>
      <c r="W70" s="236"/>
      <c r="X70" s="133">
        <f>COUNTIF(C70:U70,"U/P")</f>
        <v>0</v>
      </c>
      <c r="Y70" s="133">
        <v>0</v>
      </c>
      <c r="Z70" s="133">
        <v>0</v>
      </c>
      <c r="AB70" s="133" t="s">
        <v>278</v>
      </c>
    </row>
    <row r="71" spans="1:31" ht="13">
      <c r="B71" s="209"/>
      <c r="C71" s="393" t="s">
        <v>593</v>
      </c>
      <c r="D71" s="149"/>
      <c r="E71" s="393" t="s">
        <v>594</v>
      </c>
      <c r="F71" s="149"/>
      <c r="G71" s="147" t="s">
        <v>595</v>
      </c>
      <c r="H71" s="149"/>
      <c r="I71" s="393" t="s">
        <v>596</v>
      </c>
      <c r="J71" s="149"/>
      <c r="K71" s="393" t="s">
        <v>597</v>
      </c>
      <c r="L71" s="149"/>
      <c r="M71" s="393" t="s">
        <v>598</v>
      </c>
      <c r="N71" s="149"/>
      <c r="O71" s="393" t="s">
        <v>599</v>
      </c>
      <c r="P71" s="149"/>
      <c r="Q71" s="393" t="s">
        <v>600</v>
      </c>
      <c r="R71" s="149"/>
      <c r="S71" s="393" t="s">
        <v>601</v>
      </c>
      <c r="U71" s="393" t="s">
        <v>602</v>
      </c>
      <c r="V71" s="149"/>
      <c r="W71" s="236"/>
      <c r="X71" s="133">
        <f>COUNTIF(C69:U69,"ROW")</f>
        <v>0</v>
      </c>
      <c r="Y71" s="133">
        <v>0</v>
      </c>
      <c r="Z71" s="133">
        <v>0</v>
      </c>
      <c r="AB71" s="133" t="s">
        <v>228</v>
      </c>
    </row>
    <row r="72" spans="1:31" ht="13">
      <c r="B72" s="209"/>
      <c r="C72" s="149" t="s">
        <v>317</v>
      </c>
      <c r="D72" s="149"/>
      <c r="E72" s="149" t="s">
        <v>318</v>
      </c>
      <c r="F72" s="149"/>
      <c r="G72" s="147" t="s">
        <v>319</v>
      </c>
      <c r="H72" s="149"/>
      <c r="I72" s="149" t="s">
        <v>317</v>
      </c>
      <c r="J72" s="149"/>
      <c r="K72" s="149" t="s">
        <v>295</v>
      </c>
      <c r="L72" s="149"/>
      <c r="M72" s="149" t="s">
        <v>296</v>
      </c>
      <c r="N72" s="149"/>
      <c r="O72" s="149" t="s">
        <v>296</v>
      </c>
      <c r="P72" s="149"/>
      <c r="Q72" s="149" t="s">
        <v>296</v>
      </c>
      <c r="R72" s="149"/>
      <c r="S72" s="149" t="s">
        <v>296</v>
      </c>
      <c r="U72" s="149" t="s">
        <v>296</v>
      </c>
      <c r="V72" s="149"/>
      <c r="W72" s="236"/>
    </row>
    <row r="73" spans="1:31">
      <c r="B73" s="209"/>
      <c r="C73" s="149"/>
      <c r="D73" s="149"/>
      <c r="E73" s="149"/>
      <c r="F73" s="149"/>
      <c r="G73" s="149"/>
      <c r="H73" s="149"/>
      <c r="I73" s="149"/>
      <c r="J73" s="149"/>
      <c r="K73" s="149"/>
      <c r="L73" s="149"/>
      <c r="M73" s="149"/>
      <c r="N73" s="149"/>
      <c r="O73" s="149"/>
      <c r="P73" s="149"/>
      <c r="Q73" s="149"/>
      <c r="R73" s="149"/>
      <c r="S73" s="149"/>
      <c r="T73" s="149"/>
      <c r="U73" s="149"/>
      <c r="W73" s="236"/>
    </row>
    <row r="74" spans="1:31">
      <c r="B74" s="209"/>
      <c r="C74" s="149"/>
      <c r="D74" s="149"/>
      <c r="E74" s="149"/>
      <c r="F74" s="149"/>
      <c r="G74" s="149"/>
      <c r="H74" s="149"/>
      <c r="I74" s="149"/>
      <c r="J74" s="149"/>
      <c r="K74" s="149"/>
      <c r="L74" s="149"/>
      <c r="M74" s="149" t="s">
        <v>592</v>
      </c>
      <c r="N74" s="149"/>
      <c r="O74" s="149"/>
      <c r="P74" s="149"/>
      <c r="Q74" s="149"/>
      <c r="R74" s="149"/>
      <c r="S74" s="149"/>
      <c r="T74" s="149"/>
      <c r="U74" s="149"/>
      <c r="W74" s="236"/>
    </row>
    <row r="75" spans="1:31">
      <c r="B75" s="209"/>
      <c r="C75" s="133">
        <f>U66+1</f>
        <v>81</v>
      </c>
      <c r="E75" s="133">
        <f>C75+1</f>
        <v>82</v>
      </c>
      <c r="G75" s="133">
        <f>E75+1</f>
        <v>83</v>
      </c>
      <c r="I75" s="133">
        <f>G75+1</f>
        <v>84</v>
      </c>
      <c r="K75" s="133">
        <f>I75+1</f>
        <v>85</v>
      </c>
      <c r="M75" s="133">
        <f>K75+1</f>
        <v>86</v>
      </c>
      <c r="O75" s="133">
        <f>M75+1</f>
        <v>87</v>
      </c>
      <c r="Q75" s="133">
        <f>O75+1</f>
        <v>88</v>
      </c>
      <c r="S75" s="133">
        <f>Q75+1</f>
        <v>89</v>
      </c>
      <c r="U75" s="161">
        <f>S75+1</f>
        <v>90</v>
      </c>
      <c r="W75" s="236"/>
    </row>
    <row r="76" spans="1:31">
      <c r="B76" s="209"/>
      <c r="C76" s="149"/>
      <c r="D76" s="149"/>
      <c r="E76" s="149"/>
      <c r="F76" s="149"/>
      <c r="G76" s="149"/>
      <c r="H76" s="149"/>
      <c r="I76" s="149"/>
      <c r="J76" s="149"/>
      <c r="K76" s="149"/>
      <c r="L76" s="149"/>
      <c r="M76" s="149"/>
      <c r="N76" s="149"/>
      <c r="O76" s="149"/>
      <c r="P76" s="149"/>
      <c r="Q76" s="149"/>
      <c r="R76" s="149"/>
      <c r="S76" s="149"/>
      <c r="U76" s="149"/>
      <c r="V76" s="149"/>
      <c r="W76" s="236"/>
    </row>
    <row r="77" spans="1:31">
      <c r="B77" s="209"/>
      <c r="C77" s="156"/>
      <c r="D77" s="156">
        <v>319.93</v>
      </c>
      <c r="E77" s="149"/>
      <c r="F77" s="156">
        <v>342.16</v>
      </c>
      <c r="G77" s="149"/>
      <c r="H77" s="156">
        <v>384.83</v>
      </c>
      <c r="I77" s="149"/>
      <c r="J77" s="156">
        <v>365.71</v>
      </c>
      <c r="K77" s="156"/>
      <c r="L77" s="156">
        <v>394.61</v>
      </c>
      <c r="M77" s="149"/>
      <c r="N77" s="156">
        <v>315.81</v>
      </c>
      <c r="O77" s="156"/>
      <c r="P77" s="156">
        <v>419.79</v>
      </c>
      <c r="Q77" s="156"/>
      <c r="R77" s="156">
        <v>418.97</v>
      </c>
      <c r="S77" s="149"/>
      <c r="T77" s="156">
        <v>420.65</v>
      </c>
      <c r="U77" s="156"/>
      <c r="V77" s="156">
        <v>422.09</v>
      </c>
      <c r="W77" s="265">
        <f>D77+H77+J77+L77+N77+F77+P77+R77+T77+V77</f>
        <v>3804.55</v>
      </c>
      <c r="AE77" s="135">
        <f>SUM(D77:V77)</f>
        <v>3804.55</v>
      </c>
    </row>
    <row r="78" spans="1:31">
      <c r="A78" s="133">
        <f>A69+1</f>
        <v>9</v>
      </c>
      <c r="B78" s="209"/>
      <c r="C78" s="140"/>
      <c r="D78" s="139"/>
      <c r="E78" s="140"/>
      <c r="G78" s="140"/>
      <c r="H78" s="139"/>
      <c r="I78" s="140"/>
      <c r="J78" s="139"/>
      <c r="K78" s="140"/>
      <c r="L78" s="139"/>
      <c r="M78" s="140"/>
      <c r="N78" s="139"/>
      <c r="O78" s="140"/>
      <c r="P78" s="139"/>
      <c r="Q78" s="140"/>
      <c r="R78" s="139"/>
      <c r="S78" s="140"/>
      <c r="T78" s="162"/>
      <c r="U78" s="140"/>
      <c r="V78" s="162"/>
      <c r="W78" s="265"/>
      <c r="X78" s="133">
        <f>COUNTIF(C78:U78,"F")</f>
        <v>0</v>
      </c>
      <c r="Y78" s="133">
        <f>COUNTIF(C77:U77,"E")</f>
        <v>0</v>
      </c>
      <c r="Z78" s="133">
        <f>COUNTIF(C79:V79,"Er")</f>
        <v>0</v>
      </c>
      <c r="AB78" s="133" t="s">
        <v>518</v>
      </c>
    </row>
    <row r="79" spans="1:31">
      <c r="B79" s="209"/>
      <c r="C79" s="141"/>
      <c r="D79" s="139"/>
      <c r="E79" s="141"/>
      <c r="G79" s="141"/>
      <c r="H79" s="139"/>
      <c r="I79" s="141"/>
      <c r="J79" s="139"/>
      <c r="K79" s="141"/>
      <c r="L79" s="139"/>
      <c r="M79" s="141"/>
      <c r="N79" s="139"/>
      <c r="O79" s="141"/>
      <c r="P79" s="139"/>
      <c r="Q79" s="141"/>
      <c r="R79" s="139"/>
      <c r="S79" s="141"/>
      <c r="T79" s="162"/>
      <c r="U79" s="141"/>
      <c r="V79" s="162"/>
      <c r="W79" s="236"/>
      <c r="X79" s="133">
        <f>COUNTIF(C79:U79,"U/P")</f>
        <v>0</v>
      </c>
      <c r="Y79" s="133">
        <v>0</v>
      </c>
      <c r="Z79" s="133">
        <v>0</v>
      </c>
      <c r="AB79" s="133" t="s">
        <v>278</v>
      </c>
    </row>
    <row r="80" spans="1:31" ht="13">
      <c r="B80" s="209"/>
      <c r="C80" s="393" t="s">
        <v>603</v>
      </c>
      <c r="D80" s="149"/>
      <c r="E80" s="147" t="s">
        <v>604</v>
      </c>
      <c r="F80" s="149"/>
      <c r="G80" s="393" t="s">
        <v>605</v>
      </c>
      <c r="H80" s="149"/>
      <c r="I80" s="393" t="s">
        <v>606</v>
      </c>
      <c r="J80" s="149"/>
      <c r="K80" s="393" t="s">
        <v>607</v>
      </c>
      <c r="L80" s="149"/>
      <c r="M80" s="147" t="s">
        <v>608</v>
      </c>
      <c r="N80" s="149"/>
      <c r="O80" s="147" t="s">
        <v>609</v>
      </c>
      <c r="P80" s="149"/>
      <c r="Q80" s="147" t="s">
        <v>610</v>
      </c>
      <c r="R80" s="149"/>
      <c r="S80" s="393" t="s">
        <v>611</v>
      </c>
      <c r="U80" s="393" t="s">
        <v>612</v>
      </c>
      <c r="V80" s="149"/>
      <c r="W80" s="236"/>
      <c r="X80" s="133">
        <f>COUNTIF(C78:U78,"ROW")</f>
        <v>0</v>
      </c>
      <c r="Y80" s="133">
        <v>0</v>
      </c>
      <c r="Z80" s="133">
        <v>0</v>
      </c>
      <c r="AB80" s="133" t="s">
        <v>228</v>
      </c>
    </row>
    <row r="81" spans="1:31" ht="13">
      <c r="B81" s="209"/>
      <c r="C81" s="149" t="s">
        <v>296</v>
      </c>
      <c r="D81" s="149"/>
      <c r="E81" s="147" t="s">
        <v>119</v>
      </c>
      <c r="F81" s="149"/>
      <c r="G81" s="149" t="s">
        <v>296</v>
      </c>
      <c r="H81" s="149"/>
      <c r="I81" s="149" t="s">
        <v>296</v>
      </c>
      <c r="J81" s="149"/>
      <c r="K81" s="149" t="s">
        <v>317</v>
      </c>
      <c r="L81" s="149"/>
      <c r="M81" s="147" t="s">
        <v>344</v>
      </c>
      <c r="N81" s="149"/>
      <c r="O81" s="147" t="s">
        <v>413</v>
      </c>
      <c r="P81" s="149"/>
      <c r="Q81" s="147" t="s">
        <v>330</v>
      </c>
      <c r="R81" s="149"/>
      <c r="S81" s="149" t="s">
        <v>317</v>
      </c>
      <c r="U81" s="147" t="s">
        <v>296</v>
      </c>
      <c r="V81" s="149"/>
      <c r="W81" s="236"/>
    </row>
    <row r="82" spans="1:31" ht="13">
      <c r="B82" s="209"/>
      <c r="C82" s="149"/>
      <c r="D82" s="149"/>
      <c r="E82" s="147"/>
      <c r="F82" s="149"/>
      <c r="G82" s="149"/>
      <c r="H82" s="149"/>
      <c r="I82" s="147"/>
      <c r="J82" s="149"/>
      <c r="K82" s="149"/>
      <c r="L82" s="149"/>
      <c r="M82" s="147"/>
      <c r="N82" s="149"/>
      <c r="O82" s="149"/>
      <c r="P82" s="149"/>
      <c r="Q82" s="149"/>
      <c r="R82" s="149"/>
      <c r="S82" s="149"/>
      <c r="U82" s="147"/>
      <c r="V82" s="149"/>
      <c r="W82" s="236"/>
    </row>
    <row r="83" spans="1:31">
      <c r="B83" s="209"/>
      <c r="C83" s="149"/>
      <c r="D83" s="149"/>
      <c r="E83" s="149"/>
      <c r="F83" s="149"/>
      <c r="G83" s="149"/>
      <c r="H83" s="149"/>
      <c r="I83" s="149"/>
      <c r="J83" s="149"/>
      <c r="K83" s="149"/>
      <c r="L83" s="149"/>
      <c r="M83" s="149" t="s">
        <v>592</v>
      </c>
      <c r="N83" s="149"/>
      <c r="O83" s="149"/>
      <c r="P83" s="149"/>
      <c r="Q83" s="149"/>
      <c r="R83" s="149"/>
      <c r="S83" s="149" t="s">
        <v>592</v>
      </c>
      <c r="T83" s="149"/>
      <c r="U83" s="149"/>
      <c r="W83" s="236"/>
    </row>
    <row r="84" spans="1:31">
      <c r="B84" s="209"/>
      <c r="C84" s="133">
        <f>U75+1</f>
        <v>91</v>
      </c>
      <c r="E84" s="133">
        <f>C84+1</f>
        <v>92</v>
      </c>
      <c r="G84" s="133">
        <f>E84+1</f>
        <v>93</v>
      </c>
      <c r="I84" s="133">
        <f>G84+1</f>
        <v>94</v>
      </c>
      <c r="K84" s="133">
        <f>I84+1</f>
        <v>95</v>
      </c>
      <c r="M84" s="133">
        <f>K84+1</f>
        <v>96</v>
      </c>
      <c r="O84" s="133">
        <f>M84+1</f>
        <v>97</v>
      </c>
      <c r="Q84" s="133">
        <f>O84+1</f>
        <v>98</v>
      </c>
      <c r="S84" s="133">
        <f>Q84+1</f>
        <v>99</v>
      </c>
      <c r="U84" s="161">
        <f>S84+1</f>
        <v>100</v>
      </c>
      <c r="W84" s="236"/>
    </row>
    <row r="85" spans="1:31">
      <c r="B85" s="209"/>
      <c r="C85" s="149"/>
      <c r="D85" s="149"/>
      <c r="E85" s="149"/>
      <c r="F85" s="149"/>
      <c r="G85" s="149"/>
      <c r="H85" s="149"/>
      <c r="I85" s="149"/>
      <c r="J85" s="149"/>
      <c r="K85" s="149"/>
      <c r="L85" s="149"/>
      <c r="M85" s="149"/>
      <c r="N85" s="149"/>
      <c r="O85" s="149"/>
      <c r="P85" s="149"/>
      <c r="Q85" s="149"/>
      <c r="R85" s="149"/>
      <c r="S85" s="149"/>
      <c r="U85" s="149"/>
      <c r="V85" s="149"/>
      <c r="W85" s="236"/>
    </row>
    <row r="86" spans="1:31">
      <c r="B86" s="209"/>
      <c r="C86" s="156"/>
      <c r="D86" s="156">
        <v>420.49</v>
      </c>
      <c r="E86" s="149"/>
      <c r="F86" s="156">
        <v>459.09</v>
      </c>
      <c r="G86" s="149"/>
      <c r="H86" s="156">
        <v>386.28</v>
      </c>
      <c r="I86" s="149"/>
      <c r="J86" s="135">
        <v>273.16000000000003</v>
      </c>
      <c r="K86" s="156"/>
      <c r="L86" s="156">
        <v>313.62</v>
      </c>
      <c r="M86" s="149"/>
      <c r="N86" s="156">
        <v>361.38</v>
      </c>
      <c r="O86" s="156"/>
      <c r="P86" s="156">
        <v>308.79000000000002</v>
      </c>
      <c r="Q86" s="156"/>
      <c r="R86" s="156">
        <v>332.52</v>
      </c>
      <c r="S86" s="149"/>
      <c r="T86" s="156">
        <v>269.07</v>
      </c>
      <c r="U86" s="156"/>
      <c r="V86" s="156">
        <v>357.59</v>
      </c>
      <c r="W86" s="265">
        <f>D86+H86+J86+L86+N86+F86+P86+R86+T86+V86</f>
        <v>3481.99</v>
      </c>
      <c r="AE86" s="135">
        <f>SUM(D86:V86)</f>
        <v>3481.99</v>
      </c>
    </row>
    <row r="87" spans="1:31">
      <c r="A87" s="133">
        <f>A78+1</f>
        <v>10</v>
      </c>
      <c r="B87" s="209"/>
      <c r="C87" s="140"/>
      <c r="D87" s="139"/>
      <c r="E87" s="140"/>
      <c r="G87" s="140"/>
      <c r="H87" s="139"/>
      <c r="I87" s="140"/>
      <c r="J87" s="139"/>
      <c r="K87" s="140"/>
      <c r="L87" s="139"/>
      <c r="M87" s="140"/>
      <c r="N87" s="139"/>
      <c r="O87" s="140"/>
      <c r="P87" s="139"/>
      <c r="Q87" s="140"/>
      <c r="R87" s="139"/>
      <c r="S87" s="140"/>
      <c r="T87" s="162"/>
      <c r="U87" s="140"/>
      <c r="V87" s="269"/>
      <c r="W87" s="265"/>
      <c r="X87" s="133">
        <f>COUNTIF(C87:U87,"F")</f>
        <v>0</v>
      </c>
      <c r="Y87" s="133">
        <f>COUNTIF(C86:U86,"E")</f>
        <v>0</v>
      </c>
      <c r="Z87" s="133">
        <f>COUNTIF(C88:V88,"Er")</f>
        <v>0</v>
      </c>
      <c r="AB87" s="133" t="s">
        <v>518</v>
      </c>
    </row>
    <row r="88" spans="1:31">
      <c r="B88" s="209"/>
      <c r="C88" s="141"/>
      <c r="D88" s="139"/>
      <c r="E88" s="141"/>
      <c r="G88" s="141"/>
      <c r="H88" s="139"/>
      <c r="I88" s="141"/>
      <c r="J88" s="139"/>
      <c r="K88" s="141"/>
      <c r="L88" s="139"/>
      <c r="M88" s="141"/>
      <c r="N88" s="139"/>
      <c r="O88" s="141"/>
      <c r="P88" s="139"/>
      <c r="Q88" s="141"/>
      <c r="R88" s="139"/>
      <c r="S88" s="141"/>
      <c r="T88" s="162"/>
      <c r="U88" s="141"/>
      <c r="V88" s="269"/>
      <c r="W88" s="236"/>
      <c r="X88" s="133">
        <f>COUNTIF(C88:U88,"U/P")</f>
        <v>0</v>
      </c>
      <c r="Y88" s="133">
        <v>0</v>
      </c>
      <c r="Z88" s="133">
        <v>0</v>
      </c>
      <c r="AB88" s="133" t="s">
        <v>278</v>
      </c>
    </row>
    <row r="89" spans="1:31" ht="13">
      <c r="B89" s="209"/>
      <c r="C89" s="393" t="s">
        <v>613</v>
      </c>
      <c r="D89" s="149"/>
      <c r="E89" s="393" t="s">
        <v>614</v>
      </c>
      <c r="F89" s="149"/>
      <c r="G89" s="393" t="s">
        <v>615</v>
      </c>
      <c r="H89" s="149"/>
      <c r="I89" s="147" t="s">
        <v>616</v>
      </c>
      <c r="J89" s="149"/>
      <c r="K89" s="393" t="s">
        <v>617</v>
      </c>
      <c r="L89" s="149"/>
      <c r="M89" s="393" t="s">
        <v>618</v>
      </c>
      <c r="N89" s="149"/>
      <c r="O89" s="393" t="s">
        <v>619</v>
      </c>
      <c r="P89" s="149"/>
      <c r="Q89" s="147" t="s">
        <v>620</v>
      </c>
      <c r="R89" s="149"/>
      <c r="S89" s="393" t="s">
        <v>621</v>
      </c>
      <c r="U89" s="393" t="s">
        <v>622</v>
      </c>
      <c r="V89" s="149"/>
      <c r="W89" s="236"/>
      <c r="X89" s="133">
        <f>COUNTIF(C87:U87,"ROW")</f>
        <v>0</v>
      </c>
      <c r="Y89" s="133">
        <v>0</v>
      </c>
      <c r="Z89" s="133">
        <v>0</v>
      </c>
      <c r="AB89" s="133" t="s">
        <v>228</v>
      </c>
    </row>
    <row r="90" spans="1:31" ht="13">
      <c r="B90" s="209"/>
      <c r="C90" s="149" t="s">
        <v>318</v>
      </c>
      <c r="D90" s="149"/>
      <c r="E90" s="149" t="s">
        <v>344</v>
      </c>
      <c r="F90" s="149"/>
      <c r="G90" s="149" t="s">
        <v>295</v>
      </c>
      <c r="H90" s="149"/>
      <c r="I90" s="147" t="s">
        <v>342</v>
      </c>
      <c r="J90" s="149"/>
      <c r="K90" s="149" t="s">
        <v>317</v>
      </c>
      <c r="L90" s="149"/>
      <c r="M90" s="149" t="s">
        <v>318</v>
      </c>
      <c r="N90" s="149"/>
      <c r="O90" s="149" t="s">
        <v>296</v>
      </c>
      <c r="P90" s="149"/>
      <c r="Q90" s="147" t="s">
        <v>342</v>
      </c>
      <c r="R90" s="149"/>
      <c r="S90" s="149" t="s">
        <v>317</v>
      </c>
      <c r="U90" s="149" t="s">
        <v>318</v>
      </c>
      <c r="V90" s="149"/>
      <c r="W90" s="236"/>
    </row>
    <row r="91" spans="1:31">
      <c r="B91" s="209"/>
      <c r="C91" s="149"/>
      <c r="D91" s="149"/>
      <c r="E91" s="149"/>
      <c r="F91" s="149"/>
      <c r="G91" s="149"/>
      <c r="H91" s="149"/>
      <c r="I91" s="149"/>
      <c r="J91" s="149"/>
      <c r="K91" s="149"/>
      <c r="L91" s="149"/>
      <c r="M91" s="149"/>
      <c r="N91" s="149"/>
      <c r="O91" s="149"/>
      <c r="P91" s="149"/>
      <c r="Q91" s="149"/>
      <c r="R91" s="149"/>
      <c r="S91" s="149"/>
      <c r="T91" s="149"/>
      <c r="U91" s="149"/>
      <c r="W91" s="236"/>
    </row>
    <row r="92" spans="1:31">
      <c r="B92" s="209"/>
      <c r="C92" s="149"/>
      <c r="D92" s="149"/>
      <c r="E92" s="149"/>
      <c r="F92" s="149"/>
      <c r="G92" s="149"/>
      <c r="H92" s="149"/>
      <c r="I92" s="149"/>
      <c r="J92" s="149"/>
      <c r="K92" s="149"/>
      <c r="L92" s="149"/>
      <c r="M92" s="149"/>
      <c r="N92" s="149"/>
      <c r="O92" s="149" t="s">
        <v>592</v>
      </c>
      <c r="P92" s="149"/>
      <c r="Q92" s="149"/>
      <c r="R92" s="149"/>
      <c r="S92" s="149"/>
      <c r="T92" s="149"/>
      <c r="U92" s="149" t="s">
        <v>592</v>
      </c>
      <c r="W92" s="236"/>
    </row>
    <row r="93" spans="1:31">
      <c r="B93" s="209"/>
      <c r="C93" s="133">
        <f>U84+1</f>
        <v>101</v>
      </c>
      <c r="E93" s="133">
        <f>C93+1</f>
        <v>102</v>
      </c>
      <c r="G93" s="133">
        <f>E93+1</f>
        <v>103</v>
      </c>
      <c r="I93" s="133">
        <f>G93+1</f>
        <v>104</v>
      </c>
      <c r="K93" s="133">
        <f>I93+1</f>
        <v>105</v>
      </c>
      <c r="M93" s="133">
        <f>K93+1</f>
        <v>106</v>
      </c>
      <c r="O93" s="133">
        <f>M93+1</f>
        <v>107</v>
      </c>
      <c r="Q93" s="133">
        <f>O93+1</f>
        <v>108</v>
      </c>
      <c r="S93" s="133">
        <f>Q93+1</f>
        <v>109</v>
      </c>
      <c r="U93" s="161">
        <f>S93+1</f>
        <v>110</v>
      </c>
      <c r="W93" s="236"/>
    </row>
    <row r="94" spans="1:31">
      <c r="B94" s="209"/>
      <c r="C94" s="149"/>
      <c r="D94" s="149"/>
      <c r="E94" s="149"/>
      <c r="F94" s="149"/>
      <c r="G94" s="149"/>
      <c r="H94" s="149"/>
      <c r="I94" s="149"/>
      <c r="J94" s="149"/>
      <c r="K94" s="149"/>
      <c r="L94" s="149"/>
      <c r="M94" s="149"/>
      <c r="N94" s="149"/>
      <c r="O94" s="149"/>
      <c r="P94" s="149"/>
      <c r="Q94" s="149"/>
      <c r="R94" s="149"/>
      <c r="S94" s="149"/>
      <c r="U94" s="149"/>
      <c r="V94" s="149"/>
      <c r="W94" s="236"/>
    </row>
    <row r="95" spans="1:31">
      <c r="B95" s="209"/>
      <c r="C95" s="135"/>
      <c r="D95" s="135">
        <v>201.38</v>
      </c>
      <c r="F95" s="135">
        <v>218.35</v>
      </c>
      <c r="H95" s="135">
        <v>439.11</v>
      </c>
      <c r="J95" s="135">
        <v>365.6</v>
      </c>
      <c r="K95" s="135"/>
      <c r="L95" s="135">
        <v>424.47</v>
      </c>
      <c r="N95" s="135">
        <v>412.73</v>
      </c>
      <c r="O95" s="135"/>
      <c r="P95" s="135">
        <v>401.93</v>
      </c>
      <c r="Q95" s="135"/>
      <c r="R95" s="135">
        <v>379.06</v>
      </c>
      <c r="T95" s="135">
        <v>404.19</v>
      </c>
      <c r="U95" s="135"/>
      <c r="V95" s="156">
        <v>441.06</v>
      </c>
      <c r="W95" s="265">
        <f>D95+H95+J95+L95+N95+F95+P95+R95+T95+V95</f>
        <v>3687.88</v>
      </c>
      <c r="AE95" s="135">
        <f>SUM(D95:V95)</f>
        <v>3687.88</v>
      </c>
    </row>
    <row r="96" spans="1:31">
      <c r="A96" s="133">
        <f>A87+1</f>
        <v>11</v>
      </c>
      <c r="B96" s="209"/>
      <c r="C96" s="140"/>
      <c r="E96" s="140"/>
      <c r="G96" s="140"/>
      <c r="H96" s="139"/>
      <c r="I96" s="140"/>
      <c r="J96" s="139"/>
      <c r="K96" s="140"/>
      <c r="L96" s="139"/>
      <c r="M96" s="140"/>
      <c r="N96" s="139"/>
      <c r="O96" s="140"/>
      <c r="P96" s="139"/>
      <c r="Q96" s="140"/>
      <c r="R96" s="139"/>
      <c r="S96" s="140"/>
      <c r="T96" s="162"/>
      <c r="U96" s="140"/>
      <c r="V96" s="269"/>
      <c r="W96" s="265"/>
      <c r="X96" s="133">
        <f>COUNTIF(C96:U96,"F")</f>
        <v>0</v>
      </c>
      <c r="Y96" s="133">
        <f>COUNTIF(C95:U95,"E")</f>
        <v>0</v>
      </c>
      <c r="Z96" s="133">
        <f>COUNTIF(C97:V97,"Er")</f>
        <v>0</v>
      </c>
      <c r="AB96" s="133" t="s">
        <v>518</v>
      </c>
    </row>
    <row r="97" spans="1:31">
      <c r="B97" s="209"/>
      <c r="C97" s="141"/>
      <c r="D97" s="143"/>
      <c r="E97" s="141"/>
      <c r="G97" s="141"/>
      <c r="H97" s="139"/>
      <c r="I97" s="141"/>
      <c r="J97" s="139"/>
      <c r="K97" s="141"/>
      <c r="L97" s="139"/>
      <c r="M97" s="141"/>
      <c r="N97" s="139"/>
      <c r="O97" s="141"/>
      <c r="P97" s="139"/>
      <c r="Q97" s="141"/>
      <c r="R97" s="139"/>
      <c r="S97" s="141"/>
      <c r="T97" s="162"/>
      <c r="U97" s="141"/>
      <c r="V97" s="269"/>
      <c r="W97" s="236"/>
      <c r="X97" s="133">
        <f>COUNTIF(C97:U97,"U/P")</f>
        <v>0</v>
      </c>
      <c r="Y97" s="133">
        <v>0</v>
      </c>
      <c r="Z97" s="133">
        <v>0</v>
      </c>
      <c r="AB97" s="133" t="s">
        <v>278</v>
      </c>
    </row>
    <row r="98" spans="1:31" ht="13">
      <c r="B98" s="209"/>
      <c r="C98" s="147" t="s">
        <v>623</v>
      </c>
      <c r="D98" s="143"/>
      <c r="E98" s="147" t="s">
        <v>624</v>
      </c>
      <c r="F98" s="143"/>
      <c r="G98" s="147" t="s">
        <v>625</v>
      </c>
      <c r="H98" s="149"/>
      <c r="I98" s="393" t="s">
        <v>626</v>
      </c>
      <c r="J98" s="149"/>
      <c r="K98" s="147" t="s">
        <v>627</v>
      </c>
      <c r="L98" s="149"/>
      <c r="M98" s="393" t="s">
        <v>628</v>
      </c>
      <c r="N98" s="149"/>
      <c r="O98" s="393" t="s">
        <v>629</v>
      </c>
      <c r="P98" s="149"/>
      <c r="Q98" s="393" t="s">
        <v>630</v>
      </c>
      <c r="R98" s="149"/>
      <c r="S98" s="393" t="s">
        <v>631</v>
      </c>
      <c r="U98" s="393" t="s">
        <v>632</v>
      </c>
      <c r="V98" s="149"/>
      <c r="W98" s="236"/>
      <c r="X98" s="133">
        <f>COUNTIF(C96:U96,"ROW")</f>
        <v>0</v>
      </c>
      <c r="Y98" s="133">
        <v>0</v>
      </c>
      <c r="Z98" s="133">
        <v>0</v>
      </c>
      <c r="AB98" s="133" t="s">
        <v>228</v>
      </c>
    </row>
    <row r="99" spans="1:31" ht="13">
      <c r="B99" s="209"/>
      <c r="C99" s="147" t="s">
        <v>117</v>
      </c>
      <c r="D99" s="143"/>
      <c r="E99" s="147" t="s">
        <v>113</v>
      </c>
      <c r="F99" s="143"/>
      <c r="G99" s="147" t="s">
        <v>442</v>
      </c>
      <c r="H99" s="149"/>
      <c r="I99" s="149" t="s">
        <v>295</v>
      </c>
      <c r="J99" s="149"/>
      <c r="K99" s="147" t="s">
        <v>342</v>
      </c>
      <c r="L99" s="149"/>
      <c r="M99" s="149" t="s">
        <v>295</v>
      </c>
      <c r="N99" s="149"/>
      <c r="O99" s="149" t="s">
        <v>318</v>
      </c>
      <c r="P99" s="149"/>
      <c r="Q99" s="149" t="s">
        <v>317</v>
      </c>
      <c r="R99" s="149"/>
      <c r="S99" s="149" t="s">
        <v>318</v>
      </c>
      <c r="U99" s="149" t="s">
        <v>317</v>
      </c>
      <c r="V99" s="149"/>
      <c r="W99" s="236"/>
    </row>
    <row r="100" spans="1:31" ht="13">
      <c r="B100" s="209"/>
      <c r="C100" s="149"/>
      <c r="D100" s="149"/>
      <c r="E100" s="149"/>
      <c r="F100" s="149"/>
      <c r="G100" s="147"/>
      <c r="H100" s="149"/>
      <c r="I100" s="149"/>
      <c r="J100" s="149"/>
      <c r="K100" s="149"/>
      <c r="L100" s="149"/>
      <c r="M100" s="149"/>
      <c r="N100" s="149"/>
      <c r="O100" s="147"/>
      <c r="P100" s="149"/>
      <c r="Q100" s="149"/>
      <c r="R100" s="149"/>
      <c r="S100" s="147"/>
      <c r="U100" s="149"/>
      <c r="V100" s="149"/>
      <c r="W100" s="236"/>
    </row>
    <row r="101" spans="1:31">
      <c r="B101" s="209"/>
      <c r="C101" s="149"/>
      <c r="D101" s="149"/>
      <c r="E101" s="149" t="s">
        <v>592</v>
      </c>
      <c r="F101" s="149"/>
      <c r="G101" s="149"/>
      <c r="H101" s="149"/>
      <c r="I101" s="149"/>
      <c r="J101" s="149"/>
      <c r="K101" s="149"/>
      <c r="L101" s="149"/>
      <c r="M101" s="149"/>
      <c r="N101" s="149"/>
      <c r="O101" s="149"/>
      <c r="P101" s="149"/>
      <c r="Q101" s="149"/>
      <c r="R101" s="149"/>
      <c r="S101" s="149"/>
      <c r="T101" s="149"/>
      <c r="U101" s="149"/>
      <c r="W101" s="236"/>
    </row>
    <row r="102" spans="1:31">
      <c r="B102" s="209"/>
      <c r="C102" s="133">
        <f>U93+1</f>
        <v>111</v>
      </c>
      <c r="E102" s="133">
        <f>C102+1</f>
        <v>112</v>
      </c>
      <c r="G102" s="133">
        <f>E102+1</f>
        <v>113</v>
      </c>
      <c r="I102" s="133">
        <f>G102+1</f>
        <v>114</v>
      </c>
      <c r="K102" s="133">
        <f>I102+1</f>
        <v>115</v>
      </c>
      <c r="M102" s="133">
        <f>K102+1</f>
        <v>116</v>
      </c>
      <c r="O102" s="133">
        <f>M102+1</f>
        <v>117</v>
      </c>
      <c r="Q102" s="133">
        <f>O102+1</f>
        <v>118</v>
      </c>
      <c r="S102" s="133">
        <f>Q102+1</f>
        <v>119</v>
      </c>
      <c r="U102" s="161">
        <f>S102+1</f>
        <v>120</v>
      </c>
      <c r="W102" s="236"/>
    </row>
    <row r="103" spans="1:31">
      <c r="B103" s="209"/>
      <c r="C103" s="149"/>
      <c r="D103" s="149"/>
      <c r="E103" s="149"/>
      <c r="F103" s="149"/>
      <c r="G103" s="149"/>
      <c r="H103" s="149"/>
      <c r="I103" s="149"/>
      <c r="J103" s="149"/>
      <c r="K103" s="149"/>
      <c r="L103" s="149"/>
      <c r="M103" s="149"/>
      <c r="N103" s="149"/>
      <c r="O103" s="149"/>
      <c r="P103" s="149"/>
      <c r="Q103" s="149"/>
      <c r="R103" s="149"/>
      <c r="S103" s="149"/>
      <c r="U103" s="149"/>
      <c r="V103" s="149"/>
      <c r="W103" s="236"/>
    </row>
    <row r="104" spans="1:31">
      <c r="B104" s="209"/>
      <c r="C104" s="135"/>
      <c r="D104" s="135">
        <v>404.77</v>
      </c>
      <c r="F104" s="135">
        <v>386.79</v>
      </c>
      <c r="H104" s="135">
        <v>382.59</v>
      </c>
      <c r="J104" s="135">
        <v>460.27</v>
      </c>
      <c r="K104" s="135"/>
      <c r="L104" s="135">
        <v>369.05</v>
      </c>
      <c r="N104" s="135">
        <v>447.91</v>
      </c>
      <c r="O104" s="135"/>
      <c r="P104" s="135">
        <v>371.72</v>
      </c>
      <c r="Q104" s="135"/>
      <c r="R104" s="135">
        <v>373.16</v>
      </c>
      <c r="T104" s="135">
        <v>423.96</v>
      </c>
      <c r="U104" s="135"/>
      <c r="V104" s="156">
        <v>381.03</v>
      </c>
      <c r="W104" s="265">
        <f>D104+H104+J104+L104+N104+F104+P104+R104+T104+V104</f>
        <v>4001.25</v>
      </c>
      <c r="AE104" s="135">
        <f>SUM(D104:V104)</f>
        <v>4001.25</v>
      </c>
    </row>
    <row r="105" spans="1:31">
      <c r="A105" s="133">
        <f>A96+1</f>
        <v>12</v>
      </c>
      <c r="B105" s="209"/>
      <c r="C105" s="140"/>
      <c r="D105" s="139"/>
      <c r="E105" s="140"/>
      <c r="G105" s="140"/>
      <c r="H105" s="139"/>
      <c r="I105" s="140"/>
      <c r="J105" s="139"/>
      <c r="K105" s="140"/>
      <c r="L105" s="139"/>
      <c r="M105" s="140"/>
      <c r="N105" s="139"/>
      <c r="O105" s="140"/>
      <c r="P105" s="139"/>
      <c r="Q105" s="140"/>
      <c r="R105" s="139"/>
      <c r="S105" s="140"/>
      <c r="T105" s="162"/>
      <c r="U105" s="140"/>
      <c r="V105" s="269"/>
      <c r="W105" s="265"/>
      <c r="X105" s="133">
        <f>COUNTIF(C105:U105,"F")</f>
        <v>0</v>
      </c>
      <c r="Y105" s="133">
        <f>COUNTIF(C104:U104,"E")</f>
        <v>0</v>
      </c>
      <c r="Z105" s="133">
        <f>COUNTIF(C106:V106,"Er")</f>
        <v>0</v>
      </c>
      <c r="AB105" s="133" t="s">
        <v>518</v>
      </c>
    </row>
    <row r="106" spans="1:31">
      <c r="B106" s="209"/>
      <c r="C106" s="141"/>
      <c r="D106" s="139"/>
      <c r="E106" s="141"/>
      <c r="G106" s="141"/>
      <c r="H106" s="139"/>
      <c r="I106" s="141"/>
      <c r="J106" s="139"/>
      <c r="K106" s="141"/>
      <c r="L106" s="139"/>
      <c r="M106" s="141"/>
      <c r="N106" s="139"/>
      <c r="O106" s="141"/>
      <c r="P106" s="139"/>
      <c r="Q106" s="141"/>
      <c r="R106" s="139"/>
      <c r="S106" s="141"/>
      <c r="T106" s="162"/>
      <c r="U106" s="141"/>
      <c r="V106" s="269"/>
      <c r="W106" s="236"/>
      <c r="X106" s="133">
        <f>COUNTIF(C106:U106,"U/P")</f>
        <v>0</v>
      </c>
      <c r="Y106" s="133">
        <v>0</v>
      </c>
      <c r="Z106" s="133">
        <v>0</v>
      </c>
      <c r="AB106" s="133" t="s">
        <v>278</v>
      </c>
    </row>
    <row r="107" spans="1:31" ht="13">
      <c r="B107" s="209"/>
      <c r="C107" s="393" t="s">
        <v>633</v>
      </c>
      <c r="D107" s="149"/>
      <c r="E107" s="147" t="s">
        <v>634</v>
      </c>
      <c r="F107" s="149"/>
      <c r="G107" s="393" t="s">
        <v>635</v>
      </c>
      <c r="H107" s="149"/>
      <c r="I107" s="393" t="s">
        <v>636</v>
      </c>
      <c r="J107" s="149"/>
      <c r="K107" s="147" t="s">
        <v>637</v>
      </c>
      <c r="L107" s="149"/>
      <c r="M107" s="393" t="s">
        <v>638</v>
      </c>
      <c r="N107" s="149"/>
      <c r="O107" s="393" t="s">
        <v>639</v>
      </c>
      <c r="P107" s="149"/>
      <c r="Q107" s="393" t="s">
        <v>640</v>
      </c>
      <c r="R107" s="149"/>
      <c r="S107" s="393" t="s">
        <v>641</v>
      </c>
      <c r="U107" s="147" t="s">
        <v>642</v>
      </c>
      <c r="V107" s="149"/>
      <c r="W107" s="236"/>
      <c r="X107" s="133">
        <f>COUNTIF(C105:U105,"ROW")</f>
        <v>0</v>
      </c>
      <c r="Y107" s="133">
        <v>0</v>
      </c>
      <c r="Z107" s="133">
        <v>0</v>
      </c>
      <c r="AB107" s="133" t="s">
        <v>228</v>
      </c>
    </row>
    <row r="108" spans="1:31" ht="13">
      <c r="B108" s="209"/>
      <c r="C108" s="149" t="s">
        <v>318</v>
      </c>
      <c r="D108" s="149"/>
      <c r="E108" s="147" t="s">
        <v>137</v>
      </c>
      <c r="F108" s="149"/>
      <c r="G108" s="149" t="s">
        <v>295</v>
      </c>
      <c r="H108" s="149"/>
      <c r="I108" s="149" t="s">
        <v>295</v>
      </c>
      <c r="J108" s="149"/>
      <c r="K108" s="147" t="s">
        <v>119</v>
      </c>
      <c r="L108" s="149"/>
      <c r="M108" s="149" t="s">
        <v>296</v>
      </c>
      <c r="N108" s="149"/>
      <c r="O108" s="149" t="s">
        <v>295</v>
      </c>
      <c r="P108" s="149"/>
      <c r="Q108" s="149" t="s">
        <v>296</v>
      </c>
      <c r="R108" s="149"/>
      <c r="S108" s="149" t="s">
        <v>132</v>
      </c>
      <c r="U108" s="147" t="s">
        <v>137</v>
      </c>
      <c r="V108" s="149"/>
      <c r="W108" s="236"/>
    </row>
    <row r="109" spans="1:31">
      <c r="B109" s="152"/>
      <c r="C109" s="153"/>
      <c r="D109" s="153"/>
      <c r="E109" s="153"/>
      <c r="F109" s="153"/>
      <c r="G109" s="153"/>
      <c r="H109" s="153"/>
      <c r="I109" s="153"/>
      <c r="J109" s="153"/>
      <c r="K109" s="153"/>
      <c r="L109" s="153"/>
      <c r="M109" s="153"/>
      <c r="N109" s="153"/>
      <c r="O109" s="153"/>
      <c r="P109" s="153"/>
      <c r="Q109" s="153"/>
      <c r="R109" s="153"/>
      <c r="S109" s="153"/>
      <c r="T109" s="153"/>
      <c r="U109" s="153"/>
      <c r="V109" s="175"/>
      <c r="W109" s="176"/>
    </row>
    <row r="110" spans="1:31">
      <c r="B110" s="132"/>
      <c r="C110" s="149"/>
      <c r="D110" s="149"/>
      <c r="E110" s="149"/>
      <c r="F110" s="149"/>
      <c r="G110" s="149"/>
      <c r="H110" s="149"/>
      <c r="I110" s="149"/>
      <c r="J110" s="149"/>
      <c r="K110" s="149"/>
      <c r="L110" s="149"/>
      <c r="M110" s="149"/>
      <c r="N110" s="149"/>
      <c r="O110" s="149"/>
      <c r="P110" s="149"/>
      <c r="Q110" s="149" t="s">
        <v>592</v>
      </c>
      <c r="R110" s="149"/>
      <c r="S110" s="149"/>
      <c r="T110" s="149"/>
      <c r="U110" s="149"/>
      <c r="W110" s="177"/>
    </row>
    <row r="111" spans="1:31">
      <c r="B111" s="132"/>
      <c r="C111" s="133">
        <f>U102+1</f>
        <v>121</v>
      </c>
      <c r="E111" s="133">
        <f>C111+1</f>
        <v>122</v>
      </c>
      <c r="G111" s="133">
        <f>E111+1</f>
        <v>123</v>
      </c>
      <c r="I111" s="133">
        <f>G111+1</f>
        <v>124</v>
      </c>
      <c r="K111" s="133">
        <f>I111+1</f>
        <v>125</v>
      </c>
      <c r="M111" s="133">
        <f>K111+1</f>
        <v>126</v>
      </c>
      <c r="O111" s="133">
        <f>M111+1</f>
        <v>127</v>
      </c>
      <c r="Q111" s="133">
        <f>O111+1</f>
        <v>128</v>
      </c>
      <c r="S111" s="133">
        <f>Q111+1</f>
        <v>129</v>
      </c>
      <c r="U111" s="161">
        <f>S111+1</f>
        <v>130</v>
      </c>
      <c r="W111" s="177"/>
    </row>
    <row r="112" spans="1:31">
      <c r="B112" s="132"/>
      <c r="C112" s="149"/>
      <c r="D112" s="149"/>
      <c r="E112" s="149"/>
      <c r="F112" s="149"/>
      <c r="G112" s="149"/>
      <c r="H112" s="149"/>
      <c r="I112" s="149"/>
      <c r="J112" s="149"/>
      <c r="K112" s="149"/>
      <c r="L112" s="149"/>
      <c r="M112" s="149"/>
      <c r="N112" s="149"/>
      <c r="O112" s="149"/>
      <c r="P112" s="149"/>
      <c r="Q112" s="149"/>
      <c r="R112" s="149"/>
      <c r="S112" s="149"/>
      <c r="U112" s="149"/>
      <c r="V112" s="149"/>
      <c r="W112" s="177"/>
    </row>
    <row r="113" spans="1:31">
      <c r="B113" s="132"/>
      <c r="C113" s="156"/>
      <c r="D113" s="156">
        <v>419.6</v>
      </c>
      <c r="E113" s="149"/>
      <c r="F113" s="156">
        <v>425.18</v>
      </c>
      <c r="G113" s="149"/>
      <c r="H113" s="156">
        <v>287.54000000000002</v>
      </c>
      <c r="I113" s="149"/>
      <c r="J113" s="135">
        <v>336.51</v>
      </c>
      <c r="K113" s="156"/>
      <c r="L113" s="156">
        <v>325.3</v>
      </c>
      <c r="M113" s="149"/>
      <c r="N113" s="156">
        <v>214.25</v>
      </c>
      <c r="O113" s="156"/>
      <c r="P113" s="156">
        <v>455.95</v>
      </c>
      <c r="Q113" s="156"/>
      <c r="R113" s="156">
        <v>421.16</v>
      </c>
      <c r="S113" s="149"/>
      <c r="T113" s="156">
        <v>423.79</v>
      </c>
      <c r="U113" s="156"/>
      <c r="V113" s="156">
        <v>403.85</v>
      </c>
      <c r="W113" s="178">
        <f>D113+H113+J113+L113+D122+F113+F122+H122+J122+L122</f>
        <v>3725.44</v>
      </c>
      <c r="AE113" s="135">
        <f>SUM(D113:V113)</f>
        <v>3713.13</v>
      </c>
    </row>
    <row r="114" spans="1:31">
      <c r="A114" s="133">
        <f>A105+1</f>
        <v>13</v>
      </c>
      <c r="B114" s="132"/>
      <c r="C114" s="140"/>
      <c r="D114" s="139"/>
      <c r="E114" s="271" t="s">
        <v>228</v>
      </c>
      <c r="G114" s="140"/>
      <c r="H114" s="139"/>
      <c r="I114" s="140"/>
      <c r="J114" s="139"/>
      <c r="K114" s="271" t="s">
        <v>228</v>
      </c>
      <c r="L114" s="139"/>
      <c r="M114" s="271" t="s">
        <v>228</v>
      </c>
      <c r="N114" s="139"/>
      <c r="O114" s="140"/>
      <c r="P114" s="139"/>
      <c r="Q114" s="140"/>
      <c r="R114" s="139"/>
      <c r="S114" s="140"/>
      <c r="T114" s="162"/>
      <c r="U114" s="140"/>
      <c r="V114" s="269"/>
      <c r="W114" s="178"/>
      <c r="X114" s="133">
        <f>COUNTIF(C114:U114,"F")</f>
        <v>0</v>
      </c>
      <c r="Y114" s="133">
        <f>COUNTIF(C113:U113,"E")</f>
        <v>0</v>
      </c>
      <c r="Z114" s="133">
        <f>COUNTIF(C115:V115,"Er")</f>
        <v>0</v>
      </c>
      <c r="AB114" s="133" t="s">
        <v>518</v>
      </c>
    </row>
    <row r="115" spans="1:31">
      <c r="B115" s="132"/>
      <c r="C115" s="141"/>
      <c r="D115" s="139"/>
      <c r="E115" s="141"/>
      <c r="G115" s="141"/>
      <c r="H115" s="139"/>
      <c r="I115" s="141"/>
      <c r="J115" s="139"/>
      <c r="K115" s="141"/>
      <c r="L115" s="139"/>
      <c r="M115" s="141"/>
      <c r="N115" s="139"/>
      <c r="O115" s="141"/>
      <c r="P115" s="139"/>
      <c r="Q115" s="141"/>
      <c r="R115" s="139"/>
      <c r="S115" s="141"/>
      <c r="T115" s="162"/>
      <c r="U115" s="141"/>
      <c r="V115" s="269"/>
      <c r="W115" s="177"/>
      <c r="X115" s="133">
        <f>COUNTIF(C115:U115,"U/P")</f>
        <v>0</v>
      </c>
      <c r="Y115" s="133">
        <v>0</v>
      </c>
      <c r="Z115" s="133">
        <v>0</v>
      </c>
      <c r="AB115" s="133" t="s">
        <v>278</v>
      </c>
    </row>
    <row r="116" spans="1:31" ht="13">
      <c r="B116" s="132"/>
      <c r="C116" s="393" t="s">
        <v>643</v>
      </c>
      <c r="D116" s="149"/>
      <c r="E116" s="393" t="s">
        <v>644</v>
      </c>
      <c r="F116" s="149"/>
      <c r="G116" s="147" t="s">
        <v>645</v>
      </c>
      <c r="H116" s="149"/>
      <c r="I116" s="393" t="s">
        <v>646</v>
      </c>
      <c r="J116" s="149"/>
      <c r="K116" s="393" t="s">
        <v>647</v>
      </c>
      <c r="L116" s="149"/>
      <c r="M116" s="393" t="s">
        <v>648</v>
      </c>
      <c r="N116" s="149"/>
      <c r="O116" s="147" t="s">
        <v>649</v>
      </c>
      <c r="P116" s="149"/>
      <c r="Q116" s="147" t="s">
        <v>650</v>
      </c>
      <c r="R116" s="149"/>
      <c r="S116" s="393" t="s">
        <v>651</v>
      </c>
      <c r="U116" s="393" t="s">
        <v>652</v>
      </c>
      <c r="V116" s="149"/>
      <c r="W116" s="177"/>
      <c r="X116" s="133">
        <f>COUNTIF(C114:U114,"ROW")</f>
        <v>3</v>
      </c>
      <c r="Y116" s="133">
        <v>0</v>
      </c>
      <c r="Z116" s="133">
        <v>0</v>
      </c>
      <c r="AB116" s="133" t="s">
        <v>228</v>
      </c>
    </row>
    <row r="117" spans="1:31" ht="13">
      <c r="B117" s="132"/>
      <c r="C117" s="149" t="s">
        <v>318</v>
      </c>
      <c r="D117" s="149"/>
      <c r="E117" s="149" t="s">
        <v>295</v>
      </c>
      <c r="F117" s="149"/>
      <c r="G117" s="147" t="s">
        <v>115</v>
      </c>
      <c r="H117" s="149"/>
      <c r="I117" s="149" t="s">
        <v>296</v>
      </c>
      <c r="J117" s="149"/>
      <c r="K117" s="149" t="s">
        <v>296</v>
      </c>
      <c r="L117" s="149"/>
      <c r="M117" s="149" t="s">
        <v>296</v>
      </c>
      <c r="N117" s="149"/>
      <c r="O117" s="147" t="s">
        <v>123</v>
      </c>
      <c r="P117" s="149"/>
      <c r="Q117" s="147" t="s">
        <v>123</v>
      </c>
      <c r="R117" s="149"/>
      <c r="S117" s="149" t="s">
        <v>317</v>
      </c>
      <c r="U117" s="149" t="s">
        <v>317</v>
      </c>
      <c r="V117" s="149"/>
      <c r="W117" s="177"/>
    </row>
    <row r="118" spans="1:31">
      <c r="B118" s="132"/>
      <c r="C118" s="149"/>
      <c r="D118" s="149"/>
      <c r="E118" s="149"/>
      <c r="F118" s="149"/>
      <c r="G118" s="149"/>
      <c r="H118" s="149"/>
      <c r="I118" s="149"/>
      <c r="J118" s="149"/>
      <c r="K118" s="149"/>
      <c r="L118" s="149"/>
      <c r="M118" s="149"/>
      <c r="N118" s="149"/>
      <c r="O118" s="149"/>
      <c r="P118" s="149"/>
      <c r="Q118" s="149"/>
      <c r="R118" s="149"/>
      <c r="S118" s="149"/>
      <c r="T118" s="149"/>
      <c r="U118" s="149"/>
      <c r="W118" s="177"/>
    </row>
    <row r="119" spans="1:31">
      <c r="B119" s="132"/>
      <c r="C119" s="149"/>
      <c r="D119" s="149"/>
      <c r="E119" s="149"/>
      <c r="F119" s="149"/>
      <c r="G119" s="149"/>
      <c r="H119" s="149"/>
      <c r="I119" s="149"/>
      <c r="J119" s="149"/>
      <c r="K119" s="149"/>
      <c r="L119" s="149"/>
      <c r="M119" s="149"/>
      <c r="N119" s="149"/>
      <c r="O119" s="149"/>
      <c r="P119" s="149"/>
      <c r="Q119" s="149"/>
      <c r="R119" s="149"/>
      <c r="S119" s="149"/>
      <c r="T119" s="149"/>
      <c r="U119" s="149" t="s">
        <v>592</v>
      </c>
      <c r="W119" s="177"/>
    </row>
    <row r="120" spans="1:31">
      <c r="B120" s="132"/>
      <c r="C120" s="133">
        <f>U111+1</f>
        <v>131</v>
      </c>
      <c r="E120" s="133">
        <f>C120+1</f>
        <v>132</v>
      </c>
      <c r="G120" s="133">
        <f>E120+1</f>
        <v>133</v>
      </c>
      <c r="I120" s="133">
        <f>G120+1</f>
        <v>134</v>
      </c>
      <c r="K120" s="133">
        <f>I120+1</f>
        <v>135</v>
      </c>
      <c r="M120" s="133">
        <f>K120+1</f>
        <v>136</v>
      </c>
      <c r="O120" s="133">
        <f>M120+1</f>
        <v>137</v>
      </c>
      <c r="Q120" s="133">
        <f>O120+1</f>
        <v>138</v>
      </c>
      <c r="S120" s="133">
        <f>Q120+1</f>
        <v>139</v>
      </c>
      <c r="U120" s="161">
        <f>S120+1</f>
        <v>140</v>
      </c>
      <c r="W120" s="177"/>
    </row>
    <row r="121" spans="1:31">
      <c r="B121" s="132"/>
      <c r="C121" s="149"/>
      <c r="D121" s="149"/>
      <c r="E121" s="149"/>
      <c r="F121" s="149"/>
      <c r="G121" s="149"/>
      <c r="H121" s="149"/>
      <c r="I121" s="149"/>
      <c r="J121" s="149"/>
      <c r="K121" s="149"/>
      <c r="L121" s="149"/>
      <c r="M121" s="149"/>
      <c r="N121" s="149"/>
      <c r="O121" s="149"/>
      <c r="P121" s="149"/>
      <c r="Q121" s="149"/>
      <c r="R121" s="149"/>
      <c r="S121" s="149"/>
      <c r="T121" s="149"/>
      <c r="U121" s="149"/>
      <c r="W121" s="177"/>
    </row>
    <row r="122" spans="1:31">
      <c r="B122" s="132"/>
      <c r="C122" s="156"/>
      <c r="D122" s="156">
        <v>408.95</v>
      </c>
      <c r="E122" s="149"/>
      <c r="F122" s="156">
        <v>324.02999999999997</v>
      </c>
      <c r="G122" s="149"/>
      <c r="H122" s="156">
        <v>366.7</v>
      </c>
      <c r="I122" s="149"/>
      <c r="J122" s="135">
        <v>473.31</v>
      </c>
      <c r="K122" s="156"/>
      <c r="L122" s="135">
        <v>358.32</v>
      </c>
      <c r="M122" s="156"/>
      <c r="N122" s="156">
        <v>477.82</v>
      </c>
      <c r="O122" s="149"/>
      <c r="P122" s="156">
        <v>411.46</v>
      </c>
      <c r="Q122" s="156"/>
      <c r="R122" s="156">
        <v>406.23</v>
      </c>
      <c r="S122" s="156"/>
      <c r="T122" s="156">
        <v>437.43</v>
      </c>
      <c r="U122" s="149"/>
      <c r="V122" s="135">
        <v>455.92</v>
      </c>
      <c r="W122" s="178" t="e">
        <f>#REF!+#REF!+#REF!+#REF!+N122+#REF!+P122+R122+T122+V122</f>
        <v>#REF!</v>
      </c>
      <c r="AE122" s="135">
        <f>SUM(D122:V122)</f>
        <v>4120.17</v>
      </c>
    </row>
    <row r="123" spans="1:31">
      <c r="A123" s="133">
        <f>A114+1</f>
        <v>14</v>
      </c>
      <c r="B123" s="132"/>
      <c r="C123" s="140"/>
      <c r="D123" s="139"/>
      <c r="E123" s="140"/>
      <c r="G123" s="140"/>
      <c r="H123" s="139"/>
      <c r="I123" s="140"/>
      <c r="J123" s="139"/>
      <c r="K123" s="140"/>
      <c r="L123" s="139"/>
      <c r="M123" s="140"/>
      <c r="N123" s="139"/>
      <c r="O123" s="140"/>
      <c r="P123" s="139"/>
      <c r="Q123" s="140"/>
      <c r="R123" s="139"/>
      <c r="S123" s="140"/>
      <c r="T123" s="139"/>
      <c r="U123" s="140"/>
      <c r="V123" s="162"/>
      <c r="W123" s="178"/>
      <c r="X123" s="133">
        <f>COUNTIF(C123:U123,"F")</f>
        <v>0</v>
      </c>
      <c r="Y123" s="133">
        <f>COUNTIF(C122:U122,"E")</f>
        <v>0</v>
      </c>
      <c r="Z123" s="133">
        <f>COUNTIF(C124:V124,"Er")</f>
        <v>0</v>
      </c>
      <c r="AB123" s="133" t="s">
        <v>518</v>
      </c>
    </row>
    <row r="124" spans="1:31">
      <c r="B124" s="132"/>
      <c r="C124" s="141"/>
      <c r="D124" s="139"/>
      <c r="E124" s="141"/>
      <c r="G124" s="141"/>
      <c r="H124" s="139"/>
      <c r="I124" s="141"/>
      <c r="J124" s="139"/>
      <c r="K124" s="141"/>
      <c r="L124" s="139"/>
      <c r="M124" s="141"/>
      <c r="N124" s="139"/>
      <c r="O124" s="141"/>
      <c r="P124" s="139"/>
      <c r="Q124" s="141"/>
      <c r="R124" s="139"/>
      <c r="S124" s="141"/>
      <c r="T124" s="139"/>
      <c r="U124" s="141"/>
      <c r="V124" s="162"/>
      <c r="W124" s="177"/>
      <c r="X124" s="133">
        <f>COUNTIF(C124:U124,"U/P")</f>
        <v>0</v>
      </c>
      <c r="Y124" s="133">
        <v>0</v>
      </c>
      <c r="Z124" s="133">
        <v>0</v>
      </c>
      <c r="AB124" s="133" t="s">
        <v>278</v>
      </c>
    </row>
    <row r="125" spans="1:31" ht="13">
      <c r="B125" s="132"/>
      <c r="C125" s="393" t="s">
        <v>653</v>
      </c>
      <c r="D125" s="149"/>
      <c r="E125" s="147" t="s">
        <v>654</v>
      </c>
      <c r="F125" s="149"/>
      <c r="G125" s="147" t="s">
        <v>655</v>
      </c>
      <c r="H125" s="149"/>
      <c r="I125" s="393" t="s">
        <v>656</v>
      </c>
      <c r="J125" s="149"/>
      <c r="K125" s="147" t="s">
        <v>657</v>
      </c>
      <c r="L125" s="149"/>
      <c r="M125" s="393" t="s">
        <v>658</v>
      </c>
      <c r="N125" s="149"/>
      <c r="O125" s="147" t="s">
        <v>659</v>
      </c>
      <c r="P125" s="149"/>
      <c r="Q125" s="393" t="s">
        <v>660</v>
      </c>
      <c r="R125" s="149"/>
      <c r="S125" s="393" t="s">
        <v>661</v>
      </c>
      <c r="T125" s="149"/>
      <c r="U125" s="147" t="s">
        <v>662</v>
      </c>
      <c r="W125" s="177"/>
      <c r="X125" s="133">
        <f>COUNTIF(C123:U123,"ROW")</f>
        <v>0</v>
      </c>
      <c r="Y125" s="133">
        <v>0</v>
      </c>
      <c r="Z125" s="133">
        <v>0</v>
      </c>
      <c r="AB125" s="133" t="s">
        <v>228</v>
      </c>
    </row>
    <row r="126" spans="1:31" ht="13">
      <c r="B126" s="132"/>
      <c r="C126" s="149" t="s">
        <v>295</v>
      </c>
      <c r="D126" s="149"/>
      <c r="E126" s="147" t="s">
        <v>119</v>
      </c>
      <c r="F126" s="149"/>
      <c r="G126" s="147" t="s">
        <v>128</v>
      </c>
      <c r="H126" s="149"/>
      <c r="I126" s="149" t="s">
        <v>295</v>
      </c>
      <c r="J126" s="149"/>
      <c r="K126" s="147" t="s">
        <v>123</v>
      </c>
      <c r="L126" s="149"/>
      <c r="M126" s="149" t="s">
        <v>295</v>
      </c>
      <c r="N126" s="149"/>
      <c r="O126" s="147" t="s">
        <v>123</v>
      </c>
      <c r="P126" s="149"/>
      <c r="Q126" s="149" t="s">
        <v>295</v>
      </c>
      <c r="R126" s="149"/>
      <c r="S126" s="149" t="s">
        <v>295</v>
      </c>
      <c r="T126" s="149"/>
      <c r="U126" s="147" t="s">
        <v>143</v>
      </c>
      <c r="W126" s="177"/>
    </row>
    <row r="127" spans="1:31">
      <c r="B127" s="132"/>
      <c r="C127" s="149"/>
      <c r="D127" s="149"/>
      <c r="E127" s="149"/>
      <c r="F127" s="149"/>
      <c r="G127" s="149"/>
      <c r="H127" s="149"/>
      <c r="I127" s="149"/>
      <c r="J127" s="149"/>
      <c r="K127" s="149"/>
      <c r="L127" s="149"/>
      <c r="M127" s="149"/>
      <c r="N127" s="149"/>
      <c r="O127" s="149"/>
      <c r="P127" s="149"/>
      <c r="Q127" s="149"/>
      <c r="R127" s="149"/>
      <c r="S127" s="149"/>
      <c r="T127" s="149"/>
      <c r="U127" s="149"/>
      <c r="W127" s="177"/>
    </row>
    <row r="128" spans="1:31">
      <c r="B128" s="132"/>
      <c r="C128" s="149"/>
      <c r="D128" s="149"/>
      <c r="E128" s="149"/>
      <c r="F128" s="149"/>
      <c r="G128" s="149"/>
      <c r="H128" s="149"/>
      <c r="I128" s="149"/>
      <c r="J128" s="149"/>
      <c r="K128" s="149"/>
      <c r="L128" s="149"/>
      <c r="M128" s="149"/>
      <c r="N128" s="149"/>
      <c r="O128" s="149"/>
      <c r="P128" s="149"/>
      <c r="Q128" s="149"/>
      <c r="R128" s="149"/>
      <c r="S128" s="149"/>
      <c r="T128" s="149"/>
      <c r="U128" s="149"/>
      <c r="W128" s="177"/>
    </row>
    <row r="129" spans="1:31">
      <c r="B129" s="132"/>
      <c r="C129" s="133">
        <f>U120+1</f>
        <v>141</v>
      </c>
      <c r="E129" s="133">
        <f>C129+1</f>
        <v>142</v>
      </c>
      <c r="G129" s="133">
        <f>E129+1</f>
        <v>143</v>
      </c>
      <c r="I129" s="133">
        <f>G129+1</f>
        <v>144</v>
      </c>
      <c r="K129" s="133">
        <f>I129+1</f>
        <v>145</v>
      </c>
      <c r="M129" s="133">
        <f>K129+1</f>
        <v>146</v>
      </c>
      <c r="O129" s="133">
        <f>M129+1</f>
        <v>147</v>
      </c>
      <c r="Q129" s="133">
        <f>O129+1</f>
        <v>148</v>
      </c>
      <c r="S129" s="133">
        <f>Q129+1</f>
        <v>149</v>
      </c>
      <c r="U129" s="161">
        <f>S129+1</f>
        <v>150</v>
      </c>
      <c r="W129" s="177"/>
    </row>
    <row r="130" spans="1:31">
      <c r="B130" s="132"/>
      <c r="C130" s="149"/>
      <c r="D130" s="149"/>
      <c r="E130" s="149"/>
      <c r="F130" s="149"/>
      <c r="G130" s="149"/>
      <c r="H130" s="149"/>
      <c r="I130" s="149"/>
      <c r="J130" s="149"/>
      <c r="K130" s="149"/>
      <c r="L130" s="149"/>
      <c r="M130" s="149"/>
      <c r="N130" s="149"/>
      <c r="O130" s="149"/>
      <c r="P130" s="149"/>
      <c r="Q130" s="149"/>
      <c r="R130" s="149"/>
      <c r="S130" s="149"/>
      <c r="T130" s="149"/>
      <c r="U130" s="149"/>
      <c r="W130" s="177"/>
    </row>
    <row r="131" spans="1:31">
      <c r="B131" s="132"/>
      <c r="C131" s="135"/>
      <c r="D131" s="135">
        <v>368.5</v>
      </c>
      <c r="E131" s="135"/>
      <c r="F131" s="135">
        <v>419.77</v>
      </c>
      <c r="H131" s="135">
        <v>418.92</v>
      </c>
      <c r="J131" s="135">
        <v>386.49</v>
      </c>
      <c r="L131" s="135">
        <v>376.53</v>
      </c>
      <c r="M131" s="135"/>
      <c r="N131" s="135">
        <v>404.74</v>
      </c>
      <c r="P131" s="135">
        <v>366.73</v>
      </c>
      <c r="Q131" s="135"/>
      <c r="R131" s="135">
        <v>274.58999999999997</v>
      </c>
      <c r="S131" s="135"/>
      <c r="T131" s="135">
        <v>341.67</v>
      </c>
      <c r="V131" s="135">
        <v>425.86</v>
      </c>
      <c r="W131" s="178">
        <f>D131+H131+J131+L131+N131+F131+P131+R131+T131+V131</f>
        <v>3783.8</v>
      </c>
      <c r="AE131" s="135">
        <f>SUM(D131:V131)</f>
        <v>3783.8</v>
      </c>
    </row>
    <row r="132" spans="1:31">
      <c r="A132" s="133">
        <f>A123+1</f>
        <v>15</v>
      </c>
      <c r="B132" s="132"/>
      <c r="C132" s="140"/>
      <c r="D132" s="139"/>
      <c r="E132" s="140"/>
      <c r="F132" s="139"/>
      <c r="G132" s="140"/>
      <c r="I132" s="140"/>
      <c r="J132" s="139"/>
      <c r="K132" s="140"/>
      <c r="L132" s="139"/>
      <c r="M132" s="140"/>
      <c r="N132" s="139"/>
      <c r="O132" s="140"/>
      <c r="P132" s="139"/>
      <c r="Q132" s="140"/>
      <c r="R132" s="139"/>
      <c r="S132" s="140"/>
      <c r="T132" s="139"/>
      <c r="U132" s="140"/>
      <c r="V132" s="162"/>
      <c r="W132" s="178"/>
      <c r="X132" s="133">
        <f>COUNTIF(C132:U132,"F")</f>
        <v>0</v>
      </c>
      <c r="Y132" s="133">
        <f>COUNTIF(C131:U131,"E")</f>
        <v>0</v>
      </c>
      <c r="Z132" s="133">
        <f>COUNTIF(C133:V133,"Er")</f>
        <v>0</v>
      </c>
      <c r="AB132" s="133" t="s">
        <v>518</v>
      </c>
    </row>
    <row r="133" spans="1:31">
      <c r="B133" s="132"/>
      <c r="C133" s="141"/>
      <c r="D133" s="139"/>
      <c r="E133" s="141"/>
      <c r="F133" s="139"/>
      <c r="G133" s="141"/>
      <c r="I133" s="141"/>
      <c r="J133" s="139"/>
      <c r="K133" s="141"/>
      <c r="L133" s="139"/>
      <c r="M133" s="141"/>
      <c r="N133" s="139"/>
      <c r="O133" s="141"/>
      <c r="P133" s="139"/>
      <c r="Q133" s="141"/>
      <c r="R133" s="139"/>
      <c r="S133" s="141"/>
      <c r="T133" s="139"/>
      <c r="U133" s="141"/>
      <c r="V133" s="162"/>
      <c r="W133" s="177"/>
      <c r="X133" s="133">
        <f>COUNTIF(C133:U133,"U/P")</f>
        <v>0</v>
      </c>
      <c r="Y133" s="133">
        <v>0</v>
      </c>
      <c r="Z133" s="133">
        <v>0</v>
      </c>
      <c r="AB133" s="133" t="s">
        <v>278</v>
      </c>
    </row>
    <row r="134" spans="1:31" ht="13">
      <c r="B134" s="132"/>
      <c r="C134" s="393" t="s">
        <v>663</v>
      </c>
      <c r="D134" s="149"/>
      <c r="E134" s="147" t="s">
        <v>664</v>
      </c>
      <c r="F134" s="149"/>
      <c r="G134" s="393" t="s">
        <v>665</v>
      </c>
      <c r="H134" s="149"/>
      <c r="I134" s="393" t="s">
        <v>666</v>
      </c>
      <c r="J134" s="149"/>
      <c r="K134" s="393" t="s">
        <v>667</v>
      </c>
      <c r="L134" s="149"/>
      <c r="M134" s="147" t="s">
        <v>668</v>
      </c>
      <c r="N134" s="149"/>
      <c r="O134" s="393" t="s">
        <v>669</v>
      </c>
      <c r="P134" s="149"/>
      <c r="Q134" s="393" t="s">
        <v>670</v>
      </c>
      <c r="R134" s="149"/>
      <c r="S134" s="393" t="s">
        <v>671</v>
      </c>
      <c r="T134" s="149"/>
      <c r="U134" s="393" t="s">
        <v>672</v>
      </c>
      <c r="W134" s="177"/>
      <c r="X134" s="133">
        <f>COUNTIF(C132:U132,"ROW")</f>
        <v>0</v>
      </c>
      <c r="Y134" s="133">
        <v>0</v>
      </c>
      <c r="Z134" s="133">
        <v>0</v>
      </c>
      <c r="AB134" s="133" t="s">
        <v>228</v>
      </c>
    </row>
    <row r="135" spans="1:31" ht="13">
      <c r="B135" s="132"/>
      <c r="C135" s="149" t="s">
        <v>318</v>
      </c>
      <c r="D135" s="149"/>
      <c r="E135" s="147" t="s">
        <v>119</v>
      </c>
      <c r="F135" s="149"/>
      <c r="G135" s="149" t="s">
        <v>318</v>
      </c>
      <c r="H135" s="149"/>
      <c r="I135" s="149" t="s">
        <v>295</v>
      </c>
      <c r="J135" s="149"/>
      <c r="K135" s="149" t="s">
        <v>317</v>
      </c>
      <c r="L135" s="149"/>
      <c r="M135" s="147" t="s">
        <v>188</v>
      </c>
      <c r="N135" s="149"/>
      <c r="O135" s="149" t="s">
        <v>318</v>
      </c>
      <c r="P135" s="149"/>
      <c r="Q135" s="149" t="s">
        <v>296</v>
      </c>
      <c r="R135" s="149"/>
      <c r="S135" s="149" t="s">
        <v>296</v>
      </c>
      <c r="T135" s="149"/>
      <c r="U135" s="149" t="s">
        <v>296</v>
      </c>
      <c r="W135" s="177"/>
    </row>
    <row r="136" spans="1:31">
      <c r="B136" s="132"/>
      <c r="C136" s="149"/>
      <c r="D136" s="149"/>
      <c r="E136" s="149"/>
      <c r="F136" s="149"/>
      <c r="G136" s="149"/>
      <c r="H136" s="149"/>
      <c r="I136" s="149"/>
      <c r="J136" s="149"/>
      <c r="K136" s="149"/>
      <c r="L136" s="149"/>
      <c r="M136" s="149"/>
      <c r="N136" s="149"/>
      <c r="O136" s="149"/>
      <c r="P136" s="149"/>
      <c r="Q136" s="149"/>
      <c r="R136" s="149"/>
      <c r="S136" s="149"/>
      <c r="T136" s="149"/>
      <c r="U136" s="149"/>
      <c r="W136" s="177"/>
    </row>
    <row r="137" spans="1:31">
      <c r="B137" s="132"/>
      <c r="C137" s="133">
        <f>U129+1</f>
        <v>151</v>
      </c>
      <c r="E137" s="133">
        <f>C137+1</f>
        <v>152</v>
      </c>
      <c r="G137" s="133">
        <f>E137+1</f>
        <v>153</v>
      </c>
      <c r="I137" s="133">
        <f>G137+1</f>
        <v>154</v>
      </c>
      <c r="K137" s="133">
        <f>I137+1</f>
        <v>155</v>
      </c>
      <c r="M137" s="133">
        <f>K137+1</f>
        <v>156</v>
      </c>
      <c r="O137" s="133">
        <f>M137+1</f>
        <v>157</v>
      </c>
      <c r="Q137" s="133">
        <f>O137+1</f>
        <v>158</v>
      </c>
      <c r="S137" s="133">
        <f>Q137+1</f>
        <v>159</v>
      </c>
      <c r="U137" s="161">
        <f>S137+1</f>
        <v>160</v>
      </c>
      <c r="W137" s="177"/>
    </row>
    <row r="138" spans="1:31">
      <c r="B138" s="132"/>
      <c r="C138" s="149"/>
      <c r="D138" s="149"/>
      <c r="E138" s="149"/>
      <c r="F138" s="149"/>
      <c r="G138" s="149"/>
      <c r="H138" s="149"/>
      <c r="I138" s="149"/>
      <c r="J138" s="149"/>
      <c r="K138" s="149"/>
      <c r="L138" s="149"/>
      <c r="M138" s="149"/>
      <c r="N138" s="149"/>
      <c r="O138" s="149"/>
      <c r="P138" s="149"/>
      <c r="Q138" s="149"/>
      <c r="R138" s="149"/>
      <c r="S138" s="149"/>
      <c r="T138" s="149"/>
      <c r="U138" s="149"/>
      <c r="W138" s="177"/>
    </row>
    <row r="139" spans="1:31">
      <c r="B139" s="132"/>
      <c r="C139" s="156"/>
      <c r="D139" s="156">
        <v>394.31</v>
      </c>
      <c r="E139" s="156"/>
      <c r="F139" s="156">
        <v>370.45</v>
      </c>
      <c r="G139" s="149"/>
      <c r="H139" s="156">
        <v>436.75</v>
      </c>
      <c r="I139" s="149"/>
      <c r="J139" s="156">
        <v>397.61</v>
      </c>
      <c r="K139" s="149"/>
      <c r="L139" s="156">
        <v>413.4</v>
      </c>
      <c r="M139" s="156"/>
      <c r="N139" s="156">
        <v>423.65</v>
      </c>
      <c r="O139" s="149"/>
      <c r="P139" s="156">
        <v>415.97</v>
      </c>
      <c r="Q139" s="156"/>
      <c r="R139" s="156">
        <v>415.35</v>
      </c>
      <c r="S139" s="156"/>
      <c r="T139" s="156">
        <v>394.88</v>
      </c>
      <c r="U139" s="149"/>
      <c r="V139" s="135">
        <v>429.62</v>
      </c>
      <c r="W139" s="178">
        <f>D139+H139+J139+L139+N139+F139+P139+R139+T139+V139</f>
        <v>4091.99</v>
      </c>
      <c r="AE139" s="135">
        <f>SUM(D139:V139)</f>
        <v>4091.99</v>
      </c>
    </row>
    <row r="140" spans="1:31">
      <c r="A140" s="133">
        <f>A132+1</f>
        <v>16</v>
      </c>
      <c r="B140" s="132"/>
      <c r="C140" s="140"/>
      <c r="D140" s="139"/>
      <c r="E140" s="140"/>
      <c r="F140" s="139"/>
      <c r="G140" s="140"/>
      <c r="I140" s="140"/>
      <c r="J140" s="139"/>
      <c r="K140" s="140"/>
      <c r="L140" s="139"/>
      <c r="M140" s="140"/>
      <c r="N140" s="139"/>
      <c r="O140" s="140"/>
      <c r="P140" s="139"/>
      <c r="Q140" s="140"/>
      <c r="R140" s="139"/>
      <c r="S140" s="140"/>
      <c r="T140" s="139"/>
      <c r="U140" s="140"/>
      <c r="V140" s="162"/>
      <c r="W140" s="178"/>
      <c r="X140" s="133">
        <f>COUNTIF(C140:U140,"F")</f>
        <v>0</v>
      </c>
      <c r="Y140" s="133">
        <f>COUNTIF(C139:U139,"E")</f>
        <v>0</v>
      </c>
      <c r="Z140" s="133">
        <f>COUNTIF(C141:V141,"Er")</f>
        <v>0</v>
      </c>
      <c r="AB140" s="133" t="s">
        <v>518</v>
      </c>
    </row>
    <row r="141" spans="1:31">
      <c r="B141" s="132"/>
      <c r="C141" s="141"/>
      <c r="D141" s="139"/>
      <c r="E141" s="141"/>
      <c r="F141" s="139"/>
      <c r="G141" s="141"/>
      <c r="I141" s="141"/>
      <c r="J141" s="139"/>
      <c r="K141" s="141"/>
      <c r="L141" s="139"/>
      <c r="M141" s="273"/>
      <c r="N141" s="139"/>
      <c r="O141" s="141"/>
      <c r="P141" s="139"/>
      <c r="Q141" s="273"/>
      <c r="R141" s="139"/>
      <c r="S141" s="141"/>
      <c r="T141" s="139"/>
      <c r="U141" s="273"/>
      <c r="V141" s="162"/>
      <c r="W141" s="177"/>
      <c r="X141" s="133">
        <f>COUNTIF(C141:U141,"U/P")</f>
        <v>0</v>
      </c>
      <c r="Y141" s="133">
        <v>0</v>
      </c>
      <c r="Z141" s="133">
        <v>0</v>
      </c>
      <c r="AB141" s="133" t="s">
        <v>278</v>
      </c>
    </row>
    <row r="142" spans="1:31" ht="13">
      <c r="B142" s="132"/>
      <c r="C142" s="393" t="s">
        <v>673</v>
      </c>
      <c r="D142" s="149"/>
      <c r="E142" s="147" t="s">
        <v>674</v>
      </c>
      <c r="F142" s="149"/>
      <c r="G142" s="393" t="s">
        <v>675</v>
      </c>
      <c r="H142" s="149"/>
      <c r="I142" s="393" t="s">
        <v>676</v>
      </c>
      <c r="J142" s="149"/>
      <c r="K142" s="147" t="s">
        <v>677</v>
      </c>
      <c r="L142" s="149"/>
      <c r="M142" s="393" t="s">
        <v>678</v>
      </c>
      <c r="N142" s="149"/>
      <c r="O142" s="393" t="s">
        <v>679</v>
      </c>
      <c r="P142" s="149"/>
      <c r="Q142" s="393" t="s">
        <v>680</v>
      </c>
      <c r="R142" s="149"/>
      <c r="S142" s="147" t="s">
        <v>681</v>
      </c>
      <c r="T142" s="149"/>
      <c r="U142" s="393" t="s">
        <v>682</v>
      </c>
      <c r="W142" s="177"/>
      <c r="X142" s="133">
        <f>COUNTIF(C140:U140,"ROW")</f>
        <v>0</v>
      </c>
      <c r="Y142" s="133">
        <v>0</v>
      </c>
      <c r="Z142" s="133">
        <v>0</v>
      </c>
      <c r="AB142" s="133" t="s">
        <v>228</v>
      </c>
    </row>
    <row r="143" spans="1:31" ht="13">
      <c r="B143" s="132"/>
      <c r="C143" s="149" t="s">
        <v>318</v>
      </c>
      <c r="D143" s="149"/>
      <c r="E143" s="147" t="s">
        <v>143</v>
      </c>
      <c r="F143" s="149"/>
      <c r="G143" s="149" t="s">
        <v>413</v>
      </c>
      <c r="H143" s="149"/>
      <c r="I143" s="149" t="s">
        <v>318</v>
      </c>
      <c r="J143" s="149"/>
      <c r="K143" s="147" t="s">
        <v>119</v>
      </c>
      <c r="L143" s="149"/>
      <c r="M143" s="149" t="s">
        <v>295</v>
      </c>
      <c r="N143" s="149"/>
      <c r="O143" s="149" t="s">
        <v>170</v>
      </c>
      <c r="P143" s="149"/>
      <c r="Q143" s="149" t="s">
        <v>295</v>
      </c>
      <c r="R143" s="149"/>
      <c r="S143" s="147" t="s">
        <v>137</v>
      </c>
      <c r="T143" s="149"/>
      <c r="U143" s="149" t="s">
        <v>295</v>
      </c>
      <c r="W143" s="177"/>
    </row>
    <row r="144" spans="1:31">
      <c r="B144" s="132"/>
      <c r="C144" s="149"/>
      <c r="D144" s="149"/>
      <c r="E144" s="149"/>
      <c r="F144" s="149"/>
      <c r="G144" s="149"/>
      <c r="H144" s="149"/>
      <c r="I144" s="149"/>
      <c r="J144" s="149"/>
      <c r="K144" s="149"/>
      <c r="L144" s="149"/>
      <c r="M144" s="149"/>
      <c r="N144" s="149"/>
      <c r="O144" s="149"/>
      <c r="P144" s="149"/>
      <c r="Q144" s="149"/>
      <c r="R144" s="149"/>
      <c r="S144" s="149"/>
      <c r="T144" s="149"/>
      <c r="U144" s="149"/>
      <c r="W144" s="177"/>
    </row>
    <row r="145" spans="1:31">
      <c r="B145" s="132"/>
      <c r="C145" s="133">
        <f>U137+1</f>
        <v>161</v>
      </c>
      <c r="E145" s="133">
        <f>C145+1</f>
        <v>162</v>
      </c>
      <c r="G145" s="133">
        <f>E145+1</f>
        <v>163</v>
      </c>
      <c r="I145" s="133">
        <f>G145+1</f>
        <v>164</v>
      </c>
      <c r="K145" s="133">
        <f>I145+1</f>
        <v>165</v>
      </c>
      <c r="M145" s="133">
        <f>K145+1</f>
        <v>166</v>
      </c>
      <c r="O145" s="133">
        <f>M145+1</f>
        <v>167</v>
      </c>
      <c r="Q145" s="133">
        <f>O145+1</f>
        <v>168</v>
      </c>
      <c r="S145" s="133">
        <f>Q145+1</f>
        <v>169</v>
      </c>
      <c r="U145" s="161">
        <f>S145+1</f>
        <v>170</v>
      </c>
      <c r="W145" s="177"/>
    </row>
    <row r="146" spans="1:31">
      <c r="B146" s="132"/>
      <c r="C146" s="149"/>
      <c r="D146" s="149"/>
      <c r="E146" s="149"/>
      <c r="F146" s="149"/>
      <c r="G146" s="149"/>
      <c r="H146" s="149"/>
      <c r="I146" s="149"/>
      <c r="J146" s="149"/>
      <c r="K146" s="149"/>
      <c r="L146" s="149"/>
      <c r="M146" s="149"/>
      <c r="N146" s="149"/>
      <c r="O146" s="149"/>
      <c r="P146" s="149"/>
      <c r="Q146" s="149"/>
      <c r="R146" s="149"/>
      <c r="S146" s="149"/>
      <c r="T146" s="149"/>
      <c r="U146" s="149"/>
      <c r="W146" s="177"/>
    </row>
    <row r="147" spans="1:31">
      <c r="B147" s="132"/>
      <c r="C147" s="135"/>
      <c r="D147" s="135">
        <v>381.91</v>
      </c>
      <c r="E147" s="135"/>
      <c r="F147" s="135">
        <v>405.26</v>
      </c>
      <c r="H147" s="135">
        <v>338.16</v>
      </c>
      <c r="J147" s="135">
        <v>288.3</v>
      </c>
      <c r="L147" s="135">
        <v>297.14999999999998</v>
      </c>
      <c r="M147" s="135"/>
      <c r="N147" s="135">
        <v>195.9</v>
      </c>
      <c r="P147" s="135">
        <v>249.66</v>
      </c>
      <c r="Q147" s="135"/>
      <c r="R147" s="135">
        <v>374.48</v>
      </c>
      <c r="S147" s="135"/>
      <c r="T147" s="135">
        <v>443.95</v>
      </c>
      <c r="V147" s="135">
        <v>404.39</v>
      </c>
      <c r="W147" s="178" t="e">
        <f>D147+H147+J147+L147+N147+F147+P147+#REF!+R147+V147</f>
        <v>#REF!</v>
      </c>
      <c r="AE147" s="135">
        <f>SUM(D147:V147)</f>
        <v>3379.16</v>
      </c>
    </row>
    <row r="148" spans="1:31">
      <c r="A148" s="133">
        <f>A140+1</f>
        <v>17</v>
      </c>
      <c r="B148" s="132"/>
      <c r="C148" s="140"/>
      <c r="D148" s="139"/>
      <c r="E148" s="140"/>
      <c r="F148" s="139"/>
      <c r="G148" s="141"/>
      <c r="I148" s="140"/>
      <c r="J148" s="139"/>
      <c r="K148" s="140"/>
      <c r="L148" s="139"/>
      <c r="M148" s="140"/>
      <c r="N148" s="139"/>
      <c r="O148" s="140"/>
      <c r="P148" s="139"/>
      <c r="Q148" s="140"/>
      <c r="R148" s="139"/>
      <c r="S148" s="140"/>
      <c r="T148" s="139"/>
      <c r="U148" s="140"/>
      <c r="V148" s="162"/>
      <c r="W148" s="178"/>
      <c r="X148" s="133">
        <f>COUNTIF(C148:U148,"F")</f>
        <v>0</v>
      </c>
      <c r="Y148" s="133">
        <f>COUNTIF(C147:U147,"E")</f>
        <v>0</v>
      </c>
      <c r="Z148" s="133">
        <f>COUNTIF(C149:V149,"Er")</f>
        <v>0</v>
      </c>
      <c r="AB148" s="133" t="s">
        <v>518</v>
      </c>
    </row>
    <row r="149" spans="1:31">
      <c r="B149" s="132"/>
      <c r="C149" s="141"/>
      <c r="D149" s="139"/>
      <c r="E149" s="141"/>
      <c r="F149" s="139"/>
      <c r="G149" s="141"/>
      <c r="I149" s="141"/>
      <c r="J149" s="139"/>
      <c r="K149" s="141"/>
      <c r="L149" s="139"/>
      <c r="M149" s="141"/>
      <c r="N149" s="139"/>
      <c r="O149" s="141"/>
      <c r="P149" s="139"/>
      <c r="Q149" s="141"/>
      <c r="R149" s="139"/>
      <c r="S149" s="141"/>
      <c r="T149" s="139"/>
      <c r="U149" s="141"/>
      <c r="V149" s="162"/>
      <c r="W149" s="177"/>
      <c r="X149" s="133">
        <f>COUNTIF(C149:U149,"U/P")</f>
        <v>0</v>
      </c>
      <c r="Y149" s="133">
        <v>0</v>
      </c>
      <c r="Z149" s="133">
        <v>0</v>
      </c>
      <c r="AB149" s="133" t="s">
        <v>278</v>
      </c>
    </row>
    <row r="150" spans="1:31" ht="13">
      <c r="B150" s="132"/>
      <c r="C150" s="390" t="s">
        <v>683</v>
      </c>
      <c r="E150" s="390" t="s">
        <v>684</v>
      </c>
      <c r="G150" s="390" t="s">
        <v>685</v>
      </c>
      <c r="I150" s="390" t="s">
        <v>686</v>
      </c>
      <c r="K150" s="390" t="s">
        <v>687</v>
      </c>
      <c r="M150" s="390" t="s">
        <v>688</v>
      </c>
      <c r="O150" s="144" t="s">
        <v>689</v>
      </c>
      <c r="Q150" s="144" t="s">
        <v>690</v>
      </c>
      <c r="S150" s="390" t="s">
        <v>691</v>
      </c>
      <c r="U150" s="144" t="s">
        <v>692</v>
      </c>
      <c r="W150" s="177"/>
      <c r="X150" s="133">
        <f>COUNTIF(C148:U148,"ROW")</f>
        <v>0</v>
      </c>
      <c r="Y150" s="133">
        <v>0</v>
      </c>
      <c r="Z150" s="133">
        <v>0</v>
      </c>
      <c r="AB150" s="133" t="s">
        <v>228</v>
      </c>
    </row>
    <row r="151" spans="1:31" ht="13">
      <c r="B151" s="132"/>
      <c r="C151" s="133" t="s">
        <v>318</v>
      </c>
      <c r="E151" s="133" t="s">
        <v>295</v>
      </c>
      <c r="G151" s="133" t="s">
        <v>295</v>
      </c>
      <c r="I151" s="133" t="s">
        <v>296</v>
      </c>
      <c r="K151" s="133" t="s">
        <v>317</v>
      </c>
      <c r="M151" s="133" t="s">
        <v>296</v>
      </c>
      <c r="O151" s="144" t="s">
        <v>128</v>
      </c>
      <c r="Q151" s="144" t="s">
        <v>330</v>
      </c>
      <c r="S151" s="133" t="s">
        <v>295</v>
      </c>
      <c r="U151" s="144" t="s">
        <v>541</v>
      </c>
      <c r="W151" s="177"/>
    </row>
    <row r="152" spans="1:31">
      <c r="B152" s="132"/>
      <c r="W152" s="177"/>
    </row>
    <row r="153" spans="1:31">
      <c r="B153" s="132"/>
      <c r="C153" s="133">
        <f>U145+1</f>
        <v>171</v>
      </c>
      <c r="E153" s="133">
        <f>C153+1</f>
        <v>172</v>
      </c>
      <c r="G153" s="133">
        <f>E153+1</f>
        <v>173</v>
      </c>
      <c r="I153" s="133">
        <f>G153+1</f>
        <v>174</v>
      </c>
      <c r="K153" s="133">
        <f>I153+1</f>
        <v>175</v>
      </c>
      <c r="M153" s="133">
        <f>K153+1</f>
        <v>176</v>
      </c>
      <c r="O153" s="133">
        <f>M153+1</f>
        <v>177</v>
      </c>
      <c r="Q153" s="133">
        <f>O153+1</f>
        <v>178</v>
      </c>
      <c r="S153" s="133">
        <f>Q153+1</f>
        <v>179</v>
      </c>
      <c r="U153" s="161">
        <f>S153+1</f>
        <v>180</v>
      </c>
      <c r="W153" s="177"/>
    </row>
    <row r="154" spans="1:31">
      <c r="B154" s="132"/>
      <c r="W154" s="177"/>
    </row>
    <row r="155" spans="1:31">
      <c r="B155" s="132"/>
      <c r="C155" s="135"/>
      <c r="D155" s="135">
        <v>341.42</v>
      </c>
      <c r="E155" s="135"/>
      <c r="F155" s="135">
        <v>305.39999999999998</v>
      </c>
      <c r="H155" s="135">
        <v>319.98</v>
      </c>
      <c r="J155" s="135">
        <v>345.62</v>
      </c>
      <c r="L155" s="135">
        <v>223.15</v>
      </c>
      <c r="M155" s="135"/>
      <c r="N155" s="135">
        <v>389.84</v>
      </c>
      <c r="P155" s="135">
        <v>439.14</v>
      </c>
      <c r="Q155" s="135"/>
      <c r="R155" s="135">
        <v>403.21</v>
      </c>
      <c r="S155" s="135"/>
      <c r="T155" s="135">
        <v>422.55</v>
      </c>
      <c r="V155" s="135">
        <v>353.48</v>
      </c>
      <c r="W155" s="178">
        <f>D155+H155+J155+L155+N155+F155+P155+R155+T155+V155</f>
        <v>3543.79</v>
      </c>
      <c r="AE155" s="135">
        <f>SUM(D155:V155)</f>
        <v>3543.79</v>
      </c>
    </row>
    <row r="156" spans="1:31">
      <c r="A156" s="133">
        <f>A148+1</f>
        <v>18</v>
      </c>
      <c r="B156" s="132"/>
      <c r="C156" s="140"/>
      <c r="D156" s="139"/>
      <c r="E156" s="140"/>
      <c r="F156" s="139"/>
      <c r="G156" s="140"/>
      <c r="I156" s="140"/>
      <c r="J156" s="139"/>
      <c r="K156" s="140"/>
      <c r="L156" s="139"/>
      <c r="M156" s="140"/>
      <c r="N156" s="139"/>
      <c r="O156" s="140"/>
      <c r="P156" s="139"/>
      <c r="Q156" s="140"/>
      <c r="R156" s="139"/>
      <c r="S156" s="140"/>
      <c r="T156" s="139"/>
      <c r="U156" s="140"/>
      <c r="V156" s="162"/>
      <c r="W156" s="178"/>
      <c r="X156" s="133">
        <f>COUNTIF(C156:U156,"F")</f>
        <v>0</v>
      </c>
      <c r="Y156" s="133">
        <f>COUNTIF(C155:U155,"E")</f>
        <v>0</v>
      </c>
      <c r="Z156" s="133">
        <f>COUNTIF(C157:V157,"Er")</f>
        <v>0</v>
      </c>
      <c r="AB156" s="133" t="s">
        <v>518</v>
      </c>
    </row>
    <row r="157" spans="1:31">
      <c r="B157" s="132"/>
      <c r="C157" s="141"/>
      <c r="D157" s="139"/>
      <c r="E157" s="141"/>
      <c r="F157" s="139"/>
      <c r="G157" s="141"/>
      <c r="I157" s="141"/>
      <c r="J157" s="139"/>
      <c r="K157" s="141"/>
      <c r="L157" s="139"/>
      <c r="M157" s="141"/>
      <c r="N157" s="139"/>
      <c r="O157" s="141"/>
      <c r="P157" s="139"/>
      <c r="Q157" s="141"/>
      <c r="R157" s="139"/>
      <c r="S157" s="141"/>
      <c r="T157" s="139"/>
      <c r="U157" s="141"/>
      <c r="V157" s="162"/>
      <c r="W157" s="177"/>
      <c r="X157" s="133">
        <f>COUNTIF(C157:U157,"U/P")</f>
        <v>0</v>
      </c>
      <c r="Y157" s="133">
        <v>0</v>
      </c>
      <c r="Z157" s="133">
        <v>0</v>
      </c>
      <c r="AB157" s="133" t="s">
        <v>278</v>
      </c>
    </row>
    <row r="158" spans="1:31" ht="13">
      <c r="B158" s="132"/>
      <c r="C158" s="390" t="s">
        <v>693</v>
      </c>
      <c r="E158" s="390" t="s">
        <v>694</v>
      </c>
      <c r="G158" s="390" t="s">
        <v>695</v>
      </c>
      <c r="I158" s="390" t="s">
        <v>696</v>
      </c>
      <c r="K158" s="144" t="s">
        <v>697</v>
      </c>
      <c r="M158" s="144" t="s">
        <v>698</v>
      </c>
      <c r="O158" s="394" t="s">
        <v>699</v>
      </c>
      <c r="Q158" s="394" t="s">
        <v>700</v>
      </c>
      <c r="S158" s="144" t="s">
        <v>701</v>
      </c>
      <c r="U158" s="144" t="s">
        <v>702</v>
      </c>
      <c r="W158" s="177"/>
      <c r="X158" s="133">
        <f>COUNTIF(C156:U156,"ROW")</f>
        <v>0</v>
      </c>
      <c r="Y158" s="133">
        <v>0</v>
      </c>
      <c r="Z158" s="133">
        <v>0</v>
      </c>
      <c r="AB158" s="133" t="s">
        <v>228</v>
      </c>
    </row>
    <row r="159" spans="1:31" ht="13">
      <c r="B159" s="132"/>
      <c r="C159" s="133" t="s">
        <v>296</v>
      </c>
      <c r="E159" s="133" t="s">
        <v>317</v>
      </c>
      <c r="G159" s="133" t="s">
        <v>296</v>
      </c>
      <c r="I159" s="133" t="s">
        <v>318</v>
      </c>
      <c r="K159" s="144" t="s">
        <v>541</v>
      </c>
      <c r="M159" s="144" t="s">
        <v>541</v>
      </c>
      <c r="O159" s="133" t="s">
        <v>295</v>
      </c>
      <c r="Q159" s="133" t="s">
        <v>295</v>
      </c>
      <c r="S159" s="144" t="s">
        <v>529</v>
      </c>
      <c r="U159" s="144" t="s">
        <v>529</v>
      </c>
      <c r="W159" s="177"/>
    </row>
    <row r="160" spans="1:31">
      <c r="B160" s="132"/>
      <c r="W160" s="177"/>
    </row>
    <row r="161" spans="1:31">
      <c r="B161" s="132"/>
      <c r="U161" s="161"/>
      <c r="W161" s="177"/>
    </row>
    <row r="162" spans="1:31">
      <c r="B162" s="132"/>
      <c r="C162" s="133">
        <f>U153+1</f>
        <v>181</v>
      </c>
      <c r="E162" s="133">
        <f>C162+1</f>
        <v>182</v>
      </c>
      <c r="G162" s="133">
        <f>E162+1</f>
        <v>183</v>
      </c>
      <c r="I162" s="133">
        <f>G162+1</f>
        <v>184</v>
      </c>
      <c r="K162" s="133">
        <f>I162+1</f>
        <v>185</v>
      </c>
      <c r="M162" s="133">
        <f>K162+1</f>
        <v>186</v>
      </c>
      <c r="O162" s="133">
        <f>M162+1</f>
        <v>187</v>
      </c>
      <c r="Q162" s="133">
        <f>O162+1</f>
        <v>188</v>
      </c>
      <c r="S162" s="133">
        <f>Q162+1</f>
        <v>189</v>
      </c>
      <c r="U162" s="161">
        <f>S162+1</f>
        <v>190</v>
      </c>
      <c r="W162" s="177"/>
    </row>
    <row r="163" spans="1:31">
      <c r="B163" s="132"/>
      <c r="W163" s="178"/>
      <c r="AE163" s="135">
        <f>SUM(D163:V163)</f>
        <v>0</v>
      </c>
    </row>
    <row r="164" spans="1:31">
      <c r="A164" s="133">
        <f>A156+1</f>
        <v>19</v>
      </c>
      <c r="B164" s="132"/>
      <c r="C164" s="135"/>
      <c r="D164" s="135"/>
      <c r="E164" s="135"/>
      <c r="F164" s="135">
        <v>465.03</v>
      </c>
      <c r="H164" s="135">
        <v>375.98</v>
      </c>
      <c r="J164" s="135">
        <v>414.86</v>
      </c>
      <c r="L164" s="135">
        <v>381.02</v>
      </c>
      <c r="M164" s="135"/>
      <c r="N164" s="135">
        <v>353.63</v>
      </c>
      <c r="P164" s="135">
        <v>351.4</v>
      </c>
      <c r="Q164" s="135"/>
      <c r="R164" s="135">
        <v>433.26</v>
      </c>
      <c r="S164" s="135"/>
      <c r="T164" s="135">
        <v>396.56</v>
      </c>
      <c r="V164" s="135">
        <v>408.11</v>
      </c>
      <c r="W164" s="178"/>
      <c r="X164" s="133">
        <f>COUNTIF(C164:U164,"F")</f>
        <v>0</v>
      </c>
      <c r="Y164" s="133">
        <f>COUNTIF(C163:U163,"E")</f>
        <v>0</v>
      </c>
      <c r="Z164" s="133">
        <f>COUNTIF(C165:V165,"Er")</f>
        <v>0</v>
      </c>
      <c r="AB164" s="133" t="s">
        <v>518</v>
      </c>
    </row>
    <row r="165" spans="1:31" ht="13">
      <c r="B165" s="132"/>
      <c r="C165" s="138"/>
      <c r="D165" s="137"/>
      <c r="E165" s="138"/>
      <c r="F165" s="139"/>
      <c r="G165" s="138"/>
      <c r="I165" s="140"/>
      <c r="J165" s="139"/>
      <c r="K165" s="140"/>
      <c r="L165" s="139"/>
      <c r="M165" s="140"/>
      <c r="N165" s="139"/>
      <c r="O165" s="140"/>
      <c r="P165" s="139"/>
      <c r="Q165" s="140"/>
      <c r="R165" s="139"/>
      <c r="S165" s="140"/>
      <c r="T165" s="139"/>
      <c r="U165" s="140"/>
      <c r="V165" s="162"/>
      <c r="W165" s="177"/>
      <c r="X165" s="133">
        <f>COUNTIF(C165:U165,"U/P")</f>
        <v>0</v>
      </c>
      <c r="Y165" s="133">
        <v>0</v>
      </c>
      <c r="Z165" s="133">
        <v>0</v>
      </c>
      <c r="AB165" s="133" t="s">
        <v>278</v>
      </c>
    </row>
    <row r="166" spans="1:31">
      <c r="B166" s="132"/>
      <c r="C166" s="141"/>
      <c r="E166" s="141"/>
      <c r="F166" s="139"/>
      <c r="G166" s="141"/>
      <c r="I166" s="141"/>
      <c r="J166" s="139"/>
      <c r="K166" s="141"/>
      <c r="L166" s="139"/>
      <c r="M166" s="141"/>
      <c r="N166" s="139"/>
      <c r="O166" s="141"/>
      <c r="P166" s="139"/>
      <c r="Q166" s="141"/>
      <c r="R166" s="139"/>
      <c r="S166" s="141"/>
      <c r="T166" s="139"/>
      <c r="U166" s="141"/>
      <c r="V166" s="162"/>
      <c r="W166" s="177"/>
      <c r="X166" s="133">
        <f>COUNTIF(C164:U164,"ROW")</f>
        <v>0</v>
      </c>
      <c r="Y166" s="133">
        <v>0</v>
      </c>
      <c r="Z166" s="133">
        <v>0</v>
      </c>
      <c r="AB166" s="133" t="s">
        <v>228</v>
      </c>
    </row>
    <row r="167" spans="1:31" ht="13">
      <c r="B167" s="132"/>
      <c r="C167" s="144" t="s">
        <v>310</v>
      </c>
      <c r="D167" s="143"/>
      <c r="E167" s="144" t="s">
        <v>310</v>
      </c>
      <c r="F167" s="145"/>
      <c r="G167" s="384" t="s">
        <v>272</v>
      </c>
      <c r="H167" s="145"/>
      <c r="I167" s="384" t="s">
        <v>273</v>
      </c>
      <c r="J167" s="145"/>
      <c r="K167" s="384" t="s">
        <v>311</v>
      </c>
      <c r="M167" s="144" t="s">
        <v>312</v>
      </c>
      <c r="O167" s="384" t="s">
        <v>313</v>
      </c>
      <c r="Q167" s="144" t="s">
        <v>314</v>
      </c>
      <c r="S167" s="144" t="s">
        <v>315</v>
      </c>
      <c r="U167" s="384" t="s">
        <v>316</v>
      </c>
      <c r="W167" s="177"/>
    </row>
    <row r="168" spans="1:31" ht="13">
      <c r="B168" s="132"/>
      <c r="C168" s="144" t="s">
        <v>117</v>
      </c>
      <c r="D168" s="143"/>
      <c r="E168" s="144" t="s">
        <v>117</v>
      </c>
      <c r="F168" s="145"/>
      <c r="G168" s="145" t="s">
        <v>317</v>
      </c>
      <c r="H168" s="145"/>
      <c r="I168" s="133" t="s">
        <v>296</v>
      </c>
      <c r="J168" s="145"/>
      <c r="K168" s="133" t="s">
        <v>317</v>
      </c>
      <c r="M168" s="144" t="s">
        <v>119</v>
      </c>
      <c r="O168" s="133" t="s">
        <v>318</v>
      </c>
      <c r="Q168" s="144" t="s">
        <v>125</v>
      </c>
      <c r="S168" s="144" t="s">
        <v>319</v>
      </c>
      <c r="U168" s="133" t="s">
        <v>317</v>
      </c>
      <c r="W168" s="177"/>
    </row>
    <row r="169" spans="1:31">
      <c r="B169" s="272"/>
      <c r="C169" s="172"/>
      <c r="D169" s="172"/>
      <c r="E169" s="172"/>
      <c r="F169" s="172"/>
      <c r="G169" s="172"/>
      <c r="H169" s="172"/>
      <c r="I169" s="172"/>
      <c r="J169" s="172"/>
      <c r="K169" s="172"/>
      <c r="L169" s="172"/>
      <c r="M169" s="172"/>
      <c r="N169" s="172"/>
      <c r="O169" s="172"/>
      <c r="P169" s="172"/>
      <c r="Q169" s="172"/>
      <c r="R169" s="172"/>
      <c r="S169" s="172"/>
      <c r="T169" s="172"/>
      <c r="U169" s="172"/>
      <c r="V169" s="172"/>
      <c r="W169" s="274"/>
    </row>
    <row r="170" spans="1:31">
      <c r="B170" s="152"/>
      <c r="C170" s="175"/>
      <c r="D170" s="175"/>
      <c r="E170" s="175"/>
      <c r="F170" s="175"/>
      <c r="G170" s="175"/>
      <c r="H170" s="175"/>
      <c r="I170" s="175"/>
      <c r="J170" s="175"/>
      <c r="K170" s="175"/>
      <c r="L170" s="175"/>
      <c r="M170" s="175"/>
      <c r="N170" s="175"/>
      <c r="O170" s="175"/>
      <c r="P170" s="175"/>
      <c r="Q170" s="175"/>
      <c r="R170" s="175"/>
      <c r="S170" s="175"/>
      <c r="T170" s="175"/>
      <c r="U170" s="175"/>
      <c r="V170" s="175"/>
      <c r="W170" s="176"/>
    </row>
    <row r="171" spans="1:31">
      <c r="B171" s="132"/>
      <c r="C171" s="133">
        <f>U162+1</f>
        <v>191</v>
      </c>
      <c r="E171" s="133">
        <f>C171+1</f>
        <v>192</v>
      </c>
      <c r="G171" s="133">
        <f>E171+1</f>
        <v>193</v>
      </c>
      <c r="I171" s="133">
        <f>G171+1</f>
        <v>194</v>
      </c>
      <c r="K171" s="133">
        <f>I171+1</f>
        <v>195</v>
      </c>
      <c r="M171" s="133">
        <f>K171+1</f>
        <v>196</v>
      </c>
      <c r="O171" s="133">
        <f>M171+1</f>
        <v>197</v>
      </c>
      <c r="Q171" s="133">
        <f>O171+1</f>
        <v>198</v>
      </c>
      <c r="S171" s="133">
        <f>Q171+1</f>
        <v>199</v>
      </c>
      <c r="U171" s="161">
        <f>S171+1</f>
        <v>200</v>
      </c>
      <c r="W171" s="177"/>
    </row>
    <row r="172" spans="1:31">
      <c r="B172" s="132"/>
      <c r="W172" s="178"/>
      <c r="AE172" s="135">
        <f>SUM(D172:V172)</f>
        <v>0</v>
      </c>
    </row>
    <row r="173" spans="1:31">
      <c r="A173" s="133">
        <f>A164+1</f>
        <v>20</v>
      </c>
      <c r="B173" s="132"/>
      <c r="C173" s="135"/>
      <c r="D173" s="135">
        <v>425.22</v>
      </c>
      <c r="E173" s="135"/>
      <c r="F173" s="135">
        <v>420.54</v>
      </c>
      <c r="H173" s="135">
        <v>340.56</v>
      </c>
      <c r="J173" s="135">
        <v>336.52</v>
      </c>
      <c r="L173" s="135">
        <v>375.99</v>
      </c>
      <c r="M173" s="135"/>
      <c r="N173" s="135">
        <v>303.41000000000003</v>
      </c>
      <c r="P173" s="135">
        <v>448.76</v>
      </c>
      <c r="Q173" s="135"/>
      <c r="R173" s="135">
        <v>393.09</v>
      </c>
      <c r="S173" s="135"/>
      <c r="T173" s="135">
        <v>407.8</v>
      </c>
      <c r="V173" s="135">
        <v>206.06</v>
      </c>
      <c r="W173" s="178"/>
      <c r="X173" s="133">
        <f>COUNTIF(C173:U173,"F")</f>
        <v>0</v>
      </c>
      <c r="Y173" s="133">
        <f>COUNTIF(C172:U172,"E")</f>
        <v>0</v>
      </c>
      <c r="Z173" s="133">
        <f>COUNTIF(C174:V174,"Er")</f>
        <v>0</v>
      </c>
      <c r="AB173" s="133" t="s">
        <v>518</v>
      </c>
    </row>
    <row r="174" spans="1:31">
      <c r="B174" s="132"/>
      <c r="C174" s="140"/>
      <c r="D174" s="139"/>
      <c r="E174" s="140"/>
      <c r="F174" s="139"/>
      <c r="G174" s="140"/>
      <c r="I174" s="140"/>
      <c r="J174" s="139"/>
      <c r="K174" s="140"/>
      <c r="L174" s="139"/>
      <c r="M174" s="140"/>
      <c r="N174" s="139"/>
      <c r="O174" s="140"/>
      <c r="P174" s="139"/>
      <c r="Q174" s="140"/>
      <c r="R174" s="139"/>
      <c r="S174" s="140"/>
      <c r="T174" s="139"/>
      <c r="U174" s="140"/>
      <c r="V174" s="162"/>
      <c r="W174" s="177"/>
      <c r="X174" s="133">
        <f>COUNTIF(C174:U174,"U/P")</f>
        <v>0</v>
      </c>
      <c r="Y174" s="133">
        <v>0</v>
      </c>
      <c r="Z174" s="133">
        <v>0</v>
      </c>
      <c r="AB174" s="133" t="s">
        <v>278</v>
      </c>
    </row>
    <row r="175" spans="1:31">
      <c r="B175" s="132"/>
      <c r="C175" s="141"/>
      <c r="D175" s="139"/>
      <c r="E175" s="141"/>
      <c r="F175" s="139"/>
      <c r="G175" s="141"/>
      <c r="I175" s="141"/>
      <c r="J175" s="139"/>
      <c r="K175" s="141"/>
      <c r="L175" s="139"/>
      <c r="M175" s="141"/>
      <c r="N175" s="139"/>
      <c r="O175" s="141"/>
      <c r="P175" s="139"/>
      <c r="Q175" s="141"/>
      <c r="R175" s="139"/>
      <c r="S175" s="141"/>
      <c r="T175" s="139"/>
      <c r="U175" s="141"/>
      <c r="V175" s="162"/>
      <c r="W175" s="177"/>
      <c r="X175" s="133">
        <f>COUNTIF(C173:U173,"ROW")</f>
        <v>0</v>
      </c>
      <c r="Y175" s="133">
        <v>0</v>
      </c>
      <c r="Z175" s="133">
        <v>0</v>
      </c>
      <c r="AB175" s="133" t="s">
        <v>228</v>
      </c>
    </row>
    <row r="176" spans="1:31" ht="13">
      <c r="B176" s="132"/>
      <c r="C176" s="384" t="s">
        <v>320</v>
      </c>
      <c r="E176" s="384" t="s">
        <v>321</v>
      </c>
      <c r="G176" s="144" t="s">
        <v>322</v>
      </c>
      <c r="I176" s="144" t="s">
        <v>323</v>
      </c>
      <c r="K176" s="384" t="s">
        <v>324</v>
      </c>
      <c r="M176" s="384" t="s">
        <v>325</v>
      </c>
      <c r="O176" s="384" t="s">
        <v>326</v>
      </c>
      <c r="Q176" s="384" t="s">
        <v>327</v>
      </c>
      <c r="S176" s="384" t="s">
        <v>328</v>
      </c>
      <c r="U176" s="144" t="s">
        <v>329</v>
      </c>
      <c r="W176" s="177"/>
    </row>
    <row r="177" spans="1:31" ht="13">
      <c r="B177" s="132"/>
      <c r="C177" s="133" t="s">
        <v>318</v>
      </c>
      <c r="E177" s="133" t="s">
        <v>317</v>
      </c>
      <c r="G177" s="144" t="s">
        <v>117</v>
      </c>
      <c r="I177" s="144" t="s">
        <v>330</v>
      </c>
      <c r="K177" s="145" t="s">
        <v>132</v>
      </c>
      <c r="M177" s="145" t="s">
        <v>182</v>
      </c>
      <c r="O177" s="145" t="s">
        <v>132</v>
      </c>
      <c r="Q177" s="145" t="s">
        <v>242</v>
      </c>
      <c r="S177" s="145" t="s">
        <v>242</v>
      </c>
      <c r="U177" s="144" t="s">
        <v>330</v>
      </c>
      <c r="W177" s="177"/>
    </row>
    <row r="178" spans="1:31">
      <c r="B178" s="132"/>
      <c r="C178" s="160" t="s">
        <v>331</v>
      </c>
      <c r="I178" s="160" t="s">
        <v>331</v>
      </c>
      <c r="M178" s="160" t="s">
        <v>331</v>
      </c>
      <c r="Q178" s="160"/>
      <c r="S178" s="160" t="s">
        <v>331</v>
      </c>
      <c r="U178" s="160" t="s">
        <v>331</v>
      </c>
      <c r="V178" s="143"/>
      <c r="W178" s="177"/>
    </row>
    <row r="179" spans="1:31">
      <c r="B179" s="132"/>
      <c r="W179" s="177"/>
    </row>
    <row r="180" spans="1:31">
      <c r="B180" s="132"/>
      <c r="C180" s="133">
        <f>U171+1</f>
        <v>201</v>
      </c>
      <c r="E180" s="133">
        <f>C180+1</f>
        <v>202</v>
      </c>
      <c r="G180" s="133">
        <f>E180+1</f>
        <v>203</v>
      </c>
      <c r="I180" s="133">
        <f>G180+1</f>
        <v>204</v>
      </c>
      <c r="K180" s="133">
        <f>I180+1</f>
        <v>205</v>
      </c>
      <c r="M180" s="133">
        <f>K180+1</f>
        <v>206</v>
      </c>
      <c r="O180" s="133">
        <f>M180+1</f>
        <v>207</v>
      </c>
      <c r="Q180" s="133">
        <f>O180+1</f>
        <v>208</v>
      </c>
      <c r="S180" s="133">
        <f>Q180+1</f>
        <v>209</v>
      </c>
      <c r="U180" s="161">
        <f>S180+1</f>
        <v>210</v>
      </c>
      <c r="W180" s="177"/>
    </row>
    <row r="181" spans="1:31">
      <c r="B181" s="132"/>
      <c r="W181" s="178"/>
      <c r="AE181" s="135">
        <f>SUM(D181:V181)</f>
        <v>0</v>
      </c>
    </row>
    <row r="182" spans="1:31">
      <c r="A182" s="133">
        <f>A173+1</f>
        <v>21</v>
      </c>
      <c r="B182" s="132"/>
      <c r="C182" s="135"/>
      <c r="D182" s="135">
        <v>417.38</v>
      </c>
      <c r="E182" s="135"/>
      <c r="F182" s="135">
        <v>304.56</v>
      </c>
      <c r="H182" s="135">
        <v>408.66</v>
      </c>
      <c r="J182" s="135">
        <v>434.89</v>
      </c>
      <c r="L182" s="135">
        <v>408.17</v>
      </c>
      <c r="M182" s="135"/>
      <c r="N182" s="135">
        <v>398.59</v>
      </c>
      <c r="P182" s="135">
        <v>446.37</v>
      </c>
      <c r="Q182" s="135"/>
      <c r="R182" s="135">
        <v>297.58</v>
      </c>
      <c r="S182" s="135"/>
      <c r="T182" s="135">
        <v>240.47</v>
      </c>
      <c r="V182" s="135">
        <v>312.69</v>
      </c>
      <c r="W182" s="178"/>
      <c r="X182" s="133">
        <f>COUNTIF(C182:U182,"F")</f>
        <v>0</v>
      </c>
      <c r="Y182" s="133">
        <f>COUNTIF(C181:U181,"E")</f>
        <v>0</v>
      </c>
      <c r="Z182" s="133">
        <f>COUNTIF(C183:V183,"Er")</f>
        <v>0</v>
      </c>
      <c r="AB182" s="133" t="s">
        <v>518</v>
      </c>
    </row>
    <row r="183" spans="1:31" ht="13">
      <c r="B183" s="132"/>
      <c r="C183" s="138"/>
      <c r="D183" s="139"/>
      <c r="E183" s="140"/>
      <c r="F183" s="139"/>
      <c r="G183" s="140"/>
      <c r="I183" s="140"/>
      <c r="J183" s="139"/>
      <c r="K183" s="140"/>
      <c r="L183" s="139"/>
      <c r="M183" s="140"/>
      <c r="N183" s="139"/>
      <c r="O183" s="138"/>
      <c r="P183" s="139"/>
      <c r="Q183" s="140"/>
      <c r="R183" s="139"/>
      <c r="S183" s="138"/>
      <c r="T183" s="139"/>
      <c r="U183" s="140"/>
      <c r="V183" s="162"/>
      <c r="W183" s="177"/>
      <c r="X183" s="133">
        <f>COUNTIF(C183:U183,"U/P")</f>
        <v>0</v>
      </c>
      <c r="Y183" s="133">
        <v>0</v>
      </c>
      <c r="Z183" s="133">
        <v>0</v>
      </c>
      <c r="AB183" s="133" t="s">
        <v>278</v>
      </c>
    </row>
    <row r="184" spans="1:31">
      <c r="B184" s="132"/>
      <c r="C184" s="141"/>
      <c r="D184" s="139"/>
      <c r="E184" s="141"/>
      <c r="F184" s="139"/>
      <c r="G184" s="141"/>
      <c r="I184" s="141"/>
      <c r="J184" s="139"/>
      <c r="K184" s="141"/>
      <c r="L184" s="139"/>
      <c r="M184" s="141"/>
      <c r="N184" s="139"/>
      <c r="O184" s="141"/>
      <c r="P184" s="139"/>
      <c r="Q184" s="141"/>
      <c r="R184" s="139"/>
      <c r="S184" s="141"/>
      <c r="T184" s="139"/>
      <c r="U184" s="141"/>
      <c r="V184" s="162"/>
      <c r="W184" s="177"/>
      <c r="X184" s="133">
        <f>COUNTIF(C182:U182,"ROW")</f>
        <v>0</v>
      </c>
      <c r="Y184" s="133">
        <v>0</v>
      </c>
      <c r="Z184" s="133">
        <v>0</v>
      </c>
      <c r="AB184" s="133" t="s">
        <v>228</v>
      </c>
    </row>
    <row r="185" spans="1:31" ht="13">
      <c r="B185" s="132"/>
      <c r="C185" s="144" t="s">
        <v>333</v>
      </c>
      <c r="E185" s="144" t="s">
        <v>334</v>
      </c>
      <c r="G185" s="384" t="s">
        <v>335</v>
      </c>
      <c r="I185" s="144" t="s">
        <v>336</v>
      </c>
      <c r="K185" s="384" t="s">
        <v>337</v>
      </c>
      <c r="M185" s="384" t="s">
        <v>338</v>
      </c>
      <c r="O185" s="384" t="s">
        <v>339</v>
      </c>
      <c r="Q185" s="144" t="s">
        <v>340</v>
      </c>
      <c r="S185" s="384" t="s">
        <v>281</v>
      </c>
      <c r="U185" s="144" t="s">
        <v>341</v>
      </c>
      <c r="W185" s="177"/>
    </row>
    <row r="186" spans="1:31" ht="13">
      <c r="B186" s="132"/>
      <c r="C186" s="144" t="s">
        <v>330</v>
      </c>
      <c r="E186" s="144" t="s">
        <v>342</v>
      </c>
      <c r="G186" s="145" t="s">
        <v>182</v>
      </c>
      <c r="I186" s="144" t="s">
        <v>343</v>
      </c>
      <c r="K186" s="145" t="s">
        <v>248</v>
      </c>
      <c r="M186" s="145" t="s">
        <v>182</v>
      </c>
      <c r="O186" s="145" t="s">
        <v>248</v>
      </c>
      <c r="Q186" s="144" t="s">
        <v>319</v>
      </c>
      <c r="S186" s="145" t="s">
        <v>248</v>
      </c>
      <c r="U186" s="144" t="s">
        <v>344</v>
      </c>
      <c r="W186" s="177"/>
    </row>
    <row r="187" spans="1:31" ht="13">
      <c r="B187" s="132"/>
      <c r="G187" s="160" t="s">
        <v>331</v>
      </c>
      <c r="I187" s="144"/>
      <c r="K187" s="1519" t="s">
        <v>703</v>
      </c>
      <c r="L187" s="1520"/>
      <c r="M187" s="1520"/>
      <c r="N187" s="1520"/>
      <c r="O187" s="1520"/>
      <c r="P187" s="1520"/>
      <c r="Q187" s="1520"/>
      <c r="R187" s="1520"/>
      <c r="S187" s="1520"/>
      <c r="T187" s="1520"/>
      <c r="U187" s="1529"/>
      <c r="W187" s="177"/>
    </row>
    <row r="188" spans="1:31">
      <c r="B188" s="132"/>
      <c r="W188" s="177"/>
    </row>
    <row r="189" spans="1:31">
      <c r="B189" s="132"/>
      <c r="C189" s="133">
        <f>U180+1</f>
        <v>211</v>
      </c>
      <c r="E189" s="133">
        <f>C189+1</f>
        <v>212</v>
      </c>
      <c r="G189" s="133">
        <f>E189+1</f>
        <v>213</v>
      </c>
      <c r="I189" s="133">
        <f>G189+1</f>
        <v>214</v>
      </c>
      <c r="K189" s="133">
        <f>I189+1</f>
        <v>215</v>
      </c>
      <c r="M189" s="133">
        <f>K189+1</f>
        <v>216</v>
      </c>
      <c r="O189" s="133">
        <f>M189+1</f>
        <v>217</v>
      </c>
      <c r="Q189" s="133">
        <f>O189+1</f>
        <v>218</v>
      </c>
      <c r="S189" s="133">
        <f>Q189+1</f>
        <v>219</v>
      </c>
      <c r="U189" s="161">
        <f>S189+1</f>
        <v>220</v>
      </c>
      <c r="W189" s="177"/>
    </row>
    <row r="190" spans="1:31">
      <c r="B190" s="132"/>
      <c r="W190" s="178"/>
      <c r="AE190" s="135">
        <f>SUM(D190:V190)</f>
        <v>0</v>
      </c>
    </row>
    <row r="191" spans="1:31">
      <c r="A191" s="133">
        <f>A182+1</f>
        <v>22</v>
      </c>
      <c r="B191" s="132"/>
      <c r="C191" s="135"/>
      <c r="D191" s="135">
        <v>347.88</v>
      </c>
      <c r="E191" s="135"/>
      <c r="F191" s="135">
        <v>379.25</v>
      </c>
      <c r="H191" s="135">
        <v>398.7</v>
      </c>
      <c r="J191" s="135">
        <v>439.06</v>
      </c>
      <c r="L191" s="135">
        <v>381.53</v>
      </c>
      <c r="M191" s="135"/>
      <c r="N191" s="135">
        <v>379.71</v>
      </c>
      <c r="P191" s="135">
        <v>387.43</v>
      </c>
      <c r="Q191" s="135"/>
      <c r="R191" s="135">
        <v>426.3</v>
      </c>
      <c r="S191" s="135"/>
      <c r="T191" s="135">
        <v>387.14</v>
      </c>
      <c r="V191" s="135">
        <v>392.93</v>
      </c>
      <c r="W191" s="178"/>
      <c r="X191" s="133">
        <f>COUNTIF(C191:U191,"F")</f>
        <v>0</v>
      </c>
      <c r="Y191" s="133">
        <f>COUNTIF(C190:U190,"E")</f>
        <v>0</v>
      </c>
      <c r="Z191" s="133">
        <f>COUNTIF(C192:V192,"Er")</f>
        <v>0</v>
      </c>
      <c r="AB191" s="133" t="s">
        <v>518</v>
      </c>
    </row>
    <row r="192" spans="1:31">
      <c r="B192" s="132"/>
      <c r="C192" s="140"/>
      <c r="D192" s="139"/>
      <c r="E192" s="140"/>
      <c r="F192" s="139"/>
      <c r="G192" s="140"/>
      <c r="I192" s="140"/>
      <c r="J192" s="139"/>
      <c r="K192" s="140"/>
      <c r="L192" s="139"/>
      <c r="M192" s="140"/>
      <c r="N192" s="139"/>
      <c r="O192" s="140"/>
      <c r="P192" s="139"/>
      <c r="Q192" s="140"/>
      <c r="R192" s="139"/>
      <c r="S192" s="140"/>
      <c r="T192" s="139"/>
      <c r="U192" s="140"/>
      <c r="V192" s="162"/>
      <c r="W192" s="177"/>
      <c r="X192" s="133">
        <f>COUNTIF(C192:U192,"U/P")</f>
        <v>0</v>
      </c>
      <c r="Y192" s="133">
        <v>0</v>
      </c>
      <c r="Z192" s="133">
        <v>0</v>
      </c>
      <c r="AB192" s="133" t="s">
        <v>278</v>
      </c>
    </row>
    <row r="193" spans="1:31">
      <c r="B193" s="132"/>
      <c r="C193" s="141"/>
      <c r="D193" s="139"/>
      <c r="E193" s="141"/>
      <c r="F193" s="139"/>
      <c r="G193" s="141"/>
      <c r="I193" s="141"/>
      <c r="J193" s="139"/>
      <c r="K193" s="141"/>
      <c r="L193" s="139"/>
      <c r="M193" s="141"/>
      <c r="N193" s="139"/>
      <c r="O193" s="141"/>
      <c r="P193" s="139"/>
      <c r="Q193" s="141"/>
      <c r="R193" s="139"/>
      <c r="S193" s="141"/>
      <c r="T193" s="139"/>
      <c r="U193" s="141"/>
      <c r="V193" s="162"/>
      <c r="W193" s="177"/>
      <c r="X193" s="133">
        <f>COUNTIF(C191:U191,"ROW")</f>
        <v>0</v>
      </c>
      <c r="Y193" s="133">
        <v>0</v>
      </c>
      <c r="Z193" s="133">
        <v>0</v>
      </c>
      <c r="AB193" s="133" t="s">
        <v>228</v>
      </c>
    </row>
    <row r="194" spans="1:31" ht="13">
      <c r="B194" s="132"/>
      <c r="C194" s="384" t="s">
        <v>346</v>
      </c>
      <c r="E194" s="384" t="s">
        <v>347</v>
      </c>
      <c r="G194" s="384" t="s">
        <v>348</v>
      </c>
      <c r="I194" s="384" t="s">
        <v>282</v>
      </c>
      <c r="K194" s="384" t="s">
        <v>283</v>
      </c>
      <c r="M194" s="144" t="s">
        <v>349</v>
      </c>
      <c r="O194" s="384" t="s">
        <v>350</v>
      </c>
      <c r="Q194" s="384" t="s">
        <v>704</v>
      </c>
      <c r="S194" s="144" t="s">
        <v>351</v>
      </c>
      <c r="U194" s="384" t="s">
        <v>352</v>
      </c>
      <c r="W194" s="177"/>
    </row>
    <row r="195" spans="1:31" ht="13">
      <c r="B195" s="132"/>
      <c r="C195" s="145" t="s">
        <v>182</v>
      </c>
      <c r="E195" s="145" t="s">
        <v>182</v>
      </c>
      <c r="G195" s="145" t="s">
        <v>295</v>
      </c>
      <c r="I195" s="145" t="s">
        <v>318</v>
      </c>
      <c r="K195" s="145" t="s">
        <v>318</v>
      </c>
      <c r="M195" s="144" t="s">
        <v>319</v>
      </c>
      <c r="O195" s="145" t="s">
        <v>182</v>
      </c>
      <c r="Q195" s="145" t="s">
        <v>248</v>
      </c>
      <c r="S195" s="144" t="s">
        <v>330</v>
      </c>
      <c r="U195" s="145" t="s">
        <v>248</v>
      </c>
      <c r="W195" s="177"/>
    </row>
    <row r="196" spans="1:31">
      <c r="B196" s="132"/>
      <c r="C196" s="1519" t="s">
        <v>703</v>
      </c>
      <c r="D196" s="1520"/>
      <c r="E196" s="1520"/>
      <c r="F196" s="1520"/>
      <c r="G196" s="1520"/>
      <c r="H196" s="1520"/>
      <c r="I196" s="1520"/>
      <c r="J196" s="1520"/>
      <c r="K196" s="1520"/>
      <c r="L196" s="1520"/>
      <c r="M196" s="1520"/>
      <c r="N196" s="1520"/>
      <c r="O196" s="1520"/>
      <c r="P196" s="1520"/>
      <c r="Q196" s="1520"/>
      <c r="R196" s="1520"/>
      <c r="S196" s="1520"/>
      <c r="T196" s="1520"/>
      <c r="U196" s="1529"/>
      <c r="W196" s="177"/>
    </row>
    <row r="197" spans="1:31">
      <c r="B197" s="132"/>
      <c r="C197" s="133">
        <f>U189+1</f>
        <v>221</v>
      </c>
      <c r="E197" s="133">
        <f>C197+1</f>
        <v>222</v>
      </c>
      <c r="G197" s="133">
        <f>E197+1</f>
        <v>223</v>
      </c>
      <c r="I197" s="133">
        <f>G197+1</f>
        <v>224</v>
      </c>
      <c r="K197" s="133">
        <f>I197+1</f>
        <v>225</v>
      </c>
      <c r="M197" s="133">
        <f>K197+1</f>
        <v>226</v>
      </c>
      <c r="O197" s="133">
        <f>M197+1</f>
        <v>227</v>
      </c>
      <c r="Q197" s="133">
        <f>O197+1</f>
        <v>228</v>
      </c>
      <c r="S197" s="133">
        <f>Q197+1</f>
        <v>229</v>
      </c>
      <c r="U197" s="161">
        <f>S197+1</f>
        <v>230</v>
      </c>
      <c r="W197" s="177"/>
    </row>
    <row r="198" spans="1:31">
      <c r="B198" s="132"/>
      <c r="W198" s="178"/>
      <c r="AE198" s="135">
        <f>SUM(D198:V198)</f>
        <v>0</v>
      </c>
    </row>
    <row r="199" spans="1:31">
      <c r="A199" s="133">
        <f>A191+1</f>
        <v>23</v>
      </c>
      <c r="B199" s="132"/>
      <c r="C199" s="135"/>
      <c r="D199" s="135">
        <v>423.77</v>
      </c>
      <c r="E199" s="135"/>
      <c r="F199" s="135">
        <v>407.9</v>
      </c>
      <c r="H199" s="135">
        <v>426.63</v>
      </c>
      <c r="J199" s="135">
        <v>392.27</v>
      </c>
      <c r="L199" s="135">
        <v>431.96</v>
      </c>
      <c r="M199" s="135"/>
      <c r="N199" s="135">
        <v>426.02</v>
      </c>
      <c r="P199" s="135">
        <v>405.36</v>
      </c>
      <c r="Q199" s="135"/>
      <c r="R199" s="135">
        <v>411.93</v>
      </c>
      <c r="S199" s="135"/>
      <c r="T199" s="135">
        <v>350.33</v>
      </c>
      <c r="V199" s="135">
        <v>378.3</v>
      </c>
      <c r="W199" s="178"/>
      <c r="X199" s="133">
        <f>COUNTIF(C199:U199,"F")</f>
        <v>0</v>
      </c>
      <c r="Y199" s="133">
        <f>COUNTIF(C198:U198,"E")</f>
        <v>0</v>
      </c>
      <c r="Z199" s="133">
        <f>COUNTIF(C200:V200,"Er")</f>
        <v>0</v>
      </c>
      <c r="AB199" s="133" t="s">
        <v>518</v>
      </c>
    </row>
    <row r="200" spans="1:31">
      <c r="B200" s="132"/>
      <c r="C200" s="140"/>
      <c r="D200" s="139"/>
      <c r="E200" s="140"/>
      <c r="F200" s="139"/>
      <c r="G200" s="140"/>
      <c r="I200" s="140"/>
      <c r="J200" s="139"/>
      <c r="K200" s="140"/>
      <c r="L200" s="139"/>
      <c r="M200" s="140"/>
      <c r="N200" s="139"/>
      <c r="O200" s="140"/>
      <c r="P200" s="139"/>
      <c r="Q200" s="140"/>
      <c r="R200" s="139"/>
      <c r="S200" s="141" t="s">
        <v>390</v>
      </c>
      <c r="T200" s="139"/>
      <c r="U200" s="140"/>
      <c r="V200" s="162"/>
      <c r="W200" s="177"/>
      <c r="X200" s="133">
        <f>COUNTIF(C200:U200,"U/P")</f>
        <v>1</v>
      </c>
      <c r="Y200" s="133">
        <v>0</v>
      </c>
      <c r="Z200" s="133">
        <v>0</v>
      </c>
      <c r="AB200" s="133" t="s">
        <v>278</v>
      </c>
    </row>
    <row r="201" spans="1:31">
      <c r="B201" s="132"/>
      <c r="C201" s="141"/>
      <c r="D201" s="139"/>
      <c r="E201" s="141"/>
      <c r="F201" s="139"/>
      <c r="G201" s="141"/>
      <c r="I201" s="141"/>
      <c r="J201" s="139"/>
      <c r="K201" s="141"/>
      <c r="L201" s="139"/>
      <c r="M201" s="141"/>
      <c r="N201" s="139"/>
      <c r="O201" s="141"/>
      <c r="P201" s="139"/>
      <c r="Q201" s="141"/>
      <c r="R201" s="139"/>
      <c r="S201" s="141"/>
      <c r="T201" s="139"/>
      <c r="U201" s="141"/>
      <c r="V201" s="162"/>
      <c r="W201" s="177"/>
      <c r="X201" s="133">
        <f>COUNTIF(C199:U199,"ROW")</f>
        <v>0</v>
      </c>
      <c r="Y201" s="133">
        <v>0</v>
      </c>
      <c r="Z201" s="133">
        <v>0</v>
      </c>
      <c r="AB201" s="133" t="s">
        <v>228</v>
      </c>
    </row>
    <row r="202" spans="1:31" ht="13">
      <c r="B202" s="132"/>
      <c r="C202" s="384" t="s">
        <v>353</v>
      </c>
      <c r="E202" s="384" t="s">
        <v>274</v>
      </c>
      <c r="G202" s="384" t="s">
        <v>275</v>
      </c>
      <c r="I202" s="384" t="s">
        <v>355</v>
      </c>
      <c r="K202" s="384" t="s">
        <v>284</v>
      </c>
      <c r="M202" s="144" t="s">
        <v>705</v>
      </c>
      <c r="O202" s="384" t="s">
        <v>357</v>
      </c>
      <c r="Q202" s="144" t="s">
        <v>706</v>
      </c>
      <c r="S202" s="384" t="s">
        <v>247</v>
      </c>
      <c r="U202" s="144" t="s">
        <v>707</v>
      </c>
      <c r="W202" s="177"/>
    </row>
    <row r="203" spans="1:31" ht="13">
      <c r="B203" s="132"/>
      <c r="C203" s="145" t="s">
        <v>248</v>
      </c>
      <c r="E203" s="145" t="s">
        <v>248</v>
      </c>
      <c r="G203" s="145" t="s">
        <v>248</v>
      </c>
      <c r="I203" s="145" t="s">
        <v>185</v>
      </c>
      <c r="K203" s="145" t="s">
        <v>185</v>
      </c>
      <c r="M203" s="144" t="s">
        <v>319</v>
      </c>
      <c r="O203" s="145" t="s">
        <v>132</v>
      </c>
      <c r="Q203" s="144" t="s">
        <v>529</v>
      </c>
      <c r="S203" s="145" t="s">
        <v>318</v>
      </c>
      <c r="U203" s="144" t="s">
        <v>319</v>
      </c>
      <c r="W203" s="177"/>
    </row>
    <row r="204" spans="1:31">
      <c r="B204" s="132"/>
      <c r="C204" s="1519" t="s">
        <v>703</v>
      </c>
      <c r="D204" s="1520"/>
      <c r="E204" s="1520"/>
      <c r="F204" s="1520"/>
      <c r="G204" s="1520"/>
      <c r="H204" s="1520"/>
      <c r="I204" s="1520"/>
      <c r="J204" s="1520"/>
      <c r="K204" s="1520"/>
      <c r="L204" s="1520"/>
      <c r="M204" s="1520"/>
      <c r="N204" s="1520"/>
      <c r="O204" s="1520"/>
      <c r="P204" s="1520"/>
      <c r="Q204" s="1520"/>
      <c r="R204" s="1520"/>
      <c r="S204" s="1520"/>
      <c r="T204" s="1520"/>
      <c r="U204" s="1529"/>
      <c r="W204" s="177"/>
    </row>
    <row r="205" spans="1:31">
      <c r="B205" s="132"/>
      <c r="K205" s="133" t="s">
        <v>592</v>
      </c>
      <c r="W205" s="177"/>
    </row>
    <row r="206" spans="1:31">
      <c r="B206" s="132"/>
      <c r="C206" s="133">
        <f>U197+1</f>
        <v>231</v>
      </c>
      <c r="E206" s="133">
        <f>C206+1</f>
        <v>232</v>
      </c>
      <c r="G206" s="133">
        <f>E206+1</f>
        <v>233</v>
      </c>
      <c r="I206" s="133">
        <f>G206+1</f>
        <v>234</v>
      </c>
      <c r="K206" s="133">
        <f>I206+1</f>
        <v>235</v>
      </c>
      <c r="M206" s="133">
        <f>K206+1</f>
        <v>236</v>
      </c>
      <c r="O206" s="133">
        <f>M206+1</f>
        <v>237</v>
      </c>
      <c r="Q206" s="133">
        <f>O206+1</f>
        <v>238</v>
      </c>
      <c r="S206" s="133">
        <f>Q206+1</f>
        <v>239</v>
      </c>
      <c r="U206" s="161">
        <f>S206+1</f>
        <v>240</v>
      </c>
      <c r="W206" s="177"/>
    </row>
    <row r="207" spans="1:31">
      <c r="B207" s="132"/>
      <c r="W207" s="178"/>
      <c r="AE207" s="135">
        <f>SUM(D207:V207)</f>
        <v>0</v>
      </c>
    </row>
    <row r="208" spans="1:31">
      <c r="A208" s="133">
        <f>A199+1</f>
        <v>24</v>
      </c>
      <c r="B208" s="132"/>
      <c r="C208" s="135"/>
      <c r="D208" s="135">
        <v>387.92</v>
      </c>
      <c r="E208" s="135"/>
      <c r="F208" s="135">
        <v>418.48</v>
      </c>
      <c r="H208" s="135">
        <v>408.62</v>
      </c>
      <c r="J208" s="135">
        <v>432.92</v>
      </c>
      <c r="L208" s="135">
        <v>430.33</v>
      </c>
      <c r="M208" s="135"/>
      <c r="N208" s="135">
        <v>379.76</v>
      </c>
      <c r="P208" s="135">
        <v>387.45</v>
      </c>
      <c r="Q208" s="135"/>
      <c r="R208" s="135">
        <v>425.67</v>
      </c>
      <c r="S208" s="135"/>
      <c r="T208" s="135">
        <v>351.42</v>
      </c>
      <c r="V208" s="135">
        <v>389.3</v>
      </c>
      <c r="W208" s="178"/>
      <c r="X208" s="133">
        <f>COUNTIF(C208:U208,"F")</f>
        <v>0</v>
      </c>
      <c r="Y208" s="133">
        <f>COUNTIF(C207:U207,"E")</f>
        <v>0</v>
      </c>
      <c r="Z208" s="133">
        <f>COUNTIF(C209:V209,"Er")</f>
        <v>0</v>
      </c>
      <c r="AB208" s="133" t="s">
        <v>518</v>
      </c>
    </row>
    <row r="209" spans="1:31">
      <c r="B209" s="132"/>
      <c r="C209" s="140"/>
      <c r="D209" s="139"/>
      <c r="E209" s="140"/>
      <c r="F209" s="139"/>
      <c r="G209" s="140"/>
      <c r="I209" s="140"/>
      <c r="J209" s="139"/>
      <c r="K209" s="140"/>
      <c r="L209" s="139"/>
      <c r="M209" s="140"/>
      <c r="N209" s="139"/>
      <c r="O209" s="140"/>
      <c r="P209" s="139"/>
      <c r="Q209" s="140"/>
      <c r="R209" s="139"/>
      <c r="S209" s="140"/>
      <c r="T209" s="139"/>
      <c r="U209" s="140"/>
      <c r="V209" s="162"/>
      <c r="W209" s="177"/>
      <c r="X209" s="133">
        <f>COUNTIF(C209:U209,"U/P")</f>
        <v>0</v>
      </c>
      <c r="Y209" s="133">
        <v>0</v>
      </c>
      <c r="Z209" s="133">
        <v>0</v>
      </c>
      <c r="AB209" s="133" t="s">
        <v>278</v>
      </c>
    </row>
    <row r="210" spans="1:31">
      <c r="B210" s="132"/>
      <c r="C210" s="141"/>
      <c r="D210" s="139"/>
      <c r="E210" s="141"/>
      <c r="F210" s="139"/>
      <c r="G210" s="141"/>
      <c r="I210" s="141"/>
      <c r="J210" s="139"/>
      <c r="K210" s="141"/>
      <c r="L210" s="139"/>
      <c r="M210" s="141"/>
      <c r="N210" s="139"/>
      <c r="O210" s="141"/>
      <c r="P210" s="139"/>
      <c r="Q210" s="141"/>
      <c r="R210" s="139"/>
      <c r="S210" s="141"/>
      <c r="T210" s="139"/>
      <c r="U210" s="141"/>
      <c r="V210" s="162"/>
      <c r="W210" s="177"/>
      <c r="X210" s="133">
        <f>COUNTIF(C208:U208,"ROW")</f>
        <v>0</v>
      </c>
      <c r="Y210" s="133">
        <v>0</v>
      </c>
      <c r="Z210" s="133">
        <v>0</v>
      </c>
      <c r="AB210" s="133" t="s">
        <v>228</v>
      </c>
    </row>
    <row r="211" spans="1:31" ht="13">
      <c r="B211" s="132"/>
      <c r="C211" s="384" t="s">
        <v>359</v>
      </c>
      <c r="E211" s="384" t="s">
        <v>360</v>
      </c>
      <c r="G211" s="384" t="s">
        <v>708</v>
      </c>
      <c r="I211" s="384" t="s">
        <v>709</v>
      </c>
      <c r="K211" s="384" t="s">
        <v>710</v>
      </c>
      <c r="M211" s="144" t="s">
        <v>361</v>
      </c>
      <c r="O211" s="144" t="s">
        <v>362</v>
      </c>
      <c r="Q211" s="384" t="s">
        <v>363</v>
      </c>
      <c r="S211" s="384" t="s">
        <v>364</v>
      </c>
      <c r="U211" s="384" t="s">
        <v>365</v>
      </c>
      <c r="W211" s="177"/>
    </row>
    <row r="212" spans="1:31" ht="13">
      <c r="B212" s="132"/>
      <c r="C212" s="145" t="s">
        <v>182</v>
      </c>
      <c r="E212" s="145" t="s">
        <v>242</v>
      </c>
      <c r="G212" s="145" t="s">
        <v>248</v>
      </c>
      <c r="I212" s="145" t="s">
        <v>317</v>
      </c>
      <c r="K212" s="145" t="s">
        <v>182</v>
      </c>
      <c r="M212" s="144" t="s">
        <v>330</v>
      </c>
      <c r="O212" s="144" t="s">
        <v>342</v>
      </c>
      <c r="Q212" s="145" t="s">
        <v>182</v>
      </c>
      <c r="S212" s="145" t="s">
        <v>182</v>
      </c>
      <c r="U212" s="145" t="s">
        <v>317</v>
      </c>
      <c r="W212" s="177"/>
    </row>
    <row r="213" spans="1:31">
      <c r="B213" s="132"/>
      <c r="C213" s="1519" t="s">
        <v>703</v>
      </c>
      <c r="D213" s="1520"/>
      <c r="E213" s="1520"/>
      <c r="F213" s="1520"/>
      <c r="G213" s="1520"/>
      <c r="H213" s="1520"/>
      <c r="I213" s="1520"/>
      <c r="J213" s="1520"/>
      <c r="K213" s="1520"/>
      <c r="L213" s="1520"/>
      <c r="M213" s="1520"/>
      <c r="N213" s="1520"/>
      <c r="O213" s="1520"/>
      <c r="P213" s="1520"/>
      <c r="Q213" s="1520"/>
      <c r="R213" s="1520"/>
      <c r="S213" s="1520"/>
      <c r="T213" s="1520"/>
      <c r="U213" s="1529"/>
      <c r="W213" s="177"/>
    </row>
    <row r="214" spans="1:31">
      <c r="B214" s="132"/>
      <c r="C214" s="133">
        <f>U206+1</f>
        <v>241</v>
      </c>
      <c r="E214" s="133">
        <f>C214+1</f>
        <v>242</v>
      </c>
      <c r="G214" s="133">
        <f>E214+1</f>
        <v>243</v>
      </c>
      <c r="I214" s="133">
        <f>G214+1</f>
        <v>244</v>
      </c>
      <c r="K214" s="133">
        <f>I214+1</f>
        <v>245</v>
      </c>
      <c r="M214" s="133">
        <f>K214+1</f>
        <v>246</v>
      </c>
      <c r="O214" s="133">
        <f>M214+1</f>
        <v>247</v>
      </c>
      <c r="Q214" s="133">
        <f>O214+1</f>
        <v>248</v>
      </c>
      <c r="S214" s="133">
        <f>Q214+1</f>
        <v>249</v>
      </c>
      <c r="U214" s="161">
        <f>S214+1</f>
        <v>250</v>
      </c>
      <c r="W214" s="177"/>
    </row>
    <row r="215" spans="1:31">
      <c r="B215" s="132"/>
      <c r="W215" s="178"/>
      <c r="AE215" s="135">
        <f>SUM(D215:V215)</f>
        <v>0</v>
      </c>
    </row>
    <row r="216" spans="1:31">
      <c r="A216" s="133">
        <f>A208+1</f>
        <v>25</v>
      </c>
      <c r="B216" s="132"/>
      <c r="C216" s="135"/>
      <c r="D216" s="135">
        <v>416.82</v>
      </c>
      <c r="E216" s="135"/>
      <c r="F216" s="135">
        <v>371.85</v>
      </c>
      <c r="H216" s="135">
        <v>404.03</v>
      </c>
      <c r="J216" s="135">
        <v>422.11</v>
      </c>
      <c r="L216" s="135">
        <v>388.48</v>
      </c>
      <c r="M216" s="135"/>
      <c r="N216" s="135">
        <v>455.28</v>
      </c>
      <c r="P216" s="135">
        <v>464.05</v>
      </c>
      <c r="Q216" s="135"/>
      <c r="R216" s="135">
        <v>376.87</v>
      </c>
      <c r="S216" s="135"/>
      <c r="T216" s="135">
        <v>415.71</v>
      </c>
      <c r="V216" s="135">
        <v>409.51</v>
      </c>
      <c r="W216" s="178"/>
      <c r="X216" s="133">
        <f>COUNTIF(C216:U216,"F")</f>
        <v>0</v>
      </c>
      <c r="Y216" s="133">
        <f>COUNTIF(C215:U215,"E")</f>
        <v>0</v>
      </c>
      <c r="Z216" s="133">
        <f>COUNTIF(C217:V217,"Er")</f>
        <v>0</v>
      </c>
      <c r="AB216" s="133" t="s">
        <v>518</v>
      </c>
    </row>
    <row r="217" spans="1:31">
      <c r="B217" s="132"/>
      <c r="C217" s="140"/>
      <c r="D217" s="139"/>
      <c r="E217" s="140"/>
      <c r="F217" s="139"/>
      <c r="G217" s="140"/>
      <c r="I217" s="140"/>
      <c r="J217" s="139"/>
      <c r="K217" s="140"/>
      <c r="L217" s="139"/>
      <c r="M217" s="140"/>
      <c r="N217" s="139"/>
      <c r="O217" s="140"/>
      <c r="P217" s="139"/>
      <c r="Q217" s="140"/>
      <c r="R217" s="139"/>
      <c r="S217" s="140"/>
      <c r="T217" s="139"/>
      <c r="U217" s="140"/>
      <c r="V217" s="162"/>
      <c r="W217" s="177"/>
      <c r="X217" s="133">
        <f>COUNTIF(C217:U217,"U/P")</f>
        <v>0</v>
      </c>
      <c r="Y217" s="133">
        <v>0</v>
      </c>
      <c r="Z217" s="133">
        <v>0</v>
      </c>
      <c r="AB217" s="133" t="s">
        <v>278</v>
      </c>
    </row>
    <row r="218" spans="1:31">
      <c r="B218" s="132"/>
      <c r="C218" s="141"/>
      <c r="D218" s="139"/>
      <c r="E218" s="141"/>
      <c r="F218" s="139"/>
      <c r="G218" s="141"/>
      <c r="I218" s="141"/>
      <c r="J218" s="139"/>
      <c r="K218" s="141"/>
      <c r="L218" s="139"/>
      <c r="M218" s="141"/>
      <c r="N218" s="139"/>
      <c r="O218" s="141"/>
      <c r="P218" s="139"/>
      <c r="Q218" s="141"/>
      <c r="R218" s="139"/>
      <c r="S218" s="141"/>
      <c r="T218" s="139"/>
      <c r="U218" s="141"/>
      <c r="V218" s="162"/>
      <c r="W218" s="177"/>
      <c r="X218" s="133">
        <f>COUNTIF(C216:U216,"ROW")</f>
        <v>0</v>
      </c>
      <c r="Y218" s="133">
        <v>0</v>
      </c>
      <c r="Z218" s="133">
        <v>0</v>
      </c>
      <c r="AB218" s="133" t="s">
        <v>228</v>
      </c>
    </row>
    <row r="219" spans="1:31" ht="13">
      <c r="B219" s="132"/>
      <c r="C219" s="144" t="s">
        <v>711</v>
      </c>
      <c r="E219" s="144" t="s">
        <v>367</v>
      </c>
      <c r="G219" s="384" t="s">
        <v>287</v>
      </c>
      <c r="I219" s="384" t="s">
        <v>368</v>
      </c>
      <c r="K219" s="144" t="s">
        <v>370</v>
      </c>
      <c r="M219" s="384" t="s">
        <v>371</v>
      </c>
      <c r="O219" s="384" t="s">
        <v>372</v>
      </c>
      <c r="Q219" s="144" t="s">
        <v>373</v>
      </c>
      <c r="S219" s="384" t="s">
        <v>288</v>
      </c>
      <c r="U219" s="384" t="s">
        <v>259</v>
      </c>
      <c r="W219" s="177"/>
    </row>
    <row r="220" spans="1:31" ht="13">
      <c r="B220" s="132"/>
      <c r="C220" s="144" t="s">
        <v>343</v>
      </c>
      <c r="E220" s="144" t="s">
        <v>344</v>
      </c>
      <c r="G220" s="145" t="s">
        <v>317</v>
      </c>
      <c r="I220" s="145" t="s">
        <v>296</v>
      </c>
      <c r="K220" s="144" t="s">
        <v>529</v>
      </c>
      <c r="M220" s="145" t="s">
        <v>318</v>
      </c>
      <c r="O220" s="145" t="s">
        <v>296</v>
      </c>
      <c r="Q220" s="144" t="s">
        <v>344</v>
      </c>
      <c r="S220" s="145" t="s">
        <v>295</v>
      </c>
      <c r="U220" s="145" t="s">
        <v>295</v>
      </c>
      <c r="W220" s="177"/>
    </row>
    <row r="221" spans="1:31">
      <c r="B221" s="272"/>
      <c r="C221" s="1516" t="s">
        <v>703</v>
      </c>
      <c r="D221" s="1517"/>
      <c r="E221" s="1517"/>
      <c r="F221" s="1517"/>
      <c r="G221" s="1517"/>
      <c r="H221" s="1517"/>
      <c r="I221" s="1517"/>
      <c r="J221" s="1517"/>
      <c r="K221" s="1517"/>
      <c r="L221" s="1517"/>
      <c r="M221" s="1517"/>
      <c r="N221" s="1517"/>
      <c r="O221" s="1517"/>
      <c r="P221" s="1517"/>
      <c r="Q221" s="1517"/>
      <c r="R221" s="1517"/>
      <c r="S221" s="1517"/>
      <c r="T221" s="1517"/>
      <c r="U221" s="1518"/>
      <c r="V221" s="172"/>
      <c r="W221" s="274"/>
    </row>
    <row r="222" spans="1:31">
      <c r="B222" s="152"/>
      <c r="C222" s="175">
        <f>U214+1</f>
        <v>251</v>
      </c>
      <c r="D222" s="175"/>
      <c r="E222" s="175">
        <f>C222+1</f>
        <v>252</v>
      </c>
      <c r="F222" s="175"/>
      <c r="G222" s="175">
        <f>E222+1</f>
        <v>253</v>
      </c>
      <c r="H222" s="175"/>
      <c r="I222" s="175">
        <f>G222+1</f>
        <v>254</v>
      </c>
      <c r="J222" s="175"/>
      <c r="K222" s="175">
        <f>I222+1</f>
        <v>255</v>
      </c>
      <c r="L222" s="175"/>
      <c r="M222" s="175">
        <f>K222+1</f>
        <v>256</v>
      </c>
      <c r="N222" s="175"/>
      <c r="O222" s="175">
        <f>M222+1</f>
        <v>257</v>
      </c>
      <c r="P222" s="175"/>
      <c r="Q222" s="175">
        <f>O222+1</f>
        <v>258</v>
      </c>
      <c r="R222" s="175"/>
      <c r="S222" s="175">
        <f>Q222+1</f>
        <v>259</v>
      </c>
      <c r="T222" s="175"/>
      <c r="U222" s="279">
        <f>S222+1</f>
        <v>260</v>
      </c>
      <c r="V222" s="175"/>
      <c r="W222" s="176"/>
    </row>
    <row r="223" spans="1:31">
      <c r="B223" s="132"/>
      <c r="W223" s="178"/>
      <c r="AE223" s="135">
        <f>SUM(D223:V223)</f>
        <v>0</v>
      </c>
    </row>
    <row r="224" spans="1:31">
      <c r="A224" s="133">
        <f>A216+1</f>
        <v>26</v>
      </c>
      <c r="B224" s="132"/>
      <c r="C224" s="135"/>
      <c r="D224" s="135">
        <v>385.17</v>
      </c>
      <c r="E224" s="135"/>
      <c r="F224" s="135">
        <v>345.19</v>
      </c>
      <c r="H224" s="135">
        <v>332.38</v>
      </c>
      <c r="J224" s="135">
        <v>393.62</v>
      </c>
      <c r="L224" s="135">
        <v>387.95</v>
      </c>
      <c r="M224" s="135"/>
      <c r="N224" s="135">
        <v>340.35</v>
      </c>
      <c r="P224" s="135">
        <v>393.12</v>
      </c>
      <c r="Q224" s="135"/>
      <c r="R224" s="135">
        <v>328.54</v>
      </c>
      <c r="S224" s="135"/>
      <c r="T224" s="135">
        <v>398.52</v>
      </c>
      <c r="V224" s="135">
        <v>425.85</v>
      </c>
      <c r="W224" s="178"/>
      <c r="X224" s="133">
        <f>COUNTIF(C225:U225,"F")</f>
        <v>6</v>
      </c>
      <c r="Y224" s="133">
        <f>COUNTIF(C223:U223,"E")</f>
        <v>0</v>
      </c>
      <c r="Z224" s="133">
        <f>COUNTIF(C226:V226,"Er")</f>
        <v>3</v>
      </c>
      <c r="AB224" s="133" t="s">
        <v>518</v>
      </c>
    </row>
    <row r="225" spans="1:31">
      <c r="B225" s="132"/>
      <c r="C225" s="140"/>
      <c r="D225" s="139"/>
      <c r="E225" s="140"/>
      <c r="F225" s="139"/>
      <c r="G225" s="140"/>
      <c r="I225" s="158" t="s">
        <v>354</v>
      </c>
      <c r="J225" s="139"/>
      <c r="K225" s="141" t="s">
        <v>390</v>
      </c>
      <c r="L225" s="139"/>
      <c r="M225" s="158" t="s">
        <v>354</v>
      </c>
      <c r="N225" s="139"/>
      <c r="O225" s="158" t="s">
        <v>354</v>
      </c>
      <c r="P225" s="139"/>
      <c r="Q225" s="158" t="s">
        <v>354</v>
      </c>
      <c r="R225" s="139"/>
      <c r="S225" s="158" t="s">
        <v>354</v>
      </c>
      <c r="T225" s="139"/>
      <c r="U225" s="158" t="s">
        <v>354</v>
      </c>
      <c r="V225" s="162"/>
      <c r="W225" s="177"/>
      <c r="X225" s="133">
        <f>COUNTIF(C224:U225,"U/P")</f>
        <v>1</v>
      </c>
      <c r="Y225" s="133">
        <v>0</v>
      </c>
      <c r="Z225" s="133">
        <v>0</v>
      </c>
      <c r="AB225" s="133" t="s">
        <v>278</v>
      </c>
    </row>
    <row r="226" spans="1:31">
      <c r="B226" s="132"/>
      <c r="C226" s="141"/>
      <c r="D226" s="139"/>
      <c r="E226" s="141"/>
      <c r="F226" s="139"/>
      <c r="G226" s="141"/>
      <c r="I226" s="141"/>
      <c r="J226" s="139"/>
      <c r="K226" s="141"/>
      <c r="L226" s="139"/>
      <c r="M226" s="141" t="s">
        <v>376</v>
      </c>
      <c r="N226" s="139"/>
      <c r="O226" s="141"/>
      <c r="P226" s="139"/>
      <c r="Q226" s="141"/>
      <c r="R226" s="139"/>
      <c r="S226" s="141" t="s">
        <v>376</v>
      </c>
      <c r="T226" s="139"/>
      <c r="U226" s="141" t="s">
        <v>376</v>
      </c>
      <c r="V226" s="162"/>
      <c r="W226" s="280"/>
      <c r="X226" s="133">
        <f>COUNTIF(C224:U224,"ROW")</f>
        <v>0</v>
      </c>
      <c r="Y226" s="133">
        <v>0</v>
      </c>
      <c r="Z226" s="133">
        <v>0</v>
      </c>
      <c r="AB226" s="133" t="s">
        <v>228</v>
      </c>
    </row>
    <row r="227" spans="1:31" ht="13">
      <c r="B227" s="132"/>
      <c r="C227" s="144" t="s">
        <v>377</v>
      </c>
      <c r="E227" s="384" t="s">
        <v>297</v>
      </c>
      <c r="G227" s="144" t="s">
        <v>378</v>
      </c>
      <c r="I227" s="384" t="s">
        <v>236</v>
      </c>
      <c r="K227" s="384" t="s">
        <v>237</v>
      </c>
      <c r="M227" s="384" t="s">
        <v>214</v>
      </c>
      <c r="O227" s="384" t="s">
        <v>213</v>
      </c>
      <c r="Q227" s="384" t="s">
        <v>212</v>
      </c>
      <c r="S227" s="384" t="s">
        <v>209</v>
      </c>
      <c r="U227" s="384" t="s">
        <v>231</v>
      </c>
      <c r="W227" s="280"/>
    </row>
    <row r="228" spans="1:31" ht="13">
      <c r="B228" s="132"/>
      <c r="C228" s="144" t="s">
        <v>330</v>
      </c>
      <c r="E228" s="145" t="s">
        <v>182</v>
      </c>
      <c r="G228" s="144" t="s">
        <v>115</v>
      </c>
      <c r="I228" s="145" t="s">
        <v>296</v>
      </c>
      <c r="K228" s="145" t="s">
        <v>182</v>
      </c>
      <c r="M228" s="145" t="s">
        <v>185</v>
      </c>
      <c r="O228" s="145" t="s">
        <v>182</v>
      </c>
      <c r="Q228" s="145" t="s">
        <v>182</v>
      </c>
      <c r="S228" s="145" t="s">
        <v>182</v>
      </c>
      <c r="U228" s="145" t="s">
        <v>182</v>
      </c>
      <c r="W228" s="280"/>
    </row>
    <row r="229" spans="1:31">
      <c r="B229" s="132"/>
      <c r="C229" s="1519" t="s">
        <v>703</v>
      </c>
      <c r="D229" s="1520"/>
      <c r="E229" s="1520"/>
      <c r="F229" s="1520"/>
      <c r="G229" s="160" t="s">
        <v>366</v>
      </c>
      <c r="H229" s="155"/>
      <c r="I229" s="160" t="s">
        <v>366</v>
      </c>
      <c r="J229" s="155"/>
      <c r="K229" s="160" t="s">
        <v>331</v>
      </c>
      <c r="L229" s="155"/>
      <c r="M229" s="155"/>
      <c r="N229" s="155"/>
      <c r="O229" s="155"/>
      <c r="P229" s="155"/>
      <c r="Q229" s="155"/>
      <c r="R229" s="155"/>
      <c r="S229" s="155"/>
      <c r="T229" s="155"/>
      <c r="U229" s="155"/>
      <c r="W229" s="280"/>
    </row>
    <row r="230" spans="1:31">
      <c r="B230" s="132"/>
      <c r="C230" s="133">
        <f>U222+1</f>
        <v>261</v>
      </c>
      <c r="E230" s="133">
        <f>C230+1</f>
        <v>262</v>
      </c>
      <c r="G230" s="133">
        <f>E230+1</f>
        <v>263</v>
      </c>
      <c r="I230" s="133">
        <f>G230+1</f>
        <v>264</v>
      </c>
      <c r="K230" s="133">
        <f>I230+1</f>
        <v>265</v>
      </c>
      <c r="M230" s="133">
        <f>K230+1</f>
        <v>266</v>
      </c>
      <c r="O230" s="133">
        <f>M230+1</f>
        <v>267</v>
      </c>
      <c r="Q230" s="133">
        <f>O230+1</f>
        <v>268</v>
      </c>
      <c r="S230" s="133">
        <f>Q230+1</f>
        <v>269</v>
      </c>
      <c r="U230" s="161">
        <f>S230+1</f>
        <v>270</v>
      </c>
      <c r="W230" s="280"/>
    </row>
    <row r="231" spans="1:31">
      <c r="B231" s="132"/>
      <c r="W231" s="281"/>
      <c r="AE231" s="135">
        <f>SUM(D231:V231)</f>
        <v>0</v>
      </c>
    </row>
    <row r="232" spans="1:31">
      <c r="A232" s="133">
        <f>A224+1</f>
        <v>27</v>
      </c>
      <c r="B232" s="132"/>
      <c r="C232" s="135"/>
      <c r="D232" s="135">
        <v>409.37</v>
      </c>
      <c r="E232" s="135"/>
      <c r="F232" s="135">
        <v>388.46</v>
      </c>
      <c r="H232" s="135">
        <v>380.96</v>
      </c>
      <c r="J232" s="135">
        <v>374.03</v>
      </c>
      <c r="L232" s="135">
        <v>351.96</v>
      </c>
      <c r="M232" s="135"/>
      <c r="N232" s="135">
        <v>395.64</v>
      </c>
      <c r="P232" s="135">
        <v>414.76</v>
      </c>
      <c r="Q232" s="135"/>
      <c r="R232" s="135">
        <v>401.93</v>
      </c>
      <c r="S232" s="135"/>
      <c r="T232" s="135">
        <v>354.95</v>
      </c>
      <c r="V232" s="135" t="s">
        <v>712</v>
      </c>
      <c r="W232" s="281"/>
      <c r="X232" s="133">
        <f>COUNTIF(C233:U233,"F")</f>
        <v>4</v>
      </c>
      <c r="Y232" s="133">
        <f>COUNTIF(C231:U231,"E")</f>
        <v>0</v>
      </c>
      <c r="Z232" s="133">
        <f>COUNTIF(C233:V233,"Er")</f>
        <v>0</v>
      </c>
      <c r="AB232" s="133" t="s">
        <v>518</v>
      </c>
    </row>
    <row r="233" spans="1:31">
      <c r="B233" s="132"/>
      <c r="C233" s="140"/>
      <c r="D233" s="139"/>
      <c r="E233" s="140"/>
      <c r="F233" s="139"/>
      <c r="G233" s="140"/>
      <c r="I233" s="158" t="s">
        <v>354</v>
      </c>
      <c r="J233" s="139"/>
      <c r="K233" s="158" t="s">
        <v>354</v>
      </c>
      <c r="L233" s="139"/>
      <c r="M233" s="158" t="s">
        <v>354</v>
      </c>
      <c r="N233" s="139"/>
      <c r="O233" s="158" t="s">
        <v>354</v>
      </c>
      <c r="P233" s="139"/>
      <c r="Q233" s="141" t="s">
        <v>390</v>
      </c>
      <c r="R233" s="139"/>
      <c r="S233" s="140"/>
      <c r="T233" s="139"/>
      <c r="U233" s="140"/>
      <c r="V233" s="162"/>
      <c r="W233" s="280"/>
      <c r="X233" s="133">
        <f>COUNTIF(C233:U233,"U/P")</f>
        <v>1</v>
      </c>
      <c r="Y233" s="133">
        <v>0</v>
      </c>
      <c r="Z233" s="133">
        <v>0</v>
      </c>
      <c r="AB233" s="133" t="s">
        <v>278</v>
      </c>
    </row>
    <row r="234" spans="1:31">
      <c r="B234" s="132"/>
      <c r="C234" s="141"/>
      <c r="D234" s="139"/>
      <c r="E234" s="141"/>
      <c r="F234" s="139"/>
      <c r="G234" s="141"/>
      <c r="I234" s="141"/>
      <c r="J234" s="139"/>
      <c r="K234" s="141"/>
      <c r="L234" s="139"/>
      <c r="M234" s="141"/>
      <c r="N234" s="139"/>
      <c r="O234" s="141"/>
      <c r="P234" s="139"/>
      <c r="Q234" s="141"/>
      <c r="R234" s="139"/>
      <c r="S234" s="141"/>
      <c r="T234" s="139"/>
      <c r="U234" s="141"/>
      <c r="V234" s="162"/>
      <c r="W234" s="280"/>
      <c r="X234" s="133">
        <f>COUNTIF(C232:U232,"ROW")</f>
        <v>0</v>
      </c>
      <c r="Y234" s="133">
        <v>0</v>
      </c>
      <c r="Z234" s="133">
        <v>0</v>
      </c>
      <c r="AB234" s="133" t="s">
        <v>228</v>
      </c>
    </row>
    <row r="235" spans="1:31" ht="13">
      <c r="B235" s="132"/>
      <c r="C235" s="144" t="s">
        <v>379</v>
      </c>
      <c r="E235" s="384" t="s">
        <v>263</v>
      </c>
      <c r="G235" s="144" t="s">
        <v>380</v>
      </c>
      <c r="I235" s="384" t="s">
        <v>215</v>
      </c>
      <c r="K235" s="384" t="s">
        <v>216</v>
      </c>
      <c r="M235" s="384" t="s">
        <v>239</v>
      </c>
      <c r="O235" s="384" t="s">
        <v>240</v>
      </c>
      <c r="Q235" s="384" t="s">
        <v>241</v>
      </c>
      <c r="S235" s="144" t="s">
        <v>381</v>
      </c>
      <c r="U235" s="384" t="s">
        <v>383</v>
      </c>
      <c r="W235" s="280"/>
    </row>
    <row r="236" spans="1:31" ht="13">
      <c r="B236" s="132"/>
      <c r="C236" s="144" t="s">
        <v>319</v>
      </c>
      <c r="E236" s="145" t="s">
        <v>318</v>
      </c>
      <c r="G236" s="144" t="s">
        <v>344</v>
      </c>
      <c r="I236" s="145" t="s">
        <v>296</v>
      </c>
      <c r="K236" s="145" t="s">
        <v>317</v>
      </c>
      <c r="M236" s="145" t="s">
        <v>296</v>
      </c>
      <c r="O236" s="145" t="s">
        <v>317</v>
      </c>
      <c r="Q236" s="145" t="s">
        <v>318</v>
      </c>
      <c r="S236" s="144" t="s">
        <v>319</v>
      </c>
      <c r="U236" s="145" t="s">
        <v>317</v>
      </c>
      <c r="W236" s="280"/>
    </row>
    <row r="237" spans="1:31" ht="13">
      <c r="B237" s="132"/>
      <c r="C237" s="144"/>
      <c r="E237" s="145"/>
      <c r="G237" s="145"/>
      <c r="I237" s="144"/>
      <c r="K237" s="160" t="s">
        <v>366</v>
      </c>
      <c r="M237" s="145"/>
      <c r="O237" s="144"/>
      <c r="Q237" s="282" t="s">
        <v>375</v>
      </c>
      <c r="S237" s="145"/>
      <c r="U237" s="144"/>
      <c r="W237" s="280"/>
    </row>
    <row r="238" spans="1:31" ht="13">
      <c r="B238" s="132"/>
      <c r="C238" s="144"/>
      <c r="E238" s="145"/>
      <c r="G238" s="145"/>
      <c r="I238" s="144"/>
      <c r="K238" s="145"/>
      <c r="M238" s="145"/>
      <c r="O238" s="144"/>
      <c r="Q238" s="145"/>
      <c r="S238" s="145"/>
      <c r="U238" s="144"/>
      <c r="W238" s="280"/>
    </row>
    <row r="239" spans="1:31">
      <c r="B239" s="132"/>
      <c r="C239" s="133">
        <f>U230+1</f>
        <v>271</v>
      </c>
      <c r="E239" s="133">
        <f>C239+1</f>
        <v>272</v>
      </c>
      <c r="G239" s="133">
        <f>E239+1</f>
        <v>273</v>
      </c>
      <c r="I239" s="133">
        <f>G239+1</f>
        <v>274</v>
      </c>
      <c r="K239" s="133">
        <f>I239+1</f>
        <v>275</v>
      </c>
      <c r="M239" s="133">
        <f>K239+1</f>
        <v>276</v>
      </c>
      <c r="O239" s="133">
        <f>M239+1</f>
        <v>277</v>
      </c>
      <c r="Q239" s="133">
        <f>O239+1</f>
        <v>278</v>
      </c>
      <c r="S239" s="133">
        <f>Q239+1</f>
        <v>279</v>
      </c>
      <c r="U239" s="161">
        <f>S239+1</f>
        <v>280</v>
      </c>
      <c r="W239" s="280"/>
    </row>
    <row r="240" spans="1:31">
      <c r="B240" s="132"/>
      <c r="W240" s="281"/>
      <c r="AE240" s="135">
        <f>SUM(D240:V240)</f>
        <v>0</v>
      </c>
    </row>
    <row r="241" spans="1:31">
      <c r="A241" s="133">
        <f>A232+1</f>
        <v>28</v>
      </c>
      <c r="B241" s="132"/>
      <c r="C241" s="135"/>
      <c r="D241" s="135">
        <v>415.03</v>
      </c>
      <c r="E241" s="135"/>
      <c r="F241" s="135">
        <v>351.18</v>
      </c>
      <c r="H241" s="135">
        <v>441.06</v>
      </c>
      <c r="J241" s="135">
        <v>387.5</v>
      </c>
      <c r="L241" s="135">
        <v>372.63</v>
      </c>
      <c r="M241" s="135"/>
      <c r="N241" s="135">
        <v>415.3</v>
      </c>
      <c r="P241" s="135">
        <v>424.58</v>
      </c>
      <c r="Q241" s="135"/>
      <c r="R241" s="135">
        <v>391.7</v>
      </c>
      <c r="S241" s="135"/>
      <c r="T241" s="135">
        <v>410.47</v>
      </c>
      <c r="V241" s="135">
        <v>385.54</v>
      </c>
      <c r="W241" s="281"/>
      <c r="X241" s="133">
        <f>COUNTIF(C241:U241,"F")</f>
        <v>0</v>
      </c>
      <c r="Y241" s="133">
        <f>COUNTIF(C240:U240,"E")</f>
        <v>0</v>
      </c>
      <c r="Z241" s="133">
        <f>COUNTIF(C242:V242,"Er")</f>
        <v>0</v>
      </c>
      <c r="AB241" s="133" t="s">
        <v>518</v>
      </c>
    </row>
    <row r="242" spans="1:31" ht="13">
      <c r="B242" s="132"/>
      <c r="C242" s="140"/>
      <c r="D242" s="139"/>
      <c r="E242" s="140"/>
      <c r="F242" s="139"/>
      <c r="G242" s="140"/>
      <c r="I242" s="140"/>
      <c r="J242" s="139"/>
      <c r="K242" s="138" t="s">
        <v>228</v>
      </c>
      <c r="L242" s="139"/>
      <c r="M242" s="138" t="s">
        <v>228</v>
      </c>
      <c r="N242" s="139"/>
      <c r="O242" s="138" t="s">
        <v>228</v>
      </c>
      <c r="P242" s="139"/>
      <c r="Q242" s="138" t="s">
        <v>228</v>
      </c>
      <c r="R242" s="139"/>
      <c r="S242" s="138" t="s">
        <v>228</v>
      </c>
      <c r="T242" s="139"/>
      <c r="U242" s="138" t="s">
        <v>228</v>
      </c>
      <c r="V242" s="162"/>
      <c r="W242" s="280"/>
      <c r="X242" s="133">
        <f>COUNTIF(C242:U242,"U/P")</f>
        <v>0</v>
      </c>
      <c r="Y242" s="133">
        <v>0</v>
      </c>
      <c r="Z242" s="133">
        <v>0</v>
      </c>
      <c r="AB242" s="133" t="s">
        <v>278</v>
      </c>
    </row>
    <row r="243" spans="1:31">
      <c r="B243" s="132"/>
      <c r="C243" s="141"/>
      <c r="D243" s="139"/>
      <c r="E243" s="141"/>
      <c r="F243" s="139"/>
      <c r="G243" s="141"/>
      <c r="I243" s="141"/>
      <c r="J243" s="139"/>
      <c r="K243" s="141"/>
      <c r="L243" s="139"/>
      <c r="M243" s="141"/>
      <c r="N243" s="139"/>
      <c r="O243" s="141"/>
      <c r="P243" s="139"/>
      <c r="Q243" s="141"/>
      <c r="R243" s="139"/>
      <c r="S243" s="141"/>
      <c r="T243" s="139"/>
      <c r="U243" s="141" t="s">
        <v>390</v>
      </c>
      <c r="V243" s="162"/>
      <c r="W243" s="280"/>
      <c r="X243" s="133">
        <f>COUNTIF(C242:U242,"ROW")</f>
        <v>6</v>
      </c>
      <c r="Y243" s="133">
        <v>0</v>
      </c>
      <c r="Z243" s="133">
        <v>0</v>
      </c>
      <c r="AB243" s="133" t="s">
        <v>228</v>
      </c>
    </row>
    <row r="244" spans="1:31" ht="13">
      <c r="B244" s="132"/>
      <c r="C244" s="144" t="s">
        <v>384</v>
      </c>
      <c r="E244" s="384" t="s">
        <v>253</v>
      </c>
      <c r="G244" s="384" t="s">
        <v>385</v>
      </c>
      <c r="I244" s="144" t="s">
        <v>386</v>
      </c>
      <c r="K244" s="144" t="s">
        <v>257</v>
      </c>
      <c r="M244" s="144" t="s">
        <v>387</v>
      </c>
      <c r="O244" s="384" t="s">
        <v>267</v>
      </c>
      <c r="Q244" s="384" t="s">
        <v>268</v>
      </c>
      <c r="S244" s="384" t="s">
        <v>269</v>
      </c>
      <c r="U244" s="384" t="s">
        <v>227</v>
      </c>
      <c r="W244" s="280"/>
    </row>
    <row r="245" spans="1:31" ht="13">
      <c r="B245" s="132"/>
      <c r="C245" s="144" t="s">
        <v>343</v>
      </c>
      <c r="E245" s="145" t="s">
        <v>295</v>
      </c>
      <c r="G245" s="145" t="s">
        <v>296</v>
      </c>
      <c r="I245" s="144" t="s">
        <v>388</v>
      </c>
      <c r="K245" s="144" t="s">
        <v>248</v>
      </c>
      <c r="M245" s="144" t="s">
        <v>330</v>
      </c>
      <c r="O245" s="145" t="s">
        <v>296</v>
      </c>
      <c r="Q245" s="145" t="s">
        <v>317</v>
      </c>
      <c r="S245" s="145" t="s">
        <v>296</v>
      </c>
      <c r="U245" s="145" t="s">
        <v>296</v>
      </c>
      <c r="W245" s="280"/>
    </row>
    <row r="246" spans="1:31">
      <c r="B246" s="132"/>
      <c r="G246" s="160" t="s">
        <v>366</v>
      </c>
      <c r="K246" s="278" t="s">
        <v>366</v>
      </c>
      <c r="L246" s="276"/>
      <c r="M246" s="276"/>
      <c r="N246" s="276"/>
      <c r="O246" s="278" t="s">
        <v>331</v>
      </c>
      <c r="P246" s="276"/>
      <c r="Q246" s="276"/>
      <c r="R246" s="276"/>
      <c r="S246" s="276"/>
      <c r="T246" s="276"/>
      <c r="U246" s="276"/>
      <c r="W246" s="280"/>
    </row>
    <row r="247" spans="1:31">
      <c r="B247" s="132"/>
      <c r="C247" s="133">
        <f>U239+1</f>
        <v>281</v>
      </c>
      <c r="E247" s="133">
        <f>C247+1</f>
        <v>282</v>
      </c>
      <c r="G247" s="133">
        <f>E247+1</f>
        <v>283</v>
      </c>
      <c r="I247" s="133">
        <f>G247+1</f>
        <v>284</v>
      </c>
      <c r="K247" s="133">
        <f>I247+1</f>
        <v>285</v>
      </c>
      <c r="M247" s="133">
        <f>K247+1</f>
        <v>286</v>
      </c>
      <c r="O247" s="133">
        <f>M247+1</f>
        <v>287</v>
      </c>
      <c r="Q247" s="133">
        <f>O247+1</f>
        <v>288</v>
      </c>
      <c r="S247" s="133">
        <f>Q247+1</f>
        <v>289</v>
      </c>
      <c r="U247" s="161">
        <f>S247+1</f>
        <v>290</v>
      </c>
      <c r="W247" s="280"/>
    </row>
    <row r="248" spans="1:31">
      <c r="B248" s="132"/>
      <c r="W248" s="281"/>
      <c r="AE248" s="135">
        <f>SUM(D248:V248)</f>
        <v>0</v>
      </c>
    </row>
    <row r="249" spans="1:31">
      <c r="A249" s="133">
        <f>A241+1</f>
        <v>29</v>
      </c>
      <c r="B249" s="132"/>
      <c r="C249" s="135"/>
      <c r="D249" s="135">
        <v>418.31</v>
      </c>
      <c r="E249" s="135"/>
      <c r="F249" s="135">
        <v>426.47</v>
      </c>
      <c r="H249" s="135">
        <v>396.98</v>
      </c>
      <c r="J249" s="135">
        <v>429.38</v>
      </c>
      <c r="L249" s="135">
        <v>403.83</v>
      </c>
      <c r="M249" s="135"/>
      <c r="N249" s="135">
        <v>384.63</v>
      </c>
      <c r="P249" s="135">
        <v>380.68</v>
      </c>
      <c r="Q249" s="135"/>
      <c r="R249" s="135">
        <v>354.53</v>
      </c>
      <c r="S249" s="135"/>
      <c r="T249" s="135">
        <v>405.57</v>
      </c>
      <c r="V249" s="135">
        <v>416.87</v>
      </c>
      <c r="W249" s="281"/>
      <c r="X249" s="133">
        <f>COUNTIF(C250:U250,"F")</f>
        <v>1</v>
      </c>
      <c r="Y249" s="133">
        <f>COUNTIF(C248:U248,"E")</f>
        <v>0</v>
      </c>
      <c r="Z249" s="133">
        <f>COUNTIF(C250:V250,"Er")</f>
        <v>0</v>
      </c>
      <c r="AB249" s="133" t="s">
        <v>518</v>
      </c>
    </row>
    <row r="250" spans="1:31" ht="13">
      <c r="B250" s="132"/>
      <c r="C250" s="138" t="s">
        <v>228</v>
      </c>
      <c r="D250" s="139"/>
      <c r="E250" s="138" t="s">
        <v>228</v>
      </c>
      <c r="F250" s="139"/>
      <c r="G250" s="138" t="s">
        <v>228</v>
      </c>
      <c r="I250" s="138" t="s">
        <v>228</v>
      </c>
      <c r="J250" s="139"/>
      <c r="K250" s="138" t="s">
        <v>228</v>
      </c>
      <c r="L250" s="139"/>
      <c r="M250" s="158" t="s">
        <v>354</v>
      </c>
      <c r="N250" s="139"/>
      <c r="O250" s="138" t="s">
        <v>228</v>
      </c>
      <c r="P250" s="139"/>
      <c r="Q250" s="138" t="s">
        <v>228</v>
      </c>
      <c r="R250" s="139"/>
      <c r="S250" s="140"/>
      <c r="T250" s="139"/>
      <c r="U250" s="140"/>
      <c r="V250" s="162"/>
      <c r="W250" s="280"/>
      <c r="X250" s="133">
        <f>COUNTIF(C250:U250,"U/P")</f>
        <v>0</v>
      </c>
      <c r="Y250" s="133">
        <v>0</v>
      </c>
      <c r="Z250" s="133">
        <v>0</v>
      </c>
      <c r="AB250" s="133" t="s">
        <v>278</v>
      </c>
    </row>
    <row r="251" spans="1:31">
      <c r="B251" s="132"/>
      <c r="C251" s="141"/>
      <c r="D251" s="139"/>
      <c r="E251" s="141"/>
      <c r="F251" s="139"/>
      <c r="G251" s="141"/>
      <c r="I251" s="141"/>
      <c r="J251" s="139"/>
      <c r="K251" s="141"/>
      <c r="L251" s="139"/>
      <c r="M251" s="141"/>
      <c r="N251" s="139"/>
      <c r="O251" s="141"/>
      <c r="P251" s="139"/>
      <c r="Q251" s="141"/>
      <c r="R251" s="139"/>
      <c r="S251" s="141"/>
      <c r="T251" s="139"/>
      <c r="U251" s="141"/>
      <c r="V251" s="162"/>
      <c r="W251" s="280"/>
      <c r="X251" s="133">
        <f>COUNTIF(C250:U250,"ROW")</f>
        <v>7</v>
      </c>
      <c r="Y251" s="133">
        <v>0</v>
      </c>
      <c r="Z251" s="133">
        <v>0</v>
      </c>
      <c r="AB251" s="133" t="s">
        <v>228</v>
      </c>
    </row>
    <row r="252" spans="1:31" ht="13">
      <c r="B252" s="132"/>
      <c r="C252" s="384" t="s">
        <v>271</v>
      </c>
      <c r="E252" s="144" t="s">
        <v>391</v>
      </c>
      <c r="G252" s="384" t="s">
        <v>392</v>
      </c>
      <c r="I252" s="384" t="s">
        <v>393</v>
      </c>
      <c r="K252" s="144" t="s">
        <v>394</v>
      </c>
      <c r="M252" s="384" t="s">
        <v>225</v>
      </c>
      <c r="O252" s="144" t="s">
        <v>395</v>
      </c>
      <c r="Q252" s="144" t="s">
        <v>396</v>
      </c>
      <c r="S252" s="384" t="s">
        <v>258</v>
      </c>
      <c r="U252" s="144" t="s">
        <v>398</v>
      </c>
      <c r="W252" s="280"/>
    </row>
    <row r="253" spans="1:31" ht="13">
      <c r="B253" s="132"/>
      <c r="C253" s="145" t="s">
        <v>318</v>
      </c>
      <c r="E253" s="144" t="s">
        <v>388</v>
      </c>
      <c r="G253" s="145" t="s">
        <v>296</v>
      </c>
      <c r="I253" s="145" t="s">
        <v>317</v>
      </c>
      <c r="K253" s="144" t="s">
        <v>319</v>
      </c>
      <c r="M253" s="145" t="s">
        <v>317</v>
      </c>
      <c r="O253" s="144" t="s">
        <v>397</v>
      </c>
      <c r="Q253" s="144" t="s">
        <v>319</v>
      </c>
      <c r="S253" s="145" t="s">
        <v>296</v>
      </c>
      <c r="U253" s="144" t="s">
        <v>343</v>
      </c>
      <c r="W253" s="280"/>
    </row>
    <row r="254" spans="1:31" ht="13">
      <c r="B254" s="132"/>
      <c r="C254" s="275"/>
      <c r="D254" s="276"/>
      <c r="E254" s="277"/>
      <c r="F254" s="276"/>
      <c r="G254" s="277"/>
      <c r="H254" s="276"/>
      <c r="I254" s="275"/>
      <c r="J254" s="276"/>
      <c r="K254" s="277"/>
      <c r="L254" s="276"/>
      <c r="M254" s="277"/>
      <c r="N254" s="276"/>
      <c r="O254" s="275"/>
      <c r="P254" s="276"/>
      <c r="Q254" s="277"/>
      <c r="S254" s="282" t="s">
        <v>375</v>
      </c>
      <c r="U254" s="282" t="s">
        <v>375</v>
      </c>
      <c r="W254" s="280"/>
    </row>
    <row r="255" spans="1:31" ht="13">
      <c r="B255" s="132"/>
      <c r="C255" s="144"/>
      <c r="E255" s="145"/>
      <c r="G255" s="145"/>
      <c r="I255" s="144"/>
      <c r="K255" s="145"/>
      <c r="M255" s="145"/>
      <c r="O255" s="144"/>
      <c r="Q255" s="145"/>
      <c r="S255" s="145"/>
      <c r="U255" s="144"/>
      <c r="W255" s="280"/>
    </row>
    <row r="256" spans="1:31">
      <c r="B256" s="132"/>
      <c r="C256" s="133">
        <f>U247+1</f>
        <v>291</v>
      </c>
      <c r="E256" s="133">
        <f>C256+1</f>
        <v>292</v>
      </c>
      <c r="G256" s="133">
        <f>E256+1</f>
        <v>293</v>
      </c>
      <c r="I256" s="133">
        <f>G256+1</f>
        <v>294</v>
      </c>
      <c r="K256" s="133">
        <f>I256+1</f>
        <v>295</v>
      </c>
      <c r="M256" s="133">
        <f>K256+1</f>
        <v>296</v>
      </c>
      <c r="O256" s="133">
        <f>M256+1</f>
        <v>297</v>
      </c>
      <c r="Q256" s="133">
        <f>O256+1</f>
        <v>298</v>
      </c>
      <c r="S256" s="133">
        <f>Q256+1</f>
        <v>299</v>
      </c>
      <c r="U256" s="161">
        <f>S256+1</f>
        <v>300</v>
      </c>
      <c r="W256" s="280"/>
    </row>
    <row r="257" spans="1:31">
      <c r="B257" s="132"/>
      <c r="W257" s="281"/>
      <c r="AE257" s="135">
        <f>SUM(D257:V257)</f>
        <v>0</v>
      </c>
    </row>
    <row r="258" spans="1:31">
      <c r="A258" s="133">
        <f>A249+1</f>
        <v>30</v>
      </c>
      <c r="B258" s="132"/>
      <c r="C258" s="135"/>
      <c r="D258" s="135">
        <v>380.77</v>
      </c>
      <c r="E258" s="135"/>
      <c r="F258" s="135">
        <v>411.81</v>
      </c>
      <c r="H258" s="135">
        <v>432.08</v>
      </c>
      <c r="J258" s="135">
        <v>256.87</v>
      </c>
      <c r="L258" s="135">
        <v>412.4</v>
      </c>
      <c r="M258" s="135"/>
      <c r="N258" s="135">
        <v>382.17</v>
      </c>
      <c r="P258" s="135">
        <v>452.74</v>
      </c>
      <c r="Q258" s="135"/>
      <c r="R258" s="135">
        <v>420.21</v>
      </c>
      <c r="S258" s="135"/>
      <c r="T258" s="135">
        <v>395.01</v>
      </c>
      <c r="V258" s="135">
        <v>386.74</v>
      </c>
      <c r="W258" s="281"/>
      <c r="X258" s="133">
        <f>COUNTIF(C258:U258,"F")</f>
        <v>0</v>
      </c>
      <c r="Y258" s="133">
        <f>COUNTIF(C257:U257,"E")</f>
        <v>0</v>
      </c>
      <c r="Z258" s="133">
        <f>COUNTIF(C259:V259,"Er")</f>
        <v>0</v>
      </c>
      <c r="AB258" s="133" t="s">
        <v>518</v>
      </c>
    </row>
    <row r="259" spans="1:31">
      <c r="B259" s="132"/>
      <c r="C259" s="141" t="s">
        <v>390</v>
      </c>
      <c r="D259" s="139"/>
      <c r="E259" s="140"/>
      <c r="F259" s="139"/>
      <c r="G259" s="140"/>
      <c r="I259" s="140"/>
      <c r="J259" s="139"/>
      <c r="K259" s="140"/>
      <c r="L259" s="139"/>
      <c r="M259" s="140"/>
      <c r="N259" s="139"/>
      <c r="O259" s="140"/>
      <c r="P259" s="139"/>
      <c r="Q259" s="140"/>
      <c r="R259" s="139"/>
      <c r="S259" s="140"/>
      <c r="T259" s="139"/>
      <c r="U259" s="140"/>
      <c r="V259" s="162"/>
      <c r="W259" s="280"/>
      <c r="X259" s="133">
        <f>COUNTIF(C259:U259,"U/P")</f>
        <v>1</v>
      </c>
      <c r="Y259" s="133">
        <v>0</v>
      </c>
      <c r="Z259" s="133">
        <v>0</v>
      </c>
      <c r="AB259" s="133" t="s">
        <v>278</v>
      </c>
    </row>
    <row r="260" spans="1:31">
      <c r="B260" s="132"/>
      <c r="C260" s="141"/>
      <c r="D260" s="139"/>
      <c r="E260" s="141"/>
      <c r="F260" s="139"/>
      <c r="G260" s="141"/>
      <c r="I260" s="141"/>
      <c r="J260" s="139"/>
      <c r="K260" s="141"/>
      <c r="L260" s="139"/>
      <c r="M260" s="141"/>
      <c r="N260" s="139"/>
      <c r="O260" s="141"/>
      <c r="P260" s="139"/>
      <c r="Q260" s="141"/>
      <c r="R260" s="139"/>
      <c r="S260" s="141"/>
      <c r="T260" s="139"/>
      <c r="U260" s="141"/>
      <c r="V260" s="162"/>
      <c r="W260" s="280"/>
      <c r="X260" s="133">
        <f>COUNTIF(C258:U258,"ROW")</f>
        <v>0</v>
      </c>
      <c r="Y260" s="133">
        <v>0</v>
      </c>
      <c r="Z260" s="133">
        <v>0</v>
      </c>
      <c r="AB260" s="133" t="s">
        <v>228</v>
      </c>
    </row>
    <row r="261" spans="1:31" ht="13">
      <c r="B261" s="132"/>
      <c r="C261" s="384" t="s">
        <v>244</v>
      </c>
      <c r="E261" s="144" t="s">
        <v>399</v>
      </c>
      <c r="G261" s="384" t="s">
        <v>277</v>
      </c>
      <c r="I261" s="384" t="s">
        <v>280</v>
      </c>
      <c r="K261" s="144" t="s">
        <v>400</v>
      </c>
      <c r="M261" s="144" t="s">
        <v>401</v>
      </c>
      <c r="O261" s="384" t="s">
        <v>402</v>
      </c>
      <c r="Q261" s="144" t="s">
        <v>403</v>
      </c>
      <c r="S261" s="384" t="s">
        <v>404</v>
      </c>
      <c r="U261" s="144" t="s">
        <v>405</v>
      </c>
      <c r="W261" s="280"/>
    </row>
    <row r="262" spans="1:31" ht="13">
      <c r="B262" s="132"/>
      <c r="C262" s="145" t="s">
        <v>296</v>
      </c>
      <c r="E262" s="144" t="s">
        <v>319</v>
      </c>
      <c r="G262" s="145" t="s">
        <v>317</v>
      </c>
      <c r="I262" s="145" t="s">
        <v>295</v>
      </c>
      <c r="K262" s="144" t="s">
        <v>319</v>
      </c>
      <c r="M262" s="144" t="s">
        <v>319</v>
      </c>
      <c r="O262" s="145" t="s">
        <v>295</v>
      </c>
      <c r="Q262" s="144" t="s">
        <v>319</v>
      </c>
      <c r="S262" s="145" t="s">
        <v>295</v>
      </c>
      <c r="U262" s="144" t="s">
        <v>343</v>
      </c>
      <c r="W262" s="280"/>
    </row>
    <row r="263" spans="1:31" ht="13">
      <c r="B263" s="132"/>
      <c r="C263" s="282" t="s">
        <v>375</v>
      </c>
      <c r="W263" s="280"/>
    </row>
    <row r="264" spans="1:31">
      <c r="B264" s="132"/>
      <c r="C264" s="133">
        <f>U256+1</f>
        <v>301</v>
      </c>
      <c r="E264" s="133">
        <f>C264+1</f>
        <v>302</v>
      </c>
      <c r="G264" s="133">
        <f>E264+1</f>
        <v>303</v>
      </c>
      <c r="I264" s="133">
        <f>G264+1</f>
        <v>304</v>
      </c>
      <c r="K264" s="133">
        <f>I264+1</f>
        <v>305</v>
      </c>
      <c r="M264" s="133">
        <f>K264+1</f>
        <v>306</v>
      </c>
      <c r="O264" s="133">
        <f>M264+1</f>
        <v>307</v>
      </c>
      <c r="Q264" s="133">
        <f>O264+1</f>
        <v>308</v>
      </c>
      <c r="S264" s="133">
        <f>Q264+1</f>
        <v>309</v>
      </c>
      <c r="U264" s="161">
        <f>S264+1</f>
        <v>310</v>
      </c>
      <c r="W264" s="280"/>
    </row>
    <row r="265" spans="1:31">
      <c r="B265" s="132"/>
      <c r="W265" s="281"/>
      <c r="AE265" s="135">
        <f>SUM(D265:V265)</f>
        <v>0</v>
      </c>
    </row>
    <row r="266" spans="1:31">
      <c r="A266" s="133">
        <f>A258+1</f>
        <v>31</v>
      </c>
      <c r="B266" s="132"/>
      <c r="C266" s="135"/>
      <c r="D266" s="135">
        <v>378.62</v>
      </c>
      <c r="E266" s="135"/>
      <c r="F266" s="135">
        <v>350.22</v>
      </c>
      <c r="H266" s="135">
        <v>357.91</v>
      </c>
      <c r="J266" s="135">
        <v>237.48</v>
      </c>
      <c r="L266" s="135">
        <v>440.03</v>
      </c>
      <c r="M266" s="135"/>
      <c r="N266" s="135">
        <v>504</v>
      </c>
      <c r="P266" s="135">
        <v>430.57</v>
      </c>
      <c r="Q266" s="135"/>
      <c r="R266" s="135">
        <v>415.06</v>
      </c>
      <c r="S266" s="135"/>
      <c r="T266" s="135">
        <v>430.39</v>
      </c>
      <c r="V266" s="135">
        <v>414.36</v>
      </c>
      <c r="W266" s="281"/>
      <c r="X266" s="133">
        <f>COUNTIF(C266:U266,"F")</f>
        <v>0</v>
      </c>
      <c r="Y266" s="133">
        <f>COUNTIF(C265:U265,"E")</f>
        <v>0</v>
      </c>
      <c r="Z266" s="133">
        <f>COUNTIF(C267:V267,"Er")</f>
        <v>0</v>
      </c>
      <c r="AB266" s="133" t="s">
        <v>518</v>
      </c>
    </row>
    <row r="267" spans="1:31">
      <c r="B267" s="132"/>
      <c r="C267" s="140"/>
      <c r="D267" s="139"/>
      <c r="E267" s="140"/>
      <c r="F267" s="139"/>
      <c r="G267" s="140"/>
      <c r="I267" s="140"/>
      <c r="J267" s="139"/>
      <c r="K267" s="140"/>
      <c r="L267" s="139"/>
      <c r="M267" s="140"/>
      <c r="N267" s="139"/>
      <c r="O267" s="140"/>
      <c r="P267" s="139"/>
      <c r="Q267" s="140"/>
      <c r="R267" s="139"/>
      <c r="S267" s="140"/>
      <c r="T267" s="139"/>
      <c r="U267" s="140"/>
      <c r="V267" s="162"/>
      <c r="W267" s="280"/>
      <c r="X267" s="133">
        <f>COUNTIF(C267:U267,"U/P")</f>
        <v>0</v>
      </c>
      <c r="Y267" s="133">
        <v>0</v>
      </c>
      <c r="Z267" s="133">
        <v>0</v>
      </c>
      <c r="AB267" s="133" t="s">
        <v>278</v>
      </c>
    </row>
    <row r="268" spans="1:31">
      <c r="B268" s="132"/>
      <c r="C268" s="141"/>
      <c r="D268" s="139"/>
      <c r="E268" s="141"/>
      <c r="F268" s="139"/>
      <c r="G268" s="141"/>
      <c r="I268" s="141"/>
      <c r="J268" s="139"/>
      <c r="K268" s="141"/>
      <c r="L268" s="139"/>
      <c r="M268" s="141"/>
      <c r="N268" s="139"/>
      <c r="O268" s="141"/>
      <c r="P268" s="139"/>
      <c r="Q268" s="141"/>
      <c r="R268" s="139"/>
      <c r="S268" s="141"/>
      <c r="T268" s="139"/>
      <c r="U268" s="141"/>
      <c r="V268" s="162"/>
      <c r="W268" s="280"/>
      <c r="X268" s="133">
        <f>COUNTIF(C266:U266,"ROW")</f>
        <v>0</v>
      </c>
      <c r="Y268" s="133">
        <v>0</v>
      </c>
      <c r="Z268" s="133">
        <v>0</v>
      </c>
      <c r="AB268" s="133" t="s">
        <v>228</v>
      </c>
    </row>
    <row r="269" spans="1:31" ht="13">
      <c r="B269" s="132"/>
      <c r="C269" s="384" t="s">
        <v>406</v>
      </c>
      <c r="E269" s="384" t="s">
        <v>290</v>
      </c>
      <c r="G269" s="384" t="s">
        <v>407</v>
      </c>
      <c r="I269" s="144" t="s">
        <v>408</v>
      </c>
      <c r="K269" s="144" t="s">
        <v>409</v>
      </c>
      <c r="M269" s="144" t="s">
        <v>410</v>
      </c>
      <c r="O269" s="144" t="s">
        <v>411</v>
      </c>
      <c r="Q269" s="384" t="s">
        <v>412</v>
      </c>
      <c r="S269" s="384" t="s">
        <v>414</v>
      </c>
      <c r="U269" s="144" t="s">
        <v>415</v>
      </c>
      <c r="W269" s="280"/>
    </row>
    <row r="270" spans="1:31" ht="13">
      <c r="B270" s="132"/>
      <c r="C270" s="145" t="s">
        <v>296</v>
      </c>
      <c r="E270" s="145" t="s">
        <v>296</v>
      </c>
      <c r="G270" s="145" t="s">
        <v>296</v>
      </c>
      <c r="I270" s="144" t="s">
        <v>319</v>
      </c>
      <c r="K270" s="144" t="s">
        <v>319</v>
      </c>
      <c r="M270" s="144" t="s">
        <v>413</v>
      </c>
      <c r="O270" s="144" t="s">
        <v>413</v>
      </c>
      <c r="Q270" s="145" t="s">
        <v>296</v>
      </c>
      <c r="S270" s="145" t="s">
        <v>318</v>
      </c>
      <c r="U270" s="144" t="s">
        <v>119</v>
      </c>
      <c r="W270" s="280"/>
    </row>
    <row r="271" spans="1:31" ht="13">
      <c r="B271" s="132"/>
      <c r="C271" s="144"/>
      <c r="E271" s="145"/>
      <c r="G271" s="145"/>
      <c r="I271" s="144"/>
      <c r="K271" s="1521" t="s">
        <v>713</v>
      </c>
      <c r="L271" s="1522"/>
      <c r="M271" s="1522"/>
      <c r="N271" s="1522"/>
      <c r="O271" s="1522"/>
      <c r="P271" s="1522"/>
      <c r="Q271" s="1522"/>
      <c r="R271" s="1522"/>
      <c r="S271" s="1522"/>
      <c r="T271" s="1522"/>
      <c r="U271" s="1523"/>
      <c r="W271" s="280"/>
    </row>
    <row r="272" spans="1:31">
      <c r="B272" s="132"/>
      <c r="C272" s="133">
        <f>U264+1</f>
        <v>311</v>
      </c>
      <c r="E272" s="133">
        <f>C272+1</f>
        <v>312</v>
      </c>
      <c r="G272" s="133">
        <f>E272+1</f>
        <v>313</v>
      </c>
      <c r="I272" s="133">
        <f>G272+1</f>
        <v>314</v>
      </c>
      <c r="K272" s="133">
        <f>I272+1</f>
        <v>315</v>
      </c>
      <c r="M272" s="133">
        <f>K272+1</f>
        <v>316</v>
      </c>
      <c r="O272" s="133">
        <f>M272+1</f>
        <v>317</v>
      </c>
      <c r="Q272" s="133">
        <f>O272+1</f>
        <v>318</v>
      </c>
      <c r="S272" s="133">
        <f>Q272+1</f>
        <v>319</v>
      </c>
      <c r="U272" s="161">
        <f>S272+1</f>
        <v>320</v>
      </c>
      <c r="W272" s="280"/>
    </row>
    <row r="273" spans="1:31">
      <c r="B273" s="132"/>
      <c r="W273" s="281"/>
      <c r="AE273" s="135">
        <f>SUM(D273:V273)</f>
        <v>0</v>
      </c>
    </row>
    <row r="274" spans="1:31">
      <c r="A274" s="133">
        <f>A266+1</f>
        <v>32</v>
      </c>
      <c r="B274" s="132"/>
      <c r="C274" s="135"/>
      <c r="D274" s="135">
        <v>419.38</v>
      </c>
      <c r="E274" s="135"/>
      <c r="F274" s="135">
        <v>406.18</v>
      </c>
      <c r="H274" s="135">
        <v>427.47</v>
      </c>
      <c r="J274" s="135">
        <v>416.77</v>
      </c>
      <c r="L274" s="135">
        <v>378.13</v>
      </c>
      <c r="M274" s="135"/>
      <c r="N274" s="135">
        <v>358.57</v>
      </c>
      <c r="P274" s="135">
        <v>360.52</v>
      </c>
      <c r="Q274" s="135"/>
      <c r="R274" s="135">
        <v>324.52999999999997</v>
      </c>
      <c r="S274" s="135"/>
      <c r="T274" s="135">
        <v>354.92</v>
      </c>
      <c r="V274" s="135">
        <v>406.11</v>
      </c>
      <c r="W274" s="281"/>
      <c r="X274" s="133">
        <f>COUNTIF(C274:U274,"F")</f>
        <v>0</v>
      </c>
      <c r="Y274" s="133">
        <f>COUNTIF(C273:U273,"E")</f>
        <v>0</v>
      </c>
      <c r="Z274" s="133">
        <f>COUNTIF(C275:V275,"Er")</f>
        <v>0</v>
      </c>
      <c r="AB274" s="133" t="s">
        <v>518</v>
      </c>
    </row>
    <row r="275" spans="1:31" ht="13">
      <c r="B275" s="132"/>
      <c r="C275" s="138" t="s">
        <v>228</v>
      </c>
      <c r="D275" s="139"/>
      <c r="E275" s="140"/>
      <c r="F275" s="139"/>
      <c r="G275" s="140"/>
      <c r="I275" s="140"/>
      <c r="J275" s="139"/>
      <c r="K275" s="140"/>
      <c r="L275" s="139"/>
      <c r="M275" s="140"/>
      <c r="N275" s="139"/>
      <c r="O275" s="140"/>
      <c r="P275" s="139"/>
      <c r="Q275" s="140"/>
      <c r="R275" s="139"/>
      <c r="S275" s="140"/>
      <c r="T275" s="139"/>
      <c r="U275" s="140"/>
      <c r="V275" s="162"/>
      <c r="W275" s="280"/>
      <c r="X275" s="133">
        <f>COUNTIF(C275:U275,"U/P")</f>
        <v>0</v>
      </c>
      <c r="Y275" s="133">
        <v>0</v>
      </c>
      <c r="Z275" s="133">
        <v>0</v>
      </c>
      <c r="AB275" s="133" t="s">
        <v>278</v>
      </c>
    </row>
    <row r="276" spans="1:31">
      <c r="B276" s="132"/>
      <c r="C276" s="141"/>
      <c r="D276" s="139"/>
      <c r="E276" s="141"/>
      <c r="F276" s="139"/>
      <c r="G276" s="141"/>
      <c r="I276" s="141"/>
      <c r="J276" s="139"/>
      <c r="K276" s="141"/>
      <c r="L276" s="139"/>
      <c r="M276" s="141"/>
      <c r="N276" s="139"/>
      <c r="O276" s="141"/>
      <c r="P276" s="139"/>
      <c r="Q276" s="141"/>
      <c r="R276" s="139"/>
      <c r="S276" s="141"/>
      <c r="T276" s="139"/>
      <c r="U276" s="141"/>
      <c r="V276" s="162"/>
      <c r="W276" s="280"/>
      <c r="X276" s="133">
        <f>COUNTIF(C274:U274,"ROW")</f>
        <v>0</v>
      </c>
      <c r="Y276" s="133">
        <v>0</v>
      </c>
      <c r="Z276" s="133">
        <v>0</v>
      </c>
      <c r="AB276" s="133" t="s">
        <v>228</v>
      </c>
    </row>
    <row r="277" spans="1:31" ht="13">
      <c r="B277" s="132"/>
      <c r="C277" s="384" t="s">
        <v>217</v>
      </c>
      <c r="E277" s="144" t="s">
        <v>416</v>
      </c>
      <c r="G277" s="384" t="s">
        <v>294</v>
      </c>
      <c r="I277" s="144" t="s">
        <v>417</v>
      </c>
      <c r="K277" s="384" t="s">
        <v>418</v>
      </c>
      <c r="M277" s="144" t="s">
        <v>419</v>
      </c>
      <c r="O277" s="145" t="s">
        <v>420</v>
      </c>
      <c r="Q277" s="384" t="s">
        <v>714</v>
      </c>
      <c r="S277" s="384" t="s">
        <v>715</v>
      </c>
      <c r="U277" s="384" t="s">
        <v>716</v>
      </c>
      <c r="W277" s="280"/>
    </row>
    <row r="278" spans="1:31" ht="13">
      <c r="B278" s="132"/>
      <c r="C278" s="145" t="s">
        <v>296</v>
      </c>
      <c r="E278" s="144" t="s">
        <v>319</v>
      </c>
      <c r="G278" s="145" t="s">
        <v>296</v>
      </c>
      <c r="I278" s="144" t="s">
        <v>319</v>
      </c>
      <c r="K278" s="145" t="s">
        <v>317</v>
      </c>
      <c r="M278" s="144" t="s">
        <v>319</v>
      </c>
      <c r="O278" s="145" t="s">
        <v>296</v>
      </c>
      <c r="Q278" s="145" t="s">
        <v>296</v>
      </c>
      <c r="S278" s="145" t="s">
        <v>296</v>
      </c>
      <c r="U278" s="145" t="s">
        <v>296</v>
      </c>
      <c r="W278" s="280"/>
    </row>
    <row r="279" spans="1:31">
      <c r="B279" s="272"/>
      <c r="C279" s="172">
        <f>U272+1</f>
        <v>321</v>
      </c>
      <c r="D279" s="172"/>
      <c r="E279" s="172">
        <f>C279+1</f>
        <v>322</v>
      </c>
      <c r="F279" s="172"/>
      <c r="G279" s="172">
        <f>E279+1</f>
        <v>323</v>
      </c>
      <c r="H279" s="172"/>
      <c r="I279" s="172">
        <f>G279+1</f>
        <v>324</v>
      </c>
      <c r="J279" s="172"/>
      <c r="K279" s="172">
        <f>I279+1</f>
        <v>325</v>
      </c>
      <c r="L279" s="172"/>
      <c r="M279" s="172">
        <f>K279+1</f>
        <v>326</v>
      </c>
      <c r="N279" s="172"/>
      <c r="O279" s="172">
        <f>M279+1</f>
        <v>327</v>
      </c>
      <c r="P279" s="172"/>
      <c r="Q279" s="172">
        <f>O279+1</f>
        <v>328</v>
      </c>
      <c r="R279" s="172"/>
      <c r="S279" s="172">
        <f>Q279+1</f>
        <v>329</v>
      </c>
      <c r="T279" s="172"/>
      <c r="U279" s="172">
        <f>S279+1</f>
        <v>330</v>
      </c>
      <c r="V279" s="172"/>
      <c r="W279" s="274"/>
    </row>
    <row r="280" spans="1:31">
      <c r="B280" s="209"/>
      <c r="W280" s="236"/>
    </row>
    <row r="281" spans="1:31">
      <c r="B281" s="209"/>
      <c r="C281" s="135"/>
      <c r="D281" s="135">
        <v>357.82</v>
      </c>
      <c r="E281" s="135"/>
      <c r="F281" s="135">
        <v>424.78</v>
      </c>
      <c r="H281" s="135">
        <v>414.36</v>
      </c>
      <c r="J281" s="135">
        <v>413.59</v>
      </c>
      <c r="L281" s="135">
        <v>432.24</v>
      </c>
      <c r="M281" s="135"/>
      <c r="N281" s="135">
        <v>397.06</v>
      </c>
      <c r="P281" s="135">
        <v>426.06</v>
      </c>
      <c r="Q281" s="135"/>
      <c r="R281" s="135">
        <v>417.12</v>
      </c>
      <c r="S281" s="135"/>
      <c r="T281" s="135">
        <v>364.36</v>
      </c>
      <c r="V281" s="135">
        <v>332.45</v>
      </c>
      <c r="W281" s="265">
        <f>D281+H281+J281+L281+N281+F281+P281+R281+T281+V281</f>
        <v>3979.84</v>
      </c>
      <c r="AE281" s="135">
        <f>SUM(D281:V281)</f>
        <v>3979.84</v>
      </c>
    </row>
    <row r="282" spans="1:31">
      <c r="A282" s="133">
        <f>A274+1</f>
        <v>33</v>
      </c>
      <c r="B282" s="209"/>
      <c r="C282" s="140"/>
      <c r="D282" s="139"/>
      <c r="E282" s="140"/>
      <c r="F282" s="139"/>
      <c r="G282" s="140"/>
      <c r="I282" s="140"/>
      <c r="J282" s="139"/>
      <c r="K282" s="140"/>
      <c r="L282" s="139"/>
      <c r="M282" s="140"/>
      <c r="N282" s="139"/>
      <c r="O282" s="140"/>
      <c r="P282" s="139"/>
      <c r="Q282" s="140"/>
      <c r="R282" s="139"/>
      <c r="S282" s="140"/>
      <c r="T282" s="139"/>
      <c r="U282" s="140"/>
      <c r="V282" s="162"/>
      <c r="W282" s="265"/>
      <c r="X282" s="133">
        <f>COUNTIF(C282:U282,"F")</f>
        <v>0</v>
      </c>
      <c r="Y282" s="133">
        <f>COUNTIF(C281:U281,"E")</f>
        <v>0</v>
      </c>
      <c r="Z282" s="133">
        <f>COUNTIF(C283:V283,"Er")</f>
        <v>0</v>
      </c>
      <c r="AB282" s="133" t="s">
        <v>518</v>
      </c>
    </row>
    <row r="283" spans="1:31">
      <c r="B283" s="209"/>
      <c r="C283" s="141"/>
      <c r="D283" s="139"/>
      <c r="E283" s="141"/>
      <c r="F283" s="139"/>
      <c r="G283" s="141"/>
      <c r="I283" s="141"/>
      <c r="J283" s="139"/>
      <c r="K283" s="141"/>
      <c r="L283" s="139"/>
      <c r="M283" s="141"/>
      <c r="N283" s="139"/>
      <c r="O283" s="141"/>
      <c r="P283" s="139"/>
      <c r="Q283" s="141"/>
      <c r="R283" s="139"/>
      <c r="S283" s="141"/>
      <c r="T283" s="139"/>
      <c r="U283" s="141"/>
      <c r="V283" s="162"/>
      <c r="W283" s="236"/>
      <c r="X283" s="133">
        <f>COUNTIF(C283:U283,"U/P")</f>
        <v>0</v>
      </c>
      <c r="Y283" s="133">
        <v>0</v>
      </c>
      <c r="Z283" s="133">
        <v>0</v>
      </c>
      <c r="AB283" s="133" t="s">
        <v>278</v>
      </c>
    </row>
    <row r="284" spans="1:31" ht="13">
      <c r="B284" s="209"/>
      <c r="C284" s="386" t="s">
        <v>717</v>
      </c>
      <c r="D284" s="149"/>
      <c r="E284" s="147" t="s">
        <v>718</v>
      </c>
      <c r="F284" s="149"/>
      <c r="G284" s="386" t="s">
        <v>279</v>
      </c>
      <c r="H284" s="149"/>
      <c r="I284" s="386" t="s">
        <v>426</v>
      </c>
      <c r="J284" s="149"/>
      <c r="K284" s="386" t="s">
        <v>427</v>
      </c>
      <c r="L284" s="149"/>
      <c r="M284" s="386" t="s">
        <v>428</v>
      </c>
      <c r="N284" s="149"/>
      <c r="O284" s="386" t="s">
        <v>291</v>
      </c>
      <c r="P284" s="149"/>
      <c r="Q284" s="386" t="s">
        <v>429</v>
      </c>
      <c r="R284" s="149"/>
      <c r="S284" s="147" t="s">
        <v>431</v>
      </c>
      <c r="T284" s="149"/>
      <c r="U284" s="386" t="s">
        <v>432</v>
      </c>
      <c r="W284" s="236"/>
      <c r="X284" s="133">
        <f>COUNTIF(C282:U282,"ROW")</f>
        <v>0</v>
      </c>
      <c r="Y284" s="133">
        <v>0</v>
      </c>
      <c r="Z284" s="133">
        <v>0</v>
      </c>
      <c r="AB284" s="133" t="s">
        <v>228</v>
      </c>
    </row>
    <row r="285" spans="1:31" ht="13">
      <c r="B285" s="209"/>
      <c r="C285" s="148" t="s">
        <v>318</v>
      </c>
      <c r="D285" s="149"/>
      <c r="E285" s="147" t="s">
        <v>388</v>
      </c>
      <c r="F285" s="149"/>
      <c r="G285" s="148" t="s">
        <v>317</v>
      </c>
      <c r="H285" s="149"/>
      <c r="I285" s="148" t="s">
        <v>296</v>
      </c>
      <c r="J285" s="149"/>
      <c r="K285" s="148" t="s">
        <v>296</v>
      </c>
      <c r="L285" s="149"/>
      <c r="M285" s="148" t="s">
        <v>317</v>
      </c>
      <c r="N285" s="149"/>
      <c r="O285" s="148" t="s">
        <v>317</v>
      </c>
      <c r="P285" s="149"/>
      <c r="Q285" s="148" t="s">
        <v>317</v>
      </c>
      <c r="R285" s="149"/>
      <c r="S285" s="147" t="s">
        <v>344</v>
      </c>
      <c r="T285" s="149"/>
      <c r="U285" s="148" t="s">
        <v>318</v>
      </c>
      <c r="W285" s="236"/>
    </row>
    <row r="286" spans="1:31" ht="13">
      <c r="B286" s="209"/>
      <c r="C286" s="147"/>
      <c r="D286" s="149"/>
      <c r="E286" s="148"/>
      <c r="F286" s="149"/>
      <c r="G286" s="148"/>
      <c r="H286" s="149"/>
      <c r="I286" s="147"/>
      <c r="J286" s="149"/>
      <c r="K286" s="148"/>
      <c r="L286" s="149"/>
      <c r="M286" s="148"/>
      <c r="N286" s="149"/>
      <c r="O286" s="147"/>
      <c r="P286" s="149"/>
      <c r="Q286" s="148"/>
      <c r="R286" s="149"/>
      <c r="S286" s="148"/>
      <c r="T286" s="149"/>
      <c r="U286" s="147"/>
      <c r="W286" s="236"/>
    </row>
    <row r="287" spans="1:31">
      <c r="B287" s="209"/>
      <c r="C287" s="133">
        <f>U279+1</f>
        <v>331</v>
      </c>
      <c r="E287" s="133">
        <f>C287+1</f>
        <v>332</v>
      </c>
      <c r="G287" s="133">
        <f>E287+1</f>
        <v>333</v>
      </c>
      <c r="I287" s="133">
        <f>G287+1</f>
        <v>334</v>
      </c>
      <c r="K287" s="133">
        <f>I287+1</f>
        <v>335</v>
      </c>
      <c r="M287" s="133">
        <f>K287+1</f>
        <v>336</v>
      </c>
      <c r="O287" s="133">
        <f>M287+1</f>
        <v>337</v>
      </c>
      <c r="Q287" s="133">
        <f>O287+1</f>
        <v>338</v>
      </c>
      <c r="S287" s="133">
        <f>Q287+1</f>
        <v>339</v>
      </c>
      <c r="U287" s="161">
        <f>S287+1</f>
        <v>340</v>
      </c>
      <c r="W287" s="236"/>
    </row>
    <row r="288" spans="1:31">
      <c r="B288" s="209"/>
      <c r="W288" s="236"/>
    </row>
    <row r="289" spans="1:31">
      <c r="B289" s="209"/>
      <c r="C289" s="135"/>
      <c r="D289" s="135">
        <v>348.85</v>
      </c>
      <c r="E289" s="135"/>
      <c r="F289" s="135">
        <v>381.82</v>
      </c>
      <c r="H289" s="135">
        <v>458.16</v>
      </c>
      <c r="J289" s="135">
        <v>420.55</v>
      </c>
      <c r="L289" s="135">
        <v>426.94</v>
      </c>
      <c r="M289" s="135"/>
      <c r="N289" s="135">
        <v>416.99</v>
      </c>
      <c r="P289" s="135">
        <v>366.19</v>
      </c>
      <c r="Q289" s="135"/>
      <c r="R289" s="135">
        <v>351</v>
      </c>
      <c r="S289" s="135"/>
      <c r="T289" s="135">
        <v>251.81</v>
      </c>
      <c r="V289" s="135">
        <v>420</v>
      </c>
      <c r="W289" s="265">
        <f>D289+H289+J289+L289+N289+F289+P289+R289+T289+V289</f>
        <v>3842.31</v>
      </c>
      <c r="AE289" s="135">
        <f>SUM(D289:V289)</f>
        <v>3842.31</v>
      </c>
    </row>
    <row r="290" spans="1:31">
      <c r="A290" s="133">
        <f>A282+1</f>
        <v>34</v>
      </c>
      <c r="B290" s="209"/>
      <c r="C290" s="140"/>
      <c r="D290" s="139"/>
      <c r="E290" s="140"/>
      <c r="F290" s="139"/>
      <c r="G290" s="140"/>
      <c r="I290" s="140"/>
      <c r="J290" s="139"/>
      <c r="K290" s="140"/>
      <c r="L290" s="139"/>
      <c r="M290" s="140"/>
      <c r="N290" s="139"/>
      <c r="O290" s="140"/>
      <c r="P290" s="139"/>
      <c r="Q290" s="140"/>
      <c r="R290" s="139"/>
      <c r="S290" s="140"/>
      <c r="T290" s="139"/>
      <c r="U290" s="140"/>
      <c r="V290" s="162"/>
      <c r="W290" s="265"/>
      <c r="X290" s="133">
        <f>COUNTIF(C290:U290,"F")</f>
        <v>0</v>
      </c>
      <c r="Y290" s="133">
        <f>COUNTIF(C289:U289,"E")</f>
        <v>0</v>
      </c>
      <c r="Z290" s="133">
        <f>COUNTIF(C291:V291,"Er")</f>
        <v>0</v>
      </c>
      <c r="AB290" s="133" t="s">
        <v>518</v>
      </c>
    </row>
    <row r="291" spans="1:31">
      <c r="B291" s="209"/>
      <c r="C291" s="141"/>
      <c r="D291" s="139"/>
      <c r="E291" s="141"/>
      <c r="F291" s="139"/>
      <c r="G291" s="141"/>
      <c r="I291" s="141"/>
      <c r="J291" s="139"/>
      <c r="K291" s="141"/>
      <c r="L291" s="139"/>
      <c r="M291" s="141"/>
      <c r="N291" s="139"/>
      <c r="O291" s="141"/>
      <c r="P291" s="139"/>
      <c r="Q291" s="141"/>
      <c r="R291" s="139"/>
      <c r="S291" s="141"/>
      <c r="T291" s="139"/>
      <c r="U291" s="141"/>
      <c r="V291" s="162"/>
      <c r="W291" s="236"/>
      <c r="X291" s="133">
        <f>COUNTIF(C291:U291,"U/P")</f>
        <v>0</v>
      </c>
      <c r="Y291" s="133">
        <v>0</v>
      </c>
      <c r="Z291" s="133">
        <v>0</v>
      </c>
      <c r="AB291" s="133" t="s">
        <v>278</v>
      </c>
    </row>
    <row r="292" spans="1:31" ht="13">
      <c r="B292" s="209"/>
      <c r="C292" s="386" t="s">
        <v>433</v>
      </c>
      <c r="E292" s="147" t="s">
        <v>719</v>
      </c>
      <c r="G292" s="147" t="s">
        <v>435</v>
      </c>
      <c r="I292" s="147" t="s">
        <v>720</v>
      </c>
      <c r="K292" s="147" t="s">
        <v>721</v>
      </c>
      <c r="M292" s="386" t="s">
        <v>438</v>
      </c>
      <c r="O292" s="386" t="s">
        <v>439</v>
      </c>
      <c r="Q292" s="147" t="s">
        <v>172</v>
      </c>
      <c r="S292" s="386" t="s">
        <v>441</v>
      </c>
      <c r="U292" s="147" t="s">
        <v>722</v>
      </c>
      <c r="W292" s="236"/>
      <c r="X292" s="133">
        <f>COUNTIF(C290:U290,"ROW")</f>
        <v>0</v>
      </c>
      <c r="Y292" s="133">
        <v>0</v>
      </c>
      <c r="Z292" s="133">
        <v>0</v>
      </c>
      <c r="AB292" s="133" t="s">
        <v>228</v>
      </c>
    </row>
    <row r="293" spans="1:31" ht="13">
      <c r="B293" s="209"/>
      <c r="C293" s="148" t="s">
        <v>296</v>
      </c>
      <c r="E293" s="147" t="s">
        <v>397</v>
      </c>
      <c r="G293" s="147" t="s">
        <v>529</v>
      </c>
      <c r="I293" s="147" t="s">
        <v>143</v>
      </c>
      <c r="K293" s="147" t="s">
        <v>143</v>
      </c>
      <c r="M293" s="148" t="s">
        <v>318</v>
      </c>
      <c r="O293" s="148" t="s">
        <v>318</v>
      </c>
      <c r="Q293" s="147" t="s">
        <v>115</v>
      </c>
      <c r="S293" s="386" t="s">
        <v>296</v>
      </c>
      <c r="U293" s="147" t="s">
        <v>125</v>
      </c>
      <c r="W293" s="236"/>
    </row>
    <row r="294" spans="1:31">
      <c r="B294" s="209"/>
      <c r="W294" s="236"/>
    </row>
    <row r="295" spans="1:31">
      <c r="B295" s="209"/>
      <c r="C295" s="133">
        <f>U287+1</f>
        <v>341</v>
      </c>
      <c r="E295" s="133">
        <f>C295+1</f>
        <v>342</v>
      </c>
      <c r="G295" s="133">
        <f>E295+1</f>
        <v>343</v>
      </c>
      <c r="I295" s="133">
        <f>G295+1</f>
        <v>344</v>
      </c>
      <c r="K295" s="133">
        <f>I295+1</f>
        <v>345</v>
      </c>
      <c r="M295" s="133">
        <f>K295+1</f>
        <v>346</v>
      </c>
      <c r="O295" s="133">
        <f>M295+1</f>
        <v>347</v>
      </c>
      <c r="Q295" s="133">
        <f>O295+1</f>
        <v>348</v>
      </c>
      <c r="S295" s="133">
        <f>Q295+1</f>
        <v>349</v>
      </c>
      <c r="U295" s="161">
        <f>S295+1</f>
        <v>350</v>
      </c>
      <c r="W295" s="236"/>
    </row>
    <row r="296" spans="1:31">
      <c r="B296" s="209"/>
      <c r="W296" s="236"/>
    </row>
    <row r="297" spans="1:31">
      <c r="B297" s="209"/>
      <c r="C297" s="135"/>
      <c r="D297" s="135">
        <v>425</v>
      </c>
      <c r="E297" s="135"/>
      <c r="F297" s="135">
        <v>420</v>
      </c>
      <c r="H297" s="135">
        <v>367.44</v>
      </c>
      <c r="J297" s="135">
        <v>398</v>
      </c>
      <c r="L297" s="135">
        <v>370.48</v>
      </c>
      <c r="M297" s="135"/>
      <c r="N297" s="135">
        <v>437.33</v>
      </c>
      <c r="P297" s="135">
        <v>447</v>
      </c>
      <c r="Q297" s="135"/>
      <c r="R297" s="135">
        <v>394.62</v>
      </c>
      <c r="S297" s="135"/>
      <c r="T297" s="135">
        <v>388.49</v>
      </c>
      <c r="V297" s="135">
        <v>440</v>
      </c>
      <c r="W297" s="265">
        <v>44</v>
      </c>
      <c r="AE297" s="135">
        <f>SUM(D297:V297)</f>
        <v>4088.36</v>
      </c>
    </row>
    <row r="298" spans="1:31">
      <c r="A298" s="133">
        <f>A290+1</f>
        <v>35</v>
      </c>
      <c r="B298" s="209"/>
      <c r="C298" s="140"/>
      <c r="D298" s="139"/>
      <c r="E298" s="140"/>
      <c r="F298" s="139"/>
      <c r="G298" s="140"/>
      <c r="I298" s="140"/>
      <c r="J298" s="139"/>
      <c r="K298" s="140"/>
      <c r="L298" s="139"/>
      <c r="M298" s="140"/>
      <c r="N298" s="139"/>
      <c r="O298" s="140"/>
      <c r="P298" s="139"/>
      <c r="Q298" s="140"/>
      <c r="R298" s="139"/>
      <c r="S298" s="140"/>
      <c r="T298" s="139"/>
      <c r="U298" s="140"/>
      <c r="V298" s="162"/>
      <c r="W298" s="265"/>
      <c r="X298" s="133">
        <f>COUNTIF(C298:U298,"F")</f>
        <v>0</v>
      </c>
      <c r="Y298" s="133">
        <f>COUNTIF(C297:U297,"E")</f>
        <v>0</v>
      </c>
      <c r="Z298" s="133">
        <f>COUNTIF(C299:V299,"Er")</f>
        <v>0</v>
      </c>
      <c r="AB298" s="133" t="s">
        <v>518</v>
      </c>
    </row>
    <row r="299" spans="1:31">
      <c r="B299" s="209"/>
      <c r="C299" s="141"/>
      <c r="D299" s="139"/>
      <c r="E299" s="141"/>
      <c r="F299" s="139"/>
      <c r="G299" s="141"/>
      <c r="I299" s="141"/>
      <c r="J299" s="139"/>
      <c r="K299" s="141"/>
      <c r="L299" s="139"/>
      <c r="M299" s="141"/>
      <c r="N299" s="139"/>
      <c r="O299" s="141"/>
      <c r="P299" s="139"/>
      <c r="Q299" s="141"/>
      <c r="R299" s="139"/>
      <c r="S299" s="141"/>
      <c r="T299" s="139"/>
      <c r="U299" s="141"/>
      <c r="V299" s="162"/>
      <c r="W299" s="236"/>
      <c r="X299" s="133">
        <f>COUNTIF(C299:U299,"U/P")</f>
        <v>0</v>
      </c>
      <c r="Y299" s="133">
        <v>0</v>
      </c>
      <c r="Z299" s="133">
        <v>0</v>
      </c>
      <c r="AB299" s="133" t="s">
        <v>278</v>
      </c>
    </row>
    <row r="300" spans="1:31" ht="13">
      <c r="B300" s="209"/>
      <c r="C300" s="386" t="s">
        <v>723</v>
      </c>
      <c r="E300" s="386" t="s">
        <v>724</v>
      </c>
      <c r="F300" s="149"/>
      <c r="G300" s="386" t="s">
        <v>725</v>
      </c>
      <c r="H300" s="149"/>
      <c r="I300" s="147" t="s">
        <v>726</v>
      </c>
      <c r="J300" s="149"/>
      <c r="K300" s="386" t="s">
        <v>449</v>
      </c>
      <c r="L300" s="149"/>
      <c r="M300" s="147" t="s">
        <v>727</v>
      </c>
      <c r="N300" s="149"/>
      <c r="O300" s="147" t="s">
        <v>451</v>
      </c>
      <c r="P300" s="149"/>
      <c r="Q300" s="386" t="s">
        <v>452</v>
      </c>
      <c r="R300" s="149"/>
      <c r="S300" s="147" t="s">
        <v>728</v>
      </c>
      <c r="T300" s="149"/>
      <c r="U300" s="147" t="s">
        <v>455</v>
      </c>
      <c r="W300" s="236"/>
      <c r="X300" s="133">
        <f>COUNTIF(C298:U298,"ROW")</f>
        <v>0</v>
      </c>
      <c r="Y300" s="133">
        <v>0</v>
      </c>
      <c r="Z300" s="133">
        <v>0</v>
      </c>
      <c r="AB300" s="133" t="s">
        <v>228</v>
      </c>
    </row>
    <row r="301" spans="1:31" ht="13">
      <c r="B301" s="209"/>
      <c r="C301" s="386" t="s">
        <v>317</v>
      </c>
      <c r="E301" s="386" t="s">
        <v>295</v>
      </c>
      <c r="F301" s="149"/>
      <c r="G301" s="386" t="s">
        <v>317</v>
      </c>
      <c r="H301" s="149"/>
      <c r="I301" s="147" t="s">
        <v>343</v>
      </c>
      <c r="J301" s="149"/>
      <c r="K301" s="386" t="s">
        <v>185</v>
      </c>
      <c r="L301" s="149"/>
      <c r="M301" s="147" t="s">
        <v>397</v>
      </c>
      <c r="N301" s="149"/>
      <c r="O301" s="147" t="s">
        <v>529</v>
      </c>
      <c r="P301" s="149"/>
      <c r="Q301" s="386" t="s">
        <v>248</v>
      </c>
      <c r="R301" s="149"/>
      <c r="S301" s="147" t="s">
        <v>319</v>
      </c>
      <c r="T301" s="149"/>
      <c r="U301" s="147" t="s">
        <v>729</v>
      </c>
      <c r="W301" s="236"/>
    </row>
    <row r="302" spans="1:31" ht="13">
      <c r="B302" s="209"/>
      <c r="C302" s="147"/>
      <c r="D302" s="149"/>
      <c r="E302" s="148"/>
      <c r="F302" s="149"/>
      <c r="G302" s="148"/>
      <c r="H302" s="149"/>
      <c r="I302" s="147"/>
      <c r="J302" s="149"/>
      <c r="K302" s="148"/>
      <c r="L302" s="149"/>
      <c r="M302" s="148"/>
      <c r="N302" s="149"/>
      <c r="O302" s="147"/>
      <c r="P302" s="149"/>
      <c r="Q302" s="148"/>
      <c r="R302" s="149"/>
      <c r="S302" s="148"/>
      <c r="T302" s="149"/>
      <c r="U302" s="147"/>
      <c r="W302" s="236"/>
    </row>
    <row r="303" spans="1:31">
      <c r="B303" s="209"/>
      <c r="C303" s="133">
        <f>U295+1</f>
        <v>351</v>
      </c>
      <c r="E303" s="133">
        <f>C303+1</f>
        <v>352</v>
      </c>
      <c r="G303" s="133">
        <f>E303+1</f>
        <v>353</v>
      </c>
      <c r="I303" s="133">
        <f>G303+1</f>
        <v>354</v>
      </c>
      <c r="K303" s="133">
        <f>I303+1</f>
        <v>355</v>
      </c>
      <c r="M303" s="133">
        <f>K303+1</f>
        <v>356</v>
      </c>
      <c r="O303" s="133">
        <f>M303+1</f>
        <v>357</v>
      </c>
      <c r="Q303" s="133">
        <f>O303+1</f>
        <v>358</v>
      </c>
      <c r="S303" s="133">
        <f>Q303+1</f>
        <v>359</v>
      </c>
      <c r="U303" s="161">
        <f>S303+1</f>
        <v>360</v>
      </c>
      <c r="W303" s="236"/>
    </row>
    <row r="304" spans="1:31">
      <c r="B304" s="209"/>
      <c r="W304" s="236"/>
    </row>
    <row r="305" spans="1:31">
      <c r="B305" s="209"/>
      <c r="C305" s="135"/>
      <c r="D305" s="135">
        <v>227.51</v>
      </c>
      <c r="E305" s="135"/>
      <c r="F305" s="135">
        <v>279</v>
      </c>
      <c r="H305" s="135">
        <v>365.62</v>
      </c>
      <c r="J305" s="135">
        <v>217.72</v>
      </c>
      <c r="L305" s="135">
        <v>378.38</v>
      </c>
      <c r="M305" s="135"/>
      <c r="N305" s="135">
        <v>295.12</v>
      </c>
      <c r="P305" s="135">
        <v>390</v>
      </c>
      <c r="Q305" s="135"/>
      <c r="R305" s="135">
        <v>428.04</v>
      </c>
      <c r="S305" s="135"/>
      <c r="T305" s="135">
        <v>384</v>
      </c>
      <c r="V305" s="135">
        <v>398.62</v>
      </c>
      <c r="W305" s="265">
        <f>D305+H305+J305+L305+N305+F305+P305+R305+T305+V305</f>
        <v>3364.01</v>
      </c>
      <c r="AE305" s="135">
        <f>SUM(D305:V305)</f>
        <v>3364.01</v>
      </c>
    </row>
    <row r="306" spans="1:31">
      <c r="A306" s="133">
        <f>A298+1</f>
        <v>36</v>
      </c>
      <c r="B306" s="209"/>
      <c r="C306" s="140"/>
      <c r="D306" s="139"/>
      <c r="E306" s="140"/>
      <c r="F306" s="139"/>
      <c r="G306" s="140"/>
      <c r="I306" s="140"/>
      <c r="J306" s="139"/>
      <c r="K306" s="140"/>
      <c r="L306" s="139"/>
      <c r="M306" s="140"/>
      <c r="N306" s="139"/>
      <c r="O306" s="140"/>
      <c r="P306" s="139"/>
      <c r="Q306" s="140"/>
      <c r="R306" s="139"/>
      <c r="S306" s="140"/>
      <c r="T306" s="139"/>
      <c r="U306" s="140"/>
      <c r="V306" s="162"/>
      <c r="W306" s="265"/>
      <c r="X306" s="133">
        <f>COUNTIF(C306:U306,"F")</f>
        <v>0</v>
      </c>
      <c r="Y306" s="133">
        <f>COUNTIF(C305:U305,"E")</f>
        <v>0</v>
      </c>
      <c r="Z306" s="133">
        <f>COUNTIF(C307:V307,"Er")</f>
        <v>0</v>
      </c>
      <c r="AB306" s="133" t="s">
        <v>518</v>
      </c>
    </row>
    <row r="307" spans="1:31">
      <c r="B307" s="209"/>
      <c r="C307" s="141"/>
      <c r="D307" s="139"/>
      <c r="E307" s="141"/>
      <c r="F307" s="139"/>
      <c r="G307" s="141"/>
      <c r="I307" s="141"/>
      <c r="J307" s="139"/>
      <c r="K307" s="141"/>
      <c r="L307" s="139"/>
      <c r="M307" s="141"/>
      <c r="N307" s="139"/>
      <c r="O307" s="141"/>
      <c r="P307" s="139"/>
      <c r="Q307" s="141"/>
      <c r="R307" s="139"/>
      <c r="S307" s="141"/>
      <c r="T307" s="139"/>
      <c r="U307" s="141"/>
      <c r="V307" s="162"/>
      <c r="W307" s="236"/>
      <c r="X307" s="133">
        <f>COUNTIF(C307:U307,"U/P")</f>
        <v>0</v>
      </c>
      <c r="Y307" s="133">
        <v>0</v>
      </c>
      <c r="Z307" s="133">
        <v>0</v>
      </c>
      <c r="AB307" s="133" t="s">
        <v>278</v>
      </c>
    </row>
    <row r="308" spans="1:31" ht="13">
      <c r="B308" s="209"/>
      <c r="C308" s="386" t="s">
        <v>730</v>
      </c>
      <c r="E308" s="147" t="s">
        <v>731</v>
      </c>
      <c r="G308" s="386" t="s">
        <v>732</v>
      </c>
      <c r="I308" s="147" t="s">
        <v>458</v>
      </c>
      <c r="K308" s="147" t="s">
        <v>459</v>
      </c>
      <c r="M308" s="147" t="s">
        <v>460</v>
      </c>
      <c r="O308" s="147" t="s">
        <v>462</v>
      </c>
      <c r="Q308" s="386" t="s">
        <v>463</v>
      </c>
      <c r="S308" s="147" t="s">
        <v>464</v>
      </c>
      <c r="U308" s="386" t="s">
        <v>465</v>
      </c>
      <c r="W308" s="236"/>
      <c r="X308" s="133">
        <f>COUNTIF(C306:U306,"ROW")</f>
        <v>0</v>
      </c>
      <c r="Y308" s="133">
        <v>0</v>
      </c>
      <c r="Z308" s="133">
        <v>0</v>
      </c>
      <c r="AB308" s="133" t="s">
        <v>228</v>
      </c>
    </row>
    <row r="309" spans="1:31" ht="13">
      <c r="B309" s="209"/>
      <c r="C309" s="148" t="s">
        <v>318</v>
      </c>
      <c r="E309" s="147" t="s">
        <v>343</v>
      </c>
      <c r="G309" s="148" t="s">
        <v>296</v>
      </c>
      <c r="I309" s="147" t="s">
        <v>541</v>
      </c>
      <c r="K309" s="147" t="s">
        <v>132</v>
      </c>
      <c r="M309" s="147" t="s">
        <v>343</v>
      </c>
      <c r="O309" s="147" t="s">
        <v>343</v>
      </c>
      <c r="Q309" s="148" t="s">
        <v>295</v>
      </c>
      <c r="S309" s="147" t="s">
        <v>319</v>
      </c>
      <c r="U309" s="148" t="s">
        <v>317</v>
      </c>
      <c r="W309" s="236"/>
    </row>
    <row r="310" spans="1:31">
      <c r="B310" s="209"/>
      <c r="W310" s="236"/>
    </row>
    <row r="311" spans="1:31">
      <c r="B311" s="209"/>
      <c r="C311" s="133">
        <f>U303+1</f>
        <v>361</v>
      </c>
      <c r="E311" s="133">
        <f>C311+1</f>
        <v>362</v>
      </c>
      <c r="G311" s="133">
        <f>E311+1</f>
        <v>363</v>
      </c>
      <c r="I311" s="133">
        <f>G311+1</f>
        <v>364</v>
      </c>
      <c r="K311" s="133">
        <f>I311+1</f>
        <v>365</v>
      </c>
      <c r="M311" s="133">
        <f>K311+1</f>
        <v>366</v>
      </c>
      <c r="O311" s="133">
        <f>M311+1</f>
        <v>367</v>
      </c>
      <c r="Q311" s="133">
        <f>O311+1</f>
        <v>368</v>
      </c>
      <c r="S311" s="133">
        <f>Q311+1</f>
        <v>369</v>
      </c>
      <c r="U311" s="161">
        <f>S311+1</f>
        <v>370</v>
      </c>
      <c r="W311" s="236"/>
    </row>
    <row r="312" spans="1:31">
      <c r="B312" s="209"/>
      <c r="W312" s="236"/>
    </row>
    <row r="313" spans="1:31">
      <c r="B313" s="209"/>
      <c r="C313" s="135"/>
      <c r="D313" s="135">
        <v>395</v>
      </c>
      <c r="E313" s="135"/>
      <c r="F313" s="135">
        <v>446.11</v>
      </c>
      <c r="H313" s="135">
        <v>398</v>
      </c>
      <c r="J313" s="135">
        <v>390</v>
      </c>
      <c r="L313" s="135">
        <v>419.64</v>
      </c>
      <c r="M313" s="135"/>
      <c r="N313" s="135">
        <v>424.44</v>
      </c>
      <c r="P313" s="135">
        <v>444</v>
      </c>
      <c r="Q313" s="135"/>
      <c r="R313" s="135">
        <v>400</v>
      </c>
      <c r="S313" s="135"/>
      <c r="T313" s="135">
        <v>391.11</v>
      </c>
      <c r="V313" s="135">
        <v>413</v>
      </c>
      <c r="W313" s="265">
        <f>D313+H313+J313+L313+N313+F313+P313+R313+T313+V313</f>
        <v>4121.3</v>
      </c>
      <c r="AE313" s="135">
        <f>SUM(D313:V313)</f>
        <v>4121.3</v>
      </c>
    </row>
    <row r="314" spans="1:31">
      <c r="A314" s="133">
        <f>A306+1</f>
        <v>37</v>
      </c>
      <c r="B314" s="209"/>
      <c r="C314" s="140"/>
      <c r="D314" s="139"/>
      <c r="E314" s="140"/>
      <c r="F314" s="139"/>
      <c r="G314" s="140"/>
      <c r="I314" s="140"/>
      <c r="J314" s="139"/>
      <c r="K314" s="140"/>
      <c r="L314" s="139"/>
      <c r="M314" s="140"/>
      <c r="N314" s="139"/>
      <c r="O314" s="140"/>
      <c r="P314" s="139"/>
      <c r="Q314" s="140"/>
      <c r="R314" s="139"/>
      <c r="S314" s="140"/>
      <c r="T314" s="139"/>
      <c r="U314" s="140"/>
      <c r="V314" s="162"/>
      <c r="W314" s="265"/>
      <c r="X314" s="133">
        <f>COUNTIF(C314:U314,"F")</f>
        <v>0</v>
      </c>
      <c r="Y314" s="133">
        <f>COUNTIF(C313:U313,"E")</f>
        <v>0</v>
      </c>
      <c r="Z314" s="133">
        <f>COUNTIF(C315:V315,"Er")</f>
        <v>0</v>
      </c>
      <c r="AB314" s="133" t="s">
        <v>518</v>
      </c>
    </row>
    <row r="315" spans="1:31">
      <c r="B315" s="209"/>
      <c r="C315" s="141"/>
      <c r="D315" s="139"/>
      <c r="E315" s="141"/>
      <c r="F315" s="139"/>
      <c r="G315" s="141"/>
      <c r="I315" s="141"/>
      <c r="J315" s="139"/>
      <c r="K315" s="141"/>
      <c r="L315" s="139"/>
      <c r="M315" s="141"/>
      <c r="N315" s="139"/>
      <c r="O315" s="141"/>
      <c r="P315" s="139"/>
      <c r="Q315" s="141"/>
      <c r="R315" s="139"/>
      <c r="S315" s="141"/>
      <c r="T315" s="139"/>
      <c r="U315" s="141"/>
      <c r="V315" s="162"/>
      <c r="W315" s="236"/>
      <c r="X315" s="133">
        <f>COUNTIF(C315:U315,"U/P")</f>
        <v>0</v>
      </c>
      <c r="Y315" s="133">
        <v>0</v>
      </c>
      <c r="Z315" s="133">
        <v>0</v>
      </c>
      <c r="AB315" s="133" t="s">
        <v>278</v>
      </c>
    </row>
    <row r="316" spans="1:31" ht="13">
      <c r="B316" s="209"/>
      <c r="C316" s="147" t="s">
        <v>467</v>
      </c>
      <c r="E316" s="386" t="s">
        <v>468</v>
      </c>
      <c r="F316" s="149"/>
      <c r="G316" s="147" t="s">
        <v>469</v>
      </c>
      <c r="H316" s="149"/>
      <c r="I316" s="386" t="s">
        <v>470</v>
      </c>
      <c r="J316" s="149"/>
      <c r="K316" s="386" t="s">
        <v>471</v>
      </c>
      <c r="L316" s="149"/>
      <c r="M316" s="147" t="s">
        <v>472</v>
      </c>
      <c r="N316" s="149"/>
      <c r="O316" s="147" t="s">
        <v>473</v>
      </c>
      <c r="P316" s="149"/>
      <c r="Q316" s="386" t="s">
        <v>474</v>
      </c>
      <c r="R316" s="149"/>
      <c r="S316" s="386" t="s">
        <v>475</v>
      </c>
      <c r="T316" s="149"/>
      <c r="U316" s="147" t="s">
        <v>476</v>
      </c>
      <c r="W316" s="236"/>
      <c r="X316" s="133">
        <f>COUNTIF(C314:U314,"ROW")</f>
        <v>0</v>
      </c>
      <c r="Y316" s="133">
        <v>0</v>
      </c>
      <c r="Z316" s="133">
        <v>0</v>
      </c>
      <c r="AB316" s="133" t="s">
        <v>228</v>
      </c>
    </row>
    <row r="317" spans="1:31" ht="13">
      <c r="B317" s="209"/>
      <c r="C317" s="147" t="s">
        <v>343</v>
      </c>
      <c r="E317" s="148" t="s">
        <v>182</v>
      </c>
      <c r="F317" s="149"/>
      <c r="G317" s="147" t="s">
        <v>319</v>
      </c>
      <c r="H317" s="149"/>
      <c r="I317" s="148" t="s">
        <v>182</v>
      </c>
      <c r="J317" s="149"/>
      <c r="K317" s="148" t="s">
        <v>318</v>
      </c>
      <c r="L317" s="149"/>
      <c r="M317" s="147" t="s">
        <v>729</v>
      </c>
      <c r="N317" s="149"/>
      <c r="O317" s="147" t="s">
        <v>529</v>
      </c>
      <c r="P317" s="149"/>
      <c r="Q317" s="148" t="s">
        <v>317</v>
      </c>
      <c r="R317" s="149"/>
      <c r="S317" s="148" t="s">
        <v>296</v>
      </c>
      <c r="T317" s="149"/>
      <c r="U317" s="147" t="s">
        <v>319</v>
      </c>
      <c r="W317" s="236"/>
    </row>
    <row r="318" spans="1:31" ht="13">
      <c r="B318" s="209"/>
      <c r="C318" s="147"/>
      <c r="D318" s="149"/>
      <c r="E318" s="148"/>
      <c r="F318" s="149"/>
      <c r="G318" s="148"/>
      <c r="H318" s="149"/>
      <c r="I318" s="147"/>
      <c r="J318" s="149"/>
      <c r="K318" s="148"/>
      <c r="L318" s="149"/>
      <c r="M318" s="148"/>
      <c r="N318" s="149"/>
      <c r="O318" s="147"/>
      <c r="P318" s="149"/>
      <c r="Q318" s="148"/>
      <c r="R318" s="149"/>
      <c r="S318" s="148"/>
      <c r="T318" s="149"/>
      <c r="U318" s="147"/>
      <c r="W318" s="236"/>
    </row>
    <row r="319" spans="1:31">
      <c r="B319" s="209"/>
      <c r="C319" s="133">
        <f>U311+1</f>
        <v>371</v>
      </c>
      <c r="E319" s="133">
        <f>C319+1</f>
        <v>372</v>
      </c>
      <c r="G319" s="133">
        <f>E319+1</f>
        <v>373</v>
      </c>
      <c r="I319" s="133">
        <f>G319+1</f>
        <v>374</v>
      </c>
      <c r="K319" s="133">
        <f>I319+1</f>
        <v>375</v>
      </c>
      <c r="M319" s="133">
        <f>K319+1</f>
        <v>376</v>
      </c>
      <c r="O319" s="133">
        <f>M319+1</f>
        <v>377</v>
      </c>
      <c r="Q319" s="133">
        <f>O319+1</f>
        <v>378</v>
      </c>
      <c r="S319" s="133">
        <f>Q319+1</f>
        <v>379</v>
      </c>
      <c r="U319" s="161">
        <f>S319+1</f>
        <v>380</v>
      </c>
      <c r="W319" s="236"/>
    </row>
    <row r="320" spans="1:31">
      <c r="B320" s="209"/>
      <c r="W320" s="236"/>
    </row>
    <row r="321" spans="1:31">
      <c r="B321" s="209"/>
      <c r="C321" s="135"/>
      <c r="D321" s="135">
        <v>402.25</v>
      </c>
      <c r="E321" s="135"/>
      <c r="F321" s="135">
        <v>250.69</v>
      </c>
      <c r="H321" s="135">
        <v>403</v>
      </c>
      <c r="J321" s="135">
        <v>387</v>
      </c>
      <c r="L321" s="135">
        <v>369.16</v>
      </c>
      <c r="M321" s="135"/>
      <c r="N321" s="135">
        <v>419.36</v>
      </c>
      <c r="P321" s="135">
        <v>421.74</v>
      </c>
      <c r="Q321" s="135"/>
      <c r="R321" s="135">
        <v>403</v>
      </c>
      <c r="S321" s="135"/>
      <c r="T321" s="135">
        <v>355</v>
      </c>
      <c r="V321" s="135">
        <v>355</v>
      </c>
      <c r="W321" s="265">
        <f>D321+H321+J321+L321+N321+F321+P321+R321+T321+V321</f>
        <v>3766.2</v>
      </c>
      <c r="AE321" s="135">
        <f>SUM(D321:V321)</f>
        <v>3766.2</v>
      </c>
    </row>
    <row r="322" spans="1:31">
      <c r="A322" s="133">
        <f>A314+1</f>
        <v>38</v>
      </c>
      <c r="B322" s="209"/>
      <c r="C322" s="140"/>
      <c r="D322" s="139"/>
      <c r="E322" s="140"/>
      <c r="F322" s="139"/>
      <c r="G322" s="140"/>
      <c r="I322" s="140"/>
      <c r="J322" s="139"/>
      <c r="K322" s="140"/>
      <c r="L322" s="139"/>
      <c r="M322" s="140"/>
      <c r="N322" s="139"/>
      <c r="O322" s="140"/>
      <c r="P322" s="139"/>
      <c r="Q322" s="140"/>
      <c r="R322" s="139"/>
      <c r="S322" s="140"/>
      <c r="T322" s="139"/>
      <c r="U322" s="140"/>
      <c r="V322" s="162"/>
      <c r="W322" s="265"/>
      <c r="X322" s="133">
        <f>COUNTIF(C322:U322,"F")</f>
        <v>0</v>
      </c>
      <c r="Y322" s="133">
        <f>COUNTIF(C321:U321,"E")</f>
        <v>0</v>
      </c>
      <c r="Z322" s="133">
        <f>COUNTIF(C323:V323,"Er")</f>
        <v>0</v>
      </c>
      <c r="AB322" s="133" t="s">
        <v>518</v>
      </c>
    </row>
    <row r="323" spans="1:31">
      <c r="B323" s="209"/>
      <c r="C323" s="141"/>
      <c r="D323" s="139"/>
      <c r="E323" s="141"/>
      <c r="F323" s="139"/>
      <c r="G323" s="141"/>
      <c r="I323" s="141"/>
      <c r="J323" s="139"/>
      <c r="K323" s="141"/>
      <c r="L323" s="139"/>
      <c r="M323" s="141"/>
      <c r="N323" s="139"/>
      <c r="O323" s="141"/>
      <c r="P323" s="139"/>
      <c r="Q323" s="141"/>
      <c r="R323" s="139"/>
      <c r="S323" s="141"/>
      <c r="T323" s="139"/>
      <c r="U323" s="141"/>
      <c r="V323" s="162"/>
      <c r="W323" s="236"/>
      <c r="X323" s="133">
        <f>COUNTIF(C323:U323,"U/P")</f>
        <v>0</v>
      </c>
      <c r="Y323" s="133">
        <v>0</v>
      </c>
      <c r="Z323" s="133">
        <v>0</v>
      </c>
      <c r="AB323" s="133" t="s">
        <v>278</v>
      </c>
    </row>
    <row r="324" spans="1:31" ht="13">
      <c r="B324" s="209"/>
      <c r="C324" s="386" t="s">
        <v>477</v>
      </c>
      <c r="E324" s="147" t="s">
        <v>478</v>
      </c>
      <c r="G324" s="147" t="s">
        <v>733</v>
      </c>
      <c r="I324" s="386" t="s">
        <v>734</v>
      </c>
      <c r="K324" s="386" t="s">
        <v>735</v>
      </c>
      <c r="M324" s="147" t="s">
        <v>736</v>
      </c>
      <c r="O324" s="147" t="s">
        <v>737</v>
      </c>
      <c r="Q324" s="147" t="s">
        <v>738</v>
      </c>
      <c r="S324" s="386" t="s">
        <v>739</v>
      </c>
      <c r="U324" s="386" t="s">
        <v>740</v>
      </c>
      <c r="W324" s="236"/>
      <c r="X324" s="133">
        <f>COUNTIF(C322:U322,"ROW")</f>
        <v>0</v>
      </c>
      <c r="Y324" s="133">
        <v>0</v>
      </c>
      <c r="Z324" s="133">
        <v>0</v>
      </c>
      <c r="AB324" s="133" t="s">
        <v>228</v>
      </c>
    </row>
    <row r="325" spans="1:31" ht="13">
      <c r="B325" s="209"/>
      <c r="C325" s="148" t="s">
        <v>318</v>
      </c>
      <c r="E325" s="147" t="s">
        <v>343</v>
      </c>
      <c r="G325" s="147" t="s">
        <v>729</v>
      </c>
      <c r="I325" s="148" t="s">
        <v>317</v>
      </c>
      <c r="K325" s="148" t="s">
        <v>317</v>
      </c>
      <c r="M325" s="147" t="s">
        <v>319</v>
      </c>
      <c r="O325" s="147" t="s">
        <v>729</v>
      </c>
      <c r="Q325" s="147" t="s">
        <v>729</v>
      </c>
      <c r="S325" s="148" t="s">
        <v>296</v>
      </c>
      <c r="U325" s="148" t="s">
        <v>296</v>
      </c>
      <c r="W325" s="236"/>
    </row>
    <row r="326" spans="1:31">
      <c r="B326" s="209"/>
      <c r="W326" s="236"/>
    </row>
    <row r="327" spans="1:31">
      <c r="B327" s="209"/>
      <c r="C327" s="133">
        <f>U319+1</f>
        <v>381</v>
      </c>
      <c r="E327" s="133">
        <f>C327+1</f>
        <v>382</v>
      </c>
      <c r="G327" s="133">
        <f>E327+1</f>
        <v>383</v>
      </c>
      <c r="I327" s="133">
        <f>G327+1</f>
        <v>384</v>
      </c>
      <c r="K327" s="133">
        <f>I327+1</f>
        <v>385</v>
      </c>
      <c r="M327" s="133">
        <f>K327+1</f>
        <v>386</v>
      </c>
      <c r="O327" s="133">
        <f>M327+1</f>
        <v>387</v>
      </c>
      <c r="Q327" s="133">
        <f>O327+1</f>
        <v>388</v>
      </c>
      <c r="S327" s="133">
        <f>Q327+1</f>
        <v>389</v>
      </c>
      <c r="U327" s="161">
        <f>S327+1</f>
        <v>390</v>
      </c>
      <c r="W327" s="236"/>
    </row>
    <row r="328" spans="1:31">
      <c r="B328" s="209"/>
      <c r="W328" s="236"/>
    </row>
    <row r="329" spans="1:31">
      <c r="B329" s="209"/>
      <c r="C329" s="135"/>
      <c r="D329" s="135">
        <v>373.77</v>
      </c>
      <c r="E329" s="135"/>
      <c r="F329" s="135">
        <v>364</v>
      </c>
      <c r="H329" s="135">
        <v>421</v>
      </c>
      <c r="J329" s="135">
        <v>334</v>
      </c>
      <c r="L329" s="135">
        <v>388.22</v>
      </c>
      <c r="M329" s="135"/>
      <c r="N329" s="135">
        <v>398</v>
      </c>
      <c r="P329" s="135">
        <v>442.51</v>
      </c>
      <c r="Q329" s="135"/>
      <c r="R329" s="135">
        <v>415</v>
      </c>
      <c r="S329" s="135"/>
      <c r="T329" s="135">
        <v>417.97</v>
      </c>
      <c r="V329" s="135">
        <v>439</v>
      </c>
      <c r="W329" s="265">
        <f>D329+H329+J329+L329+N329+F329+P329+R329+T329+V329</f>
        <v>3993.47</v>
      </c>
      <c r="AE329" s="135">
        <f>SUM(D329:V329)</f>
        <v>3993.47</v>
      </c>
    </row>
    <row r="330" spans="1:31">
      <c r="A330" s="133">
        <f>A322+1</f>
        <v>39</v>
      </c>
      <c r="B330" s="209"/>
      <c r="C330" s="140"/>
      <c r="D330" s="139"/>
      <c r="E330" s="140"/>
      <c r="F330" s="139"/>
      <c r="G330" s="140"/>
      <c r="I330" s="140"/>
      <c r="J330" s="139"/>
      <c r="K330" s="140"/>
      <c r="L330" s="139"/>
      <c r="M330" s="140"/>
      <c r="N330" s="139"/>
      <c r="O330" s="140"/>
      <c r="P330" s="139"/>
      <c r="Q330" s="140"/>
      <c r="R330" s="139"/>
      <c r="S330" s="140"/>
      <c r="T330" s="139"/>
      <c r="U330" s="140"/>
      <c r="V330" s="162"/>
      <c r="W330" s="265"/>
      <c r="X330" s="133">
        <f>COUNTIF(C330:U330,"F")</f>
        <v>0</v>
      </c>
      <c r="Y330" s="133">
        <f>COUNTIF(C329:U329,"E")</f>
        <v>0</v>
      </c>
      <c r="Z330" s="133">
        <f>COUNTIF(C331:V331,"Er")</f>
        <v>0</v>
      </c>
      <c r="AB330" s="133" t="s">
        <v>518</v>
      </c>
    </row>
    <row r="331" spans="1:31">
      <c r="B331" s="209"/>
      <c r="C331" s="141"/>
      <c r="D331" s="139"/>
      <c r="E331" s="141"/>
      <c r="F331" s="139"/>
      <c r="G331" s="141"/>
      <c r="I331" s="141"/>
      <c r="J331" s="139"/>
      <c r="K331" s="141"/>
      <c r="L331" s="139"/>
      <c r="M331" s="141"/>
      <c r="N331" s="139"/>
      <c r="O331" s="141"/>
      <c r="P331" s="139"/>
      <c r="Q331" s="141"/>
      <c r="R331" s="139"/>
      <c r="S331" s="141"/>
      <c r="T331" s="139"/>
      <c r="U331" s="141"/>
      <c r="V331" s="162"/>
      <c r="W331" s="236"/>
      <c r="X331" s="133">
        <f>COUNTIF(C331:U331,"U/P")</f>
        <v>0</v>
      </c>
      <c r="Y331" s="133">
        <v>0</v>
      </c>
      <c r="Z331" s="133">
        <v>0</v>
      </c>
      <c r="AB331" s="133" t="s">
        <v>278</v>
      </c>
    </row>
    <row r="332" spans="1:31" ht="13">
      <c r="B332" s="209"/>
      <c r="C332" s="386" t="s">
        <v>741</v>
      </c>
      <c r="E332" s="147" t="s">
        <v>742</v>
      </c>
      <c r="F332" s="149"/>
      <c r="G332" s="386" t="s">
        <v>743</v>
      </c>
      <c r="H332" s="149"/>
      <c r="I332" s="386" t="s">
        <v>744</v>
      </c>
      <c r="J332" s="149"/>
      <c r="K332" s="386" t="s">
        <v>745</v>
      </c>
      <c r="L332" s="149"/>
      <c r="M332" s="147" t="s">
        <v>746</v>
      </c>
      <c r="N332" s="149"/>
      <c r="O332" s="386" t="s">
        <v>747</v>
      </c>
      <c r="P332" s="149"/>
      <c r="Q332" s="147" t="s">
        <v>748</v>
      </c>
      <c r="R332" s="149"/>
      <c r="S332" s="386" t="s">
        <v>749</v>
      </c>
      <c r="T332" s="149"/>
      <c r="U332" s="147" t="s">
        <v>750</v>
      </c>
      <c r="W332" s="236"/>
      <c r="X332" s="133">
        <f>COUNTIF(C330:U330,"ROW")</f>
        <v>0</v>
      </c>
      <c r="Y332" s="133">
        <v>0</v>
      </c>
      <c r="Z332" s="133">
        <v>0</v>
      </c>
      <c r="AB332" s="133" t="s">
        <v>228</v>
      </c>
    </row>
    <row r="333" spans="1:31" ht="13">
      <c r="B333" s="209"/>
      <c r="C333" s="148" t="s">
        <v>296</v>
      </c>
      <c r="E333" s="147" t="s">
        <v>319</v>
      </c>
      <c r="F333" s="149"/>
      <c r="G333" s="148" t="s">
        <v>318</v>
      </c>
      <c r="H333" s="149"/>
      <c r="I333" s="148" t="s">
        <v>317</v>
      </c>
      <c r="J333" s="149"/>
      <c r="K333" s="148" t="s">
        <v>318</v>
      </c>
      <c r="L333" s="149"/>
      <c r="M333" s="147" t="s">
        <v>442</v>
      </c>
      <c r="N333" s="149"/>
      <c r="O333" s="148" t="s">
        <v>295</v>
      </c>
      <c r="P333" s="149"/>
      <c r="Q333" s="147" t="s">
        <v>729</v>
      </c>
      <c r="R333" s="149"/>
      <c r="S333" s="148" t="s">
        <v>318</v>
      </c>
      <c r="T333" s="149"/>
      <c r="U333" s="147" t="s">
        <v>319</v>
      </c>
      <c r="W333" s="236"/>
    </row>
    <row r="334" spans="1:31" ht="13">
      <c r="B334" s="209"/>
      <c r="C334" s="147"/>
      <c r="D334" s="149"/>
      <c r="E334" s="148"/>
      <c r="F334" s="149"/>
      <c r="G334" s="148"/>
      <c r="H334" s="149"/>
      <c r="I334" s="147"/>
      <c r="J334" s="149"/>
      <c r="K334" s="148"/>
      <c r="L334" s="149"/>
      <c r="M334" s="148"/>
      <c r="N334" s="149"/>
      <c r="O334" s="147"/>
      <c r="P334" s="149"/>
      <c r="Q334" s="148"/>
      <c r="R334" s="149"/>
      <c r="S334" s="148"/>
      <c r="T334" s="149"/>
      <c r="U334" s="147"/>
      <c r="W334" s="236"/>
    </row>
    <row r="335" spans="1:31" ht="13">
      <c r="B335" s="209"/>
      <c r="C335" s="147"/>
      <c r="D335" s="149"/>
      <c r="E335" s="148"/>
      <c r="F335" s="149"/>
      <c r="G335" s="148"/>
      <c r="H335" s="149"/>
      <c r="I335" s="147"/>
      <c r="J335" s="149"/>
      <c r="K335" s="148"/>
      <c r="L335" s="149"/>
      <c r="M335" s="148"/>
      <c r="N335" s="149"/>
      <c r="O335" s="147"/>
      <c r="P335" s="149"/>
      <c r="Q335" s="148"/>
      <c r="R335" s="149"/>
      <c r="S335" s="148"/>
      <c r="T335" s="149"/>
      <c r="U335" s="147"/>
      <c r="W335" s="236"/>
    </row>
    <row r="336" spans="1:31">
      <c r="B336" s="209"/>
      <c r="C336" s="133">
        <f>U327+1</f>
        <v>391</v>
      </c>
      <c r="E336" s="133">
        <f>C336+1</f>
        <v>392</v>
      </c>
      <c r="G336" s="133">
        <f>E336+1</f>
        <v>393</v>
      </c>
      <c r="I336" s="133">
        <f>G336+1</f>
        <v>394</v>
      </c>
      <c r="K336" s="133">
        <f>I336+1</f>
        <v>395</v>
      </c>
      <c r="M336" s="133">
        <f>K336+1</f>
        <v>396</v>
      </c>
      <c r="O336" s="133">
        <f>M336+1</f>
        <v>397</v>
      </c>
      <c r="Q336" s="133">
        <f>O336+1</f>
        <v>398</v>
      </c>
      <c r="S336" s="133">
        <f>Q336+1</f>
        <v>399</v>
      </c>
      <c r="U336" s="161">
        <f>S336+1</f>
        <v>400</v>
      </c>
      <c r="W336" s="236"/>
    </row>
    <row r="337" spans="1:31">
      <c r="B337" s="209"/>
      <c r="W337" s="236"/>
    </row>
    <row r="338" spans="1:31">
      <c r="B338" s="209"/>
      <c r="C338" s="135"/>
      <c r="D338" s="135">
        <v>406</v>
      </c>
      <c r="E338" s="135"/>
      <c r="F338" s="135">
        <v>406.21</v>
      </c>
      <c r="H338" s="135">
        <v>260</v>
      </c>
      <c r="J338" s="135">
        <v>267.27</v>
      </c>
      <c r="L338" s="135">
        <v>395</v>
      </c>
      <c r="M338" s="135"/>
      <c r="N338" s="135">
        <v>408</v>
      </c>
      <c r="P338" s="135">
        <v>352</v>
      </c>
      <c r="Q338" s="135"/>
      <c r="R338" s="135">
        <v>373</v>
      </c>
      <c r="S338" s="135"/>
      <c r="T338" s="135">
        <v>367</v>
      </c>
      <c r="V338" s="135">
        <v>384</v>
      </c>
      <c r="W338" s="265">
        <f>D338+H338+J338+L338+N338+F338+P338+R338+T338+V338</f>
        <v>3618.48</v>
      </c>
      <c r="AE338" s="135">
        <f>SUM(D338:V338)</f>
        <v>3618.48</v>
      </c>
    </row>
    <row r="339" spans="1:31">
      <c r="A339" s="133">
        <f>A330+1</f>
        <v>40</v>
      </c>
      <c r="B339" s="209"/>
      <c r="C339" s="140"/>
      <c r="D339" s="139"/>
      <c r="E339" s="140"/>
      <c r="F339" s="139"/>
      <c r="G339" s="140"/>
      <c r="I339" s="140"/>
      <c r="J339" s="139"/>
      <c r="K339" s="140"/>
      <c r="L339" s="139"/>
      <c r="M339" s="140"/>
      <c r="N339" s="139"/>
      <c r="O339" s="140"/>
      <c r="P339" s="139"/>
      <c r="Q339" s="140"/>
      <c r="R339" s="139"/>
      <c r="S339" s="140"/>
      <c r="T339" s="139"/>
      <c r="U339" s="140"/>
      <c r="V339" s="162"/>
      <c r="W339" s="265"/>
      <c r="X339" s="133">
        <f>COUNTIF(C339:U339,"F")</f>
        <v>0</v>
      </c>
      <c r="Y339" s="133">
        <f>COUNTIF(C338:U338,"E")</f>
        <v>0</v>
      </c>
      <c r="Z339" s="133">
        <f>COUNTIF(C340:V340,"Er")</f>
        <v>0</v>
      </c>
      <c r="AB339" s="133" t="s">
        <v>518</v>
      </c>
    </row>
    <row r="340" spans="1:31">
      <c r="B340" s="209"/>
      <c r="C340" s="141"/>
      <c r="D340" s="139"/>
      <c r="E340" s="141"/>
      <c r="F340" s="139"/>
      <c r="G340" s="141"/>
      <c r="I340" s="141"/>
      <c r="J340" s="139"/>
      <c r="K340" s="141"/>
      <c r="L340" s="139"/>
      <c r="M340" s="141"/>
      <c r="N340" s="139"/>
      <c r="O340" s="141"/>
      <c r="P340" s="139"/>
      <c r="Q340" s="141"/>
      <c r="R340" s="139"/>
      <c r="S340" s="141"/>
      <c r="T340" s="139"/>
      <c r="U340" s="141"/>
      <c r="V340" s="162"/>
      <c r="W340" s="236"/>
      <c r="X340" s="133">
        <f>COUNTIF(C340:U340,"U/P")</f>
        <v>0</v>
      </c>
      <c r="Y340" s="133">
        <v>0</v>
      </c>
      <c r="Z340" s="133">
        <v>0</v>
      </c>
      <c r="AB340" s="133" t="s">
        <v>278</v>
      </c>
    </row>
    <row r="341" spans="1:31" ht="13">
      <c r="B341" s="209"/>
      <c r="C341" s="386" t="s">
        <v>751</v>
      </c>
      <c r="E341" s="386" t="s">
        <v>752</v>
      </c>
      <c r="G341" s="147" t="s">
        <v>753</v>
      </c>
      <c r="I341" s="386" t="s">
        <v>754</v>
      </c>
      <c r="K341" s="147" t="s">
        <v>178</v>
      </c>
      <c r="M341" s="386" t="s">
        <v>755</v>
      </c>
      <c r="O341" s="386" t="s">
        <v>756</v>
      </c>
      <c r="Q341" s="147" t="s">
        <v>757</v>
      </c>
      <c r="S341" s="386" t="s">
        <v>758</v>
      </c>
      <c r="U341" s="386" t="s">
        <v>759</v>
      </c>
      <c r="W341" s="236"/>
      <c r="X341" s="133">
        <f>COUNTIF(C339:U339,"ROW")</f>
        <v>0</v>
      </c>
      <c r="Y341" s="133">
        <v>0</v>
      </c>
      <c r="Z341" s="133">
        <v>0</v>
      </c>
      <c r="AB341" s="133" t="s">
        <v>228</v>
      </c>
    </row>
    <row r="342" spans="1:31" ht="13">
      <c r="B342" s="209"/>
      <c r="C342" s="148" t="s">
        <v>317</v>
      </c>
      <c r="E342" s="148" t="s">
        <v>295</v>
      </c>
      <c r="G342" s="147" t="s">
        <v>397</v>
      </c>
      <c r="I342" s="148" t="s">
        <v>296</v>
      </c>
      <c r="K342" s="147" t="s">
        <v>125</v>
      </c>
      <c r="M342" s="148" t="s">
        <v>317</v>
      </c>
      <c r="O342" s="148" t="s">
        <v>317</v>
      </c>
      <c r="Q342" s="147" t="s">
        <v>125</v>
      </c>
      <c r="S342" s="148" t="s">
        <v>296</v>
      </c>
      <c r="U342" s="148" t="s">
        <v>296</v>
      </c>
      <c r="W342" s="236"/>
    </row>
    <row r="343" spans="1:31">
      <c r="B343" s="209"/>
      <c r="W343" s="236"/>
    </row>
    <row r="344" spans="1:31">
      <c r="B344" s="209"/>
      <c r="C344" s="133">
        <f>U336+1</f>
        <v>401</v>
      </c>
      <c r="E344" s="133">
        <f>C344+1</f>
        <v>402</v>
      </c>
      <c r="G344" s="133">
        <f>E344+1</f>
        <v>403</v>
      </c>
      <c r="I344" s="133">
        <f>G344+1</f>
        <v>404</v>
      </c>
      <c r="K344" s="133">
        <f>I344+1</f>
        <v>405</v>
      </c>
      <c r="M344" s="133">
        <f>K344+1</f>
        <v>406</v>
      </c>
      <c r="O344" s="133">
        <f>M344+1</f>
        <v>407</v>
      </c>
      <c r="Q344" s="133">
        <f>O344+1</f>
        <v>408</v>
      </c>
      <c r="S344" s="133">
        <f>Q344+1</f>
        <v>409</v>
      </c>
      <c r="U344" s="161">
        <f>S344+1</f>
        <v>410</v>
      </c>
      <c r="W344" s="236"/>
    </row>
    <row r="345" spans="1:31">
      <c r="B345" s="209"/>
      <c r="W345" s="236"/>
    </row>
    <row r="346" spans="1:31">
      <c r="B346" s="209"/>
      <c r="C346" s="135"/>
      <c r="D346" s="135">
        <v>385</v>
      </c>
      <c r="E346" s="135"/>
      <c r="F346" s="135">
        <v>419.37</v>
      </c>
      <c r="H346" s="135">
        <v>288</v>
      </c>
      <c r="J346" s="135">
        <v>404</v>
      </c>
      <c r="L346" s="135">
        <v>411</v>
      </c>
      <c r="M346" s="135"/>
      <c r="N346" s="135">
        <v>411</v>
      </c>
      <c r="P346" s="135">
        <v>419</v>
      </c>
      <c r="Q346" s="135"/>
      <c r="R346" s="135">
        <v>425</v>
      </c>
      <c r="S346" s="135"/>
      <c r="T346" s="135">
        <v>409</v>
      </c>
      <c r="V346" s="135">
        <v>407</v>
      </c>
      <c r="W346" s="265">
        <f>D346+H346+J346+L346+N346+F346+P346+R346+T346+V346</f>
        <v>3978.37</v>
      </c>
      <c r="AE346" s="135">
        <f>SUM(D346:V346)</f>
        <v>3978.37</v>
      </c>
    </row>
    <row r="347" spans="1:31">
      <c r="A347" s="133">
        <f>A339+1</f>
        <v>41</v>
      </c>
      <c r="B347" s="209"/>
      <c r="C347" s="140"/>
      <c r="D347" s="139"/>
      <c r="E347" s="140"/>
      <c r="F347" s="139"/>
      <c r="G347" s="140"/>
      <c r="I347" s="140"/>
      <c r="J347" s="139"/>
      <c r="K347" s="140"/>
      <c r="L347" s="139"/>
      <c r="M347" s="140"/>
      <c r="N347" s="139"/>
      <c r="O347" s="140"/>
      <c r="P347" s="139"/>
      <c r="Q347" s="140"/>
      <c r="R347" s="139"/>
      <c r="S347" s="140"/>
      <c r="T347" s="139"/>
      <c r="U347" s="140"/>
      <c r="V347" s="162"/>
      <c r="W347" s="265"/>
      <c r="X347" s="133">
        <f>COUNTIF(C347:U347,"F")</f>
        <v>0</v>
      </c>
      <c r="Y347" s="133">
        <f>COUNTIF(C346:U346,"E")</f>
        <v>0</v>
      </c>
      <c r="Z347" s="133">
        <f>COUNTIF(C348:V348,"Er")</f>
        <v>0</v>
      </c>
      <c r="AB347" s="133" t="s">
        <v>518</v>
      </c>
    </row>
    <row r="348" spans="1:31">
      <c r="B348" s="209"/>
      <c r="C348" s="141"/>
      <c r="D348" s="139"/>
      <c r="E348" s="141"/>
      <c r="F348" s="139"/>
      <c r="G348" s="141"/>
      <c r="I348" s="141"/>
      <c r="J348" s="139"/>
      <c r="K348" s="141"/>
      <c r="L348" s="139"/>
      <c r="M348" s="141"/>
      <c r="N348" s="139"/>
      <c r="O348" s="141"/>
      <c r="P348" s="139"/>
      <c r="Q348" s="141"/>
      <c r="R348" s="139"/>
      <c r="S348" s="141"/>
      <c r="T348" s="139"/>
      <c r="U348" s="141"/>
      <c r="V348" s="162"/>
      <c r="W348" s="236"/>
      <c r="X348" s="133">
        <f>COUNTIF(C348:U348,"U/P")</f>
        <v>0</v>
      </c>
      <c r="Y348" s="133">
        <v>0</v>
      </c>
      <c r="Z348" s="133">
        <v>0</v>
      </c>
      <c r="AB348" s="133" t="s">
        <v>278</v>
      </c>
    </row>
    <row r="349" spans="1:31" ht="13">
      <c r="B349" s="209"/>
      <c r="C349" s="386" t="s">
        <v>760</v>
      </c>
      <c r="E349" s="386" t="s">
        <v>761</v>
      </c>
      <c r="F349" s="149"/>
      <c r="G349" s="147" t="s">
        <v>762</v>
      </c>
      <c r="H349" s="149"/>
      <c r="I349" s="386" t="s">
        <v>180</v>
      </c>
      <c r="J349" s="149"/>
      <c r="K349" s="386" t="s">
        <v>181</v>
      </c>
      <c r="L349" s="149"/>
      <c r="M349" s="386" t="s">
        <v>183</v>
      </c>
      <c r="N349" s="149"/>
      <c r="O349" s="386" t="s">
        <v>763</v>
      </c>
      <c r="P349" s="149"/>
      <c r="Q349" s="386" t="s">
        <v>764</v>
      </c>
      <c r="R349" s="149"/>
      <c r="S349" s="386" t="s">
        <v>765</v>
      </c>
      <c r="T349" s="149"/>
      <c r="U349" s="386" t="s">
        <v>766</v>
      </c>
      <c r="W349" s="236"/>
      <c r="X349" s="133">
        <f>COUNTIF(C347:U347,"ROW")</f>
        <v>0</v>
      </c>
      <c r="Y349" s="133">
        <v>0</v>
      </c>
      <c r="Z349" s="133">
        <v>0</v>
      </c>
      <c r="AB349" s="133" t="s">
        <v>228</v>
      </c>
    </row>
    <row r="350" spans="1:31" ht="13">
      <c r="B350" s="209"/>
      <c r="C350" s="148" t="s">
        <v>296</v>
      </c>
      <c r="E350" s="148" t="s">
        <v>296</v>
      </c>
      <c r="F350" s="149"/>
      <c r="G350" s="147" t="s">
        <v>319</v>
      </c>
      <c r="H350" s="149"/>
      <c r="I350" s="148" t="s">
        <v>296</v>
      </c>
      <c r="J350" s="149"/>
      <c r="K350" s="148" t="s">
        <v>296</v>
      </c>
      <c r="L350" s="149"/>
      <c r="M350" s="148" t="s">
        <v>317</v>
      </c>
      <c r="N350" s="149"/>
      <c r="O350" s="148" t="s">
        <v>317</v>
      </c>
      <c r="P350" s="149"/>
      <c r="Q350" s="148" t="s">
        <v>317</v>
      </c>
      <c r="R350" s="149"/>
      <c r="S350" s="148" t="s">
        <v>317</v>
      </c>
      <c r="T350" s="149"/>
      <c r="U350" s="148" t="s">
        <v>296</v>
      </c>
      <c r="W350" s="236"/>
    </row>
    <row r="351" spans="1:31" ht="13">
      <c r="B351" s="209"/>
      <c r="C351" s="147"/>
      <c r="D351" s="149"/>
      <c r="E351" s="148"/>
      <c r="F351" s="149"/>
      <c r="G351" s="148"/>
      <c r="H351" s="149"/>
      <c r="I351" s="147"/>
      <c r="J351" s="149"/>
      <c r="K351" s="148"/>
      <c r="L351" s="149"/>
      <c r="M351" s="148"/>
      <c r="N351" s="149"/>
      <c r="O351" s="147"/>
      <c r="P351" s="149"/>
      <c r="Q351" s="148"/>
      <c r="R351" s="149"/>
      <c r="S351" s="148"/>
      <c r="T351" s="149"/>
      <c r="U351" s="147"/>
      <c r="W351" s="236"/>
    </row>
    <row r="352" spans="1:31">
      <c r="B352" s="209"/>
      <c r="C352" s="133">
        <f>U344+1</f>
        <v>411</v>
      </c>
      <c r="E352" s="133">
        <f>C352+1</f>
        <v>412</v>
      </c>
      <c r="G352" s="133">
        <f>E352+1</f>
        <v>413</v>
      </c>
      <c r="I352" s="133">
        <f>G352+1</f>
        <v>414</v>
      </c>
      <c r="K352" s="133">
        <f>I352+1</f>
        <v>415</v>
      </c>
      <c r="M352" s="133">
        <f>K352+1</f>
        <v>416</v>
      </c>
      <c r="O352" s="133">
        <f>M352+1</f>
        <v>417</v>
      </c>
      <c r="Q352" s="133">
        <f>O352+1</f>
        <v>418</v>
      </c>
      <c r="S352" s="133">
        <f>Q352+1</f>
        <v>419</v>
      </c>
      <c r="U352" s="161">
        <f>S352+1</f>
        <v>420</v>
      </c>
      <c r="W352" s="236"/>
    </row>
    <row r="353" spans="1:31">
      <c r="B353" s="209"/>
      <c r="W353" s="236"/>
    </row>
    <row r="354" spans="1:31">
      <c r="B354" s="209"/>
      <c r="C354" s="135"/>
      <c r="D354" s="135">
        <v>389</v>
      </c>
      <c r="E354" s="135"/>
      <c r="F354" s="135">
        <v>399.98</v>
      </c>
      <c r="H354" s="135">
        <v>408</v>
      </c>
      <c r="J354" s="135">
        <v>405</v>
      </c>
      <c r="L354" s="135">
        <v>418</v>
      </c>
      <c r="M354" s="135"/>
      <c r="N354" s="135">
        <v>425.34</v>
      </c>
      <c r="P354" s="135">
        <v>392</v>
      </c>
      <c r="Q354" s="135"/>
      <c r="R354" s="135">
        <v>397</v>
      </c>
      <c r="S354" s="135"/>
      <c r="T354" s="135">
        <v>420</v>
      </c>
      <c r="V354" s="135">
        <v>425.56</v>
      </c>
      <c r="W354" s="265">
        <f>D354+H354+J354+L354+N354+F354+P354+R354+T354+V354</f>
        <v>4079.88</v>
      </c>
      <c r="AE354" s="135">
        <f>SUM(D354:V354)</f>
        <v>4079.88</v>
      </c>
    </row>
    <row r="355" spans="1:31">
      <c r="A355" s="133">
        <f>A347+1</f>
        <v>42</v>
      </c>
      <c r="B355" s="209"/>
      <c r="C355" s="140"/>
      <c r="D355" s="139"/>
      <c r="E355" s="140"/>
      <c r="F355" s="139"/>
      <c r="G355" s="140"/>
      <c r="I355" s="140"/>
      <c r="J355" s="139"/>
      <c r="K355" s="140"/>
      <c r="L355" s="139"/>
      <c r="M355" s="140"/>
      <c r="N355" s="139"/>
      <c r="O355" s="140"/>
      <c r="P355" s="139"/>
      <c r="Q355" s="140"/>
      <c r="R355" s="139"/>
      <c r="S355" s="140"/>
      <c r="T355" s="139"/>
      <c r="U355" s="140"/>
      <c r="V355" s="162"/>
      <c r="W355" s="265"/>
      <c r="X355" s="133">
        <f>COUNTIF(C355:U355,"F")</f>
        <v>0</v>
      </c>
      <c r="Y355" s="133">
        <f>COUNTIF(C354:U354,"E")</f>
        <v>0</v>
      </c>
      <c r="Z355" s="133">
        <f>COUNTIF(C356:V356,"Er")</f>
        <v>0</v>
      </c>
      <c r="AB355" s="133" t="s">
        <v>518</v>
      </c>
    </row>
    <row r="356" spans="1:31">
      <c r="B356" s="209"/>
      <c r="C356" s="141"/>
      <c r="D356" s="139"/>
      <c r="E356" s="141"/>
      <c r="F356" s="139"/>
      <c r="G356" s="141"/>
      <c r="I356" s="141"/>
      <c r="J356" s="139"/>
      <c r="K356" s="141"/>
      <c r="L356" s="139"/>
      <c r="M356" s="141"/>
      <c r="N356" s="139"/>
      <c r="O356" s="141"/>
      <c r="P356" s="139"/>
      <c r="Q356" s="141"/>
      <c r="R356" s="139"/>
      <c r="S356" s="141"/>
      <c r="T356" s="139"/>
      <c r="U356" s="141"/>
      <c r="V356" s="162"/>
      <c r="W356" s="236"/>
      <c r="X356" s="133">
        <f>COUNTIF(C356:U356,"U/P")</f>
        <v>0</v>
      </c>
      <c r="Y356" s="133">
        <v>0</v>
      </c>
      <c r="Z356" s="133">
        <v>0</v>
      </c>
      <c r="AB356" s="133" t="s">
        <v>278</v>
      </c>
    </row>
    <row r="357" spans="1:31" ht="13">
      <c r="B357" s="209"/>
      <c r="C357" s="386" t="s">
        <v>767</v>
      </c>
      <c r="E357" s="386" t="s">
        <v>768</v>
      </c>
      <c r="G357" s="147" t="s">
        <v>769</v>
      </c>
      <c r="I357" s="386" t="s">
        <v>770</v>
      </c>
      <c r="K357" s="386" t="s">
        <v>771</v>
      </c>
      <c r="M357" s="386" t="s">
        <v>772</v>
      </c>
      <c r="O357" s="147" t="s">
        <v>773</v>
      </c>
      <c r="Q357" s="386" t="s">
        <v>774</v>
      </c>
      <c r="S357" s="386" t="s">
        <v>775</v>
      </c>
      <c r="U357" s="386" t="s">
        <v>776</v>
      </c>
      <c r="W357" s="236"/>
      <c r="X357" s="133">
        <f>COUNTIF(C355:U355,"ROW")</f>
        <v>0</v>
      </c>
      <c r="Y357" s="133">
        <v>0</v>
      </c>
      <c r="Z357" s="133">
        <v>0</v>
      </c>
      <c r="AB357" s="133" t="s">
        <v>228</v>
      </c>
    </row>
    <row r="358" spans="1:31" ht="13">
      <c r="B358" s="209"/>
      <c r="C358" s="148" t="s">
        <v>317</v>
      </c>
      <c r="E358" s="148" t="s">
        <v>317</v>
      </c>
      <c r="G358" s="147" t="s">
        <v>344</v>
      </c>
      <c r="I358" s="148" t="s">
        <v>317</v>
      </c>
      <c r="K358" s="148" t="s">
        <v>296</v>
      </c>
      <c r="M358" s="148" t="s">
        <v>318</v>
      </c>
      <c r="O358" s="147" t="s">
        <v>319</v>
      </c>
      <c r="Q358" s="148" t="s">
        <v>296</v>
      </c>
      <c r="S358" s="148" t="s">
        <v>317</v>
      </c>
      <c r="U358" s="148" t="s">
        <v>318</v>
      </c>
      <c r="W358" s="236"/>
    </row>
    <row r="359" spans="1:31">
      <c r="B359" s="209"/>
      <c r="W359" s="236"/>
    </row>
    <row r="360" spans="1:31">
      <c r="B360" s="209"/>
      <c r="C360" s="133">
        <f>U352+1</f>
        <v>421</v>
      </c>
      <c r="E360" s="133">
        <f>C360+1</f>
        <v>422</v>
      </c>
      <c r="G360" s="133">
        <f>E360+1</f>
        <v>423</v>
      </c>
      <c r="I360" s="133">
        <f>G360+1</f>
        <v>424</v>
      </c>
      <c r="K360" s="133">
        <f>I360+1</f>
        <v>425</v>
      </c>
      <c r="M360" s="133">
        <f>K360+1</f>
        <v>426</v>
      </c>
      <c r="O360" s="133">
        <f>M360+1</f>
        <v>427</v>
      </c>
      <c r="Q360" s="133">
        <f>O360+1</f>
        <v>428</v>
      </c>
      <c r="S360" s="133">
        <f>Q360+1</f>
        <v>429</v>
      </c>
      <c r="U360" s="161">
        <f>S360+1</f>
        <v>430</v>
      </c>
      <c r="W360" s="236"/>
    </row>
    <row r="361" spans="1:31">
      <c r="B361" s="209"/>
      <c r="W361" s="236"/>
    </row>
    <row r="362" spans="1:31">
      <c r="B362" s="209"/>
      <c r="C362" s="135"/>
      <c r="D362" s="135">
        <v>356.03</v>
      </c>
      <c r="E362" s="135"/>
      <c r="F362" s="135">
        <v>426.82</v>
      </c>
      <c r="H362" s="135">
        <v>381</v>
      </c>
      <c r="J362" s="135">
        <v>334</v>
      </c>
      <c r="L362" s="135">
        <v>347</v>
      </c>
      <c r="M362" s="135"/>
      <c r="N362" s="135">
        <v>375.55</v>
      </c>
      <c r="P362" s="135">
        <v>382</v>
      </c>
      <c r="Q362" s="135"/>
      <c r="R362" s="135">
        <v>417.97</v>
      </c>
      <c r="S362" s="135"/>
      <c r="T362" s="135">
        <v>390</v>
      </c>
      <c r="V362" s="135">
        <v>407</v>
      </c>
      <c r="W362" s="265">
        <f>D362+H362+J362+L362+N362+F362+P362+R362+T362+V362</f>
        <v>3817.37</v>
      </c>
      <c r="AE362" s="135">
        <f>SUM(D362:V362)</f>
        <v>3817.37</v>
      </c>
    </row>
    <row r="363" spans="1:31">
      <c r="A363" s="133">
        <f>A355+1</f>
        <v>43</v>
      </c>
      <c r="B363" s="209"/>
      <c r="C363" s="140"/>
      <c r="D363" s="139"/>
      <c r="E363" s="140"/>
      <c r="F363" s="139"/>
      <c r="G363" s="140"/>
      <c r="I363" s="140"/>
      <c r="J363" s="139"/>
      <c r="K363" s="140"/>
      <c r="L363" s="139"/>
      <c r="M363" s="140"/>
      <c r="N363" s="139"/>
      <c r="O363" s="140"/>
      <c r="P363" s="139"/>
      <c r="Q363" s="140"/>
      <c r="R363" s="139"/>
      <c r="S363" s="140"/>
      <c r="T363" s="139"/>
      <c r="U363" s="140"/>
      <c r="V363" s="162"/>
      <c r="W363" s="265"/>
      <c r="X363" s="133">
        <f>COUNTIF(C363:U363,"F")</f>
        <v>0</v>
      </c>
      <c r="Y363" s="133">
        <f>COUNTIF(C362:U362,"E")</f>
        <v>0</v>
      </c>
      <c r="Z363" s="133">
        <f>COUNTIF(C364:V364,"Er")</f>
        <v>0</v>
      </c>
      <c r="AB363" s="133" t="s">
        <v>518</v>
      </c>
    </row>
    <row r="364" spans="1:31">
      <c r="B364" s="209"/>
      <c r="C364" s="141"/>
      <c r="D364" s="139"/>
      <c r="E364" s="141"/>
      <c r="F364" s="139"/>
      <c r="G364" s="141"/>
      <c r="I364" s="141"/>
      <c r="J364" s="139"/>
      <c r="K364" s="141"/>
      <c r="L364" s="139"/>
      <c r="M364" s="141"/>
      <c r="N364" s="139"/>
      <c r="O364" s="141"/>
      <c r="P364" s="139"/>
      <c r="Q364" s="141"/>
      <c r="R364" s="139"/>
      <c r="S364" s="141"/>
      <c r="T364" s="139"/>
      <c r="U364" s="141"/>
      <c r="V364" s="162"/>
      <c r="W364" s="236"/>
      <c r="X364" s="133">
        <f>COUNTIF(C364:U364,"U/P")</f>
        <v>0</v>
      </c>
      <c r="Y364" s="133">
        <v>0</v>
      </c>
      <c r="Z364" s="133">
        <v>0</v>
      </c>
      <c r="AB364" s="133" t="s">
        <v>278</v>
      </c>
    </row>
    <row r="365" spans="1:31" ht="13">
      <c r="B365" s="209"/>
      <c r="C365" s="147" t="s">
        <v>777</v>
      </c>
      <c r="E365" s="147" t="s">
        <v>778</v>
      </c>
      <c r="F365" s="149"/>
      <c r="G365" s="147" t="s">
        <v>779</v>
      </c>
      <c r="H365" s="149"/>
      <c r="I365" s="386" t="s">
        <v>780</v>
      </c>
      <c r="J365" s="149"/>
      <c r="K365" s="386" t="s">
        <v>781</v>
      </c>
      <c r="L365" s="149"/>
      <c r="M365" s="386" t="s">
        <v>782</v>
      </c>
      <c r="N365" s="149"/>
      <c r="O365" s="147" t="s">
        <v>783</v>
      </c>
      <c r="P365" s="149"/>
      <c r="Q365" s="386" t="s">
        <v>784</v>
      </c>
      <c r="R365" s="149"/>
      <c r="S365" s="147" t="s">
        <v>785</v>
      </c>
      <c r="T365" s="149"/>
      <c r="U365" s="386" t="s">
        <v>786</v>
      </c>
      <c r="W365" s="236"/>
      <c r="X365" s="133">
        <f>COUNTIF(C363:U363,"ROW")</f>
        <v>0</v>
      </c>
      <c r="Y365" s="133">
        <v>0</v>
      </c>
      <c r="Z365" s="133">
        <v>0</v>
      </c>
      <c r="AB365" s="133" t="s">
        <v>228</v>
      </c>
    </row>
    <row r="366" spans="1:31" ht="13">
      <c r="B366" s="209"/>
      <c r="C366" s="147" t="s">
        <v>343</v>
      </c>
      <c r="E366" s="147" t="s">
        <v>388</v>
      </c>
      <c r="F366" s="149"/>
      <c r="G366" s="147" t="s">
        <v>388</v>
      </c>
      <c r="H366" s="149"/>
      <c r="I366" s="148" t="s">
        <v>296</v>
      </c>
      <c r="J366" s="149"/>
      <c r="K366" s="148" t="s">
        <v>296</v>
      </c>
      <c r="L366" s="149"/>
      <c r="M366" s="148" t="s">
        <v>296</v>
      </c>
      <c r="N366" s="149"/>
      <c r="O366" s="147" t="s">
        <v>729</v>
      </c>
      <c r="P366" s="149"/>
      <c r="Q366" s="148" t="s">
        <v>295</v>
      </c>
      <c r="R366" s="149"/>
      <c r="S366" s="147" t="s">
        <v>344</v>
      </c>
      <c r="T366" s="149"/>
      <c r="U366" s="148" t="s">
        <v>317</v>
      </c>
      <c r="W366" s="236"/>
    </row>
    <row r="367" spans="1:31" ht="13">
      <c r="B367" s="209"/>
      <c r="C367" s="147"/>
      <c r="D367" s="149"/>
      <c r="E367" s="148"/>
      <c r="F367" s="149"/>
      <c r="G367" s="148"/>
      <c r="H367" s="149"/>
      <c r="I367" s="147"/>
      <c r="J367" s="149"/>
      <c r="K367" s="148"/>
      <c r="L367" s="149"/>
      <c r="M367" s="148"/>
      <c r="N367" s="149"/>
      <c r="O367" s="147"/>
      <c r="P367" s="149"/>
      <c r="Q367" s="148"/>
      <c r="R367" s="149"/>
      <c r="S367" s="148"/>
      <c r="T367" s="149"/>
      <c r="U367" s="147"/>
      <c r="W367" s="236"/>
    </row>
    <row r="368" spans="1:31" ht="13">
      <c r="B368" s="209"/>
      <c r="C368" s="147"/>
      <c r="D368" s="149"/>
      <c r="E368" s="148"/>
      <c r="F368" s="149"/>
      <c r="G368" s="148"/>
      <c r="H368" s="149"/>
      <c r="I368" s="147"/>
      <c r="J368" s="149"/>
      <c r="K368" s="148"/>
      <c r="L368" s="149"/>
      <c r="M368" s="148"/>
      <c r="N368" s="149"/>
      <c r="O368" s="147"/>
      <c r="P368" s="149"/>
      <c r="Q368" s="148"/>
      <c r="R368" s="149"/>
      <c r="S368" s="148"/>
      <c r="T368" s="149"/>
      <c r="U368" s="147"/>
      <c r="W368" s="236"/>
    </row>
    <row r="369" spans="1:31">
      <c r="B369" s="209"/>
      <c r="C369" s="133">
        <f>U360+1</f>
        <v>431</v>
      </c>
      <c r="E369" s="133">
        <f>C369+1</f>
        <v>432</v>
      </c>
      <c r="G369" s="133">
        <f>E369+1</f>
        <v>433</v>
      </c>
      <c r="I369" s="133">
        <f>G369+1</f>
        <v>434</v>
      </c>
      <c r="K369" s="133">
        <f>I369+1</f>
        <v>435</v>
      </c>
      <c r="M369" s="133">
        <f>K369+1</f>
        <v>436</v>
      </c>
      <c r="O369" s="133">
        <f>M369+1</f>
        <v>437</v>
      </c>
      <c r="Q369" s="133">
        <f>O369+1</f>
        <v>438</v>
      </c>
      <c r="S369" s="133">
        <f>Q369+1</f>
        <v>439</v>
      </c>
      <c r="U369" s="161">
        <f>S369+1</f>
        <v>440</v>
      </c>
      <c r="W369" s="236"/>
    </row>
    <row r="370" spans="1:31">
      <c r="B370" s="209"/>
      <c r="W370" s="236"/>
    </row>
    <row r="371" spans="1:31">
      <c r="B371" s="209"/>
      <c r="C371" s="135"/>
      <c r="D371" s="135">
        <v>433</v>
      </c>
      <c r="E371" s="135"/>
      <c r="F371" s="135">
        <v>380.33</v>
      </c>
      <c r="H371" s="135">
        <v>386</v>
      </c>
      <c r="J371" s="135">
        <v>391</v>
      </c>
      <c r="L371" s="135">
        <v>399.83</v>
      </c>
      <c r="M371" s="135"/>
      <c r="N371" s="135">
        <v>437.01</v>
      </c>
      <c r="P371" s="135">
        <v>423</v>
      </c>
      <c r="Q371" s="135"/>
      <c r="R371" s="135">
        <v>395</v>
      </c>
      <c r="S371" s="135"/>
      <c r="T371" s="135">
        <v>417</v>
      </c>
      <c r="V371" s="135">
        <v>399</v>
      </c>
      <c r="W371" s="265">
        <f>D371+H371+J371+L371+N371+F371+P371+R371+T371+V371</f>
        <v>4061.17</v>
      </c>
      <c r="AE371" s="135">
        <f>SUM(D371:V371)</f>
        <v>4061.17</v>
      </c>
    </row>
    <row r="372" spans="1:31">
      <c r="A372" s="133">
        <f>A363+1</f>
        <v>44</v>
      </c>
      <c r="B372" s="209"/>
      <c r="C372" s="140"/>
      <c r="D372" s="139"/>
      <c r="E372" s="140"/>
      <c r="F372" s="139"/>
      <c r="G372" s="140"/>
      <c r="I372" s="140"/>
      <c r="J372" s="139"/>
      <c r="K372" s="140"/>
      <c r="L372" s="139"/>
      <c r="M372" s="140"/>
      <c r="N372" s="139"/>
      <c r="O372" s="140"/>
      <c r="P372" s="139"/>
      <c r="Q372" s="140"/>
      <c r="R372" s="139"/>
      <c r="S372" s="140"/>
      <c r="T372" s="139"/>
      <c r="U372" s="140"/>
      <c r="V372" s="162"/>
      <c r="W372" s="265"/>
      <c r="X372" s="133">
        <f>COUNTIF(C372:U372,"F")</f>
        <v>0</v>
      </c>
      <c r="Y372" s="133">
        <f>COUNTIF(C371:U371,"E")</f>
        <v>0</v>
      </c>
      <c r="Z372" s="133">
        <f>COUNTIF(C373:V373,"Er")</f>
        <v>0</v>
      </c>
      <c r="AB372" s="133" t="s">
        <v>518</v>
      </c>
    </row>
    <row r="373" spans="1:31">
      <c r="B373" s="209"/>
      <c r="C373" s="141"/>
      <c r="D373" s="139"/>
      <c r="E373" s="141"/>
      <c r="F373" s="139"/>
      <c r="G373" s="141"/>
      <c r="I373" s="141"/>
      <c r="J373" s="139"/>
      <c r="K373" s="141"/>
      <c r="L373" s="139"/>
      <c r="M373" s="141"/>
      <c r="N373" s="139"/>
      <c r="O373" s="141"/>
      <c r="P373" s="139"/>
      <c r="Q373" s="141"/>
      <c r="R373" s="139"/>
      <c r="S373" s="141"/>
      <c r="T373" s="139"/>
      <c r="U373" s="141"/>
      <c r="V373" s="162"/>
      <c r="W373" s="236"/>
      <c r="X373" s="133">
        <f>COUNTIF(C373:U373,"U/P")</f>
        <v>0</v>
      </c>
      <c r="Y373" s="133">
        <v>0</v>
      </c>
      <c r="Z373" s="133">
        <v>0</v>
      </c>
      <c r="AB373" s="133" t="s">
        <v>278</v>
      </c>
    </row>
    <row r="374" spans="1:31" ht="13">
      <c r="B374" s="209"/>
      <c r="C374" s="386" t="s">
        <v>787</v>
      </c>
      <c r="E374" s="386" t="s">
        <v>788</v>
      </c>
      <c r="G374" s="147" t="s">
        <v>789</v>
      </c>
      <c r="I374" s="386" t="s">
        <v>790</v>
      </c>
      <c r="K374" s="386" t="s">
        <v>791</v>
      </c>
      <c r="M374" s="147" t="s">
        <v>792</v>
      </c>
      <c r="O374" s="147" t="s">
        <v>793</v>
      </c>
      <c r="Q374" s="386" t="s">
        <v>794</v>
      </c>
      <c r="S374" s="386" t="s">
        <v>795</v>
      </c>
      <c r="U374" s="386" t="s">
        <v>796</v>
      </c>
      <c r="W374" s="236"/>
      <c r="X374" s="133">
        <f>COUNTIF(C372:U372,"ROW")</f>
        <v>0</v>
      </c>
      <c r="Y374" s="133">
        <v>0</v>
      </c>
      <c r="Z374" s="133">
        <v>0</v>
      </c>
      <c r="AB374" s="133" t="s">
        <v>228</v>
      </c>
    </row>
    <row r="375" spans="1:31" ht="13">
      <c r="B375" s="209"/>
      <c r="C375" s="148" t="s">
        <v>317</v>
      </c>
      <c r="E375" s="148" t="s">
        <v>317</v>
      </c>
      <c r="G375" s="147" t="s">
        <v>319</v>
      </c>
      <c r="I375" s="148" t="s">
        <v>296</v>
      </c>
      <c r="K375" s="148" t="s">
        <v>318</v>
      </c>
      <c r="M375" s="147" t="s">
        <v>729</v>
      </c>
      <c r="O375" s="147" t="s">
        <v>729</v>
      </c>
      <c r="Q375" s="148" t="s">
        <v>317</v>
      </c>
      <c r="S375" s="148" t="s">
        <v>296</v>
      </c>
      <c r="U375" s="148" t="s">
        <v>317</v>
      </c>
      <c r="W375" s="236"/>
    </row>
    <row r="376" spans="1:31">
      <c r="B376" s="209"/>
      <c r="W376" s="236"/>
    </row>
    <row r="377" spans="1:31">
      <c r="B377" s="209"/>
      <c r="C377" s="133">
        <f>U369+1</f>
        <v>441</v>
      </c>
      <c r="E377" s="133">
        <f>C377+1</f>
        <v>442</v>
      </c>
      <c r="G377" s="133">
        <f>E377+1</f>
        <v>443</v>
      </c>
      <c r="I377" s="133">
        <f>G377+1</f>
        <v>444</v>
      </c>
      <c r="K377" s="133">
        <f>I377+1</f>
        <v>445</v>
      </c>
      <c r="M377" s="133">
        <f>K377+1</f>
        <v>446</v>
      </c>
      <c r="O377" s="133">
        <f>M377+1</f>
        <v>447</v>
      </c>
      <c r="Q377" s="133">
        <f>O377+1</f>
        <v>448</v>
      </c>
      <c r="S377" s="133">
        <f>Q377+1</f>
        <v>449</v>
      </c>
      <c r="U377" s="161">
        <f>S377+1</f>
        <v>450</v>
      </c>
      <c r="W377" s="236"/>
    </row>
    <row r="378" spans="1:31">
      <c r="B378" s="209"/>
      <c r="W378" s="236"/>
    </row>
    <row r="379" spans="1:31">
      <c r="B379" s="209"/>
      <c r="C379" s="135"/>
      <c r="D379" s="135">
        <v>420</v>
      </c>
      <c r="E379" s="135"/>
      <c r="F379" s="135">
        <v>409</v>
      </c>
      <c r="H379" s="135">
        <v>412</v>
      </c>
      <c r="J379" s="135">
        <v>400.41</v>
      </c>
      <c r="L379" s="135">
        <v>232.12</v>
      </c>
      <c r="M379" s="135"/>
      <c r="N379" s="135">
        <v>442</v>
      </c>
      <c r="P379" s="135">
        <v>385</v>
      </c>
      <c r="Q379" s="135"/>
      <c r="R379" s="135">
        <v>362</v>
      </c>
      <c r="S379" s="135"/>
      <c r="T379" s="135">
        <v>399</v>
      </c>
      <c r="V379" s="135">
        <v>382.07</v>
      </c>
      <c r="W379" s="265">
        <f>D379+H379+J379+L379+N379+F379+P379+R379+T379+V379</f>
        <v>3843.6</v>
      </c>
      <c r="AE379" s="135">
        <f>SUM(D379:V379)</f>
        <v>3843.6</v>
      </c>
    </row>
    <row r="380" spans="1:31">
      <c r="A380" s="133">
        <f>A372+1</f>
        <v>45</v>
      </c>
      <c r="B380" s="209"/>
      <c r="C380" s="140"/>
      <c r="D380" s="139"/>
      <c r="E380" s="140"/>
      <c r="F380" s="139"/>
      <c r="G380" s="140"/>
      <c r="I380" s="140"/>
      <c r="J380" s="139"/>
      <c r="K380" s="140"/>
      <c r="L380" s="139"/>
      <c r="M380" s="140"/>
      <c r="N380" s="139"/>
      <c r="O380" s="140"/>
      <c r="P380" s="139"/>
      <c r="Q380" s="140"/>
      <c r="R380" s="139"/>
      <c r="S380" s="140"/>
      <c r="T380" s="139"/>
      <c r="U380" s="140"/>
      <c r="V380" s="162"/>
      <c r="W380" s="265"/>
      <c r="X380" s="133">
        <f>COUNTIF(C380:U380,"F")</f>
        <v>0</v>
      </c>
      <c r="Y380" s="133">
        <f>COUNTIF(C379:U379,"E")</f>
        <v>0</v>
      </c>
      <c r="Z380" s="133">
        <f>COUNTIF(C381:V381,"Er")</f>
        <v>0</v>
      </c>
      <c r="AB380" s="133" t="s">
        <v>518</v>
      </c>
    </row>
    <row r="381" spans="1:31">
      <c r="B381" s="209"/>
      <c r="C381" s="141"/>
      <c r="D381" s="139"/>
      <c r="E381" s="141"/>
      <c r="F381" s="139"/>
      <c r="G381" s="141"/>
      <c r="I381" s="141"/>
      <c r="J381" s="139"/>
      <c r="K381" s="141"/>
      <c r="L381" s="139"/>
      <c r="M381" s="141"/>
      <c r="N381" s="139"/>
      <c r="O381" s="141"/>
      <c r="P381" s="139"/>
      <c r="Q381" s="141"/>
      <c r="R381" s="139"/>
      <c r="S381" s="141"/>
      <c r="T381" s="139"/>
      <c r="U381" s="141"/>
      <c r="V381" s="162"/>
      <c r="W381" s="236"/>
      <c r="X381" s="133">
        <f>COUNTIF(C381:U381,"U/P")</f>
        <v>0</v>
      </c>
      <c r="Y381" s="133">
        <v>0</v>
      </c>
      <c r="Z381" s="133">
        <v>0</v>
      </c>
      <c r="AB381" s="133" t="s">
        <v>278</v>
      </c>
    </row>
    <row r="382" spans="1:31" ht="13">
      <c r="B382" s="209"/>
      <c r="C382" s="386" t="s">
        <v>797</v>
      </c>
      <c r="D382" s="149"/>
      <c r="E382" s="386" t="s">
        <v>798</v>
      </c>
      <c r="G382" s="386" t="s">
        <v>799</v>
      </c>
      <c r="H382" s="149"/>
      <c r="I382" s="386" t="s">
        <v>800</v>
      </c>
      <c r="J382" s="149"/>
      <c r="K382" s="147" t="s">
        <v>801</v>
      </c>
      <c r="L382" s="149"/>
      <c r="M382" s="147" t="s">
        <v>802</v>
      </c>
      <c r="N382" s="149"/>
      <c r="O382" s="386" t="s">
        <v>803</v>
      </c>
      <c r="P382" s="149"/>
      <c r="Q382" s="386" t="s">
        <v>804</v>
      </c>
      <c r="R382" s="149"/>
      <c r="S382" s="386" t="s">
        <v>805</v>
      </c>
      <c r="T382" s="149"/>
      <c r="U382" s="386" t="s">
        <v>806</v>
      </c>
      <c r="W382" s="236"/>
      <c r="X382" s="133">
        <f>COUNTIF(C380:U380,"ROW")</f>
        <v>0</v>
      </c>
      <c r="Y382" s="133">
        <v>0</v>
      </c>
      <c r="Z382" s="133">
        <v>0</v>
      </c>
      <c r="AB382" s="133" t="s">
        <v>228</v>
      </c>
    </row>
    <row r="383" spans="1:31" ht="13">
      <c r="B383" s="209"/>
      <c r="C383" s="148" t="s">
        <v>317</v>
      </c>
      <c r="D383" s="149"/>
      <c r="E383" s="148" t="s">
        <v>317</v>
      </c>
      <c r="G383" s="148" t="s">
        <v>296</v>
      </c>
      <c r="H383" s="149"/>
      <c r="I383" s="148" t="s">
        <v>317</v>
      </c>
      <c r="J383" s="149"/>
      <c r="K383" s="147" t="s">
        <v>442</v>
      </c>
      <c r="L383" s="149"/>
      <c r="M383" s="147" t="s">
        <v>442</v>
      </c>
      <c r="N383" s="149"/>
      <c r="O383" s="148" t="s">
        <v>317</v>
      </c>
      <c r="P383" s="149"/>
      <c r="Q383" s="148" t="s">
        <v>296</v>
      </c>
      <c r="R383" s="149"/>
      <c r="S383" s="148" t="s">
        <v>296</v>
      </c>
      <c r="T383" s="149"/>
      <c r="U383" s="148" t="s">
        <v>317</v>
      </c>
      <c r="W383" s="236"/>
    </row>
    <row r="384" spans="1:31" ht="13">
      <c r="B384" s="209"/>
      <c r="C384" s="147"/>
      <c r="D384" s="149"/>
      <c r="E384" s="148"/>
      <c r="F384" s="149"/>
      <c r="G384" s="148"/>
      <c r="H384" s="149"/>
      <c r="I384" s="147"/>
      <c r="J384" s="149"/>
      <c r="K384" s="148"/>
      <c r="L384" s="149"/>
      <c r="M384" s="148"/>
      <c r="N384" s="149"/>
      <c r="O384" s="147"/>
      <c r="P384" s="149"/>
      <c r="Q384" s="148"/>
      <c r="R384" s="149"/>
      <c r="S384" s="148"/>
      <c r="T384" s="149"/>
      <c r="U384" s="147"/>
      <c r="W384" s="236"/>
    </row>
    <row r="385" spans="1:31" ht="13">
      <c r="B385" s="209"/>
      <c r="C385" s="147"/>
      <c r="D385" s="149"/>
      <c r="E385" s="148"/>
      <c r="F385" s="149"/>
      <c r="G385" s="148"/>
      <c r="H385" s="149"/>
      <c r="I385" s="147"/>
      <c r="J385" s="149"/>
      <c r="K385" s="148"/>
      <c r="L385" s="149"/>
      <c r="M385" s="148"/>
      <c r="N385" s="149"/>
      <c r="O385" s="147"/>
      <c r="P385" s="149"/>
      <c r="Q385" s="148"/>
      <c r="R385" s="149"/>
      <c r="S385" s="148"/>
      <c r="T385" s="149"/>
      <c r="U385" s="147"/>
      <c r="W385" s="236"/>
    </row>
    <row r="386" spans="1:31">
      <c r="B386" s="209"/>
      <c r="C386" s="133">
        <f>U377+1</f>
        <v>451</v>
      </c>
      <c r="E386" s="133">
        <f>C386+1</f>
        <v>452</v>
      </c>
      <c r="G386" s="133">
        <f>E386+1</f>
        <v>453</v>
      </c>
      <c r="I386" s="133">
        <f>G386+1</f>
        <v>454</v>
      </c>
      <c r="K386" s="133">
        <f>I386+1</f>
        <v>455</v>
      </c>
      <c r="M386" s="133">
        <f>K386+1</f>
        <v>456</v>
      </c>
      <c r="O386" s="133">
        <f>M386+1</f>
        <v>457</v>
      </c>
      <c r="Q386" s="133">
        <f>O386+1</f>
        <v>458</v>
      </c>
      <c r="S386" s="133">
        <f>Q386+1</f>
        <v>459</v>
      </c>
      <c r="U386" s="161">
        <f>S386+1</f>
        <v>460</v>
      </c>
      <c r="W386" s="236"/>
    </row>
    <row r="387" spans="1:31">
      <c r="B387" s="209"/>
      <c r="W387" s="236"/>
    </row>
    <row r="388" spans="1:31">
      <c r="B388" s="209"/>
      <c r="C388" s="135"/>
      <c r="D388" s="135">
        <v>392</v>
      </c>
      <c r="E388" s="135"/>
      <c r="F388" s="135">
        <v>422</v>
      </c>
      <c r="H388" s="135">
        <v>409.46</v>
      </c>
      <c r="J388" s="135">
        <v>402</v>
      </c>
      <c r="L388" s="135">
        <v>409</v>
      </c>
      <c r="M388" s="135"/>
      <c r="N388" s="135">
        <v>404</v>
      </c>
      <c r="P388" s="135">
        <v>394</v>
      </c>
      <c r="Q388" s="135"/>
      <c r="R388" s="135">
        <v>423</v>
      </c>
      <c r="S388" s="135"/>
      <c r="T388" s="135">
        <v>421</v>
      </c>
      <c r="V388" s="135">
        <v>411</v>
      </c>
      <c r="W388" s="265">
        <f>D388+H388+J388+L388+N388+F388+P388+R388+T388+V388</f>
        <v>4087.46</v>
      </c>
      <c r="AE388" s="135">
        <f>SUM(D388:V388)</f>
        <v>4087.46</v>
      </c>
    </row>
    <row r="389" spans="1:31">
      <c r="A389" s="133">
        <f>A380+1</f>
        <v>46</v>
      </c>
      <c r="B389" s="209"/>
      <c r="C389" s="140"/>
      <c r="D389" s="139"/>
      <c r="E389" s="140"/>
      <c r="F389" s="139"/>
      <c r="G389" s="140"/>
      <c r="I389" s="140"/>
      <c r="J389" s="139"/>
      <c r="K389" s="140"/>
      <c r="L389" s="139"/>
      <c r="M389" s="140"/>
      <c r="N389" s="139"/>
      <c r="O389" s="140"/>
      <c r="P389" s="139"/>
      <c r="Q389" s="140"/>
      <c r="R389" s="139"/>
      <c r="S389" s="140"/>
      <c r="T389" s="139"/>
      <c r="U389" s="140"/>
      <c r="V389" s="162"/>
      <c r="W389" s="265"/>
      <c r="X389" s="133">
        <f>COUNTIF(C389:U389,"F")</f>
        <v>0</v>
      </c>
      <c r="Y389" s="133">
        <f>COUNTIF(C388:U388,"E")</f>
        <v>0</v>
      </c>
      <c r="Z389" s="133">
        <f>COUNTIF(C390:V390,"Er")</f>
        <v>0</v>
      </c>
      <c r="AB389" s="133" t="s">
        <v>518</v>
      </c>
    </row>
    <row r="390" spans="1:31">
      <c r="B390" s="209"/>
      <c r="C390" s="141"/>
      <c r="D390" s="139"/>
      <c r="E390" s="141"/>
      <c r="F390" s="139"/>
      <c r="G390" s="141"/>
      <c r="I390" s="141"/>
      <c r="J390" s="139"/>
      <c r="K390" s="141"/>
      <c r="L390" s="139"/>
      <c r="M390" s="141"/>
      <c r="N390" s="139"/>
      <c r="O390" s="141"/>
      <c r="P390" s="139"/>
      <c r="Q390" s="141"/>
      <c r="R390" s="139"/>
      <c r="S390" s="141"/>
      <c r="T390" s="139"/>
      <c r="U390" s="141"/>
      <c r="V390" s="162"/>
      <c r="W390" s="236"/>
      <c r="X390" s="133">
        <f>COUNTIF(C390:U390,"U/P")</f>
        <v>0</v>
      </c>
      <c r="Y390" s="133">
        <v>0</v>
      </c>
      <c r="Z390" s="133">
        <v>0</v>
      </c>
      <c r="AB390" s="133" t="s">
        <v>278</v>
      </c>
    </row>
    <row r="391" spans="1:31" ht="13">
      <c r="B391" s="209"/>
      <c r="C391" s="147" t="s">
        <v>807</v>
      </c>
      <c r="E391" s="386" t="s">
        <v>808</v>
      </c>
      <c r="G391" s="386" t="s">
        <v>809</v>
      </c>
      <c r="I391" s="147" t="s">
        <v>193</v>
      </c>
      <c r="K391" s="386" t="s">
        <v>810</v>
      </c>
      <c r="M391" s="386" t="s">
        <v>811</v>
      </c>
      <c r="O391" s="386" t="s">
        <v>812</v>
      </c>
      <c r="Q391" s="386" t="s">
        <v>813</v>
      </c>
      <c r="S391" s="386" t="s">
        <v>814</v>
      </c>
      <c r="U391" s="386" t="s">
        <v>815</v>
      </c>
      <c r="W391" s="236"/>
      <c r="X391" s="133">
        <f>COUNTIF(C389:U389,"ROW")</f>
        <v>0</v>
      </c>
      <c r="Y391" s="133">
        <v>0</v>
      </c>
      <c r="Z391" s="133">
        <v>0</v>
      </c>
      <c r="AB391" s="133" t="s">
        <v>228</v>
      </c>
    </row>
    <row r="392" spans="1:31" ht="13">
      <c r="B392" s="209"/>
      <c r="C392" s="147" t="s">
        <v>319</v>
      </c>
      <c r="E392" s="148" t="s">
        <v>317</v>
      </c>
      <c r="G392" s="148" t="s">
        <v>296</v>
      </c>
      <c r="I392" s="147" t="s">
        <v>319</v>
      </c>
      <c r="K392" s="148" t="s">
        <v>317</v>
      </c>
      <c r="M392" s="148" t="s">
        <v>296</v>
      </c>
      <c r="O392" s="148" t="s">
        <v>317</v>
      </c>
      <c r="Q392" s="148" t="s">
        <v>317</v>
      </c>
      <c r="S392" s="148" t="s">
        <v>317</v>
      </c>
      <c r="U392" s="148" t="s">
        <v>317</v>
      </c>
      <c r="W392" s="236"/>
    </row>
    <row r="393" spans="1:31">
      <c r="B393" s="209"/>
      <c r="W393" s="236"/>
    </row>
    <row r="394" spans="1:31">
      <c r="B394" s="209"/>
      <c r="C394" s="133">
        <f>U386+1</f>
        <v>461</v>
      </c>
      <c r="E394" s="133">
        <f>C394+1</f>
        <v>462</v>
      </c>
      <c r="G394" s="133">
        <f>E394+1</f>
        <v>463</v>
      </c>
      <c r="I394" s="133">
        <f>G394+1</f>
        <v>464</v>
      </c>
      <c r="K394" s="133">
        <f>I394+1</f>
        <v>465</v>
      </c>
      <c r="M394" s="133">
        <f>K394+1</f>
        <v>466</v>
      </c>
      <c r="O394" s="133">
        <f>M394+1</f>
        <v>467</v>
      </c>
      <c r="Q394" s="133">
        <f>O394+1</f>
        <v>468</v>
      </c>
      <c r="S394" s="133">
        <f>Q394+1</f>
        <v>469</v>
      </c>
      <c r="U394" s="161">
        <f>S394+1</f>
        <v>470</v>
      </c>
      <c r="W394" s="236"/>
    </row>
    <row r="395" spans="1:31">
      <c r="B395" s="209"/>
      <c r="W395" s="236"/>
    </row>
    <row r="396" spans="1:31">
      <c r="B396" s="209"/>
      <c r="C396" s="135"/>
      <c r="D396" s="135">
        <v>429</v>
      </c>
      <c r="E396" s="135"/>
      <c r="F396" s="135">
        <v>373.37</v>
      </c>
      <c r="H396" s="135">
        <v>403</v>
      </c>
      <c r="J396" s="135">
        <v>402</v>
      </c>
      <c r="L396" s="135">
        <v>387</v>
      </c>
      <c r="M396" s="135"/>
      <c r="N396" s="135">
        <v>386</v>
      </c>
      <c r="P396" s="135">
        <v>413</v>
      </c>
      <c r="Q396" s="135"/>
      <c r="R396" s="135">
        <v>407</v>
      </c>
      <c r="S396" s="135"/>
      <c r="T396" s="135">
        <v>390</v>
      </c>
      <c r="V396" s="135">
        <v>392</v>
      </c>
      <c r="W396" s="265">
        <f>D396+H396+J396+L396+N396+F396+P396+R396+T396+V396</f>
        <v>3982.37</v>
      </c>
      <c r="AE396" s="135">
        <f>SUM(D396:V396)</f>
        <v>3982.37</v>
      </c>
    </row>
    <row r="397" spans="1:31">
      <c r="A397" s="133">
        <f>A389+1</f>
        <v>47</v>
      </c>
      <c r="B397" s="209"/>
      <c r="C397" s="140"/>
      <c r="D397" s="139"/>
      <c r="E397" s="140"/>
      <c r="F397" s="139"/>
      <c r="G397" s="140"/>
      <c r="I397" s="140"/>
      <c r="J397" s="139"/>
      <c r="K397" s="140"/>
      <c r="L397" s="139"/>
      <c r="M397" s="140"/>
      <c r="N397" s="139"/>
      <c r="O397" s="140"/>
      <c r="P397" s="139"/>
      <c r="Q397" s="140"/>
      <c r="R397" s="139"/>
      <c r="S397" s="140"/>
      <c r="T397" s="139"/>
      <c r="U397" s="140"/>
      <c r="V397" s="162"/>
      <c r="W397" s="265"/>
      <c r="X397" s="133">
        <f>COUNTIF(C397:U397,"F")</f>
        <v>0</v>
      </c>
      <c r="Y397" s="133">
        <f>COUNTIF(C396:U396,"E")</f>
        <v>0</v>
      </c>
      <c r="Z397" s="133">
        <f>COUNTIF(C398:V398,"Er")</f>
        <v>0</v>
      </c>
      <c r="AB397" s="133" t="s">
        <v>518</v>
      </c>
    </row>
    <row r="398" spans="1:31">
      <c r="B398" s="209"/>
      <c r="C398" s="141"/>
      <c r="D398" s="139"/>
      <c r="E398" s="141"/>
      <c r="F398" s="139"/>
      <c r="G398" s="141"/>
      <c r="I398" s="141"/>
      <c r="J398" s="139"/>
      <c r="K398" s="141"/>
      <c r="L398" s="139"/>
      <c r="M398" s="141"/>
      <c r="N398" s="139"/>
      <c r="O398" s="141"/>
      <c r="P398" s="139"/>
      <c r="Q398" s="141"/>
      <c r="R398" s="139"/>
      <c r="S398" s="141"/>
      <c r="T398" s="139"/>
      <c r="U398" s="141"/>
      <c r="V398" s="162"/>
      <c r="W398" s="236"/>
      <c r="X398" s="133">
        <f>COUNTIF(C398:U398,"U/P")</f>
        <v>0</v>
      </c>
      <c r="Y398" s="133">
        <v>0</v>
      </c>
      <c r="Z398" s="133">
        <v>0</v>
      </c>
      <c r="AB398" s="133" t="s">
        <v>278</v>
      </c>
    </row>
    <row r="399" spans="1:31" ht="13">
      <c r="B399" s="209"/>
      <c r="C399" s="386" t="s">
        <v>816</v>
      </c>
      <c r="E399" s="386" t="s">
        <v>817</v>
      </c>
      <c r="F399" s="149"/>
      <c r="G399" s="147" t="s">
        <v>194</v>
      </c>
      <c r="H399" s="149"/>
      <c r="I399" s="386" t="s">
        <v>818</v>
      </c>
      <c r="J399" s="149"/>
      <c r="K399" s="386" t="s">
        <v>819</v>
      </c>
      <c r="L399" s="149"/>
      <c r="M399" s="386" t="s">
        <v>820</v>
      </c>
      <c r="N399" s="149"/>
      <c r="O399" s="386" t="s">
        <v>821</v>
      </c>
      <c r="P399" s="149"/>
      <c r="Q399" s="386" t="s">
        <v>822</v>
      </c>
      <c r="R399" s="149"/>
      <c r="S399" s="386" t="s">
        <v>823</v>
      </c>
      <c r="T399" s="149"/>
      <c r="U399" s="386" t="s">
        <v>824</v>
      </c>
      <c r="W399" s="236"/>
      <c r="X399" s="133">
        <f>COUNTIF(C397:U397,"ROW")</f>
        <v>0</v>
      </c>
      <c r="Y399" s="133">
        <v>0</v>
      </c>
      <c r="Z399" s="133">
        <v>0</v>
      </c>
      <c r="AB399" s="133" t="s">
        <v>228</v>
      </c>
    </row>
    <row r="400" spans="1:31" ht="13">
      <c r="B400" s="209"/>
      <c r="C400" s="148" t="s">
        <v>296</v>
      </c>
      <c r="E400" s="148" t="s">
        <v>295</v>
      </c>
      <c r="F400" s="149"/>
      <c r="G400" s="147" t="s">
        <v>344</v>
      </c>
      <c r="H400" s="149"/>
      <c r="I400" s="148" t="s">
        <v>317</v>
      </c>
      <c r="J400" s="149"/>
      <c r="K400" s="148" t="s">
        <v>296</v>
      </c>
      <c r="L400" s="149"/>
      <c r="M400" s="148" t="s">
        <v>296</v>
      </c>
      <c r="N400" s="149"/>
      <c r="O400" s="148" t="s">
        <v>296</v>
      </c>
      <c r="P400" s="149"/>
      <c r="Q400" s="148" t="s">
        <v>317</v>
      </c>
      <c r="R400" s="149"/>
      <c r="S400" s="148" t="s">
        <v>296</v>
      </c>
      <c r="T400" s="149"/>
      <c r="U400" s="148" t="s">
        <v>296</v>
      </c>
      <c r="W400" s="236"/>
    </row>
    <row r="401" spans="1:31" ht="13">
      <c r="B401" s="209"/>
      <c r="C401" s="147"/>
      <c r="D401" s="149"/>
      <c r="E401" s="148"/>
      <c r="F401" s="149"/>
      <c r="G401" s="148"/>
      <c r="H401" s="149"/>
      <c r="I401" s="147"/>
      <c r="J401" s="149"/>
      <c r="K401" s="148"/>
      <c r="L401" s="149"/>
      <c r="M401" s="148"/>
      <c r="N401" s="149"/>
      <c r="O401" s="147"/>
      <c r="P401" s="149"/>
      <c r="Q401" s="148"/>
      <c r="R401" s="149"/>
      <c r="S401" s="148"/>
      <c r="T401" s="149"/>
      <c r="U401" s="147"/>
      <c r="W401" s="236"/>
    </row>
    <row r="402" spans="1:31" ht="13">
      <c r="B402" s="209"/>
      <c r="C402" s="147"/>
      <c r="D402" s="149"/>
      <c r="E402" s="148"/>
      <c r="F402" s="149"/>
      <c r="G402" s="148"/>
      <c r="H402" s="149"/>
      <c r="I402" s="147"/>
      <c r="J402" s="149"/>
      <c r="K402" s="148"/>
      <c r="L402" s="149"/>
      <c r="M402" s="148"/>
      <c r="N402" s="149"/>
      <c r="O402" s="147"/>
      <c r="P402" s="149"/>
      <c r="Q402" s="148"/>
      <c r="R402" s="149"/>
      <c r="S402" s="148"/>
      <c r="T402" s="149"/>
      <c r="U402" s="147"/>
      <c r="W402" s="236"/>
    </row>
    <row r="403" spans="1:31">
      <c r="B403" s="209"/>
      <c r="C403" s="133">
        <f>U394+1</f>
        <v>471</v>
      </c>
      <c r="E403" s="133">
        <f>C403+1</f>
        <v>472</v>
      </c>
      <c r="G403" s="133">
        <f>E403+1</f>
        <v>473</v>
      </c>
      <c r="I403" s="133">
        <f>G403+1</f>
        <v>474</v>
      </c>
      <c r="K403" s="133">
        <f>I403+1</f>
        <v>475</v>
      </c>
      <c r="M403" s="133">
        <f>K403+1</f>
        <v>476</v>
      </c>
      <c r="O403" s="133">
        <f>M403+1</f>
        <v>477</v>
      </c>
      <c r="Q403" s="133">
        <f>O403+1</f>
        <v>478</v>
      </c>
      <c r="S403" s="133">
        <f>Q403+1</f>
        <v>479</v>
      </c>
      <c r="U403" s="161">
        <f>S403+1</f>
        <v>480</v>
      </c>
      <c r="W403" s="236"/>
    </row>
    <row r="404" spans="1:31">
      <c r="B404" s="209"/>
      <c r="W404" s="236"/>
    </row>
    <row r="405" spans="1:31">
      <c r="B405" s="209"/>
      <c r="C405" s="135"/>
      <c r="D405" s="135">
        <v>415</v>
      </c>
      <c r="E405" s="135"/>
      <c r="F405" s="135">
        <v>407.99</v>
      </c>
      <c r="H405" s="135">
        <v>420</v>
      </c>
      <c r="J405" s="135">
        <v>404</v>
      </c>
      <c r="L405" s="135">
        <v>440.94</v>
      </c>
      <c r="M405" s="135"/>
      <c r="N405" s="135">
        <v>249.42</v>
      </c>
      <c r="P405" s="135">
        <v>415.86</v>
      </c>
      <c r="Q405" s="135"/>
      <c r="R405" s="135">
        <v>278.87</v>
      </c>
      <c r="S405" s="135"/>
      <c r="T405" s="135">
        <v>426.84</v>
      </c>
      <c r="V405" s="135">
        <v>286.02</v>
      </c>
      <c r="W405" s="265">
        <f>D405+H405+J405+L405+N405+F405+P405+R405+T405+V405</f>
        <v>3744.94</v>
      </c>
      <c r="AE405" s="135">
        <f>SUM(D405:V405)</f>
        <v>3744.94</v>
      </c>
    </row>
    <row r="406" spans="1:31">
      <c r="A406" s="133">
        <f>A397+1</f>
        <v>48</v>
      </c>
      <c r="B406" s="209"/>
      <c r="C406" s="140"/>
      <c r="D406" s="139"/>
      <c r="E406" s="140"/>
      <c r="F406" s="139"/>
      <c r="G406" s="140"/>
      <c r="I406" s="140"/>
      <c r="J406" s="139"/>
      <c r="K406" s="140"/>
      <c r="L406" s="139"/>
      <c r="M406" s="140"/>
      <c r="N406" s="139"/>
      <c r="O406" s="140"/>
      <c r="P406" s="139"/>
      <c r="Q406" s="140"/>
      <c r="R406" s="139"/>
      <c r="S406" s="140"/>
      <c r="T406" s="139"/>
      <c r="U406" s="140"/>
      <c r="V406" s="162"/>
      <c r="W406" s="265"/>
      <c r="X406" s="133">
        <f>COUNTIF(C406:U406,"F")</f>
        <v>0</v>
      </c>
      <c r="Y406" s="133">
        <f>COUNTIF(C405:U405,"E")</f>
        <v>0</v>
      </c>
      <c r="Z406" s="133">
        <f>COUNTIF(C407:V407,"Er")</f>
        <v>0</v>
      </c>
      <c r="AB406" s="133" t="s">
        <v>518</v>
      </c>
    </row>
    <row r="407" spans="1:31">
      <c r="B407" s="209"/>
      <c r="C407" s="141"/>
      <c r="D407" s="139"/>
      <c r="E407" s="141"/>
      <c r="F407" s="139"/>
      <c r="G407" s="141"/>
      <c r="I407" s="141"/>
      <c r="J407" s="139"/>
      <c r="K407" s="141"/>
      <c r="L407" s="139"/>
      <c r="M407" s="141"/>
      <c r="N407" s="139"/>
      <c r="O407" s="141"/>
      <c r="P407" s="139"/>
      <c r="Q407" s="141"/>
      <c r="R407" s="139"/>
      <c r="S407" s="141"/>
      <c r="T407" s="139"/>
      <c r="U407" s="141"/>
      <c r="V407" s="162"/>
      <c r="W407" s="236"/>
      <c r="X407" s="133">
        <f>COUNTIF(C407:U407,"U/P")</f>
        <v>0</v>
      </c>
      <c r="Y407" s="133">
        <v>0</v>
      </c>
      <c r="Z407" s="133">
        <v>0</v>
      </c>
      <c r="AB407" s="133" t="s">
        <v>278</v>
      </c>
    </row>
    <row r="408" spans="1:31" ht="13">
      <c r="B408" s="209"/>
      <c r="C408" s="386" t="s">
        <v>825</v>
      </c>
      <c r="E408" s="386" t="s">
        <v>826</v>
      </c>
      <c r="G408" s="147" t="s">
        <v>827</v>
      </c>
      <c r="I408" s="386" t="s">
        <v>828</v>
      </c>
      <c r="K408" s="147" t="s">
        <v>829</v>
      </c>
      <c r="M408" s="147" t="s">
        <v>830</v>
      </c>
      <c r="O408" s="147" t="s">
        <v>831</v>
      </c>
      <c r="Q408" s="147" t="s">
        <v>832</v>
      </c>
      <c r="S408" s="147" t="s">
        <v>833</v>
      </c>
      <c r="U408" s="147" t="s">
        <v>834</v>
      </c>
      <c r="W408" s="236"/>
      <c r="X408" s="133">
        <f>COUNTIF(C406:U406,"ROW")</f>
        <v>0</v>
      </c>
      <c r="Y408" s="133">
        <v>0</v>
      </c>
      <c r="Z408" s="133">
        <v>0</v>
      </c>
      <c r="AB408" s="133" t="s">
        <v>228</v>
      </c>
    </row>
    <row r="409" spans="1:31" ht="13">
      <c r="B409" s="209"/>
      <c r="C409" s="148" t="s">
        <v>296</v>
      </c>
      <c r="E409" s="148" t="s">
        <v>317</v>
      </c>
      <c r="G409" s="147" t="s">
        <v>344</v>
      </c>
      <c r="I409" s="148" t="s">
        <v>317</v>
      </c>
      <c r="K409" s="147" t="s">
        <v>430</v>
      </c>
      <c r="M409" s="147" t="s">
        <v>541</v>
      </c>
      <c r="O409" s="147" t="s">
        <v>541</v>
      </c>
      <c r="Q409" s="147" t="s">
        <v>117</v>
      </c>
      <c r="S409" s="147" t="s">
        <v>117</v>
      </c>
      <c r="U409" s="147" t="s">
        <v>330</v>
      </c>
      <c r="W409" s="236"/>
    </row>
    <row r="410" spans="1:31">
      <c r="B410" s="209"/>
      <c r="W410" s="236"/>
    </row>
    <row r="411" spans="1:31">
      <c r="B411" s="209"/>
      <c r="C411" s="133">
        <f>U403+1</f>
        <v>481</v>
      </c>
      <c r="E411" s="133">
        <f>C411+1</f>
        <v>482</v>
      </c>
      <c r="G411" s="133">
        <f>E411+1</f>
        <v>483</v>
      </c>
      <c r="I411" s="133">
        <f>G411+1</f>
        <v>484</v>
      </c>
      <c r="K411" s="133">
        <f>I411+1</f>
        <v>485</v>
      </c>
      <c r="U411" s="161"/>
      <c r="W411" s="236"/>
    </row>
    <row r="412" spans="1:31">
      <c r="B412" s="209"/>
      <c r="W412" s="236"/>
    </row>
    <row r="413" spans="1:31">
      <c r="B413" s="209"/>
      <c r="C413" s="135"/>
      <c r="D413" s="135">
        <v>220.25</v>
      </c>
      <c r="E413" s="135"/>
      <c r="F413" s="135">
        <v>241.31</v>
      </c>
      <c r="H413" s="135">
        <v>214.9</v>
      </c>
      <c r="J413" s="135">
        <v>113.74</v>
      </c>
      <c r="L413" s="135"/>
      <c r="M413" s="135"/>
      <c r="N413" s="135"/>
      <c r="P413" s="135"/>
      <c r="Q413" s="135"/>
      <c r="R413" s="135"/>
      <c r="S413" s="135"/>
      <c r="T413" s="135"/>
      <c r="V413" s="135"/>
      <c r="W413" s="265">
        <f>D413+H413+J413+L413+N413+F413+P413+R413+T413+V413</f>
        <v>790.2</v>
      </c>
      <c r="AE413" s="135">
        <f>SUM(D413:V413)</f>
        <v>790.2</v>
      </c>
    </row>
    <row r="414" spans="1:31">
      <c r="A414" s="133">
        <f>A406+1</f>
        <v>49</v>
      </c>
      <c r="B414" s="209"/>
      <c r="C414" s="140"/>
      <c r="D414" s="139"/>
      <c r="E414" s="140"/>
      <c r="F414" s="139"/>
      <c r="G414" s="140"/>
      <c r="I414" s="140"/>
      <c r="J414" s="162"/>
      <c r="K414" s="140"/>
      <c r="M414" s="290"/>
      <c r="O414" s="290"/>
      <c r="Q414" s="290"/>
      <c r="S414" s="290"/>
      <c r="U414" s="290"/>
      <c r="W414" s="265"/>
      <c r="X414" s="133">
        <f>COUNTIF(C414:U414,"F")</f>
        <v>0</v>
      </c>
      <c r="Y414" s="133">
        <f>COUNTIF(C413:U413,"E")</f>
        <v>0</v>
      </c>
      <c r="Z414" s="133">
        <f>COUNTIF(C415:V415,"Er")</f>
        <v>0</v>
      </c>
      <c r="AB414" s="133" t="s">
        <v>518</v>
      </c>
    </row>
    <row r="415" spans="1:31">
      <c r="B415" s="209"/>
      <c r="C415" s="141"/>
      <c r="D415" s="139"/>
      <c r="E415" s="141"/>
      <c r="F415" s="139"/>
      <c r="G415" s="141"/>
      <c r="I415" s="141"/>
      <c r="J415" s="162"/>
      <c r="K415" s="141"/>
      <c r="W415" s="236"/>
      <c r="X415" s="133">
        <f>COUNTIF(C415:U415,"U/P")</f>
        <v>0</v>
      </c>
      <c r="Y415" s="133">
        <v>0</v>
      </c>
      <c r="Z415" s="133">
        <v>0</v>
      </c>
      <c r="AB415" s="133" t="s">
        <v>278</v>
      </c>
    </row>
    <row r="416" spans="1:31" ht="13">
      <c r="B416" s="209"/>
      <c r="C416" s="147" t="s">
        <v>835</v>
      </c>
      <c r="E416" s="147" t="s">
        <v>836</v>
      </c>
      <c r="F416" s="149"/>
      <c r="G416" s="147" t="s">
        <v>837</v>
      </c>
      <c r="H416" s="149"/>
      <c r="I416" s="147" t="s">
        <v>838</v>
      </c>
      <c r="J416" s="149"/>
      <c r="K416" s="147" t="s">
        <v>519</v>
      </c>
      <c r="L416" s="149"/>
      <c r="M416" s="283"/>
      <c r="N416" s="149"/>
      <c r="O416" s="283"/>
      <c r="P416" s="149"/>
      <c r="Q416" s="283"/>
      <c r="R416" s="149"/>
      <c r="S416" s="283"/>
      <c r="T416" s="149"/>
      <c r="U416" s="283"/>
      <c r="W416" s="236"/>
      <c r="X416" s="133">
        <f>COUNTIF(C414:U414,"ROW")</f>
        <v>0</v>
      </c>
      <c r="Y416" s="133">
        <v>0</v>
      </c>
      <c r="Z416" s="133">
        <v>0</v>
      </c>
      <c r="AB416" s="133" t="s">
        <v>228</v>
      </c>
    </row>
    <row r="417" spans="2:32" ht="13">
      <c r="B417" s="209"/>
      <c r="C417" s="147" t="s">
        <v>201</v>
      </c>
      <c r="E417" s="147" t="s">
        <v>201</v>
      </c>
      <c r="F417" s="149"/>
      <c r="G417" s="147" t="s">
        <v>541</v>
      </c>
      <c r="H417" s="149"/>
      <c r="I417" s="147" t="s">
        <v>343</v>
      </c>
      <c r="J417" s="149"/>
      <c r="K417" s="147"/>
      <c r="L417" s="149"/>
      <c r="M417" s="148"/>
      <c r="N417" s="149"/>
      <c r="O417" s="148"/>
      <c r="P417" s="149"/>
      <c r="Q417" s="148"/>
      <c r="R417" s="149"/>
      <c r="S417" s="148"/>
      <c r="T417" s="149"/>
      <c r="U417" s="148"/>
      <c r="W417" s="236"/>
    </row>
    <row r="418" spans="2:32" ht="13">
      <c r="B418" s="209"/>
      <c r="C418" s="147"/>
      <c r="D418" s="149"/>
      <c r="E418" s="148"/>
      <c r="F418" s="149"/>
      <c r="G418" s="148"/>
      <c r="H418" s="149"/>
      <c r="I418" s="147"/>
      <c r="J418" s="149"/>
      <c r="K418" s="148"/>
      <c r="L418" s="149"/>
      <c r="M418" s="148"/>
      <c r="N418" s="149"/>
      <c r="O418" s="147"/>
      <c r="P418" s="149"/>
      <c r="Q418" s="148"/>
      <c r="R418" s="149"/>
      <c r="S418" s="148"/>
      <c r="T418" s="149"/>
      <c r="U418" s="147"/>
      <c r="W418" s="236"/>
      <c r="AE418" s="293">
        <f>SUM(AE11:AE417)</f>
        <v>131357.41</v>
      </c>
    </row>
    <row r="419" spans="2:32">
      <c r="B419" s="209"/>
      <c r="D419" s="149"/>
      <c r="F419" s="149"/>
      <c r="H419" s="149"/>
      <c r="J419" s="149"/>
      <c r="L419" s="149"/>
      <c r="M419" s="149"/>
      <c r="N419" s="149"/>
      <c r="O419" s="149"/>
      <c r="P419" s="149"/>
      <c r="Q419" s="149"/>
      <c r="R419" s="149"/>
      <c r="S419" s="149"/>
      <c r="T419" s="149"/>
      <c r="U419" s="149"/>
      <c r="W419" s="236"/>
      <c r="AE419" s="135">
        <f>AE418/1000</f>
        <v>131.35740999999999</v>
      </c>
      <c r="AF419" s="135">
        <f>186-AE419</f>
        <v>54.642589999999998</v>
      </c>
    </row>
    <row r="420" spans="2:32">
      <c r="B420" s="209"/>
      <c r="W420" s="265"/>
      <c r="X420" s="291">
        <f>SUM(X12+X20+X28+X36+X44+X52+X60+X69+X78+X87+X96+X105+X114+X123+X132+X140+X148+X156+X164+X173+X182+X191+X199+X208+X216+X224+X232+X241+X249+X258+X266+X274+X282+X290+X298+X306+X314+X322+X330+X339+X347+X355+X363+X372+X380+X389+X397+X406+X414)</f>
        <v>11</v>
      </c>
      <c r="Y420" s="206" t="s">
        <v>839</v>
      </c>
      <c r="Z420" s="291"/>
      <c r="AA420" s="291" t="s">
        <v>840</v>
      </c>
      <c r="AB420" s="206"/>
      <c r="AC420" s="291" t="s">
        <v>841</v>
      </c>
      <c r="AD420" s="294"/>
    </row>
    <row r="421" spans="2:32" ht="29">
      <c r="B421" s="209"/>
      <c r="F421" s="284" t="s">
        <v>842</v>
      </c>
      <c r="G421" s="285" t="s">
        <v>843</v>
      </c>
      <c r="H421" s="285" t="s">
        <v>844</v>
      </c>
      <c r="I421" s="285" t="s">
        <v>62</v>
      </c>
      <c r="J421" s="285" t="s">
        <v>845</v>
      </c>
      <c r="K421" s="285" t="s">
        <v>846</v>
      </c>
      <c r="L421" s="285" t="s">
        <v>847</v>
      </c>
      <c r="M421" s="284" t="s">
        <v>848</v>
      </c>
      <c r="N421" s="285" t="s">
        <v>481</v>
      </c>
      <c r="O421" s="285" t="s">
        <v>34</v>
      </c>
      <c r="W421" s="265"/>
      <c r="X421" s="291">
        <f>SUM(X13+X21+X29+X37+X45+X53+X61+X70+X79+X88+X97+X106+X115+X124+X133+X141+X149+X157+X165+X174+X183+X192+X200+X209+X217+X225+X233+X242+X250+X259+X267+X275+X283+X291+X299+X307+X315+X323+X331+X340+X348+X356+X364+X373+X381+X390+X398+X407+X415)</f>
        <v>4</v>
      </c>
      <c r="Y421" s="206" t="s">
        <v>849</v>
      </c>
      <c r="Z421" s="291"/>
      <c r="AA421" s="206" t="s">
        <v>850</v>
      </c>
      <c r="AB421" s="206"/>
      <c r="AC421" s="295" t="s">
        <v>851</v>
      </c>
      <c r="AD421" s="206"/>
    </row>
    <row r="422" spans="2:32" ht="26">
      <c r="B422" s="209"/>
      <c r="F422" s="286" t="s">
        <v>852</v>
      </c>
      <c r="G422" s="57">
        <v>4</v>
      </c>
      <c r="H422" s="57">
        <v>3</v>
      </c>
      <c r="I422" s="57"/>
      <c r="J422" s="57"/>
      <c r="K422" s="57"/>
      <c r="L422" s="57">
        <v>2</v>
      </c>
      <c r="M422" s="57">
        <v>1</v>
      </c>
      <c r="N422" s="57">
        <f>SUM(G422:M422)</f>
        <v>10</v>
      </c>
      <c r="O422" s="1527"/>
      <c r="W422" s="265"/>
      <c r="X422" s="291">
        <v>13</v>
      </c>
      <c r="Y422" s="206" t="s">
        <v>853</v>
      </c>
      <c r="Z422" s="291"/>
      <c r="AA422" s="206" t="s">
        <v>854</v>
      </c>
      <c r="AB422" s="206"/>
      <c r="AC422" s="295" t="s">
        <v>855</v>
      </c>
      <c r="AD422" s="206"/>
    </row>
    <row r="423" spans="2:32" ht="26">
      <c r="B423" s="209"/>
      <c r="F423" s="286" t="s">
        <v>856</v>
      </c>
      <c r="G423" s="57"/>
      <c r="H423" s="57"/>
      <c r="I423" s="57"/>
      <c r="J423" s="57"/>
      <c r="K423" s="57"/>
      <c r="L423" s="57"/>
      <c r="M423" s="57"/>
      <c r="N423" s="57"/>
      <c r="O423" s="1528"/>
      <c r="W423" s="265"/>
      <c r="X423" s="291"/>
      <c r="Y423" s="291"/>
      <c r="Z423" s="291"/>
      <c r="AA423" s="291"/>
      <c r="AB423" s="294"/>
      <c r="AC423" s="294"/>
      <c r="AD423" s="206"/>
    </row>
    <row r="424" spans="2:32" ht="14.5">
      <c r="B424" s="209"/>
      <c r="F424" s="286" t="s">
        <v>857</v>
      </c>
      <c r="G424" s="57">
        <f>G422-G423</f>
        <v>4</v>
      </c>
      <c r="H424" s="57">
        <f t="shared" ref="H424:N424" si="0">H422-H423</f>
        <v>3</v>
      </c>
      <c r="I424" s="57">
        <f t="shared" si="0"/>
        <v>0</v>
      </c>
      <c r="J424" s="57">
        <f t="shared" si="0"/>
        <v>0</v>
      </c>
      <c r="K424" s="57">
        <f t="shared" si="0"/>
        <v>0</v>
      </c>
      <c r="L424" s="57">
        <f t="shared" si="0"/>
        <v>2</v>
      </c>
      <c r="M424" s="57">
        <f t="shared" si="0"/>
        <v>1</v>
      </c>
      <c r="N424" s="57">
        <f t="shared" si="0"/>
        <v>10</v>
      </c>
      <c r="O424" s="1528"/>
      <c r="W424" s="265"/>
      <c r="X424" s="291">
        <v>3</v>
      </c>
      <c r="Y424" s="206" t="s">
        <v>858</v>
      </c>
      <c r="Z424" s="291"/>
      <c r="AA424" s="206" t="s">
        <v>859</v>
      </c>
      <c r="AB424" s="294"/>
      <c r="AC424" s="294"/>
      <c r="AD424" s="206"/>
    </row>
    <row r="425" spans="2:32">
      <c r="B425" s="209"/>
      <c r="W425" s="265"/>
      <c r="X425" s="291"/>
      <c r="Y425" s="291"/>
      <c r="Z425" s="291"/>
      <c r="AA425" s="291"/>
      <c r="AB425" s="294"/>
      <c r="AC425" s="294"/>
      <c r="AD425" s="206"/>
    </row>
    <row r="426" spans="2:32" ht="13" hidden="1">
      <c r="B426" s="209"/>
      <c r="F426" s="287"/>
      <c r="G426" s="287" t="s">
        <v>860</v>
      </c>
      <c r="H426" s="287" t="s">
        <v>861</v>
      </c>
      <c r="I426" s="287" t="s">
        <v>278</v>
      </c>
      <c r="J426" s="287" t="s">
        <v>857</v>
      </c>
      <c r="K426" s="287" t="s">
        <v>862</v>
      </c>
      <c r="L426" s="287" t="s">
        <v>861</v>
      </c>
      <c r="M426" s="287" t="s">
        <v>278</v>
      </c>
      <c r="N426" s="287" t="s">
        <v>857</v>
      </c>
      <c r="O426" s="287" t="s">
        <v>34</v>
      </c>
      <c r="W426" s="265"/>
      <c r="X426" s="291"/>
      <c r="Y426" s="291"/>
      <c r="Z426" s="291"/>
      <c r="AA426" s="291"/>
      <c r="AB426" s="294"/>
      <c r="AC426" s="294"/>
      <c r="AD426" s="206"/>
    </row>
    <row r="427" spans="2:32" ht="13" hidden="1">
      <c r="B427" s="209"/>
      <c r="F427" s="205" t="s">
        <v>479</v>
      </c>
      <c r="G427" s="206"/>
      <c r="H427" s="206"/>
      <c r="I427" s="206"/>
      <c r="J427" s="206"/>
      <c r="K427" s="206"/>
      <c r="L427" s="206"/>
      <c r="M427" s="228"/>
      <c r="N427" s="206"/>
      <c r="O427" s="1497"/>
      <c r="W427" s="265"/>
      <c r="X427" s="291"/>
      <c r="Y427" s="291"/>
      <c r="Z427" s="291"/>
      <c r="AA427" s="291"/>
      <c r="AB427" s="294"/>
      <c r="AC427" s="294"/>
      <c r="AD427" s="206"/>
    </row>
    <row r="428" spans="2:32" ht="13" hidden="1">
      <c r="B428" s="209"/>
      <c r="F428" s="205" t="s">
        <v>480</v>
      </c>
      <c r="G428" s="206"/>
      <c r="H428" s="206"/>
      <c r="I428" s="206"/>
      <c r="J428" s="206"/>
      <c r="K428" s="206"/>
      <c r="L428" s="206"/>
      <c r="M428" s="206"/>
      <c r="N428" s="206"/>
      <c r="O428" s="1498"/>
      <c r="Q428" s="229"/>
      <c r="W428" s="265"/>
      <c r="X428" s="291"/>
      <c r="Y428" s="291"/>
      <c r="Z428" s="291"/>
      <c r="AA428" s="291"/>
      <c r="AB428" s="294"/>
      <c r="AC428" s="294"/>
      <c r="AD428" s="206"/>
    </row>
    <row r="429" spans="2:32" ht="13" hidden="1">
      <c r="B429" s="209"/>
      <c r="F429" s="205" t="s">
        <v>481</v>
      </c>
      <c r="G429" s="206"/>
      <c r="H429" s="206"/>
      <c r="I429" s="206"/>
      <c r="J429" s="206"/>
      <c r="K429" s="206"/>
      <c r="L429" s="206"/>
      <c r="M429" s="206"/>
      <c r="N429" s="206"/>
      <c r="O429" s="1499"/>
      <c r="W429" s="265"/>
      <c r="X429" s="291"/>
      <c r="Y429" s="291"/>
      <c r="Z429" s="291"/>
      <c r="AA429" s="291"/>
      <c r="AB429" s="294"/>
      <c r="AC429" s="294"/>
      <c r="AD429" s="206"/>
    </row>
    <row r="430" spans="2:32">
      <c r="B430" s="209"/>
      <c r="W430" s="265"/>
      <c r="X430" s="291"/>
      <c r="Y430" s="291"/>
      <c r="Z430" s="291"/>
      <c r="AA430" s="291"/>
      <c r="AB430" s="294"/>
      <c r="AC430" s="294"/>
      <c r="AD430" s="206"/>
    </row>
    <row r="431" spans="2:32">
      <c r="B431" s="209"/>
      <c r="W431" s="265"/>
      <c r="X431" s="291"/>
      <c r="Y431" s="291"/>
      <c r="Z431" s="291"/>
      <c r="AA431" s="291"/>
      <c r="AB431" s="294"/>
      <c r="AC431" s="294"/>
      <c r="AD431" s="206"/>
    </row>
    <row r="432" spans="2:32" ht="14">
      <c r="B432" s="1524"/>
      <c r="C432" s="1525"/>
      <c r="D432" s="1525"/>
      <c r="E432" s="1525"/>
      <c r="F432" s="1525"/>
      <c r="G432" s="1525"/>
      <c r="H432" s="1525"/>
      <c r="I432" s="1525"/>
      <c r="J432" s="1525"/>
      <c r="K432" s="1525"/>
      <c r="L432" s="1525"/>
      <c r="M432" s="1525"/>
      <c r="N432" s="1525"/>
      <c r="O432" s="1525"/>
      <c r="P432" s="1525"/>
      <c r="Q432" s="1525"/>
      <c r="R432" s="1525"/>
      <c r="S432" s="1525"/>
      <c r="T432" s="1525"/>
      <c r="U432" s="1525"/>
      <c r="V432" s="1525"/>
      <c r="W432" s="1526"/>
    </row>
    <row r="433" spans="2:23">
      <c r="B433" s="209"/>
      <c r="W433" s="236"/>
    </row>
    <row r="434" spans="2:23">
      <c r="B434" s="209"/>
      <c r="E434" s="210"/>
      <c r="F434" s="210"/>
      <c r="G434" s="210"/>
      <c r="H434" s="210"/>
      <c r="I434" s="210"/>
      <c r="J434" s="210" t="s">
        <v>482</v>
      </c>
      <c r="K434" s="210"/>
      <c r="L434" s="210"/>
      <c r="W434" s="236"/>
    </row>
    <row r="435" spans="2:23" ht="13">
      <c r="B435" s="209"/>
      <c r="E435" s="210"/>
      <c r="F435" s="210"/>
      <c r="J435" s="210"/>
      <c r="L435" s="210"/>
      <c r="M435" s="133" t="s">
        <v>483</v>
      </c>
      <c r="S435" s="237" t="s">
        <v>484</v>
      </c>
      <c r="W435" s="236"/>
    </row>
    <row r="436" spans="2:23">
      <c r="B436" s="209"/>
      <c r="D436" s="211" t="s">
        <v>485</v>
      </c>
      <c r="E436" s="210"/>
      <c r="F436" s="210"/>
      <c r="J436" s="210"/>
      <c r="L436" s="210"/>
      <c r="W436" s="236"/>
    </row>
    <row r="437" spans="2:23">
      <c r="B437" s="209"/>
      <c r="D437" s="211" t="s">
        <v>486</v>
      </c>
      <c r="E437" s="210"/>
      <c r="F437" s="210"/>
      <c r="G437" s="158"/>
      <c r="H437" s="139"/>
      <c r="I437" s="212"/>
      <c r="J437" s="210"/>
      <c r="K437" s="158"/>
      <c r="L437" s="210"/>
      <c r="M437" s="133" t="s">
        <v>487</v>
      </c>
      <c r="W437" s="236"/>
    </row>
    <row r="438" spans="2:23" ht="13">
      <c r="B438" s="209"/>
      <c r="D438" s="211" t="s">
        <v>488</v>
      </c>
      <c r="E438" s="210"/>
      <c r="F438" s="210"/>
      <c r="G438" s="213"/>
      <c r="H438" s="139"/>
      <c r="I438" s="214" t="s">
        <v>390</v>
      </c>
      <c r="J438" s="210"/>
      <c r="K438" s="213"/>
      <c r="L438" s="210"/>
      <c r="S438" s="237" t="s">
        <v>489</v>
      </c>
      <c r="W438" s="236"/>
    </row>
    <row r="439" spans="2:23">
      <c r="B439" s="209"/>
      <c r="E439" s="210"/>
      <c r="F439" s="210"/>
      <c r="G439" s="210"/>
      <c r="H439" s="210"/>
      <c r="I439" s="210"/>
      <c r="J439" s="210"/>
      <c r="K439" s="210"/>
      <c r="L439" s="210"/>
      <c r="N439" s="133" t="s">
        <v>77</v>
      </c>
      <c r="W439" s="236"/>
    </row>
    <row r="440" spans="2:23">
      <c r="B440" s="209"/>
      <c r="D440" s="215"/>
      <c r="E440" s="143"/>
      <c r="F440" s="215"/>
      <c r="G440" s="216"/>
      <c r="H440" s="217"/>
      <c r="I440" s="215">
        <v>325</v>
      </c>
      <c r="J440" s="215" t="s">
        <v>219</v>
      </c>
      <c r="K440" s="143"/>
      <c r="L440" s="215"/>
      <c r="W440" s="236"/>
    </row>
    <row r="441" spans="2:23">
      <c r="B441" s="209"/>
      <c r="D441" s="215"/>
      <c r="E441" s="143"/>
      <c r="F441" s="215"/>
      <c r="G441" s="143"/>
      <c r="H441" s="217"/>
      <c r="I441" s="143"/>
      <c r="J441" s="215"/>
      <c r="K441" s="143"/>
      <c r="L441" s="215"/>
      <c r="M441" s="143"/>
      <c r="N441" s="216" t="s">
        <v>490</v>
      </c>
      <c r="O441" s="143"/>
      <c r="P441" s="215"/>
      <c r="Q441" s="143"/>
      <c r="R441" s="215"/>
      <c r="S441" s="239" t="s">
        <v>491</v>
      </c>
      <c r="T441" s="215"/>
      <c r="U441" s="143"/>
      <c r="V441" s="215"/>
      <c r="W441" s="236"/>
    </row>
    <row r="442" spans="2:23">
      <c r="B442" s="209"/>
      <c r="C442" s="211" t="s">
        <v>492</v>
      </c>
      <c r="D442" s="215"/>
      <c r="E442" s="143"/>
      <c r="F442" s="218" t="s">
        <v>228</v>
      </c>
      <c r="G442" s="133" t="s">
        <v>228</v>
      </c>
      <c r="H442" s="217"/>
      <c r="I442" s="143"/>
      <c r="J442" s="133" t="s">
        <v>493</v>
      </c>
      <c r="K442" s="215"/>
      <c r="L442" s="215"/>
      <c r="M442" s="143"/>
      <c r="N442" s="215"/>
      <c r="O442" s="143"/>
      <c r="P442" s="215"/>
      <c r="Q442" s="143"/>
      <c r="R442" s="143"/>
      <c r="S442" s="143"/>
      <c r="T442" s="215"/>
      <c r="U442" s="143"/>
      <c r="V442" s="215"/>
      <c r="W442" s="236"/>
    </row>
    <row r="443" spans="2:23">
      <c r="B443" s="209"/>
      <c r="D443" s="215"/>
      <c r="E443" s="143"/>
      <c r="F443" s="215"/>
      <c r="G443" s="143"/>
      <c r="H443" s="217"/>
      <c r="I443" s="143"/>
      <c r="J443" s="215"/>
      <c r="K443" s="143"/>
      <c r="L443" s="215"/>
      <c r="M443" s="143"/>
      <c r="N443" s="215"/>
      <c r="O443" s="143"/>
      <c r="P443" s="215"/>
      <c r="Q443" s="143"/>
      <c r="R443" s="215"/>
      <c r="S443" s="143"/>
      <c r="T443" s="215"/>
      <c r="U443" s="143"/>
      <c r="V443" s="215"/>
      <c r="W443" s="236"/>
    </row>
    <row r="444" spans="2:23">
      <c r="B444" s="209"/>
      <c r="C444" s="211" t="s">
        <v>494</v>
      </c>
      <c r="D444" s="215"/>
      <c r="E444" s="143"/>
      <c r="F444" s="143" t="s">
        <v>495</v>
      </c>
      <c r="G444" s="216" t="s">
        <v>109</v>
      </c>
      <c r="H444" s="217"/>
      <c r="I444" s="219"/>
      <c r="J444" s="216" t="s">
        <v>496</v>
      </c>
      <c r="K444" s="143"/>
      <c r="L444" s="215"/>
      <c r="N444" s="216" t="s">
        <v>497</v>
      </c>
      <c r="O444" s="143"/>
      <c r="P444" s="215"/>
      <c r="Q444" s="143"/>
      <c r="R444" s="215"/>
      <c r="S444" s="240" t="s">
        <v>498</v>
      </c>
      <c r="T444" s="215"/>
      <c r="U444" s="143"/>
      <c r="V444" s="215"/>
      <c r="W444" s="236"/>
    </row>
    <row r="445" spans="2:23">
      <c r="B445" s="209"/>
      <c r="D445" s="215"/>
      <c r="E445" s="143"/>
      <c r="F445" s="143"/>
      <c r="G445" s="143"/>
      <c r="H445" s="217"/>
      <c r="I445" s="143"/>
      <c r="J445" s="216" t="s">
        <v>499</v>
      </c>
      <c r="K445" s="143"/>
      <c r="L445" s="215"/>
      <c r="M445" s="143"/>
      <c r="N445" s="215"/>
      <c r="O445" s="143"/>
      <c r="P445" s="215"/>
      <c r="Q445" s="143"/>
      <c r="R445" s="215"/>
      <c r="S445" s="240" t="s">
        <v>500</v>
      </c>
      <c r="T445" s="215"/>
      <c r="U445" s="143"/>
      <c r="V445" s="215"/>
      <c r="W445" s="236"/>
    </row>
    <row r="446" spans="2:23">
      <c r="B446" s="209"/>
      <c r="C446" s="211" t="s">
        <v>501</v>
      </c>
      <c r="D446" s="143"/>
      <c r="E446" s="143"/>
      <c r="F446" s="220" t="s">
        <v>502</v>
      </c>
      <c r="G446" s="216" t="s">
        <v>503</v>
      </c>
      <c r="H446" s="217"/>
      <c r="I446" s="143"/>
      <c r="J446" s="216" t="s">
        <v>504</v>
      </c>
      <c r="K446" s="143"/>
      <c r="L446" s="215"/>
      <c r="M446" s="143"/>
      <c r="N446" s="215"/>
      <c r="O446" s="143"/>
      <c r="P446" s="215"/>
      <c r="Q446" s="143"/>
      <c r="R446" s="241"/>
      <c r="S446" s="143"/>
      <c r="T446" s="215"/>
      <c r="U446" s="143"/>
      <c r="V446" s="215"/>
      <c r="W446" s="236"/>
    </row>
    <row r="447" spans="2:23">
      <c r="B447" s="209"/>
      <c r="D447" s="143"/>
      <c r="E447" s="143"/>
      <c r="F447" s="143"/>
      <c r="G447" s="143"/>
      <c r="H447" s="143"/>
      <c r="I447" s="221"/>
      <c r="J447" s="216"/>
      <c r="K447" s="143"/>
      <c r="L447" s="215"/>
      <c r="M447" s="143"/>
      <c r="N447" s="230"/>
      <c r="O447" s="143"/>
      <c r="P447" s="215"/>
      <c r="Q447" s="143"/>
      <c r="R447" s="241"/>
      <c r="S447" s="238"/>
      <c r="T447" s="238"/>
      <c r="U447" s="143"/>
      <c r="V447" s="215"/>
      <c r="W447" s="236"/>
    </row>
    <row r="448" spans="2:23">
      <c r="B448" s="209"/>
      <c r="C448" s="211" t="s">
        <v>505</v>
      </c>
      <c r="D448" s="143"/>
      <c r="E448" s="143"/>
      <c r="F448" s="222"/>
      <c r="G448" s="143" t="s">
        <v>506</v>
      </c>
      <c r="H448" s="217"/>
      <c r="I448" s="143"/>
      <c r="J448" s="215"/>
      <c r="K448" s="143"/>
      <c r="L448" s="215"/>
      <c r="M448" s="231"/>
      <c r="N448" s="232" t="s">
        <v>507</v>
      </c>
      <c r="O448" s="143"/>
      <c r="P448" s="215"/>
      <c r="Q448" s="143"/>
      <c r="R448" s="215"/>
      <c r="S448" s="216" t="s">
        <v>508</v>
      </c>
      <c r="T448" s="215"/>
      <c r="U448" s="143"/>
      <c r="V448" s="215"/>
      <c r="W448" s="236"/>
    </row>
    <row r="449" spans="2:23">
      <c r="B449" s="209"/>
      <c r="D449" s="143"/>
      <c r="E449" s="143"/>
      <c r="F449" s="215"/>
      <c r="G449" s="143"/>
      <c r="H449" s="217"/>
      <c r="I449" s="143"/>
      <c r="J449" s="215"/>
      <c r="K449" s="143"/>
      <c r="L449" s="215"/>
      <c r="M449" s="143"/>
      <c r="N449" s="215"/>
      <c r="O449" s="143"/>
      <c r="P449" s="215"/>
      <c r="Q449" s="143"/>
      <c r="R449" s="215"/>
      <c r="S449" s="143"/>
      <c r="T449" s="215"/>
      <c r="U449" s="143"/>
      <c r="V449" s="215"/>
      <c r="W449" s="236"/>
    </row>
    <row r="450" spans="2:23">
      <c r="B450" s="209"/>
      <c r="C450" s="211" t="s">
        <v>509</v>
      </c>
      <c r="D450" s="143"/>
      <c r="E450" s="210"/>
      <c r="F450" s="143" t="s">
        <v>220</v>
      </c>
      <c r="G450" s="143" t="s">
        <v>510</v>
      </c>
      <c r="H450" s="217"/>
      <c r="I450" s="143"/>
      <c r="J450" s="233" t="s">
        <v>511</v>
      </c>
      <c r="K450" s="143"/>
      <c r="L450" s="215"/>
      <c r="N450" s="216" t="s">
        <v>512</v>
      </c>
      <c r="O450" s="143"/>
      <c r="P450" s="215"/>
      <c r="Q450" s="143"/>
      <c r="R450" s="242"/>
      <c r="S450" s="243" t="s">
        <v>513</v>
      </c>
      <c r="T450" s="215"/>
      <c r="U450" s="143"/>
      <c r="V450" s="215"/>
      <c r="W450" s="236"/>
    </row>
    <row r="451" spans="2:23">
      <c r="B451" s="223"/>
      <c r="C451" s="224"/>
      <c r="D451" s="225"/>
      <c r="E451" s="225"/>
      <c r="F451" s="225"/>
      <c r="G451" s="226"/>
      <c r="H451" s="227"/>
      <c r="I451" s="225"/>
      <c r="J451" s="234"/>
      <c r="K451" s="225"/>
      <c r="L451" s="234"/>
      <c r="M451" s="224"/>
      <c r="N451" s="226"/>
      <c r="O451" s="225"/>
      <c r="P451" s="234"/>
      <c r="Q451" s="225"/>
      <c r="R451" s="234"/>
      <c r="S451" s="225"/>
      <c r="T451" s="234"/>
      <c r="U451" s="225"/>
      <c r="V451" s="234"/>
      <c r="W451" s="244"/>
    </row>
  </sheetData>
  <mergeCells count="21">
    <mergeCell ref="C2:V2"/>
    <mergeCell ref="C3:V3"/>
    <mergeCell ref="J5:L5"/>
    <mergeCell ref="N5:P5"/>
    <mergeCell ref="Q5:S5"/>
    <mergeCell ref="T5:V5"/>
    <mergeCell ref="C221:U221"/>
    <mergeCell ref="C229:F229"/>
    <mergeCell ref="K271:U271"/>
    <mergeCell ref="B432:W432"/>
    <mergeCell ref="H5:H6"/>
    <mergeCell ref="I5:I6"/>
    <mergeCell ref="O422:O424"/>
    <mergeCell ref="O427:O429"/>
    <mergeCell ref="C5:D6"/>
    <mergeCell ref="F5:G6"/>
    <mergeCell ref="F7:G7"/>
    <mergeCell ref="K187:U187"/>
    <mergeCell ref="C196:U196"/>
    <mergeCell ref="C204:U204"/>
    <mergeCell ref="C213:U213"/>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WUW40"/>
  <sheetViews>
    <sheetView topLeftCell="A19" zoomScaleNormal="100" workbookViewId="0">
      <selection activeCell="E36" sqref="E36"/>
    </sheetView>
  </sheetViews>
  <sheetFormatPr defaultColWidth="9" defaultRowHeight="13"/>
  <cols>
    <col min="1" max="1" width="4.1796875" style="321" customWidth="1"/>
    <col min="2" max="2" width="7.54296875" style="322" customWidth="1"/>
    <col min="3" max="3" width="4.81640625" style="321" hidden="1" customWidth="1"/>
    <col min="4" max="4" width="12.54296875" style="322" customWidth="1"/>
    <col min="5" max="5" width="26.1796875" style="322" customWidth="1"/>
    <col min="6" max="6" width="25.81640625" style="322" customWidth="1"/>
    <col min="7" max="235" width="30.54296875" style="321" customWidth="1"/>
    <col min="236" max="236" width="6.54296875" style="321" customWidth="1"/>
    <col min="237" max="237" width="7.54296875" style="321" customWidth="1"/>
    <col min="238" max="238" width="4.81640625" style="321" customWidth="1"/>
    <col min="239" max="239" width="11.81640625" style="321" customWidth="1"/>
    <col min="240" max="240" width="9.81640625" style="321" customWidth="1"/>
    <col min="241" max="241" width="3" style="321" customWidth="1"/>
    <col min="242" max="242" width="7.1796875" style="321" customWidth="1"/>
    <col min="243" max="243" width="22.81640625" style="321" customWidth="1"/>
    <col min="244" max="244" width="7.1796875" style="321" customWidth="1"/>
    <col min="245" max="245" width="9" style="321" hidden="1" customWidth="1"/>
    <col min="246" max="246" width="8.81640625" style="321" customWidth="1"/>
    <col min="247" max="247" width="9.81640625" style="321" customWidth="1"/>
    <col min="248" max="248" width="10.54296875" style="321" customWidth="1"/>
    <col min="249" max="249" width="12.1796875" style="321" customWidth="1"/>
    <col min="250" max="250" width="11.1796875" style="321" customWidth="1"/>
    <col min="251" max="251" width="6.81640625" style="321" customWidth="1"/>
    <col min="252" max="491" width="30.54296875" style="321" customWidth="1"/>
    <col min="492" max="492" width="6.54296875" style="321" customWidth="1"/>
    <col min="493" max="493" width="7.54296875" style="321" customWidth="1"/>
    <col min="494" max="494" width="4.81640625" style="321" customWidth="1"/>
    <col min="495" max="495" width="11.81640625" style="321" customWidth="1"/>
    <col min="496" max="496" width="9.81640625" style="321" customWidth="1"/>
    <col min="497" max="497" width="3" style="321" customWidth="1"/>
    <col min="498" max="498" width="7.1796875" style="321" customWidth="1"/>
    <col min="499" max="499" width="22.81640625" style="321" customWidth="1"/>
    <col min="500" max="500" width="7.1796875" style="321" customWidth="1"/>
    <col min="501" max="501" width="9" style="321" hidden="1" customWidth="1"/>
    <col min="502" max="502" width="8.81640625" style="321" customWidth="1"/>
    <col min="503" max="503" width="9.81640625" style="321" customWidth="1"/>
    <col min="504" max="504" width="10.54296875" style="321" customWidth="1"/>
    <col min="505" max="505" width="12.1796875" style="321" customWidth="1"/>
    <col min="506" max="506" width="11.1796875" style="321" customWidth="1"/>
    <col min="507" max="507" width="6.81640625" style="321" customWidth="1"/>
    <col min="508" max="747" width="30.54296875" style="321" customWidth="1"/>
    <col min="748" max="748" width="6.54296875" style="321" customWidth="1"/>
    <col min="749" max="749" width="7.54296875" style="321" customWidth="1"/>
    <col min="750" max="750" width="4.81640625" style="321" customWidth="1"/>
    <col min="751" max="751" width="11.81640625" style="321" customWidth="1"/>
    <col min="752" max="752" width="9.81640625" style="321" customWidth="1"/>
    <col min="753" max="753" width="3" style="321" customWidth="1"/>
    <col min="754" max="754" width="7.1796875" style="321" customWidth="1"/>
    <col min="755" max="755" width="22.81640625" style="321" customWidth="1"/>
    <col min="756" max="756" width="7.1796875" style="321" customWidth="1"/>
    <col min="757" max="757" width="9" style="321" hidden="1" customWidth="1"/>
    <col min="758" max="758" width="8.81640625" style="321" customWidth="1"/>
    <col min="759" max="759" width="9.81640625" style="321" customWidth="1"/>
    <col min="760" max="760" width="10.54296875" style="321" customWidth="1"/>
    <col min="761" max="761" width="12.1796875" style="321" customWidth="1"/>
    <col min="762" max="762" width="11.1796875" style="321" customWidth="1"/>
    <col min="763" max="763" width="6.81640625" style="321" customWidth="1"/>
    <col min="764" max="1003" width="30.54296875" style="321" customWidth="1"/>
    <col min="1004" max="1004" width="6.54296875" style="321" customWidth="1"/>
    <col min="1005" max="1005" width="7.54296875" style="321" customWidth="1"/>
    <col min="1006" max="1006" width="4.81640625" style="321" customWidth="1"/>
    <col min="1007" max="1007" width="11.81640625" style="321" customWidth="1"/>
    <col min="1008" max="1008" width="9.81640625" style="321" customWidth="1"/>
    <col min="1009" max="1009" width="3" style="321" customWidth="1"/>
    <col min="1010" max="1010" width="7.1796875" style="321" customWidth="1"/>
    <col min="1011" max="1011" width="22.81640625" style="321" customWidth="1"/>
    <col min="1012" max="1012" width="7.1796875" style="321" customWidth="1"/>
    <col min="1013" max="1013" width="9" style="321" hidden="1" customWidth="1"/>
    <col min="1014" max="1014" width="8.81640625" style="321" customWidth="1"/>
    <col min="1015" max="1015" width="9.81640625" style="321" customWidth="1"/>
    <col min="1016" max="1016" width="10.54296875" style="321" customWidth="1"/>
    <col min="1017" max="1017" width="12.1796875" style="321" customWidth="1"/>
    <col min="1018" max="1018" width="11.1796875" style="321" customWidth="1"/>
    <col min="1019" max="1019" width="6.81640625" style="321" customWidth="1"/>
    <col min="1020" max="1259" width="30.54296875" style="321" customWidth="1"/>
    <col min="1260" max="1260" width="6.54296875" style="321" customWidth="1"/>
    <col min="1261" max="1261" width="7.54296875" style="321" customWidth="1"/>
    <col min="1262" max="1262" width="4.81640625" style="321" customWidth="1"/>
    <col min="1263" max="1263" width="11.81640625" style="321" customWidth="1"/>
    <col min="1264" max="1264" width="9.81640625" style="321" customWidth="1"/>
    <col min="1265" max="1265" width="3" style="321" customWidth="1"/>
    <col min="1266" max="1266" width="7.1796875" style="321" customWidth="1"/>
    <col min="1267" max="1267" width="22.81640625" style="321" customWidth="1"/>
    <col min="1268" max="1268" width="7.1796875" style="321" customWidth="1"/>
    <col min="1269" max="1269" width="9" style="321" hidden="1" customWidth="1"/>
    <col min="1270" max="1270" width="8.81640625" style="321" customWidth="1"/>
    <col min="1271" max="1271" width="9.81640625" style="321" customWidth="1"/>
    <col min="1272" max="1272" width="10.54296875" style="321" customWidth="1"/>
    <col min="1273" max="1273" width="12.1796875" style="321" customWidth="1"/>
    <col min="1274" max="1274" width="11.1796875" style="321" customWidth="1"/>
    <col min="1275" max="1275" width="6.81640625" style="321" customWidth="1"/>
    <col min="1276" max="1515" width="30.54296875" style="321" customWidth="1"/>
    <col min="1516" max="1516" width="6.54296875" style="321" customWidth="1"/>
    <col min="1517" max="1517" width="7.54296875" style="321" customWidth="1"/>
    <col min="1518" max="1518" width="4.81640625" style="321" customWidth="1"/>
    <col min="1519" max="1519" width="11.81640625" style="321" customWidth="1"/>
    <col min="1520" max="1520" width="9.81640625" style="321" customWidth="1"/>
    <col min="1521" max="1521" width="3" style="321" customWidth="1"/>
    <col min="1522" max="1522" width="7.1796875" style="321" customWidth="1"/>
    <col min="1523" max="1523" width="22.81640625" style="321" customWidth="1"/>
    <col min="1524" max="1524" width="7.1796875" style="321" customWidth="1"/>
    <col min="1525" max="1525" width="9" style="321" hidden="1" customWidth="1"/>
    <col min="1526" max="1526" width="8.81640625" style="321" customWidth="1"/>
    <col min="1527" max="1527" width="9.81640625" style="321" customWidth="1"/>
    <col min="1528" max="1528" width="10.54296875" style="321" customWidth="1"/>
    <col min="1529" max="1529" width="12.1796875" style="321" customWidth="1"/>
    <col min="1530" max="1530" width="11.1796875" style="321" customWidth="1"/>
    <col min="1531" max="1531" width="6.81640625" style="321" customWidth="1"/>
    <col min="1532" max="1771" width="30.54296875" style="321" customWidth="1"/>
    <col min="1772" max="1772" width="6.54296875" style="321" customWidth="1"/>
    <col min="1773" max="1773" width="7.54296875" style="321" customWidth="1"/>
    <col min="1774" max="1774" width="4.81640625" style="321" customWidth="1"/>
    <col min="1775" max="1775" width="11.81640625" style="321" customWidth="1"/>
    <col min="1776" max="1776" width="9.81640625" style="321" customWidth="1"/>
    <col min="1777" max="1777" width="3" style="321" customWidth="1"/>
    <col min="1778" max="1778" width="7.1796875" style="321" customWidth="1"/>
    <col min="1779" max="1779" width="22.81640625" style="321" customWidth="1"/>
    <col min="1780" max="1780" width="7.1796875" style="321" customWidth="1"/>
    <col min="1781" max="1781" width="9" style="321" hidden="1" customWidth="1"/>
    <col min="1782" max="1782" width="8.81640625" style="321" customWidth="1"/>
    <col min="1783" max="1783" width="9.81640625" style="321" customWidth="1"/>
    <col min="1784" max="1784" width="10.54296875" style="321" customWidth="1"/>
    <col min="1785" max="1785" width="12.1796875" style="321" customWidth="1"/>
    <col min="1786" max="1786" width="11.1796875" style="321" customWidth="1"/>
    <col min="1787" max="1787" width="6.81640625" style="321" customWidth="1"/>
    <col min="1788" max="2027" width="30.54296875" style="321" customWidth="1"/>
    <col min="2028" max="2028" width="6.54296875" style="321" customWidth="1"/>
    <col min="2029" max="2029" width="7.54296875" style="321" customWidth="1"/>
    <col min="2030" max="2030" width="4.81640625" style="321" customWidth="1"/>
    <col min="2031" max="2031" width="11.81640625" style="321" customWidth="1"/>
    <col min="2032" max="2032" width="9.81640625" style="321" customWidth="1"/>
    <col min="2033" max="2033" width="3" style="321" customWidth="1"/>
    <col min="2034" max="2034" width="7.1796875" style="321" customWidth="1"/>
    <col min="2035" max="2035" width="22.81640625" style="321" customWidth="1"/>
    <col min="2036" max="2036" width="7.1796875" style="321" customWidth="1"/>
    <col min="2037" max="2037" width="9" style="321" hidden="1" customWidth="1"/>
    <col min="2038" max="2038" width="8.81640625" style="321" customWidth="1"/>
    <col min="2039" max="2039" width="9.81640625" style="321" customWidth="1"/>
    <col min="2040" max="2040" width="10.54296875" style="321" customWidth="1"/>
    <col min="2041" max="2041" width="12.1796875" style="321" customWidth="1"/>
    <col min="2042" max="2042" width="11.1796875" style="321" customWidth="1"/>
    <col min="2043" max="2043" width="6.81640625" style="321" customWidth="1"/>
    <col min="2044" max="2283" width="30.54296875" style="321" customWidth="1"/>
    <col min="2284" max="2284" width="6.54296875" style="321" customWidth="1"/>
    <col min="2285" max="2285" width="7.54296875" style="321" customWidth="1"/>
    <col min="2286" max="2286" width="4.81640625" style="321" customWidth="1"/>
    <col min="2287" max="2287" width="11.81640625" style="321" customWidth="1"/>
    <col min="2288" max="2288" width="9.81640625" style="321" customWidth="1"/>
    <col min="2289" max="2289" width="3" style="321" customWidth="1"/>
    <col min="2290" max="2290" width="7.1796875" style="321" customWidth="1"/>
    <col min="2291" max="2291" width="22.81640625" style="321" customWidth="1"/>
    <col min="2292" max="2292" width="7.1796875" style="321" customWidth="1"/>
    <col min="2293" max="2293" width="9" style="321" hidden="1" customWidth="1"/>
    <col min="2294" max="2294" width="8.81640625" style="321" customWidth="1"/>
    <col min="2295" max="2295" width="9.81640625" style="321" customWidth="1"/>
    <col min="2296" max="2296" width="10.54296875" style="321" customWidth="1"/>
    <col min="2297" max="2297" width="12.1796875" style="321" customWidth="1"/>
    <col min="2298" max="2298" width="11.1796875" style="321" customWidth="1"/>
    <col min="2299" max="2299" width="6.81640625" style="321" customWidth="1"/>
    <col min="2300" max="2539" width="30.54296875" style="321" customWidth="1"/>
    <col min="2540" max="2540" width="6.54296875" style="321" customWidth="1"/>
    <col min="2541" max="2541" width="7.54296875" style="321" customWidth="1"/>
    <col min="2542" max="2542" width="4.81640625" style="321" customWidth="1"/>
    <col min="2543" max="2543" width="11.81640625" style="321" customWidth="1"/>
    <col min="2544" max="2544" width="9.81640625" style="321" customWidth="1"/>
    <col min="2545" max="2545" width="3" style="321" customWidth="1"/>
    <col min="2546" max="2546" width="7.1796875" style="321" customWidth="1"/>
    <col min="2547" max="2547" width="22.81640625" style="321" customWidth="1"/>
    <col min="2548" max="2548" width="7.1796875" style="321" customWidth="1"/>
    <col min="2549" max="2549" width="9" style="321" hidden="1" customWidth="1"/>
    <col min="2550" max="2550" width="8.81640625" style="321" customWidth="1"/>
    <col min="2551" max="2551" width="9.81640625" style="321" customWidth="1"/>
    <col min="2552" max="2552" width="10.54296875" style="321" customWidth="1"/>
    <col min="2553" max="2553" width="12.1796875" style="321" customWidth="1"/>
    <col min="2554" max="2554" width="11.1796875" style="321" customWidth="1"/>
    <col min="2555" max="2555" width="6.81640625" style="321" customWidth="1"/>
    <col min="2556" max="2795" width="30.54296875" style="321" customWidth="1"/>
    <col min="2796" max="2796" width="6.54296875" style="321" customWidth="1"/>
    <col min="2797" max="2797" width="7.54296875" style="321" customWidth="1"/>
    <col min="2798" max="2798" width="4.81640625" style="321" customWidth="1"/>
    <col min="2799" max="2799" width="11.81640625" style="321" customWidth="1"/>
    <col min="2800" max="2800" width="9.81640625" style="321" customWidth="1"/>
    <col min="2801" max="2801" width="3" style="321" customWidth="1"/>
    <col min="2802" max="2802" width="7.1796875" style="321" customWidth="1"/>
    <col min="2803" max="2803" width="22.81640625" style="321" customWidth="1"/>
    <col min="2804" max="2804" width="7.1796875" style="321" customWidth="1"/>
    <col min="2805" max="2805" width="9" style="321" hidden="1" customWidth="1"/>
    <col min="2806" max="2806" width="8.81640625" style="321" customWidth="1"/>
    <col min="2807" max="2807" width="9.81640625" style="321" customWidth="1"/>
    <col min="2808" max="2808" width="10.54296875" style="321" customWidth="1"/>
    <col min="2809" max="2809" width="12.1796875" style="321" customWidth="1"/>
    <col min="2810" max="2810" width="11.1796875" style="321" customWidth="1"/>
    <col min="2811" max="2811" width="6.81640625" style="321" customWidth="1"/>
    <col min="2812" max="3051" width="30.54296875" style="321" customWidth="1"/>
    <col min="3052" max="3052" width="6.54296875" style="321" customWidth="1"/>
    <col min="3053" max="3053" width="7.54296875" style="321" customWidth="1"/>
    <col min="3054" max="3054" width="4.81640625" style="321" customWidth="1"/>
    <col min="3055" max="3055" width="11.81640625" style="321" customWidth="1"/>
    <col min="3056" max="3056" width="9.81640625" style="321" customWidth="1"/>
    <col min="3057" max="3057" width="3" style="321" customWidth="1"/>
    <col min="3058" max="3058" width="7.1796875" style="321" customWidth="1"/>
    <col min="3059" max="3059" width="22.81640625" style="321" customWidth="1"/>
    <col min="3060" max="3060" width="7.1796875" style="321" customWidth="1"/>
    <col min="3061" max="3061" width="9" style="321" hidden="1" customWidth="1"/>
    <col min="3062" max="3062" width="8.81640625" style="321" customWidth="1"/>
    <col min="3063" max="3063" width="9.81640625" style="321" customWidth="1"/>
    <col min="3064" max="3064" width="10.54296875" style="321" customWidth="1"/>
    <col min="3065" max="3065" width="12.1796875" style="321" customWidth="1"/>
    <col min="3066" max="3066" width="11.1796875" style="321" customWidth="1"/>
    <col min="3067" max="3067" width="6.81640625" style="321" customWidth="1"/>
    <col min="3068" max="3307" width="30.54296875" style="321" customWidth="1"/>
    <col min="3308" max="3308" width="6.54296875" style="321" customWidth="1"/>
    <col min="3309" max="3309" width="7.54296875" style="321" customWidth="1"/>
    <col min="3310" max="3310" width="4.81640625" style="321" customWidth="1"/>
    <col min="3311" max="3311" width="11.81640625" style="321" customWidth="1"/>
    <col min="3312" max="3312" width="9.81640625" style="321" customWidth="1"/>
    <col min="3313" max="3313" width="3" style="321" customWidth="1"/>
    <col min="3314" max="3314" width="7.1796875" style="321" customWidth="1"/>
    <col min="3315" max="3315" width="22.81640625" style="321" customWidth="1"/>
    <col min="3316" max="3316" width="7.1796875" style="321" customWidth="1"/>
    <col min="3317" max="3317" width="9" style="321" hidden="1" customWidth="1"/>
    <col min="3318" max="3318" width="8.81640625" style="321" customWidth="1"/>
    <col min="3319" max="3319" width="9.81640625" style="321" customWidth="1"/>
    <col min="3320" max="3320" width="10.54296875" style="321" customWidth="1"/>
    <col min="3321" max="3321" width="12.1796875" style="321" customWidth="1"/>
    <col min="3322" max="3322" width="11.1796875" style="321" customWidth="1"/>
    <col min="3323" max="3323" width="6.81640625" style="321" customWidth="1"/>
    <col min="3324" max="3563" width="30.54296875" style="321" customWidth="1"/>
    <col min="3564" max="3564" width="6.54296875" style="321" customWidth="1"/>
    <col min="3565" max="3565" width="7.54296875" style="321" customWidth="1"/>
    <col min="3566" max="3566" width="4.81640625" style="321" customWidth="1"/>
    <col min="3567" max="3567" width="11.81640625" style="321" customWidth="1"/>
    <col min="3568" max="3568" width="9.81640625" style="321" customWidth="1"/>
    <col min="3569" max="3569" width="3" style="321" customWidth="1"/>
    <col min="3570" max="3570" width="7.1796875" style="321" customWidth="1"/>
    <col min="3571" max="3571" width="22.81640625" style="321" customWidth="1"/>
    <col min="3572" max="3572" width="7.1796875" style="321" customWidth="1"/>
    <col min="3573" max="3573" width="9" style="321" hidden="1" customWidth="1"/>
    <col min="3574" max="3574" width="8.81640625" style="321" customWidth="1"/>
    <col min="3575" max="3575" width="9.81640625" style="321" customWidth="1"/>
    <col min="3576" max="3576" width="10.54296875" style="321" customWidth="1"/>
    <col min="3577" max="3577" width="12.1796875" style="321" customWidth="1"/>
    <col min="3578" max="3578" width="11.1796875" style="321" customWidth="1"/>
    <col min="3579" max="3579" width="6.81640625" style="321" customWidth="1"/>
    <col min="3580" max="3819" width="30.54296875" style="321" customWidth="1"/>
    <col min="3820" max="3820" width="6.54296875" style="321" customWidth="1"/>
    <col min="3821" max="3821" width="7.54296875" style="321" customWidth="1"/>
    <col min="3822" max="3822" width="4.81640625" style="321" customWidth="1"/>
    <col min="3823" max="3823" width="11.81640625" style="321" customWidth="1"/>
    <col min="3824" max="3824" width="9.81640625" style="321" customWidth="1"/>
    <col min="3825" max="3825" width="3" style="321" customWidth="1"/>
    <col min="3826" max="3826" width="7.1796875" style="321" customWidth="1"/>
    <col min="3827" max="3827" width="22.81640625" style="321" customWidth="1"/>
    <col min="3828" max="3828" width="7.1796875" style="321" customWidth="1"/>
    <col min="3829" max="3829" width="9" style="321" hidden="1" customWidth="1"/>
    <col min="3830" max="3830" width="8.81640625" style="321" customWidth="1"/>
    <col min="3831" max="3831" width="9.81640625" style="321" customWidth="1"/>
    <col min="3832" max="3832" width="10.54296875" style="321" customWidth="1"/>
    <col min="3833" max="3833" width="12.1796875" style="321" customWidth="1"/>
    <col min="3834" max="3834" width="11.1796875" style="321" customWidth="1"/>
    <col min="3835" max="3835" width="6.81640625" style="321" customWidth="1"/>
    <col min="3836" max="4075" width="30.54296875" style="321" customWidth="1"/>
    <col min="4076" max="4076" width="6.54296875" style="321" customWidth="1"/>
    <col min="4077" max="4077" width="7.54296875" style="321" customWidth="1"/>
    <col min="4078" max="4078" width="4.81640625" style="321" customWidth="1"/>
    <col min="4079" max="4079" width="11.81640625" style="321" customWidth="1"/>
    <col min="4080" max="4080" width="9.81640625" style="321" customWidth="1"/>
    <col min="4081" max="4081" width="3" style="321" customWidth="1"/>
    <col min="4082" max="4082" width="7.1796875" style="321" customWidth="1"/>
    <col min="4083" max="4083" width="22.81640625" style="321" customWidth="1"/>
    <col min="4084" max="4084" width="7.1796875" style="321" customWidth="1"/>
    <col min="4085" max="4085" width="9" style="321" hidden="1" customWidth="1"/>
    <col min="4086" max="4086" width="8.81640625" style="321" customWidth="1"/>
    <col min="4087" max="4087" width="9.81640625" style="321" customWidth="1"/>
    <col min="4088" max="4088" width="10.54296875" style="321" customWidth="1"/>
    <col min="4089" max="4089" width="12.1796875" style="321" customWidth="1"/>
    <col min="4090" max="4090" width="11.1796875" style="321" customWidth="1"/>
    <col min="4091" max="4091" width="6.81640625" style="321" customWidth="1"/>
    <col min="4092" max="4331" width="30.54296875" style="321" customWidth="1"/>
    <col min="4332" max="4332" width="6.54296875" style="321" customWidth="1"/>
    <col min="4333" max="4333" width="7.54296875" style="321" customWidth="1"/>
    <col min="4334" max="4334" width="4.81640625" style="321" customWidth="1"/>
    <col min="4335" max="4335" width="11.81640625" style="321" customWidth="1"/>
    <col min="4336" max="4336" width="9.81640625" style="321" customWidth="1"/>
    <col min="4337" max="4337" width="3" style="321" customWidth="1"/>
    <col min="4338" max="4338" width="7.1796875" style="321" customWidth="1"/>
    <col min="4339" max="4339" width="22.81640625" style="321" customWidth="1"/>
    <col min="4340" max="4340" width="7.1796875" style="321" customWidth="1"/>
    <col min="4341" max="4341" width="9" style="321" hidden="1" customWidth="1"/>
    <col min="4342" max="4342" width="8.81640625" style="321" customWidth="1"/>
    <col min="4343" max="4343" width="9.81640625" style="321" customWidth="1"/>
    <col min="4344" max="4344" width="10.54296875" style="321" customWidth="1"/>
    <col min="4345" max="4345" width="12.1796875" style="321" customWidth="1"/>
    <col min="4346" max="4346" width="11.1796875" style="321" customWidth="1"/>
    <col min="4347" max="4347" width="6.81640625" style="321" customWidth="1"/>
    <col min="4348" max="4587" width="30.54296875" style="321" customWidth="1"/>
    <col min="4588" max="4588" width="6.54296875" style="321" customWidth="1"/>
    <col min="4589" max="4589" width="7.54296875" style="321" customWidth="1"/>
    <col min="4590" max="4590" width="4.81640625" style="321" customWidth="1"/>
    <col min="4591" max="4591" width="11.81640625" style="321" customWidth="1"/>
    <col min="4592" max="4592" width="9.81640625" style="321" customWidth="1"/>
    <col min="4593" max="4593" width="3" style="321" customWidth="1"/>
    <col min="4594" max="4594" width="7.1796875" style="321" customWidth="1"/>
    <col min="4595" max="4595" width="22.81640625" style="321" customWidth="1"/>
    <col min="4596" max="4596" width="7.1796875" style="321" customWidth="1"/>
    <col min="4597" max="4597" width="9" style="321" hidden="1" customWidth="1"/>
    <col min="4598" max="4598" width="8.81640625" style="321" customWidth="1"/>
    <col min="4599" max="4599" width="9.81640625" style="321" customWidth="1"/>
    <col min="4600" max="4600" width="10.54296875" style="321" customWidth="1"/>
    <col min="4601" max="4601" width="12.1796875" style="321" customWidth="1"/>
    <col min="4602" max="4602" width="11.1796875" style="321" customWidth="1"/>
    <col min="4603" max="4603" width="6.81640625" style="321" customWidth="1"/>
    <col min="4604" max="4843" width="30.54296875" style="321" customWidth="1"/>
    <col min="4844" max="4844" width="6.54296875" style="321" customWidth="1"/>
    <col min="4845" max="4845" width="7.54296875" style="321" customWidth="1"/>
    <col min="4846" max="4846" width="4.81640625" style="321" customWidth="1"/>
    <col min="4847" max="4847" width="11.81640625" style="321" customWidth="1"/>
    <col min="4848" max="4848" width="9.81640625" style="321" customWidth="1"/>
    <col min="4849" max="4849" width="3" style="321" customWidth="1"/>
    <col min="4850" max="4850" width="7.1796875" style="321" customWidth="1"/>
    <col min="4851" max="4851" width="22.81640625" style="321" customWidth="1"/>
    <col min="4852" max="4852" width="7.1796875" style="321" customWidth="1"/>
    <col min="4853" max="4853" width="9" style="321" hidden="1" customWidth="1"/>
    <col min="4854" max="4854" width="8.81640625" style="321" customWidth="1"/>
    <col min="4855" max="4855" width="9.81640625" style="321" customWidth="1"/>
    <col min="4856" max="4856" width="10.54296875" style="321" customWidth="1"/>
    <col min="4857" max="4857" width="12.1796875" style="321" customWidth="1"/>
    <col min="4858" max="4858" width="11.1796875" style="321" customWidth="1"/>
    <col min="4859" max="4859" width="6.81640625" style="321" customWidth="1"/>
    <col min="4860" max="5099" width="30.54296875" style="321" customWidth="1"/>
    <col min="5100" max="5100" width="6.54296875" style="321" customWidth="1"/>
    <col min="5101" max="5101" width="7.54296875" style="321" customWidth="1"/>
    <col min="5102" max="5102" width="4.81640625" style="321" customWidth="1"/>
    <col min="5103" max="5103" width="11.81640625" style="321" customWidth="1"/>
    <col min="5104" max="5104" width="9.81640625" style="321" customWidth="1"/>
    <col min="5105" max="5105" width="3" style="321" customWidth="1"/>
    <col min="5106" max="5106" width="7.1796875" style="321" customWidth="1"/>
    <col min="5107" max="5107" width="22.81640625" style="321" customWidth="1"/>
    <col min="5108" max="5108" width="7.1796875" style="321" customWidth="1"/>
    <col min="5109" max="5109" width="9" style="321" hidden="1" customWidth="1"/>
    <col min="5110" max="5110" width="8.81640625" style="321" customWidth="1"/>
    <col min="5111" max="5111" width="9.81640625" style="321" customWidth="1"/>
    <col min="5112" max="5112" width="10.54296875" style="321" customWidth="1"/>
    <col min="5113" max="5113" width="12.1796875" style="321" customWidth="1"/>
    <col min="5114" max="5114" width="11.1796875" style="321" customWidth="1"/>
    <col min="5115" max="5115" width="6.81640625" style="321" customWidth="1"/>
    <col min="5116" max="5355" width="30.54296875" style="321" customWidth="1"/>
    <col min="5356" max="5356" width="6.54296875" style="321" customWidth="1"/>
    <col min="5357" max="5357" width="7.54296875" style="321" customWidth="1"/>
    <col min="5358" max="5358" width="4.81640625" style="321" customWidth="1"/>
    <col min="5359" max="5359" width="11.81640625" style="321" customWidth="1"/>
    <col min="5360" max="5360" width="9.81640625" style="321" customWidth="1"/>
    <col min="5361" max="5361" width="3" style="321" customWidth="1"/>
    <col min="5362" max="5362" width="7.1796875" style="321" customWidth="1"/>
    <col min="5363" max="5363" width="22.81640625" style="321" customWidth="1"/>
    <col min="5364" max="5364" width="7.1796875" style="321" customWidth="1"/>
    <col min="5365" max="5365" width="9" style="321" hidden="1" customWidth="1"/>
    <col min="5366" max="5366" width="8.81640625" style="321" customWidth="1"/>
    <col min="5367" max="5367" width="9.81640625" style="321" customWidth="1"/>
    <col min="5368" max="5368" width="10.54296875" style="321" customWidth="1"/>
    <col min="5369" max="5369" width="12.1796875" style="321" customWidth="1"/>
    <col min="5370" max="5370" width="11.1796875" style="321" customWidth="1"/>
    <col min="5371" max="5371" width="6.81640625" style="321" customWidth="1"/>
    <col min="5372" max="5611" width="30.54296875" style="321" customWidth="1"/>
    <col min="5612" max="5612" width="6.54296875" style="321" customWidth="1"/>
    <col min="5613" max="5613" width="7.54296875" style="321" customWidth="1"/>
    <col min="5614" max="5614" width="4.81640625" style="321" customWidth="1"/>
    <col min="5615" max="5615" width="11.81640625" style="321" customWidth="1"/>
    <col min="5616" max="5616" width="9.81640625" style="321" customWidth="1"/>
    <col min="5617" max="5617" width="3" style="321" customWidth="1"/>
    <col min="5618" max="5618" width="7.1796875" style="321" customWidth="1"/>
    <col min="5619" max="5619" width="22.81640625" style="321" customWidth="1"/>
    <col min="5620" max="5620" width="7.1796875" style="321" customWidth="1"/>
    <col min="5621" max="5621" width="9" style="321" hidden="1" customWidth="1"/>
    <col min="5622" max="5622" width="8.81640625" style="321" customWidth="1"/>
    <col min="5623" max="5623" width="9.81640625" style="321" customWidth="1"/>
    <col min="5624" max="5624" width="10.54296875" style="321" customWidth="1"/>
    <col min="5625" max="5625" width="12.1796875" style="321" customWidth="1"/>
    <col min="5626" max="5626" width="11.1796875" style="321" customWidth="1"/>
    <col min="5627" max="5627" width="6.81640625" style="321" customWidth="1"/>
    <col min="5628" max="5867" width="30.54296875" style="321" customWidth="1"/>
    <col min="5868" max="5868" width="6.54296875" style="321" customWidth="1"/>
    <col min="5869" max="5869" width="7.54296875" style="321" customWidth="1"/>
    <col min="5870" max="5870" width="4.81640625" style="321" customWidth="1"/>
    <col min="5871" max="5871" width="11.81640625" style="321" customWidth="1"/>
    <col min="5872" max="5872" width="9.81640625" style="321" customWidth="1"/>
    <col min="5873" max="5873" width="3" style="321" customWidth="1"/>
    <col min="5874" max="5874" width="7.1796875" style="321" customWidth="1"/>
    <col min="5875" max="5875" width="22.81640625" style="321" customWidth="1"/>
    <col min="5876" max="5876" width="7.1796875" style="321" customWidth="1"/>
    <col min="5877" max="5877" width="9" style="321" hidden="1" customWidth="1"/>
    <col min="5878" max="5878" width="8.81640625" style="321" customWidth="1"/>
    <col min="5879" max="5879" width="9.81640625" style="321" customWidth="1"/>
    <col min="5880" max="5880" width="10.54296875" style="321" customWidth="1"/>
    <col min="5881" max="5881" width="12.1796875" style="321" customWidth="1"/>
    <col min="5882" max="5882" width="11.1796875" style="321" customWidth="1"/>
    <col min="5883" max="5883" width="6.81640625" style="321" customWidth="1"/>
    <col min="5884" max="6123" width="30.54296875" style="321" customWidth="1"/>
    <col min="6124" max="6124" width="6.54296875" style="321" customWidth="1"/>
    <col min="6125" max="6125" width="7.54296875" style="321" customWidth="1"/>
    <col min="6126" max="6126" width="4.81640625" style="321" customWidth="1"/>
    <col min="6127" max="6127" width="11.81640625" style="321" customWidth="1"/>
    <col min="6128" max="6128" width="9.81640625" style="321" customWidth="1"/>
    <col min="6129" max="6129" width="3" style="321" customWidth="1"/>
    <col min="6130" max="6130" width="7.1796875" style="321" customWidth="1"/>
    <col min="6131" max="6131" width="22.81640625" style="321" customWidth="1"/>
    <col min="6132" max="6132" width="7.1796875" style="321" customWidth="1"/>
    <col min="6133" max="6133" width="9" style="321" hidden="1" customWidth="1"/>
    <col min="6134" max="6134" width="8.81640625" style="321" customWidth="1"/>
    <col min="6135" max="6135" width="9.81640625" style="321" customWidth="1"/>
    <col min="6136" max="6136" width="10.54296875" style="321" customWidth="1"/>
    <col min="6137" max="6137" width="12.1796875" style="321" customWidth="1"/>
    <col min="6138" max="6138" width="11.1796875" style="321" customWidth="1"/>
    <col min="6139" max="6139" width="6.81640625" style="321" customWidth="1"/>
    <col min="6140" max="6379" width="30.54296875" style="321" customWidth="1"/>
    <col min="6380" max="6380" width="6.54296875" style="321" customWidth="1"/>
    <col min="6381" max="6381" width="7.54296875" style="321" customWidth="1"/>
    <col min="6382" max="6382" width="4.81640625" style="321" customWidth="1"/>
    <col min="6383" max="6383" width="11.81640625" style="321" customWidth="1"/>
    <col min="6384" max="6384" width="9.81640625" style="321" customWidth="1"/>
    <col min="6385" max="6385" width="3" style="321" customWidth="1"/>
    <col min="6386" max="6386" width="7.1796875" style="321" customWidth="1"/>
    <col min="6387" max="6387" width="22.81640625" style="321" customWidth="1"/>
    <col min="6388" max="6388" width="7.1796875" style="321" customWidth="1"/>
    <col min="6389" max="6389" width="9" style="321" hidden="1" customWidth="1"/>
    <col min="6390" max="6390" width="8.81640625" style="321" customWidth="1"/>
    <col min="6391" max="6391" width="9.81640625" style="321" customWidth="1"/>
    <col min="6392" max="6392" width="10.54296875" style="321" customWidth="1"/>
    <col min="6393" max="6393" width="12.1796875" style="321" customWidth="1"/>
    <col min="6394" max="6394" width="11.1796875" style="321" customWidth="1"/>
    <col min="6395" max="6395" width="6.81640625" style="321" customWidth="1"/>
    <col min="6396" max="6635" width="30.54296875" style="321" customWidth="1"/>
    <col min="6636" max="6636" width="6.54296875" style="321" customWidth="1"/>
    <col min="6637" max="6637" width="7.54296875" style="321" customWidth="1"/>
    <col min="6638" max="6638" width="4.81640625" style="321" customWidth="1"/>
    <col min="6639" max="6639" width="11.81640625" style="321" customWidth="1"/>
    <col min="6640" max="6640" width="9.81640625" style="321" customWidth="1"/>
    <col min="6641" max="6641" width="3" style="321" customWidth="1"/>
    <col min="6642" max="6642" width="7.1796875" style="321" customWidth="1"/>
    <col min="6643" max="6643" width="22.81640625" style="321" customWidth="1"/>
    <col min="6644" max="6644" width="7.1796875" style="321" customWidth="1"/>
    <col min="6645" max="6645" width="9" style="321" hidden="1" customWidth="1"/>
    <col min="6646" max="6646" width="8.81640625" style="321" customWidth="1"/>
    <col min="6647" max="6647" width="9.81640625" style="321" customWidth="1"/>
    <col min="6648" max="6648" width="10.54296875" style="321" customWidth="1"/>
    <col min="6649" max="6649" width="12.1796875" style="321" customWidth="1"/>
    <col min="6650" max="6650" width="11.1796875" style="321" customWidth="1"/>
    <col min="6651" max="6651" width="6.81640625" style="321" customWidth="1"/>
    <col min="6652" max="6891" width="30.54296875" style="321" customWidth="1"/>
    <col min="6892" max="6892" width="6.54296875" style="321" customWidth="1"/>
    <col min="6893" max="6893" width="7.54296875" style="321" customWidth="1"/>
    <col min="6894" max="6894" width="4.81640625" style="321" customWidth="1"/>
    <col min="6895" max="6895" width="11.81640625" style="321" customWidth="1"/>
    <col min="6896" max="6896" width="9.81640625" style="321" customWidth="1"/>
    <col min="6897" max="6897" width="3" style="321" customWidth="1"/>
    <col min="6898" max="6898" width="7.1796875" style="321" customWidth="1"/>
    <col min="6899" max="6899" width="22.81640625" style="321" customWidth="1"/>
    <col min="6900" max="6900" width="7.1796875" style="321" customWidth="1"/>
    <col min="6901" max="6901" width="9" style="321" hidden="1" customWidth="1"/>
    <col min="6902" max="6902" width="8.81640625" style="321" customWidth="1"/>
    <col min="6903" max="6903" width="9.81640625" style="321" customWidth="1"/>
    <col min="6904" max="6904" width="10.54296875" style="321" customWidth="1"/>
    <col min="6905" max="6905" width="12.1796875" style="321" customWidth="1"/>
    <col min="6906" max="6906" width="11.1796875" style="321" customWidth="1"/>
    <col min="6907" max="6907" width="6.81640625" style="321" customWidth="1"/>
    <col min="6908" max="7147" width="30.54296875" style="321" customWidth="1"/>
    <col min="7148" max="7148" width="6.54296875" style="321" customWidth="1"/>
    <col min="7149" max="7149" width="7.54296875" style="321" customWidth="1"/>
    <col min="7150" max="7150" width="4.81640625" style="321" customWidth="1"/>
    <col min="7151" max="7151" width="11.81640625" style="321" customWidth="1"/>
    <col min="7152" max="7152" width="9.81640625" style="321" customWidth="1"/>
    <col min="7153" max="7153" width="3" style="321" customWidth="1"/>
    <col min="7154" max="7154" width="7.1796875" style="321" customWidth="1"/>
    <col min="7155" max="7155" width="22.81640625" style="321" customWidth="1"/>
    <col min="7156" max="7156" width="7.1796875" style="321" customWidth="1"/>
    <col min="7157" max="7157" width="9" style="321" hidden="1" customWidth="1"/>
    <col min="7158" max="7158" width="8.81640625" style="321" customWidth="1"/>
    <col min="7159" max="7159" width="9.81640625" style="321" customWidth="1"/>
    <col min="7160" max="7160" width="10.54296875" style="321" customWidth="1"/>
    <col min="7161" max="7161" width="12.1796875" style="321" customWidth="1"/>
    <col min="7162" max="7162" width="11.1796875" style="321" customWidth="1"/>
    <col min="7163" max="7163" width="6.81640625" style="321" customWidth="1"/>
    <col min="7164" max="7403" width="30.54296875" style="321" customWidth="1"/>
    <col min="7404" max="7404" width="6.54296875" style="321" customWidth="1"/>
    <col min="7405" max="7405" width="7.54296875" style="321" customWidth="1"/>
    <col min="7406" max="7406" width="4.81640625" style="321" customWidth="1"/>
    <col min="7407" max="7407" width="11.81640625" style="321" customWidth="1"/>
    <col min="7408" max="7408" width="9.81640625" style="321" customWidth="1"/>
    <col min="7409" max="7409" width="3" style="321" customWidth="1"/>
    <col min="7410" max="7410" width="7.1796875" style="321" customWidth="1"/>
    <col min="7411" max="7411" width="22.81640625" style="321" customWidth="1"/>
    <col min="7412" max="7412" width="7.1796875" style="321" customWidth="1"/>
    <col min="7413" max="7413" width="9" style="321" hidden="1" customWidth="1"/>
    <col min="7414" max="7414" width="8.81640625" style="321" customWidth="1"/>
    <col min="7415" max="7415" width="9.81640625" style="321" customWidth="1"/>
    <col min="7416" max="7416" width="10.54296875" style="321" customWidth="1"/>
    <col min="7417" max="7417" width="12.1796875" style="321" customWidth="1"/>
    <col min="7418" max="7418" width="11.1796875" style="321" customWidth="1"/>
    <col min="7419" max="7419" width="6.81640625" style="321" customWidth="1"/>
    <col min="7420" max="7659" width="30.54296875" style="321" customWidth="1"/>
    <col min="7660" max="7660" width="6.54296875" style="321" customWidth="1"/>
    <col min="7661" max="7661" width="7.54296875" style="321" customWidth="1"/>
    <col min="7662" max="7662" width="4.81640625" style="321" customWidth="1"/>
    <col min="7663" max="7663" width="11.81640625" style="321" customWidth="1"/>
    <col min="7664" max="7664" width="9.81640625" style="321" customWidth="1"/>
    <col min="7665" max="7665" width="3" style="321" customWidth="1"/>
    <col min="7666" max="7666" width="7.1796875" style="321" customWidth="1"/>
    <col min="7667" max="7667" width="22.81640625" style="321" customWidth="1"/>
    <col min="7668" max="7668" width="7.1796875" style="321" customWidth="1"/>
    <col min="7669" max="7669" width="9" style="321" hidden="1" customWidth="1"/>
    <col min="7670" max="7670" width="8.81640625" style="321" customWidth="1"/>
    <col min="7671" max="7671" width="9.81640625" style="321" customWidth="1"/>
    <col min="7672" max="7672" width="10.54296875" style="321" customWidth="1"/>
    <col min="7673" max="7673" width="12.1796875" style="321" customWidth="1"/>
    <col min="7674" max="7674" width="11.1796875" style="321" customWidth="1"/>
    <col min="7675" max="7675" width="6.81640625" style="321" customWidth="1"/>
    <col min="7676" max="7915" width="30.54296875" style="321" customWidth="1"/>
    <col min="7916" max="7916" width="6.54296875" style="321" customWidth="1"/>
    <col min="7917" max="7917" width="7.54296875" style="321" customWidth="1"/>
    <col min="7918" max="7918" width="4.81640625" style="321" customWidth="1"/>
    <col min="7919" max="7919" width="11.81640625" style="321" customWidth="1"/>
    <col min="7920" max="7920" width="9.81640625" style="321" customWidth="1"/>
    <col min="7921" max="7921" width="3" style="321" customWidth="1"/>
    <col min="7922" max="7922" width="7.1796875" style="321" customWidth="1"/>
    <col min="7923" max="7923" width="22.81640625" style="321" customWidth="1"/>
    <col min="7924" max="7924" width="7.1796875" style="321" customWidth="1"/>
    <col min="7925" max="7925" width="9" style="321" hidden="1" customWidth="1"/>
    <col min="7926" max="7926" width="8.81640625" style="321" customWidth="1"/>
    <col min="7927" max="7927" width="9.81640625" style="321" customWidth="1"/>
    <col min="7928" max="7928" width="10.54296875" style="321" customWidth="1"/>
    <col min="7929" max="7929" width="12.1796875" style="321" customWidth="1"/>
    <col min="7930" max="7930" width="11.1796875" style="321" customWidth="1"/>
    <col min="7931" max="7931" width="6.81640625" style="321" customWidth="1"/>
    <col min="7932" max="8171" width="30.54296875" style="321" customWidth="1"/>
    <col min="8172" max="8172" width="6.54296875" style="321" customWidth="1"/>
    <col min="8173" max="8173" width="7.54296875" style="321" customWidth="1"/>
    <col min="8174" max="8174" width="4.81640625" style="321" customWidth="1"/>
    <col min="8175" max="8175" width="11.81640625" style="321" customWidth="1"/>
    <col min="8176" max="8176" width="9.81640625" style="321" customWidth="1"/>
    <col min="8177" max="8177" width="3" style="321" customWidth="1"/>
    <col min="8178" max="8178" width="7.1796875" style="321" customWidth="1"/>
    <col min="8179" max="8179" width="22.81640625" style="321" customWidth="1"/>
    <col min="8180" max="8180" width="7.1796875" style="321" customWidth="1"/>
    <col min="8181" max="8181" width="9" style="321" hidden="1" customWidth="1"/>
    <col min="8182" max="8182" width="8.81640625" style="321" customWidth="1"/>
    <col min="8183" max="8183" width="9.81640625" style="321" customWidth="1"/>
    <col min="8184" max="8184" width="10.54296875" style="321" customWidth="1"/>
    <col min="8185" max="8185" width="12.1796875" style="321" customWidth="1"/>
    <col min="8186" max="8186" width="11.1796875" style="321" customWidth="1"/>
    <col min="8187" max="8187" width="6.81640625" style="321" customWidth="1"/>
    <col min="8188" max="8427" width="30.54296875" style="321" customWidth="1"/>
    <col min="8428" max="8428" width="6.54296875" style="321" customWidth="1"/>
    <col min="8429" max="8429" width="7.54296875" style="321" customWidth="1"/>
    <col min="8430" max="8430" width="4.81640625" style="321" customWidth="1"/>
    <col min="8431" max="8431" width="11.81640625" style="321" customWidth="1"/>
    <col min="8432" max="8432" width="9.81640625" style="321" customWidth="1"/>
    <col min="8433" max="8433" width="3" style="321" customWidth="1"/>
    <col min="8434" max="8434" width="7.1796875" style="321" customWidth="1"/>
    <col min="8435" max="8435" width="22.81640625" style="321" customWidth="1"/>
    <col min="8436" max="8436" width="7.1796875" style="321" customWidth="1"/>
    <col min="8437" max="8437" width="9" style="321" hidden="1" customWidth="1"/>
    <col min="8438" max="8438" width="8.81640625" style="321" customWidth="1"/>
    <col min="8439" max="8439" width="9.81640625" style="321" customWidth="1"/>
    <col min="8440" max="8440" width="10.54296875" style="321" customWidth="1"/>
    <col min="8441" max="8441" width="12.1796875" style="321" customWidth="1"/>
    <col min="8442" max="8442" width="11.1796875" style="321" customWidth="1"/>
    <col min="8443" max="8443" width="6.81640625" style="321" customWidth="1"/>
    <col min="8444" max="8683" width="30.54296875" style="321" customWidth="1"/>
    <col min="8684" max="8684" width="6.54296875" style="321" customWidth="1"/>
    <col min="8685" max="8685" width="7.54296875" style="321" customWidth="1"/>
    <col min="8686" max="8686" width="4.81640625" style="321" customWidth="1"/>
    <col min="8687" max="8687" width="11.81640625" style="321" customWidth="1"/>
    <col min="8688" max="8688" width="9.81640625" style="321" customWidth="1"/>
    <col min="8689" max="8689" width="3" style="321" customWidth="1"/>
    <col min="8690" max="8690" width="7.1796875" style="321" customWidth="1"/>
    <col min="8691" max="8691" width="22.81640625" style="321" customWidth="1"/>
    <col min="8692" max="8692" width="7.1796875" style="321" customWidth="1"/>
    <col min="8693" max="8693" width="9" style="321" hidden="1" customWidth="1"/>
    <col min="8694" max="8694" width="8.81640625" style="321" customWidth="1"/>
    <col min="8695" max="8695" width="9.81640625" style="321" customWidth="1"/>
    <col min="8696" max="8696" width="10.54296875" style="321" customWidth="1"/>
    <col min="8697" max="8697" width="12.1796875" style="321" customWidth="1"/>
    <col min="8698" max="8698" width="11.1796875" style="321" customWidth="1"/>
    <col min="8699" max="8699" width="6.81640625" style="321" customWidth="1"/>
    <col min="8700" max="8939" width="30.54296875" style="321" customWidth="1"/>
    <col min="8940" max="8940" width="6.54296875" style="321" customWidth="1"/>
    <col min="8941" max="8941" width="7.54296875" style="321" customWidth="1"/>
    <col min="8942" max="8942" width="4.81640625" style="321" customWidth="1"/>
    <col min="8943" max="8943" width="11.81640625" style="321" customWidth="1"/>
    <col min="8944" max="8944" width="9.81640625" style="321" customWidth="1"/>
    <col min="8945" max="8945" width="3" style="321" customWidth="1"/>
    <col min="8946" max="8946" width="7.1796875" style="321" customWidth="1"/>
    <col min="8947" max="8947" width="22.81640625" style="321" customWidth="1"/>
    <col min="8948" max="8948" width="7.1796875" style="321" customWidth="1"/>
    <col min="8949" max="8949" width="9" style="321" hidden="1" customWidth="1"/>
    <col min="8950" max="8950" width="8.81640625" style="321" customWidth="1"/>
    <col min="8951" max="8951" width="9.81640625" style="321" customWidth="1"/>
    <col min="8952" max="8952" width="10.54296875" style="321" customWidth="1"/>
    <col min="8953" max="8953" width="12.1796875" style="321" customWidth="1"/>
    <col min="8954" max="8954" width="11.1796875" style="321" customWidth="1"/>
    <col min="8955" max="8955" width="6.81640625" style="321" customWidth="1"/>
    <col min="8956" max="9195" width="30.54296875" style="321" customWidth="1"/>
    <col min="9196" max="9196" width="6.54296875" style="321" customWidth="1"/>
    <col min="9197" max="9197" width="7.54296875" style="321" customWidth="1"/>
    <col min="9198" max="9198" width="4.81640625" style="321" customWidth="1"/>
    <col min="9199" max="9199" width="11.81640625" style="321" customWidth="1"/>
    <col min="9200" max="9200" width="9.81640625" style="321" customWidth="1"/>
    <col min="9201" max="9201" width="3" style="321" customWidth="1"/>
    <col min="9202" max="9202" width="7.1796875" style="321" customWidth="1"/>
    <col min="9203" max="9203" width="22.81640625" style="321" customWidth="1"/>
    <col min="9204" max="9204" width="7.1796875" style="321" customWidth="1"/>
    <col min="9205" max="9205" width="9" style="321" hidden="1" customWidth="1"/>
    <col min="9206" max="9206" width="8.81640625" style="321" customWidth="1"/>
    <col min="9207" max="9207" width="9.81640625" style="321" customWidth="1"/>
    <col min="9208" max="9208" width="10.54296875" style="321" customWidth="1"/>
    <col min="9209" max="9209" width="12.1796875" style="321" customWidth="1"/>
    <col min="9210" max="9210" width="11.1796875" style="321" customWidth="1"/>
    <col min="9211" max="9211" width="6.81640625" style="321" customWidth="1"/>
    <col min="9212" max="9451" width="30.54296875" style="321" customWidth="1"/>
    <col min="9452" max="9452" width="6.54296875" style="321" customWidth="1"/>
    <col min="9453" max="9453" width="7.54296875" style="321" customWidth="1"/>
    <col min="9454" max="9454" width="4.81640625" style="321" customWidth="1"/>
    <col min="9455" max="9455" width="11.81640625" style="321" customWidth="1"/>
    <col min="9456" max="9456" width="9.81640625" style="321" customWidth="1"/>
    <col min="9457" max="9457" width="3" style="321" customWidth="1"/>
    <col min="9458" max="9458" width="7.1796875" style="321" customWidth="1"/>
    <col min="9459" max="9459" width="22.81640625" style="321" customWidth="1"/>
    <col min="9460" max="9460" width="7.1796875" style="321" customWidth="1"/>
    <col min="9461" max="9461" width="9" style="321" hidden="1" customWidth="1"/>
    <col min="9462" max="9462" width="8.81640625" style="321" customWidth="1"/>
    <col min="9463" max="9463" width="9.81640625" style="321" customWidth="1"/>
    <col min="9464" max="9464" width="10.54296875" style="321" customWidth="1"/>
    <col min="9465" max="9465" width="12.1796875" style="321" customWidth="1"/>
    <col min="9466" max="9466" width="11.1796875" style="321" customWidth="1"/>
    <col min="9467" max="9467" width="6.81640625" style="321" customWidth="1"/>
    <col min="9468" max="9707" width="30.54296875" style="321" customWidth="1"/>
    <col min="9708" max="9708" width="6.54296875" style="321" customWidth="1"/>
    <col min="9709" max="9709" width="7.54296875" style="321" customWidth="1"/>
    <col min="9710" max="9710" width="4.81640625" style="321" customWidth="1"/>
    <col min="9711" max="9711" width="11.81640625" style="321" customWidth="1"/>
    <col min="9712" max="9712" width="9.81640625" style="321" customWidth="1"/>
    <col min="9713" max="9713" width="3" style="321" customWidth="1"/>
    <col min="9714" max="9714" width="7.1796875" style="321" customWidth="1"/>
    <col min="9715" max="9715" width="22.81640625" style="321" customWidth="1"/>
    <col min="9716" max="9716" width="7.1796875" style="321" customWidth="1"/>
    <col min="9717" max="9717" width="9" style="321" hidden="1" customWidth="1"/>
    <col min="9718" max="9718" width="8.81640625" style="321" customWidth="1"/>
    <col min="9719" max="9719" width="9.81640625" style="321" customWidth="1"/>
    <col min="9720" max="9720" width="10.54296875" style="321" customWidth="1"/>
    <col min="9721" max="9721" width="12.1796875" style="321" customWidth="1"/>
    <col min="9722" max="9722" width="11.1796875" style="321" customWidth="1"/>
    <col min="9723" max="9723" width="6.81640625" style="321" customWidth="1"/>
    <col min="9724" max="9963" width="30.54296875" style="321" customWidth="1"/>
    <col min="9964" max="9964" width="6.54296875" style="321" customWidth="1"/>
    <col min="9965" max="9965" width="7.54296875" style="321" customWidth="1"/>
    <col min="9966" max="9966" width="4.81640625" style="321" customWidth="1"/>
    <col min="9967" max="9967" width="11.81640625" style="321" customWidth="1"/>
    <col min="9968" max="9968" width="9.81640625" style="321" customWidth="1"/>
    <col min="9969" max="9969" width="3" style="321" customWidth="1"/>
    <col min="9970" max="9970" width="7.1796875" style="321" customWidth="1"/>
    <col min="9971" max="9971" width="22.81640625" style="321" customWidth="1"/>
    <col min="9972" max="9972" width="7.1796875" style="321" customWidth="1"/>
    <col min="9973" max="9973" width="9" style="321" hidden="1" customWidth="1"/>
    <col min="9974" max="9974" width="8.81640625" style="321" customWidth="1"/>
    <col min="9975" max="9975" width="9.81640625" style="321" customWidth="1"/>
    <col min="9976" max="9976" width="10.54296875" style="321" customWidth="1"/>
    <col min="9977" max="9977" width="12.1796875" style="321" customWidth="1"/>
    <col min="9978" max="9978" width="11.1796875" style="321" customWidth="1"/>
    <col min="9979" max="9979" width="6.81640625" style="321" customWidth="1"/>
    <col min="9980" max="10219" width="30.54296875" style="321" customWidth="1"/>
    <col min="10220" max="10220" width="6.54296875" style="321" customWidth="1"/>
    <col min="10221" max="10221" width="7.54296875" style="321" customWidth="1"/>
    <col min="10222" max="10222" width="4.81640625" style="321" customWidth="1"/>
    <col min="10223" max="10223" width="11.81640625" style="321" customWidth="1"/>
    <col min="10224" max="10224" width="9.81640625" style="321" customWidth="1"/>
    <col min="10225" max="10225" width="3" style="321" customWidth="1"/>
    <col min="10226" max="10226" width="7.1796875" style="321" customWidth="1"/>
    <col min="10227" max="10227" width="22.81640625" style="321" customWidth="1"/>
    <col min="10228" max="10228" width="7.1796875" style="321" customWidth="1"/>
    <col min="10229" max="10229" width="9" style="321" hidden="1" customWidth="1"/>
    <col min="10230" max="10230" width="8.81640625" style="321" customWidth="1"/>
    <col min="10231" max="10231" width="9.81640625" style="321" customWidth="1"/>
    <col min="10232" max="10232" width="10.54296875" style="321" customWidth="1"/>
    <col min="10233" max="10233" width="12.1796875" style="321" customWidth="1"/>
    <col min="10234" max="10234" width="11.1796875" style="321" customWidth="1"/>
    <col min="10235" max="10235" width="6.81640625" style="321" customWidth="1"/>
    <col min="10236" max="10475" width="30.54296875" style="321" customWidth="1"/>
    <col min="10476" max="10476" width="6.54296875" style="321" customWidth="1"/>
    <col min="10477" max="10477" width="7.54296875" style="321" customWidth="1"/>
    <col min="10478" max="10478" width="4.81640625" style="321" customWidth="1"/>
    <col min="10479" max="10479" width="11.81640625" style="321" customWidth="1"/>
    <col min="10480" max="10480" width="9.81640625" style="321" customWidth="1"/>
    <col min="10481" max="10481" width="3" style="321" customWidth="1"/>
    <col min="10482" max="10482" width="7.1796875" style="321" customWidth="1"/>
    <col min="10483" max="10483" width="22.81640625" style="321" customWidth="1"/>
    <col min="10484" max="10484" width="7.1796875" style="321" customWidth="1"/>
    <col min="10485" max="10485" width="9" style="321" hidden="1" customWidth="1"/>
    <col min="10486" max="10486" width="8.81640625" style="321" customWidth="1"/>
    <col min="10487" max="10487" width="9.81640625" style="321" customWidth="1"/>
    <col min="10488" max="10488" width="10.54296875" style="321" customWidth="1"/>
    <col min="10489" max="10489" width="12.1796875" style="321" customWidth="1"/>
    <col min="10490" max="10490" width="11.1796875" style="321" customWidth="1"/>
    <col min="10491" max="10491" width="6.81640625" style="321" customWidth="1"/>
    <col min="10492" max="10731" width="30.54296875" style="321" customWidth="1"/>
    <col min="10732" max="10732" width="6.54296875" style="321" customWidth="1"/>
    <col min="10733" max="10733" width="7.54296875" style="321" customWidth="1"/>
    <col min="10734" max="10734" width="4.81640625" style="321" customWidth="1"/>
    <col min="10735" max="10735" width="11.81640625" style="321" customWidth="1"/>
    <col min="10736" max="10736" width="9.81640625" style="321" customWidth="1"/>
    <col min="10737" max="10737" width="3" style="321" customWidth="1"/>
    <col min="10738" max="10738" width="7.1796875" style="321" customWidth="1"/>
    <col min="10739" max="10739" width="22.81640625" style="321" customWidth="1"/>
    <col min="10740" max="10740" width="7.1796875" style="321" customWidth="1"/>
    <col min="10741" max="10741" width="9" style="321" hidden="1" customWidth="1"/>
    <col min="10742" max="10742" width="8.81640625" style="321" customWidth="1"/>
    <col min="10743" max="10743" width="9.81640625" style="321" customWidth="1"/>
    <col min="10744" max="10744" width="10.54296875" style="321" customWidth="1"/>
    <col min="10745" max="10745" width="12.1796875" style="321" customWidth="1"/>
    <col min="10746" max="10746" width="11.1796875" style="321" customWidth="1"/>
    <col min="10747" max="10747" width="6.81640625" style="321" customWidth="1"/>
    <col min="10748" max="10987" width="30.54296875" style="321" customWidth="1"/>
    <col min="10988" max="10988" width="6.54296875" style="321" customWidth="1"/>
    <col min="10989" max="10989" width="7.54296875" style="321" customWidth="1"/>
    <col min="10990" max="10990" width="4.81640625" style="321" customWidth="1"/>
    <col min="10991" max="10991" width="11.81640625" style="321" customWidth="1"/>
    <col min="10992" max="10992" width="9.81640625" style="321" customWidth="1"/>
    <col min="10993" max="10993" width="3" style="321" customWidth="1"/>
    <col min="10994" max="10994" width="7.1796875" style="321" customWidth="1"/>
    <col min="10995" max="10995" width="22.81640625" style="321" customWidth="1"/>
    <col min="10996" max="10996" width="7.1796875" style="321" customWidth="1"/>
    <col min="10997" max="10997" width="9" style="321" hidden="1" customWidth="1"/>
    <col min="10998" max="10998" width="8.81640625" style="321" customWidth="1"/>
    <col min="10999" max="10999" width="9.81640625" style="321" customWidth="1"/>
    <col min="11000" max="11000" width="10.54296875" style="321" customWidth="1"/>
    <col min="11001" max="11001" width="12.1796875" style="321" customWidth="1"/>
    <col min="11002" max="11002" width="11.1796875" style="321" customWidth="1"/>
    <col min="11003" max="11003" width="6.81640625" style="321" customWidth="1"/>
    <col min="11004" max="11243" width="30.54296875" style="321" customWidth="1"/>
    <col min="11244" max="11244" width="6.54296875" style="321" customWidth="1"/>
    <col min="11245" max="11245" width="7.54296875" style="321" customWidth="1"/>
    <col min="11246" max="11246" width="4.81640625" style="321" customWidth="1"/>
    <col min="11247" max="11247" width="11.81640625" style="321" customWidth="1"/>
    <col min="11248" max="11248" width="9.81640625" style="321" customWidth="1"/>
    <col min="11249" max="11249" width="3" style="321" customWidth="1"/>
    <col min="11250" max="11250" width="7.1796875" style="321" customWidth="1"/>
    <col min="11251" max="11251" width="22.81640625" style="321" customWidth="1"/>
    <col min="11252" max="11252" width="7.1796875" style="321" customWidth="1"/>
    <col min="11253" max="11253" width="9" style="321" hidden="1" customWidth="1"/>
    <col min="11254" max="11254" width="8.81640625" style="321" customWidth="1"/>
    <col min="11255" max="11255" width="9.81640625" style="321" customWidth="1"/>
    <col min="11256" max="11256" width="10.54296875" style="321" customWidth="1"/>
    <col min="11257" max="11257" width="12.1796875" style="321" customWidth="1"/>
    <col min="11258" max="11258" width="11.1796875" style="321" customWidth="1"/>
    <col min="11259" max="11259" width="6.81640625" style="321" customWidth="1"/>
    <col min="11260" max="11499" width="30.54296875" style="321" customWidth="1"/>
    <col min="11500" max="11500" width="6.54296875" style="321" customWidth="1"/>
    <col min="11501" max="11501" width="7.54296875" style="321" customWidth="1"/>
    <col min="11502" max="11502" width="4.81640625" style="321" customWidth="1"/>
    <col min="11503" max="11503" width="11.81640625" style="321" customWidth="1"/>
    <col min="11504" max="11504" width="9.81640625" style="321" customWidth="1"/>
    <col min="11505" max="11505" width="3" style="321" customWidth="1"/>
    <col min="11506" max="11506" width="7.1796875" style="321" customWidth="1"/>
    <col min="11507" max="11507" width="22.81640625" style="321" customWidth="1"/>
    <col min="11508" max="11508" width="7.1796875" style="321" customWidth="1"/>
    <col min="11509" max="11509" width="9" style="321" hidden="1" customWidth="1"/>
    <col min="11510" max="11510" width="8.81640625" style="321" customWidth="1"/>
    <col min="11511" max="11511" width="9.81640625" style="321" customWidth="1"/>
    <col min="11512" max="11512" width="10.54296875" style="321" customWidth="1"/>
    <col min="11513" max="11513" width="12.1796875" style="321" customWidth="1"/>
    <col min="11514" max="11514" width="11.1796875" style="321" customWidth="1"/>
    <col min="11515" max="11515" width="6.81640625" style="321" customWidth="1"/>
    <col min="11516" max="11755" width="30.54296875" style="321" customWidth="1"/>
    <col min="11756" max="11756" width="6.54296875" style="321" customWidth="1"/>
    <col min="11757" max="11757" width="7.54296875" style="321" customWidth="1"/>
    <col min="11758" max="11758" width="4.81640625" style="321" customWidth="1"/>
    <col min="11759" max="11759" width="11.81640625" style="321" customWidth="1"/>
    <col min="11760" max="11760" width="9.81640625" style="321" customWidth="1"/>
    <col min="11761" max="11761" width="3" style="321" customWidth="1"/>
    <col min="11762" max="11762" width="7.1796875" style="321" customWidth="1"/>
    <col min="11763" max="11763" width="22.81640625" style="321" customWidth="1"/>
    <col min="11764" max="11764" width="7.1796875" style="321" customWidth="1"/>
    <col min="11765" max="11765" width="9" style="321" hidden="1" customWidth="1"/>
    <col min="11766" max="11766" width="8.81640625" style="321" customWidth="1"/>
    <col min="11767" max="11767" width="9.81640625" style="321" customWidth="1"/>
    <col min="11768" max="11768" width="10.54296875" style="321" customWidth="1"/>
    <col min="11769" max="11769" width="12.1796875" style="321" customWidth="1"/>
    <col min="11770" max="11770" width="11.1796875" style="321" customWidth="1"/>
    <col min="11771" max="11771" width="6.81640625" style="321" customWidth="1"/>
    <col min="11772" max="12011" width="30.54296875" style="321" customWidth="1"/>
    <col min="12012" max="12012" width="6.54296875" style="321" customWidth="1"/>
    <col min="12013" max="12013" width="7.54296875" style="321" customWidth="1"/>
    <col min="12014" max="12014" width="4.81640625" style="321" customWidth="1"/>
    <col min="12015" max="12015" width="11.81640625" style="321" customWidth="1"/>
    <col min="12016" max="12016" width="9.81640625" style="321" customWidth="1"/>
    <col min="12017" max="12017" width="3" style="321" customWidth="1"/>
    <col min="12018" max="12018" width="7.1796875" style="321" customWidth="1"/>
    <col min="12019" max="12019" width="22.81640625" style="321" customWidth="1"/>
    <col min="12020" max="12020" width="7.1796875" style="321" customWidth="1"/>
    <col min="12021" max="12021" width="9" style="321" hidden="1" customWidth="1"/>
    <col min="12022" max="12022" width="8.81640625" style="321" customWidth="1"/>
    <col min="12023" max="12023" width="9.81640625" style="321" customWidth="1"/>
    <col min="12024" max="12024" width="10.54296875" style="321" customWidth="1"/>
    <col min="12025" max="12025" width="12.1796875" style="321" customWidth="1"/>
    <col min="12026" max="12026" width="11.1796875" style="321" customWidth="1"/>
    <col min="12027" max="12027" width="6.81640625" style="321" customWidth="1"/>
    <col min="12028" max="12267" width="30.54296875" style="321" customWidth="1"/>
    <col min="12268" max="12268" width="6.54296875" style="321" customWidth="1"/>
    <col min="12269" max="12269" width="7.54296875" style="321" customWidth="1"/>
    <col min="12270" max="12270" width="4.81640625" style="321" customWidth="1"/>
    <col min="12271" max="12271" width="11.81640625" style="321" customWidth="1"/>
    <col min="12272" max="12272" width="9.81640625" style="321" customWidth="1"/>
    <col min="12273" max="12273" width="3" style="321" customWidth="1"/>
    <col min="12274" max="12274" width="7.1796875" style="321" customWidth="1"/>
    <col min="12275" max="12275" width="22.81640625" style="321" customWidth="1"/>
    <col min="12276" max="12276" width="7.1796875" style="321" customWidth="1"/>
    <col min="12277" max="12277" width="9" style="321" hidden="1" customWidth="1"/>
    <col min="12278" max="12278" width="8.81640625" style="321" customWidth="1"/>
    <col min="12279" max="12279" width="9.81640625" style="321" customWidth="1"/>
    <col min="12280" max="12280" width="10.54296875" style="321" customWidth="1"/>
    <col min="12281" max="12281" width="12.1796875" style="321" customWidth="1"/>
    <col min="12282" max="12282" width="11.1796875" style="321" customWidth="1"/>
    <col min="12283" max="12283" width="6.81640625" style="321" customWidth="1"/>
    <col min="12284" max="12523" width="30.54296875" style="321" customWidth="1"/>
    <col min="12524" max="12524" width="6.54296875" style="321" customWidth="1"/>
    <col min="12525" max="12525" width="7.54296875" style="321" customWidth="1"/>
    <col min="12526" max="12526" width="4.81640625" style="321" customWidth="1"/>
    <col min="12527" max="12527" width="11.81640625" style="321" customWidth="1"/>
    <col min="12528" max="12528" width="9.81640625" style="321" customWidth="1"/>
    <col min="12529" max="12529" width="3" style="321" customWidth="1"/>
    <col min="12530" max="12530" width="7.1796875" style="321" customWidth="1"/>
    <col min="12531" max="12531" width="22.81640625" style="321" customWidth="1"/>
    <col min="12532" max="12532" width="7.1796875" style="321" customWidth="1"/>
    <col min="12533" max="12533" width="9" style="321" hidden="1" customWidth="1"/>
    <col min="12534" max="12534" width="8.81640625" style="321" customWidth="1"/>
    <col min="12535" max="12535" width="9.81640625" style="321" customWidth="1"/>
    <col min="12536" max="12536" width="10.54296875" style="321" customWidth="1"/>
    <col min="12537" max="12537" width="12.1796875" style="321" customWidth="1"/>
    <col min="12538" max="12538" width="11.1796875" style="321" customWidth="1"/>
    <col min="12539" max="12539" width="6.81640625" style="321" customWidth="1"/>
    <col min="12540" max="12779" width="30.54296875" style="321" customWidth="1"/>
    <col min="12780" max="12780" width="6.54296875" style="321" customWidth="1"/>
    <col min="12781" max="12781" width="7.54296875" style="321" customWidth="1"/>
    <col min="12782" max="12782" width="4.81640625" style="321" customWidth="1"/>
    <col min="12783" max="12783" width="11.81640625" style="321" customWidth="1"/>
    <col min="12784" max="12784" width="9.81640625" style="321" customWidth="1"/>
    <col min="12785" max="12785" width="3" style="321" customWidth="1"/>
    <col min="12786" max="12786" width="7.1796875" style="321" customWidth="1"/>
    <col min="12787" max="12787" width="22.81640625" style="321" customWidth="1"/>
    <col min="12788" max="12788" width="7.1796875" style="321" customWidth="1"/>
    <col min="12789" max="12789" width="9" style="321" hidden="1" customWidth="1"/>
    <col min="12790" max="12790" width="8.81640625" style="321" customWidth="1"/>
    <col min="12791" max="12791" width="9.81640625" style="321" customWidth="1"/>
    <col min="12792" max="12792" width="10.54296875" style="321" customWidth="1"/>
    <col min="12793" max="12793" width="12.1796875" style="321" customWidth="1"/>
    <col min="12794" max="12794" width="11.1796875" style="321" customWidth="1"/>
    <col min="12795" max="12795" width="6.81640625" style="321" customWidth="1"/>
    <col min="12796" max="13035" width="30.54296875" style="321" customWidth="1"/>
    <col min="13036" max="13036" width="6.54296875" style="321" customWidth="1"/>
    <col min="13037" max="13037" width="7.54296875" style="321" customWidth="1"/>
    <col min="13038" max="13038" width="4.81640625" style="321" customWidth="1"/>
    <col min="13039" max="13039" width="11.81640625" style="321" customWidth="1"/>
    <col min="13040" max="13040" width="9.81640625" style="321" customWidth="1"/>
    <col min="13041" max="13041" width="3" style="321" customWidth="1"/>
    <col min="13042" max="13042" width="7.1796875" style="321" customWidth="1"/>
    <col min="13043" max="13043" width="22.81640625" style="321" customWidth="1"/>
    <col min="13044" max="13044" width="7.1796875" style="321" customWidth="1"/>
    <col min="13045" max="13045" width="9" style="321" hidden="1" customWidth="1"/>
    <col min="13046" max="13046" width="8.81640625" style="321" customWidth="1"/>
    <col min="13047" max="13047" width="9.81640625" style="321" customWidth="1"/>
    <col min="13048" max="13048" width="10.54296875" style="321" customWidth="1"/>
    <col min="13049" max="13049" width="12.1796875" style="321" customWidth="1"/>
    <col min="13050" max="13050" width="11.1796875" style="321" customWidth="1"/>
    <col min="13051" max="13051" width="6.81640625" style="321" customWidth="1"/>
    <col min="13052" max="13291" width="30.54296875" style="321" customWidth="1"/>
    <col min="13292" max="13292" width="6.54296875" style="321" customWidth="1"/>
    <col min="13293" max="13293" width="7.54296875" style="321" customWidth="1"/>
    <col min="13294" max="13294" width="4.81640625" style="321" customWidth="1"/>
    <col min="13295" max="13295" width="11.81640625" style="321" customWidth="1"/>
    <col min="13296" max="13296" width="9.81640625" style="321" customWidth="1"/>
    <col min="13297" max="13297" width="3" style="321" customWidth="1"/>
    <col min="13298" max="13298" width="7.1796875" style="321" customWidth="1"/>
    <col min="13299" max="13299" width="22.81640625" style="321" customWidth="1"/>
    <col min="13300" max="13300" width="7.1796875" style="321" customWidth="1"/>
    <col min="13301" max="13301" width="9" style="321" hidden="1" customWidth="1"/>
    <col min="13302" max="13302" width="8.81640625" style="321" customWidth="1"/>
    <col min="13303" max="13303" width="9.81640625" style="321" customWidth="1"/>
    <col min="13304" max="13304" width="10.54296875" style="321" customWidth="1"/>
    <col min="13305" max="13305" width="12.1796875" style="321" customWidth="1"/>
    <col min="13306" max="13306" width="11.1796875" style="321" customWidth="1"/>
    <col min="13307" max="13307" width="6.81640625" style="321" customWidth="1"/>
    <col min="13308" max="13547" width="30.54296875" style="321" customWidth="1"/>
    <col min="13548" max="13548" width="6.54296875" style="321" customWidth="1"/>
    <col min="13549" max="13549" width="7.54296875" style="321" customWidth="1"/>
    <col min="13550" max="13550" width="4.81640625" style="321" customWidth="1"/>
    <col min="13551" max="13551" width="11.81640625" style="321" customWidth="1"/>
    <col min="13552" max="13552" width="9.81640625" style="321" customWidth="1"/>
    <col min="13553" max="13553" width="3" style="321" customWidth="1"/>
    <col min="13554" max="13554" width="7.1796875" style="321" customWidth="1"/>
    <col min="13555" max="13555" width="22.81640625" style="321" customWidth="1"/>
    <col min="13556" max="13556" width="7.1796875" style="321" customWidth="1"/>
    <col min="13557" max="13557" width="9" style="321" hidden="1" customWidth="1"/>
    <col min="13558" max="13558" width="8.81640625" style="321" customWidth="1"/>
    <col min="13559" max="13559" width="9.81640625" style="321" customWidth="1"/>
    <col min="13560" max="13560" width="10.54296875" style="321" customWidth="1"/>
    <col min="13561" max="13561" width="12.1796875" style="321" customWidth="1"/>
    <col min="13562" max="13562" width="11.1796875" style="321" customWidth="1"/>
    <col min="13563" max="13563" width="6.81640625" style="321" customWidth="1"/>
    <col min="13564" max="13803" width="30.54296875" style="321" customWidth="1"/>
    <col min="13804" max="13804" width="6.54296875" style="321" customWidth="1"/>
    <col min="13805" max="13805" width="7.54296875" style="321" customWidth="1"/>
    <col min="13806" max="13806" width="4.81640625" style="321" customWidth="1"/>
    <col min="13807" max="13807" width="11.81640625" style="321" customWidth="1"/>
    <col min="13808" max="13808" width="9.81640625" style="321" customWidth="1"/>
    <col min="13809" max="13809" width="3" style="321" customWidth="1"/>
    <col min="13810" max="13810" width="7.1796875" style="321" customWidth="1"/>
    <col min="13811" max="13811" width="22.81640625" style="321" customWidth="1"/>
    <col min="13812" max="13812" width="7.1796875" style="321" customWidth="1"/>
    <col min="13813" max="13813" width="9" style="321" hidden="1" customWidth="1"/>
    <col min="13814" max="13814" width="8.81640625" style="321" customWidth="1"/>
    <col min="13815" max="13815" width="9.81640625" style="321" customWidth="1"/>
    <col min="13816" max="13816" width="10.54296875" style="321" customWidth="1"/>
    <col min="13817" max="13817" width="12.1796875" style="321" customWidth="1"/>
    <col min="13818" max="13818" width="11.1796875" style="321" customWidth="1"/>
    <col min="13819" max="13819" width="6.81640625" style="321" customWidth="1"/>
    <col min="13820" max="14059" width="30.54296875" style="321" customWidth="1"/>
    <col min="14060" max="14060" width="6.54296875" style="321" customWidth="1"/>
    <col min="14061" max="14061" width="7.54296875" style="321" customWidth="1"/>
    <col min="14062" max="14062" width="4.81640625" style="321" customWidth="1"/>
    <col min="14063" max="14063" width="11.81640625" style="321" customWidth="1"/>
    <col min="14064" max="14064" width="9.81640625" style="321" customWidth="1"/>
    <col min="14065" max="14065" width="3" style="321" customWidth="1"/>
    <col min="14066" max="14066" width="7.1796875" style="321" customWidth="1"/>
    <col min="14067" max="14067" width="22.81640625" style="321" customWidth="1"/>
    <col min="14068" max="14068" width="7.1796875" style="321" customWidth="1"/>
    <col min="14069" max="14069" width="9" style="321" hidden="1" customWidth="1"/>
    <col min="14070" max="14070" width="8.81640625" style="321" customWidth="1"/>
    <col min="14071" max="14071" width="9.81640625" style="321" customWidth="1"/>
    <col min="14072" max="14072" width="10.54296875" style="321" customWidth="1"/>
    <col min="14073" max="14073" width="12.1796875" style="321" customWidth="1"/>
    <col min="14074" max="14074" width="11.1796875" style="321" customWidth="1"/>
    <col min="14075" max="14075" width="6.81640625" style="321" customWidth="1"/>
    <col min="14076" max="14315" width="30.54296875" style="321" customWidth="1"/>
    <col min="14316" max="14316" width="6.54296875" style="321" customWidth="1"/>
    <col min="14317" max="14317" width="7.54296875" style="321" customWidth="1"/>
    <col min="14318" max="14318" width="4.81640625" style="321" customWidth="1"/>
    <col min="14319" max="14319" width="11.81640625" style="321" customWidth="1"/>
    <col min="14320" max="14320" width="9.81640625" style="321" customWidth="1"/>
    <col min="14321" max="14321" width="3" style="321" customWidth="1"/>
    <col min="14322" max="14322" width="7.1796875" style="321" customWidth="1"/>
    <col min="14323" max="14323" width="22.81640625" style="321" customWidth="1"/>
    <col min="14324" max="14324" width="7.1796875" style="321" customWidth="1"/>
    <col min="14325" max="14325" width="9" style="321" hidden="1" customWidth="1"/>
    <col min="14326" max="14326" width="8.81640625" style="321" customWidth="1"/>
    <col min="14327" max="14327" width="9.81640625" style="321" customWidth="1"/>
    <col min="14328" max="14328" width="10.54296875" style="321" customWidth="1"/>
    <col min="14329" max="14329" width="12.1796875" style="321" customWidth="1"/>
    <col min="14330" max="14330" width="11.1796875" style="321" customWidth="1"/>
    <col min="14331" max="14331" width="6.81640625" style="321" customWidth="1"/>
    <col min="14332" max="14571" width="30.54296875" style="321" customWidth="1"/>
    <col min="14572" max="14572" width="6.54296875" style="321" customWidth="1"/>
    <col min="14573" max="14573" width="7.54296875" style="321" customWidth="1"/>
    <col min="14574" max="14574" width="4.81640625" style="321" customWidth="1"/>
    <col min="14575" max="14575" width="11.81640625" style="321" customWidth="1"/>
    <col min="14576" max="14576" width="9.81640625" style="321" customWidth="1"/>
    <col min="14577" max="14577" width="3" style="321" customWidth="1"/>
    <col min="14578" max="14578" width="7.1796875" style="321" customWidth="1"/>
    <col min="14579" max="14579" width="22.81640625" style="321" customWidth="1"/>
    <col min="14580" max="14580" width="7.1796875" style="321" customWidth="1"/>
    <col min="14581" max="14581" width="9" style="321" hidden="1" customWidth="1"/>
    <col min="14582" max="14582" width="8.81640625" style="321" customWidth="1"/>
    <col min="14583" max="14583" width="9.81640625" style="321" customWidth="1"/>
    <col min="14584" max="14584" width="10.54296875" style="321" customWidth="1"/>
    <col min="14585" max="14585" width="12.1796875" style="321" customWidth="1"/>
    <col min="14586" max="14586" width="11.1796875" style="321" customWidth="1"/>
    <col min="14587" max="14587" width="6.81640625" style="321" customWidth="1"/>
    <col min="14588" max="14827" width="30.54296875" style="321" customWidth="1"/>
    <col min="14828" max="14828" width="6.54296875" style="321" customWidth="1"/>
    <col min="14829" max="14829" width="7.54296875" style="321" customWidth="1"/>
    <col min="14830" max="14830" width="4.81640625" style="321" customWidth="1"/>
    <col min="14831" max="14831" width="11.81640625" style="321" customWidth="1"/>
    <col min="14832" max="14832" width="9.81640625" style="321" customWidth="1"/>
    <col min="14833" max="14833" width="3" style="321" customWidth="1"/>
    <col min="14834" max="14834" width="7.1796875" style="321" customWidth="1"/>
    <col min="14835" max="14835" width="22.81640625" style="321" customWidth="1"/>
    <col min="14836" max="14836" width="7.1796875" style="321" customWidth="1"/>
    <col min="14837" max="14837" width="9" style="321" hidden="1" customWidth="1"/>
    <col min="14838" max="14838" width="8.81640625" style="321" customWidth="1"/>
    <col min="14839" max="14839" width="9.81640625" style="321" customWidth="1"/>
    <col min="14840" max="14840" width="10.54296875" style="321" customWidth="1"/>
    <col min="14841" max="14841" width="12.1796875" style="321" customWidth="1"/>
    <col min="14842" max="14842" width="11.1796875" style="321" customWidth="1"/>
    <col min="14843" max="14843" width="6.81640625" style="321" customWidth="1"/>
    <col min="14844" max="15083" width="30.54296875" style="321" customWidth="1"/>
    <col min="15084" max="15084" width="6.54296875" style="321" customWidth="1"/>
    <col min="15085" max="15085" width="7.54296875" style="321" customWidth="1"/>
    <col min="15086" max="15086" width="4.81640625" style="321" customWidth="1"/>
    <col min="15087" max="15087" width="11.81640625" style="321" customWidth="1"/>
    <col min="15088" max="15088" width="9.81640625" style="321" customWidth="1"/>
    <col min="15089" max="15089" width="3" style="321" customWidth="1"/>
    <col min="15090" max="15090" width="7.1796875" style="321" customWidth="1"/>
    <col min="15091" max="15091" width="22.81640625" style="321" customWidth="1"/>
    <col min="15092" max="15092" width="7.1796875" style="321" customWidth="1"/>
    <col min="15093" max="15093" width="9" style="321" hidden="1" customWidth="1"/>
    <col min="15094" max="15094" width="8.81640625" style="321" customWidth="1"/>
    <col min="15095" max="15095" width="9.81640625" style="321" customWidth="1"/>
    <col min="15096" max="15096" width="10.54296875" style="321" customWidth="1"/>
    <col min="15097" max="15097" width="12.1796875" style="321" customWidth="1"/>
    <col min="15098" max="15098" width="11.1796875" style="321" customWidth="1"/>
    <col min="15099" max="15099" width="6.81640625" style="321" customWidth="1"/>
    <col min="15100" max="15339" width="30.54296875" style="321" customWidth="1"/>
    <col min="15340" max="15340" width="6.54296875" style="321" customWidth="1"/>
    <col min="15341" max="15341" width="7.54296875" style="321" customWidth="1"/>
    <col min="15342" max="15342" width="4.81640625" style="321" customWidth="1"/>
    <col min="15343" max="15343" width="11.81640625" style="321" customWidth="1"/>
    <col min="15344" max="15344" width="9.81640625" style="321" customWidth="1"/>
    <col min="15345" max="15345" width="3" style="321" customWidth="1"/>
    <col min="15346" max="15346" width="7.1796875" style="321" customWidth="1"/>
    <col min="15347" max="15347" width="22.81640625" style="321" customWidth="1"/>
    <col min="15348" max="15348" width="7.1796875" style="321" customWidth="1"/>
    <col min="15349" max="15349" width="9" style="321" hidden="1" customWidth="1"/>
    <col min="15350" max="15350" width="8.81640625" style="321" customWidth="1"/>
    <col min="15351" max="15351" width="9.81640625" style="321" customWidth="1"/>
    <col min="15352" max="15352" width="10.54296875" style="321" customWidth="1"/>
    <col min="15353" max="15353" width="12.1796875" style="321" customWidth="1"/>
    <col min="15354" max="15354" width="11.1796875" style="321" customWidth="1"/>
    <col min="15355" max="15355" width="6.81640625" style="321" customWidth="1"/>
    <col min="15356" max="15595" width="30.54296875" style="321" customWidth="1"/>
    <col min="15596" max="15596" width="6.54296875" style="321" customWidth="1"/>
    <col min="15597" max="15597" width="7.54296875" style="321" customWidth="1"/>
    <col min="15598" max="15598" width="4.81640625" style="321" customWidth="1"/>
    <col min="15599" max="15599" width="11.81640625" style="321" customWidth="1"/>
    <col min="15600" max="15600" width="9.81640625" style="321" customWidth="1"/>
    <col min="15601" max="15601" width="3" style="321" customWidth="1"/>
    <col min="15602" max="15602" width="7.1796875" style="321" customWidth="1"/>
    <col min="15603" max="15603" width="22.81640625" style="321" customWidth="1"/>
    <col min="15604" max="15604" width="7.1796875" style="321" customWidth="1"/>
    <col min="15605" max="15605" width="9" style="321" hidden="1" customWidth="1"/>
    <col min="15606" max="15606" width="8.81640625" style="321" customWidth="1"/>
    <col min="15607" max="15607" width="9.81640625" style="321" customWidth="1"/>
    <col min="15608" max="15608" width="10.54296875" style="321" customWidth="1"/>
    <col min="15609" max="15609" width="12.1796875" style="321" customWidth="1"/>
    <col min="15610" max="15610" width="11.1796875" style="321" customWidth="1"/>
    <col min="15611" max="15611" width="6.81640625" style="321" customWidth="1"/>
    <col min="15612" max="15851" width="30.54296875" style="321" customWidth="1"/>
    <col min="15852" max="15852" width="6.54296875" style="321" customWidth="1"/>
    <col min="15853" max="15853" width="7.54296875" style="321" customWidth="1"/>
    <col min="15854" max="15854" width="4.81640625" style="321" customWidth="1"/>
    <col min="15855" max="15855" width="11.81640625" style="321" customWidth="1"/>
    <col min="15856" max="15856" width="9.81640625" style="321" customWidth="1"/>
    <col min="15857" max="15857" width="3" style="321" customWidth="1"/>
    <col min="15858" max="15858" width="7.1796875" style="321" customWidth="1"/>
    <col min="15859" max="15859" width="22.81640625" style="321" customWidth="1"/>
    <col min="15860" max="15860" width="7.1796875" style="321" customWidth="1"/>
    <col min="15861" max="15861" width="9" style="321" hidden="1" customWidth="1"/>
    <col min="15862" max="15862" width="8.81640625" style="321" customWidth="1"/>
    <col min="15863" max="15863" width="9.81640625" style="321" customWidth="1"/>
    <col min="15864" max="15864" width="10.54296875" style="321" customWidth="1"/>
    <col min="15865" max="15865" width="12.1796875" style="321" customWidth="1"/>
    <col min="15866" max="15866" width="11.1796875" style="321" customWidth="1"/>
    <col min="15867" max="15867" width="6.81640625" style="321" customWidth="1"/>
    <col min="15868" max="16107" width="30.54296875" style="321" customWidth="1"/>
    <col min="16108" max="16108" width="6.54296875" style="321" customWidth="1"/>
    <col min="16109" max="16109" width="7.54296875" style="321" customWidth="1"/>
    <col min="16110" max="16110" width="4.81640625" style="321" customWidth="1"/>
    <col min="16111" max="16111" width="11.81640625" style="321" customWidth="1"/>
    <col min="16112" max="16112" width="9.81640625" style="321" customWidth="1"/>
    <col min="16113" max="16113" width="3" style="321" customWidth="1"/>
    <col min="16114" max="16114" width="7.1796875" style="321" customWidth="1"/>
    <col min="16115" max="16115" width="22.81640625" style="321" customWidth="1"/>
    <col min="16116" max="16116" width="7.1796875" style="321" customWidth="1"/>
    <col min="16117" max="16117" width="9" style="321" hidden="1" customWidth="1"/>
    <col min="16118" max="16118" width="8.81640625" style="321" customWidth="1"/>
    <col min="16119" max="16119" width="9.81640625" style="321" customWidth="1"/>
    <col min="16120" max="16120" width="10.54296875" style="321" customWidth="1"/>
    <col min="16121" max="16121" width="12.1796875" style="321" customWidth="1"/>
    <col min="16122" max="16122" width="11.1796875" style="321" customWidth="1"/>
    <col min="16123" max="16123" width="6.81640625" style="321" customWidth="1"/>
    <col min="16124" max="16384" width="30.54296875" style="321" customWidth="1"/>
  </cols>
  <sheetData>
    <row r="1" spans="1:24" ht="15.5">
      <c r="A1" s="1452" t="s">
        <v>78</v>
      </c>
      <c r="B1" s="1453"/>
      <c r="C1" s="1453"/>
      <c r="D1" s="1453"/>
      <c r="E1" s="1453"/>
      <c r="F1" s="1453"/>
      <c r="G1" s="1453"/>
      <c r="H1" s="1453"/>
      <c r="I1" s="1453"/>
      <c r="J1" s="1453"/>
      <c r="K1" s="1453"/>
      <c r="L1" s="1453"/>
      <c r="M1" s="1453"/>
      <c r="N1" s="1453"/>
      <c r="O1" s="1453"/>
      <c r="P1" s="1453"/>
      <c r="Q1" s="1453"/>
      <c r="R1" s="1453"/>
      <c r="S1" s="1453"/>
      <c r="T1" s="1453"/>
      <c r="U1" s="1453"/>
      <c r="V1" s="1453"/>
      <c r="W1" s="1453"/>
      <c r="X1" s="1454"/>
    </row>
    <row r="2" spans="1:24" ht="15.5">
      <c r="A2" s="1455" t="s">
        <v>79</v>
      </c>
      <c r="B2" s="1456"/>
      <c r="C2" s="1456"/>
      <c r="D2" s="1456"/>
      <c r="E2" s="1456"/>
      <c r="F2" s="1456"/>
      <c r="G2" s="1456"/>
      <c r="H2" s="1456"/>
      <c r="I2" s="1456"/>
      <c r="J2" s="1456"/>
      <c r="K2" s="1456"/>
      <c r="L2" s="1456"/>
      <c r="M2" s="1456"/>
      <c r="N2" s="1456"/>
      <c r="O2" s="1456"/>
      <c r="P2" s="1456"/>
      <c r="Q2" s="1456"/>
      <c r="R2" s="1456"/>
      <c r="S2" s="1456"/>
      <c r="T2" s="1456"/>
      <c r="U2" s="1456"/>
      <c r="V2" s="1456"/>
      <c r="W2" s="1456"/>
      <c r="X2" s="1457"/>
    </row>
    <row r="3" spans="1:24" ht="15.5">
      <c r="A3" s="1455" t="s">
        <v>80</v>
      </c>
      <c r="B3" s="1456"/>
      <c r="C3" s="1456"/>
      <c r="D3" s="1456"/>
      <c r="E3" s="1456"/>
      <c r="F3" s="1456"/>
      <c r="G3" s="1456"/>
      <c r="H3" s="1456"/>
      <c r="I3" s="1456"/>
      <c r="J3" s="1456"/>
      <c r="K3" s="1456"/>
      <c r="L3" s="1456"/>
      <c r="M3" s="1456"/>
      <c r="N3" s="1456"/>
      <c r="O3" s="1456"/>
      <c r="P3" s="1456"/>
      <c r="Q3" s="1456"/>
      <c r="R3" s="1456"/>
      <c r="S3" s="1456"/>
      <c r="T3" s="1456"/>
      <c r="U3" s="1456"/>
      <c r="V3" s="1456"/>
      <c r="W3" s="1456"/>
      <c r="X3" s="1457"/>
    </row>
    <row r="4" spans="1:24" ht="15.5">
      <c r="A4" s="334"/>
      <c r="B4" s="524"/>
      <c r="C4" s="334"/>
      <c r="D4" s="334"/>
      <c r="E4" s="334"/>
      <c r="F4" s="334"/>
      <c r="G4" s="334"/>
      <c r="H4" s="334"/>
      <c r="I4" s="334"/>
      <c r="J4" s="334"/>
      <c r="K4" s="334"/>
      <c r="L4" s="334"/>
      <c r="M4" s="334"/>
      <c r="N4" s="334"/>
      <c r="O4" s="334"/>
      <c r="P4" s="334"/>
      <c r="Q4" s="334"/>
      <c r="R4" s="334"/>
      <c r="S4" s="334"/>
      <c r="T4" s="334"/>
      <c r="U4" s="334"/>
      <c r="V4" s="334"/>
      <c r="W4" s="334"/>
      <c r="X4" s="334"/>
    </row>
    <row r="6" spans="1:24">
      <c r="A6" s="321" t="s">
        <v>218</v>
      </c>
    </row>
    <row r="7" spans="1:24" ht="13" customHeight="1">
      <c r="A7" s="1489" t="s">
        <v>203</v>
      </c>
      <c r="B7" s="1489" t="s">
        <v>204</v>
      </c>
      <c r="C7" s="1491" t="s">
        <v>219</v>
      </c>
      <c r="D7" s="1489" t="s">
        <v>205</v>
      </c>
      <c r="E7" s="1490" t="s">
        <v>264</v>
      </c>
      <c r="F7" s="1490" t="s">
        <v>265</v>
      </c>
      <c r="G7" s="1490" t="s">
        <v>266</v>
      </c>
    </row>
    <row r="8" spans="1:24">
      <c r="A8" s="1490"/>
      <c r="B8" s="1490"/>
      <c r="C8" s="1491"/>
      <c r="D8" s="1490"/>
      <c r="E8" s="1492"/>
      <c r="F8" s="1492"/>
      <c r="G8" s="1492"/>
    </row>
    <row r="9" spans="1:24" ht="14.5">
      <c r="A9" s="325">
        <v>1</v>
      </c>
      <c r="B9" s="326" t="s">
        <v>270</v>
      </c>
      <c r="C9" s="327"/>
      <c r="D9" s="309"/>
      <c r="E9" s="333"/>
      <c r="F9" s="325"/>
      <c r="G9" s="316"/>
    </row>
    <row r="10" spans="1:24" ht="14.25" customHeight="1">
      <c r="A10" s="325">
        <f>A9+1</f>
        <v>2</v>
      </c>
      <c r="B10" s="316" t="s">
        <v>286</v>
      </c>
      <c r="C10" s="327"/>
      <c r="D10" s="316"/>
      <c r="E10" s="316"/>
      <c r="F10" s="316" t="s">
        <v>228</v>
      </c>
      <c r="G10" s="327"/>
    </row>
    <row r="11" spans="1:24">
      <c r="A11" s="325">
        <f t="shared" ref="A11:A40" si="0">A10+1</f>
        <v>3</v>
      </c>
      <c r="B11" s="316" t="s">
        <v>402</v>
      </c>
      <c r="C11" s="327"/>
      <c r="D11" s="316"/>
      <c r="E11" s="316"/>
      <c r="F11" s="316" t="s">
        <v>228</v>
      </c>
      <c r="G11" s="327"/>
    </row>
    <row r="12" spans="1:24" ht="15.5">
      <c r="A12" s="325">
        <f t="shared" si="0"/>
        <v>4</v>
      </c>
      <c r="B12" s="316" t="s">
        <v>438</v>
      </c>
      <c r="C12" s="327"/>
      <c r="D12" s="316"/>
      <c r="E12" s="316"/>
      <c r="F12" s="316"/>
      <c r="G12" s="327"/>
      <c r="I12" s="335"/>
    </row>
    <row r="13" spans="1:24">
      <c r="A13" s="325">
        <f t="shared" si="0"/>
        <v>5</v>
      </c>
      <c r="B13" s="316" t="s">
        <v>439</v>
      </c>
      <c r="C13" s="327"/>
      <c r="D13" s="316"/>
      <c r="E13" s="316"/>
      <c r="F13" s="316" t="s">
        <v>1308</v>
      </c>
      <c r="G13" s="327"/>
      <c r="H13" s="321" t="s">
        <v>1309</v>
      </c>
    </row>
    <row r="14" spans="1:24">
      <c r="A14" s="325">
        <f t="shared" si="0"/>
        <v>6</v>
      </c>
      <c r="B14" s="316" t="s">
        <v>1118</v>
      </c>
      <c r="C14" s="327"/>
      <c r="D14" s="316"/>
      <c r="E14" s="316"/>
      <c r="F14" s="316"/>
      <c r="G14" s="327"/>
    </row>
    <row r="15" spans="1:24">
      <c r="A15" s="325">
        <f t="shared" si="0"/>
        <v>7</v>
      </c>
      <c r="B15" s="316" t="s">
        <v>404</v>
      </c>
      <c r="C15" s="327"/>
      <c r="D15" s="316"/>
      <c r="E15" s="316"/>
      <c r="F15" s="316" t="s">
        <v>228</v>
      </c>
      <c r="G15" s="327"/>
    </row>
    <row r="16" spans="1:24">
      <c r="A16" s="325">
        <f t="shared" si="0"/>
        <v>8</v>
      </c>
      <c r="B16" s="316" t="s">
        <v>267</v>
      </c>
      <c r="C16" s="342"/>
      <c r="D16" s="342"/>
      <c r="E16" s="342"/>
      <c r="F16" s="342"/>
      <c r="G16" s="342"/>
    </row>
    <row r="17" spans="1:7">
      <c r="A17" s="325">
        <f t="shared" si="0"/>
        <v>9</v>
      </c>
      <c r="B17" s="316" t="s">
        <v>272</v>
      </c>
      <c r="C17" s="316"/>
      <c r="D17" s="342"/>
      <c r="E17" s="342"/>
      <c r="F17" s="342"/>
      <c r="G17" s="342"/>
    </row>
    <row r="18" spans="1:7">
      <c r="A18" s="325">
        <f t="shared" si="0"/>
        <v>10</v>
      </c>
      <c r="B18" s="325" t="s">
        <v>433</v>
      </c>
      <c r="C18" s="341"/>
      <c r="D18" s="341"/>
      <c r="E18" s="519"/>
      <c r="F18" s="341"/>
      <c r="G18" s="342"/>
    </row>
    <row r="19" spans="1:7">
      <c r="A19" s="325">
        <f t="shared" si="0"/>
        <v>11</v>
      </c>
      <c r="B19" s="325" t="s">
        <v>281</v>
      </c>
      <c r="C19" s="341"/>
      <c r="D19" s="341"/>
      <c r="E19" s="341"/>
      <c r="F19" s="341"/>
      <c r="G19" s="341"/>
    </row>
    <row r="20" spans="1:7">
      <c r="A20" s="325">
        <f t="shared" si="0"/>
        <v>12</v>
      </c>
      <c r="B20" s="316" t="s">
        <v>372</v>
      </c>
      <c r="C20" s="338"/>
      <c r="D20" s="342"/>
      <c r="E20" s="342"/>
      <c r="F20" s="342"/>
      <c r="G20" s="338"/>
    </row>
    <row r="21" spans="1:7">
      <c r="A21" s="325">
        <f t="shared" si="0"/>
        <v>13</v>
      </c>
      <c r="B21" s="316" t="s">
        <v>288</v>
      </c>
      <c r="C21" s="338"/>
      <c r="D21" s="342"/>
      <c r="E21" s="342"/>
      <c r="F21" s="342"/>
      <c r="G21" s="338"/>
    </row>
    <row r="22" spans="1:7">
      <c r="A22" s="325">
        <f t="shared" si="0"/>
        <v>14</v>
      </c>
      <c r="B22" s="316" t="s">
        <v>291</v>
      </c>
      <c r="C22" s="342"/>
      <c r="D22" s="342"/>
      <c r="E22" s="342"/>
      <c r="F22" s="342"/>
      <c r="G22" s="342"/>
    </row>
    <row r="23" spans="1:7">
      <c r="A23" s="325">
        <f t="shared" si="0"/>
        <v>15</v>
      </c>
      <c r="B23" s="316" t="s">
        <v>325</v>
      </c>
      <c r="C23" s="338"/>
      <c r="D23" s="342"/>
      <c r="E23" s="342"/>
      <c r="F23" s="342"/>
      <c r="G23" s="338"/>
    </row>
    <row r="24" spans="1:7">
      <c r="A24" s="325">
        <f t="shared" si="0"/>
        <v>16</v>
      </c>
      <c r="B24" s="316" t="s">
        <v>350</v>
      </c>
      <c r="C24" s="338"/>
      <c r="D24" s="342"/>
      <c r="E24" s="342"/>
      <c r="F24" s="342"/>
      <c r="G24" s="338"/>
    </row>
    <row r="25" spans="1:7">
      <c r="A25" s="325">
        <f t="shared" si="0"/>
        <v>17</v>
      </c>
      <c r="B25" s="316" t="s">
        <v>463</v>
      </c>
      <c r="C25" s="338"/>
      <c r="D25" s="342"/>
      <c r="E25" s="342"/>
      <c r="F25" s="342"/>
      <c r="G25" s="338"/>
    </row>
    <row r="26" spans="1:7">
      <c r="A26" s="325">
        <f t="shared" si="0"/>
        <v>18</v>
      </c>
      <c r="B26" s="316" t="s">
        <v>468</v>
      </c>
      <c r="C26" s="338"/>
      <c r="D26" s="342"/>
      <c r="E26" s="342"/>
      <c r="F26" s="342"/>
      <c r="G26" s="338"/>
    </row>
    <row r="27" spans="1:7">
      <c r="A27" s="325">
        <f t="shared" si="0"/>
        <v>19</v>
      </c>
      <c r="B27" s="316" t="s">
        <v>1294</v>
      </c>
      <c r="C27" s="338"/>
      <c r="D27" s="342"/>
      <c r="E27" s="342"/>
      <c r="F27" s="342"/>
      <c r="G27" s="338"/>
    </row>
    <row r="28" spans="1:7">
      <c r="A28" s="325">
        <f t="shared" si="0"/>
        <v>20</v>
      </c>
      <c r="B28" s="316" t="s">
        <v>1295</v>
      </c>
      <c r="C28" s="338"/>
      <c r="D28" s="342"/>
      <c r="E28" s="342"/>
      <c r="F28" s="342"/>
      <c r="G28" s="338"/>
    </row>
    <row r="29" spans="1:7">
      <c r="A29" s="325">
        <f t="shared" si="0"/>
        <v>21</v>
      </c>
      <c r="B29" s="316" t="s">
        <v>1293</v>
      </c>
      <c r="C29" s="338"/>
      <c r="D29" s="342"/>
      <c r="E29" s="342"/>
      <c r="F29" s="342"/>
      <c r="G29" s="338"/>
    </row>
    <row r="30" spans="1:7">
      <c r="A30" s="325">
        <f t="shared" si="0"/>
        <v>22</v>
      </c>
      <c r="B30" s="316" t="s">
        <v>1296</v>
      </c>
      <c r="C30" s="338"/>
      <c r="D30" s="342"/>
      <c r="E30" s="342"/>
      <c r="F30" s="342"/>
      <c r="G30" s="338"/>
    </row>
    <row r="31" spans="1:7">
      <c r="A31" s="325">
        <f t="shared" si="0"/>
        <v>23</v>
      </c>
      <c r="B31" s="316" t="s">
        <v>1297</v>
      </c>
      <c r="C31" s="338"/>
      <c r="D31" s="342"/>
      <c r="E31" s="342"/>
      <c r="F31" s="342"/>
      <c r="G31" s="338"/>
    </row>
    <row r="32" spans="1:7">
      <c r="A32" s="325">
        <f t="shared" si="0"/>
        <v>24</v>
      </c>
      <c r="B32" s="316" t="s">
        <v>324</v>
      </c>
      <c r="C32" s="338"/>
      <c r="D32" s="342"/>
      <c r="E32" s="342"/>
      <c r="F32" s="342"/>
      <c r="G32" s="338"/>
    </row>
    <row r="33" spans="1:7">
      <c r="A33" s="325">
        <f t="shared" si="0"/>
        <v>25</v>
      </c>
      <c r="B33" s="316" t="s">
        <v>740</v>
      </c>
      <c r="C33" s="338"/>
      <c r="D33" s="342"/>
      <c r="E33" s="342"/>
      <c r="F33" s="342"/>
      <c r="G33" s="338"/>
    </row>
    <row r="34" spans="1:7">
      <c r="A34" s="325">
        <f t="shared" si="0"/>
        <v>26</v>
      </c>
      <c r="B34" s="316" t="s">
        <v>1304</v>
      </c>
      <c r="C34" s="338"/>
      <c r="D34" s="342"/>
      <c r="E34" s="342"/>
      <c r="F34" s="342"/>
      <c r="G34" s="338"/>
    </row>
    <row r="35" spans="1:7">
      <c r="A35" s="325">
        <f t="shared" si="0"/>
        <v>27</v>
      </c>
      <c r="B35" s="316" t="s">
        <v>1305</v>
      </c>
      <c r="C35" s="338"/>
      <c r="D35" s="342"/>
      <c r="E35" s="342"/>
      <c r="F35" s="342"/>
      <c r="G35" s="338"/>
    </row>
    <row r="36" spans="1:7">
      <c r="A36" s="325">
        <f t="shared" si="0"/>
        <v>28</v>
      </c>
      <c r="B36" s="316" t="s">
        <v>1303</v>
      </c>
      <c r="C36" s="327"/>
      <c r="D36" s="342"/>
      <c r="E36" s="342"/>
      <c r="F36" s="342"/>
      <c r="G36" s="338"/>
    </row>
    <row r="37" spans="1:7">
      <c r="A37" s="325">
        <f t="shared" si="0"/>
        <v>29</v>
      </c>
      <c r="B37" s="316" t="s">
        <v>731</v>
      </c>
      <c r="C37" s="327"/>
      <c r="D37" s="342"/>
      <c r="E37" s="342"/>
      <c r="F37" s="342"/>
      <c r="G37" s="338"/>
    </row>
    <row r="38" spans="1:7">
      <c r="A38" s="325">
        <f t="shared" si="0"/>
        <v>30</v>
      </c>
      <c r="B38" s="316" t="s">
        <v>1321</v>
      </c>
      <c r="C38" s="327"/>
      <c r="D38" s="342"/>
      <c r="E38" s="342"/>
      <c r="F38" s="342"/>
      <c r="G38" s="338"/>
    </row>
    <row r="39" spans="1:7">
      <c r="A39" s="341">
        <f t="shared" si="0"/>
        <v>31</v>
      </c>
      <c r="B39" s="565" t="s">
        <v>810</v>
      </c>
      <c r="C39" s="338"/>
      <c r="D39" s="342"/>
      <c r="E39" s="342"/>
      <c r="F39" s="342"/>
      <c r="G39" s="338"/>
    </row>
    <row r="40" spans="1:7">
      <c r="A40" s="341">
        <f t="shared" si="0"/>
        <v>32</v>
      </c>
      <c r="B40" s="565" t="s">
        <v>816</v>
      </c>
      <c r="C40" s="338"/>
      <c r="D40" s="342"/>
      <c r="E40" s="342"/>
      <c r="F40" s="342"/>
      <c r="G40" s="338"/>
    </row>
  </sheetData>
  <autoFilter ref="A7:G36" xr:uid="{00000000-0001-0000-0600-000000000000}"/>
  <mergeCells count="10">
    <mergeCell ref="A1:X1"/>
    <mergeCell ref="A2:X2"/>
    <mergeCell ref="A3:X3"/>
    <mergeCell ref="A7:A8"/>
    <mergeCell ref="B7:B8"/>
    <mergeCell ref="C7:C8"/>
    <mergeCell ref="D7:D8"/>
    <mergeCell ref="E7:E8"/>
    <mergeCell ref="F7:F8"/>
    <mergeCell ref="G7:G8"/>
  </mergeCells>
  <conditionalFormatting sqref="B1:B38 B41:B1048576">
    <cfRule type="duplicateValues" dxfId="3413" priority="1"/>
    <cfRule type="duplicateValues" dxfId="3412" priority="9"/>
    <cfRule type="duplicateValues" dxfId="3411" priority="10"/>
    <cfRule type="duplicateValues" dxfId="3410" priority="15"/>
    <cfRule type="duplicateValues" dxfId="3409" priority="16"/>
  </conditionalFormatting>
  <conditionalFormatting sqref="B10 B7:B8">
    <cfRule type="duplicateValues" dxfId="3408" priority="1879"/>
  </conditionalFormatting>
  <conditionalFormatting sqref="B10:B38 B1:B8 B41:B1048576">
    <cfRule type="duplicateValues" dxfId="3407" priority="21"/>
  </conditionalFormatting>
  <conditionalFormatting sqref="B18:B22 B7:B8 B10:B13 B16">
    <cfRule type="duplicateValues" dxfId="3406" priority="2012" stopIfTrue="1"/>
    <cfRule type="duplicateValues" dxfId="3405" priority="2013"/>
  </conditionalFormatting>
  <conditionalFormatting sqref="B18:B22 B7:B8 B16 B10:B13">
    <cfRule type="duplicateValues" dxfId="3404" priority="2022"/>
  </conditionalFormatting>
  <conditionalFormatting sqref="B23:B38 B1:B6 B41:B1048576">
    <cfRule type="duplicateValues" dxfId="3403" priority="35"/>
  </conditionalFormatting>
  <conditionalFormatting sqref="B23:B38 B41:B64911">
    <cfRule type="duplicateValues" dxfId="3402" priority="2036" stopIfTrue="1"/>
  </conditionalFormatting>
  <conditionalFormatting sqref="B23:B38 B41:B1048576">
    <cfRule type="duplicateValues" dxfId="3401" priority="53"/>
  </conditionalFormatting>
  <conditionalFormatting sqref="D10">
    <cfRule type="duplicateValues" dxfId="3400" priority="1893"/>
    <cfRule type="duplicateValues" dxfId="3399" priority="1894"/>
    <cfRule type="duplicateValues" dxfId="3398" priority="1895" stopIfTrue="1"/>
  </conditionalFormatting>
  <dataValidations count="1">
    <dataValidation type="list" allowBlank="1" showInputMessage="1" showErrorMessage="1" sqref="C64968:C64976 C130504:C130512 C196040:C196048 C261576:C261584 C327112:C327120 C392648:C392656 C458184:C458192 C523720:C523728 C589256:C589264 C654792:C654800 C720328:C720336 C785864:C785872 C851400:C851408 C916936:C916944 C982472:C982480 ID64968:ID64976 ID130504:ID130512 ID196040:ID196048 ID261576:ID261584 ID327112:ID327120 ID392648:ID392656 ID458184:ID458192 ID523720:ID523728 ID589256:ID589264 ID654792:ID654800 ID720328:ID720336 ID785864:ID785872 ID851400:ID851408 ID916936:ID916944 ID982472:ID982480 RZ64968:RZ64976 RZ130504:RZ130512 RZ196040:RZ196048 RZ261576:RZ261584 RZ327112:RZ327120 RZ392648:RZ392656 RZ458184:RZ458192 RZ523720:RZ523728 RZ589256:RZ589264 RZ654792:RZ654800 RZ720328:RZ720336 RZ785864:RZ785872 RZ851400:RZ851408 RZ916936:RZ916944 RZ982472:RZ982480 ABV64968:ABV64976 ABV130504:ABV130512 ABV196040:ABV196048 ABV261576:ABV261584 ABV327112:ABV327120 ABV392648:ABV392656 ABV458184:ABV458192 ABV523720:ABV523728 ABV589256:ABV589264 ABV654792:ABV654800 ABV720328:ABV720336 ABV785864:ABV785872 ABV851400:ABV851408 ABV916936:ABV916944 ABV982472:ABV982480 ALR64968:ALR64976 ALR130504:ALR130512 ALR196040:ALR196048 ALR261576:ALR261584 ALR327112:ALR327120 ALR392648:ALR392656 ALR458184:ALR458192 ALR523720:ALR523728 ALR589256:ALR589264 ALR654792:ALR654800 ALR720328:ALR720336 ALR785864:ALR785872 ALR851400:ALR851408 ALR916936:ALR916944 ALR982472:ALR982480 AVN64968:AVN64976 AVN130504:AVN130512 AVN196040:AVN196048 AVN261576:AVN261584 AVN327112:AVN327120 AVN392648:AVN392656 AVN458184:AVN458192 AVN523720:AVN523728 AVN589256:AVN589264 AVN654792:AVN654800 AVN720328:AVN720336 AVN785864:AVN785872 AVN851400:AVN851408 AVN916936:AVN916944 AVN982472:AVN982480 BFJ64968:BFJ64976 BFJ130504:BFJ130512 BFJ196040:BFJ196048 BFJ261576:BFJ261584 BFJ327112:BFJ327120 BFJ392648:BFJ392656 BFJ458184:BFJ458192 BFJ523720:BFJ523728 BFJ589256:BFJ589264 BFJ654792:BFJ654800 BFJ720328:BFJ720336 BFJ785864:BFJ785872 BFJ851400:BFJ851408 BFJ916936:BFJ916944 BFJ982472:BFJ982480 BPF64968:BPF64976 BPF130504:BPF130512 BPF196040:BPF196048 BPF261576:BPF261584 BPF327112:BPF327120 BPF392648:BPF392656 BPF458184:BPF458192 BPF523720:BPF523728 BPF589256:BPF589264 BPF654792:BPF654800 BPF720328:BPF720336 BPF785864:BPF785872 BPF851400:BPF851408 BPF916936:BPF916944 BPF982472:BPF982480 BZB64968:BZB64976 BZB130504:BZB130512 BZB196040:BZB196048 BZB261576:BZB261584 BZB327112:BZB327120 BZB392648:BZB392656 BZB458184:BZB458192 BZB523720:BZB523728 BZB589256:BZB589264 BZB654792:BZB654800 BZB720328:BZB720336 BZB785864:BZB785872 BZB851400:BZB851408 BZB916936:BZB916944 BZB982472:BZB982480 CIX64968:CIX64976 CIX130504:CIX130512 CIX196040:CIX196048 CIX261576:CIX261584 CIX327112:CIX327120 CIX392648:CIX392656 CIX458184:CIX458192 CIX523720:CIX523728 CIX589256:CIX589264 CIX654792:CIX654800 CIX720328:CIX720336 CIX785864:CIX785872 CIX851400:CIX851408 CIX916936:CIX916944 CIX982472:CIX982480 CST64968:CST64976 CST130504:CST130512 CST196040:CST196048 CST261576:CST261584 CST327112:CST327120 CST392648:CST392656 CST458184:CST458192 CST523720:CST523728 CST589256:CST589264 CST654792:CST654800 CST720328:CST720336 CST785864:CST785872 CST851400:CST851408 CST916936:CST916944 CST982472:CST982480 DCP64968:DCP64976 DCP130504:DCP130512 DCP196040:DCP196048 DCP261576:DCP261584 DCP327112:DCP327120 DCP392648:DCP392656 DCP458184:DCP458192 DCP523720:DCP523728 DCP589256:DCP589264 DCP654792:DCP654800 DCP720328:DCP720336 DCP785864:DCP785872 DCP851400:DCP851408 DCP916936:DCP916944 DCP982472:DCP982480 DML64968:DML64976 DML130504:DML130512 DML196040:DML196048 DML261576:DML261584 DML327112:DML327120 DML392648:DML392656 DML458184:DML458192 DML523720:DML523728 DML589256:DML589264 DML654792:DML654800 DML720328:DML720336 DML785864:DML785872 DML851400:DML851408 DML916936:DML916944 DML982472:DML982480 DWH64968:DWH64976 DWH130504:DWH130512 DWH196040:DWH196048 DWH261576:DWH261584 DWH327112:DWH327120 DWH392648:DWH392656 DWH458184:DWH458192 DWH523720:DWH523728 DWH589256:DWH589264 DWH654792:DWH654800 DWH720328:DWH720336 DWH785864:DWH785872 DWH851400:DWH851408 DWH916936:DWH916944 DWH982472:DWH982480 EGD64968:EGD64976 EGD130504:EGD130512 EGD196040:EGD196048 EGD261576:EGD261584 EGD327112:EGD327120 EGD392648:EGD392656 EGD458184:EGD458192 EGD523720:EGD523728 EGD589256:EGD589264 EGD654792:EGD654800 EGD720328:EGD720336 EGD785864:EGD785872 EGD851400:EGD851408 EGD916936:EGD916944 EGD982472:EGD982480 EPZ64968:EPZ64976 EPZ130504:EPZ130512 EPZ196040:EPZ196048 EPZ261576:EPZ261584 EPZ327112:EPZ327120 EPZ392648:EPZ392656 EPZ458184:EPZ458192 EPZ523720:EPZ523728 EPZ589256:EPZ589264 EPZ654792:EPZ654800 EPZ720328:EPZ720336 EPZ785864:EPZ785872 EPZ851400:EPZ851408 EPZ916936:EPZ916944 EPZ982472:EPZ982480 EZV64968:EZV64976 EZV130504:EZV130512 EZV196040:EZV196048 EZV261576:EZV261584 EZV327112:EZV327120 EZV392648:EZV392656 EZV458184:EZV458192 EZV523720:EZV523728 EZV589256:EZV589264 EZV654792:EZV654800 EZV720328:EZV720336 EZV785864:EZV785872 EZV851400:EZV851408 EZV916936:EZV916944 EZV982472:EZV982480 FJR64968:FJR64976 FJR130504:FJR130512 FJR196040:FJR196048 FJR261576:FJR261584 FJR327112:FJR327120 FJR392648:FJR392656 FJR458184:FJR458192 FJR523720:FJR523728 FJR589256:FJR589264 FJR654792:FJR654800 FJR720328:FJR720336 FJR785864:FJR785872 FJR851400:FJR851408 FJR916936:FJR916944 FJR982472:FJR982480 FTN64968:FTN64976 FTN130504:FTN130512 FTN196040:FTN196048 FTN261576:FTN261584 FTN327112:FTN327120 FTN392648:FTN392656 FTN458184:FTN458192 FTN523720:FTN523728 FTN589256:FTN589264 FTN654792:FTN654800 FTN720328:FTN720336 FTN785864:FTN785872 FTN851400:FTN851408 FTN916936:FTN916944 FTN982472:FTN982480 GDJ64968:GDJ64976 GDJ130504:GDJ130512 GDJ196040:GDJ196048 GDJ261576:GDJ261584 GDJ327112:GDJ327120 GDJ392648:GDJ392656 GDJ458184:GDJ458192 GDJ523720:GDJ523728 GDJ589256:GDJ589264 GDJ654792:GDJ654800 GDJ720328:GDJ720336 GDJ785864:GDJ785872 GDJ851400:GDJ851408 GDJ916936:GDJ916944 GDJ982472:GDJ982480 GNF64968:GNF64976 GNF130504:GNF130512 GNF196040:GNF196048 GNF261576:GNF261584 GNF327112:GNF327120 GNF392648:GNF392656 GNF458184:GNF458192 GNF523720:GNF523728 GNF589256:GNF589264 GNF654792:GNF654800 GNF720328:GNF720336 GNF785864:GNF785872 GNF851400:GNF851408 GNF916936:GNF916944 GNF982472:GNF982480 GXB64968:GXB64976 GXB130504:GXB130512 GXB196040:GXB196048 GXB261576:GXB261584 GXB327112:GXB327120 GXB392648:GXB392656 GXB458184:GXB458192 GXB523720:GXB523728 GXB589256:GXB589264 GXB654792:GXB654800 GXB720328:GXB720336 GXB785864:GXB785872 GXB851400:GXB851408 GXB916936:GXB916944 GXB982472:GXB982480 HGX64968:HGX64976 HGX130504:HGX130512 HGX196040:HGX196048 HGX261576:HGX261584 HGX327112:HGX327120 HGX392648:HGX392656 HGX458184:HGX458192 HGX523720:HGX523728 HGX589256:HGX589264 HGX654792:HGX654800 HGX720328:HGX720336 HGX785864:HGX785872 HGX851400:HGX851408 HGX916936:HGX916944 HGX982472:HGX982480 HQT64968:HQT64976 HQT130504:HQT130512 HQT196040:HQT196048 HQT261576:HQT261584 HQT327112:HQT327120 HQT392648:HQT392656 HQT458184:HQT458192 HQT523720:HQT523728 HQT589256:HQT589264 HQT654792:HQT654800 HQT720328:HQT720336 HQT785864:HQT785872 HQT851400:HQT851408 HQT916936:HQT916944 HQT982472:HQT982480 IAP64968:IAP64976 IAP130504:IAP130512 IAP196040:IAP196048 IAP261576:IAP261584 IAP327112:IAP327120 IAP392648:IAP392656 IAP458184:IAP458192 IAP523720:IAP523728 IAP589256:IAP589264 IAP654792:IAP654800 IAP720328:IAP720336 IAP785864:IAP785872 IAP851400:IAP851408 IAP916936:IAP916944 IAP982472:IAP982480 IKL64968:IKL64976 IKL130504:IKL130512 IKL196040:IKL196048 IKL261576:IKL261584 IKL327112:IKL327120 IKL392648:IKL392656 IKL458184:IKL458192 IKL523720:IKL523728 IKL589256:IKL589264 IKL654792:IKL654800 IKL720328:IKL720336 IKL785864:IKL785872 IKL851400:IKL851408 IKL916936:IKL916944 IKL982472:IKL982480 IUH64968:IUH64976 IUH130504:IUH130512 IUH196040:IUH196048 IUH261576:IUH261584 IUH327112:IUH327120 IUH392648:IUH392656 IUH458184:IUH458192 IUH523720:IUH523728 IUH589256:IUH589264 IUH654792:IUH654800 IUH720328:IUH720336 IUH785864:IUH785872 IUH851400:IUH851408 IUH916936:IUH916944 IUH982472:IUH982480 JED64968:JED64976 JED130504:JED130512 JED196040:JED196048 JED261576:JED261584 JED327112:JED327120 JED392648:JED392656 JED458184:JED458192 JED523720:JED523728 JED589256:JED589264 JED654792:JED654800 JED720328:JED720336 JED785864:JED785872 JED851400:JED851408 JED916936:JED916944 JED982472:JED982480 JNZ64968:JNZ64976 JNZ130504:JNZ130512 JNZ196040:JNZ196048 JNZ261576:JNZ261584 JNZ327112:JNZ327120 JNZ392648:JNZ392656 JNZ458184:JNZ458192 JNZ523720:JNZ523728 JNZ589256:JNZ589264 JNZ654792:JNZ654800 JNZ720328:JNZ720336 JNZ785864:JNZ785872 JNZ851400:JNZ851408 JNZ916936:JNZ916944 JNZ982472:JNZ982480 JXV64968:JXV64976 JXV130504:JXV130512 JXV196040:JXV196048 JXV261576:JXV261584 JXV327112:JXV327120 JXV392648:JXV392656 JXV458184:JXV458192 JXV523720:JXV523728 JXV589256:JXV589264 JXV654792:JXV654800 JXV720328:JXV720336 JXV785864:JXV785872 JXV851400:JXV851408 JXV916936:JXV916944 JXV982472:JXV982480 KHR64968:KHR64976 KHR130504:KHR130512 KHR196040:KHR196048 KHR261576:KHR261584 KHR327112:KHR327120 KHR392648:KHR392656 KHR458184:KHR458192 KHR523720:KHR523728 KHR589256:KHR589264 KHR654792:KHR654800 KHR720328:KHR720336 KHR785864:KHR785872 KHR851400:KHR851408 KHR916936:KHR916944 KHR982472:KHR982480 KRN64968:KRN64976 KRN130504:KRN130512 KRN196040:KRN196048 KRN261576:KRN261584 KRN327112:KRN327120 KRN392648:KRN392656 KRN458184:KRN458192 KRN523720:KRN523728 KRN589256:KRN589264 KRN654792:KRN654800 KRN720328:KRN720336 KRN785864:KRN785872 KRN851400:KRN851408 KRN916936:KRN916944 KRN982472:KRN982480 LBJ64968:LBJ64976 LBJ130504:LBJ130512 LBJ196040:LBJ196048 LBJ261576:LBJ261584 LBJ327112:LBJ327120 LBJ392648:LBJ392656 LBJ458184:LBJ458192 LBJ523720:LBJ523728 LBJ589256:LBJ589264 LBJ654792:LBJ654800 LBJ720328:LBJ720336 LBJ785864:LBJ785872 LBJ851400:LBJ851408 LBJ916936:LBJ916944 LBJ982472:LBJ982480 LLF64968:LLF64976 LLF130504:LLF130512 LLF196040:LLF196048 LLF261576:LLF261584 LLF327112:LLF327120 LLF392648:LLF392656 LLF458184:LLF458192 LLF523720:LLF523728 LLF589256:LLF589264 LLF654792:LLF654800 LLF720328:LLF720336 LLF785864:LLF785872 LLF851400:LLF851408 LLF916936:LLF916944 LLF982472:LLF982480 LVB64968:LVB64976 LVB130504:LVB130512 LVB196040:LVB196048 LVB261576:LVB261584 LVB327112:LVB327120 LVB392648:LVB392656 LVB458184:LVB458192 LVB523720:LVB523728 LVB589256:LVB589264 LVB654792:LVB654800 LVB720328:LVB720336 LVB785864:LVB785872 LVB851400:LVB851408 LVB916936:LVB916944 LVB982472:LVB982480 MEX64968:MEX64976 MEX130504:MEX130512 MEX196040:MEX196048 MEX261576:MEX261584 MEX327112:MEX327120 MEX392648:MEX392656 MEX458184:MEX458192 MEX523720:MEX523728 MEX589256:MEX589264 MEX654792:MEX654800 MEX720328:MEX720336 MEX785864:MEX785872 MEX851400:MEX851408 MEX916936:MEX916944 MEX982472:MEX982480 MOT64968:MOT64976 MOT130504:MOT130512 MOT196040:MOT196048 MOT261576:MOT261584 MOT327112:MOT327120 MOT392648:MOT392656 MOT458184:MOT458192 MOT523720:MOT523728 MOT589256:MOT589264 MOT654792:MOT654800 MOT720328:MOT720336 MOT785864:MOT785872 MOT851400:MOT851408 MOT916936:MOT916944 MOT982472:MOT982480 MYP64968:MYP64976 MYP130504:MYP130512 MYP196040:MYP196048 MYP261576:MYP261584 MYP327112:MYP327120 MYP392648:MYP392656 MYP458184:MYP458192 MYP523720:MYP523728 MYP589256:MYP589264 MYP654792:MYP654800 MYP720328:MYP720336 MYP785864:MYP785872 MYP851400:MYP851408 MYP916936:MYP916944 MYP982472:MYP982480 NIL64968:NIL64976 NIL130504:NIL130512 NIL196040:NIL196048 NIL261576:NIL261584 NIL327112:NIL327120 NIL392648:NIL392656 NIL458184:NIL458192 NIL523720:NIL523728 NIL589256:NIL589264 NIL654792:NIL654800 NIL720328:NIL720336 NIL785864:NIL785872 NIL851400:NIL851408 NIL916936:NIL916944 NIL982472:NIL982480 NSH64968:NSH64976 NSH130504:NSH130512 NSH196040:NSH196048 NSH261576:NSH261584 NSH327112:NSH327120 NSH392648:NSH392656 NSH458184:NSH458192 NSH523720:NSH523728 NSH589256:NSH589264 NSH654792:NSH654800 NSH720328:NSH720336 NSH785864:NSH785872 NSH851400:NSH851408 NSH916936:NSH916944 NSH982472:NSH982480 OCD64968:OCD64976 OCD130504:OCD130512 OCD196040:OCD196048 OCD261576:OCD261584 OCD327112:OCD327120 OCD392648:OCD392656 OCD458184:OCD458192 OCD523720:OCD523728 OCD589256:OCD589264 OCD654792:OCD654800 OCD720328:OCD720336 OCD785864:OCD785872 OCD851400:OCD851408 OCD916936:OCD916944 OCD982472:OCD982480 OLZ64968:OLZ64976 OLZ130504:OLZ130512 OLZ196040:OLZ196048 OLZ261576:OLZ261584 OLZ327112:OLZ327120 OLZ392648:OLZ392656 OLZ458184:OLZ458192 OLZ523720:OLZ523728 OLZ589256:OLZ589264 OLZ654792:OLZ654800 OLZ720328:OLZ720336 OLZ785864:OLZ785872 OLZ851400:OLZ851408 OLZ916936:OLZ916944 OLZ982472:OLZ982480 OVV64968:OVV64976 OVV130504:OVV130512 OVV196040:OVV196048 OVV261576:OVV261584 OVV327112:OVV327120 OVV392648:OVV392656 OVV458184:OVV458192 OVV523720:OVV523728 OVV589256:OVV589264 OVV654792:OVV654800 OVV720328:OVV720336 OVV785864:OVV785872 OVV851400:OVV851408 OVV916936:OVV916944 OVV982472:OVV982480 PFR64968:PFR64976 PFR130504:PFR130512 PFR196040:PFR196048 PFR261576:PFR261584 PFR327112:PFR327120 PFR392648:PFR392656 PFR458184:PFR458192 PFR523720:PFR523728 PFR589256:PFR589264 PFR654792:PFR654800 PFR720328:PFR720336 PFR785864:PFR785872 PFR851400:PFR851408 PFR916936:PFR916944 PFR982472:PFR982480 PPN64968:PPN64976 PPN130504:PPN130512 PPN196040:PPN196048 PPN261576:PPN261584 PPN327112:PPN327120 PPN392648:PPN392656 PPN458184:PPN458192 PPN523720:PPN523728 PPN589256:PPN589264 PPN654792:PPN654800 PPN720328:PPN720336 PPN785864:PPN785872 PPN851400:PPN851408 PPN916936:PPN916944 PPN982472:PPN982480 PZJ64968:PZJ64976 PZJ130504:PZJ130512 PZJ196040:PZJ196048 PZJ261576:PZJ261584 PZJ327112:PZJ327120 PZJ392648:PZJ392656 PZJ458184:PZJ458192 PZJ523720:PZJ523728 PZJ589256:PZJ589264 PZJ654792:PZJ654800 PZJ720328:PZJ720336 PZJ785864:PZJ785872 PZJ851400:PZJ851408 PZJ916936:PZJ916944 PZJ982472:PZJ982480 QJF64968:QJF64976 QJF130504:QJF130512 QJF196040:QJF196048 QJF261576:QJF261584 QJF327112:QJF327120 QJF392648:QJF392656 QJF458184:QJF458192 QJF523720:QJF523728 QJF589256:QJF589264 QJF654792:QJF654800 QJF720328:QJF720336 QJF785864:QJF785872 QJF851400:QJF851408 QJF916936:QJF916944 QJF982472:QJF982480 QTB64968:QTB64976 QTB130504:QTB130512 QTB196040:QTB196048 QTB261576:QTB261584 QTB327112:QTB327120 QTB392648:QTB392656 QTB458184:QTB458192 QTB523720:QTB523728 QTB589256:QTB589264 QTB654792:QTB654800 QTB720328:QTB720336 QTB785864:QTB785872 QTB851400:QTB851408 QTB916936:QTB916944 QTB982472:QTB982480 RCX64968:RCX64976 RCX130504:RCX130512 RCX196040:RCX196048 RCX261576:RCX261584 RCX327112:RCX327120 RCX392648:RCX392656 RCX458184:RCX458192 RCX523720:RCX523728 RCX589256:RCX589264 RCX654792:RCX654800 RCX720328:RCX720336 RCX785864:RCX785872 RCX851400:RCX851408 RCX916936:RCX916944 RCX982472:RCX982480 RMT64968:RMT64976 RMT130504:RMT130512 RMT196040:RMT196048 RMT261576:RMT261584 RMT327112:RMT327120 RMT392648:RMT392656 RMT458184:RMT458192 RMT523720:RMT523728 RMT589256:RMT589264 RMT654792:RMT654800 RMT720328:RMT720336 RMT785864:RMT785872 RMT851400:RMT851408 RMT916936:RMT916944 RMT982472:RMT982480 RWP64968:RWP64976 RWP130504:RWP130512 RWP196040:RWP196048 RWP261576:RWP261584 RWP327112:RWP327120 RWP392648:RWP392656 RWP458184:RWP458192 RWP523720:RWP523728 RWP589256:RWP589264 RWP654792:RWP654800 RWP720328:RWP720336 RWP785864:RWP785872 RWP851400:RWP851408 RWP916936:RWP916944 RWP982472:RWP982480 SGL64968:SGL64976 SGL130504:SGL130512 SGL196040:SGL196048 SGL261576:SGL261584 SGL327112:SGL327120 SGL392648:SGL392656 SGL458184:SGL458192 SGL523720:SGL523728 SGL589256:SGL589264 SGL654792:SGL654800 SGL720328:SGL720336 SGL785864:SGL785872 SGL851400:SGL851408 SGL916936:SGL916944 SGL982472:SGL982480 SQH64968:SQH64976 SQH130504:SQH130512 SQH196040:SQH196048 SQH261576:SQH261584 SQH327112:SQH327120 SQH392648:SQH392656 SQH458184:SQH458192 SQH523720:SQH523728 SQH589256:SQH589264 SQH654792:SQH654800 SQH720328:SQH720336 SQH785864:SQH785872 SQH851400:SQH851408 SQH916936:SQH916944 SQH982472:SQH982480 TAD64968:TAD64976 TAD130504:TAD130512 TAD196040:TAD196048 TAD261576:TAD261584 TAD327112:TAD327120 TAD392648:TAD392656 TAD458184:TAD458192 TAD523720:TAD523728 TAD589256:TAD589264 TAD654792:TAD654800 TAD720328:TAD720336 TAD785864:TAD785872 TAD851400:TAD851408 TAD916936:TAD916944 TAD982472:TAD982480 TJZ64968:TJZ64976 TJZ130504:TJZ130512 TJZ196040:TJZ196048 TJZ261576:TJZ261584 TJZ327112:TJZ327120 TJZ392648:TJZ392656 TJZ458184:TJZ458192 TJZ523720:TJZ523728 TJZ589256:TJZ589264 TJZ654792:TJZ654800 TJZ720328:TJZ720336 TJZ785864:TJZ785872 TJZ851400:TJZ851408 TJZ916936:TJZ916944 TJZ982472:TJZ982480 TTV64968:TTV64976 TTV130504:TTV130512 TTV196040:TTV196048 TTV261576:TTV261584 TTV327112:TTV327120 TTV392648:TTV392656 TTV458184:TTV458192 TTV523720:TTV523728 TTV589256:TTV589264 TTV654792:TTV654800 TTV720328:TTV720336 TTV785864:TTV785872 TTV851400:TTV851408 TTV916936:TTV916944 TTV982472:TTV982480 UDR64968:UDR64976 UDR130504:UDR130512 UDR196040:UDR196048 UDR261576:UDR261584 UDR327112:UDR327120 UDR392648:UDR392656 UDR458184:UDR458192 UDR523720:UDR523728 UDR589256:UDR589264 UDR654792:UDR654800 UDR720328:UDR720336 UDR785864:UDR785872 UDR851400:UDR851408 UDR916936:UDR916944 UDR982472:UDR982480 UNN64968:UNN64976 UNN130504:UNN130512 UNN196040:UNN196048 UNN261576:UNN261584 UNN327112:UNN327120 UNN392648:UNN392656 UNN458184:UNN458192 UNN523720:UNN523728 UNN589256:UNN589264 UNN654792:UNN654800 UNN720328:UNN720336 UNN785864:UNN785872 UNN851400:UNN851408 UNN916936:UNN916944 UNN982472:UNN982480 UXJ64968:UXJ64976 UXJ130504:UXJ130512 UXJ196040:UXJ196048 UXJ261576:UXJ261584 UXJ327112:UXJ327120 UXJ392648:UXJ392656 UXJ458184:UXJ458192 UXJ523720:UXJ523728 UXJ589256:UXJ589264 UXJ654792:UXJ654800 UXJ720328:UXJ720336 UXJ785864:UXJ785872 UXJ851400:UXJ851408 UXJ916936:UXJ916944 UXJ982472:UXJ982480 VHF64968:VHF64976 VHF130504:VHF130512 VHF196040:VHF196048 VHF261576:VHF261584 VHF327112:VHF327120 VHF392648:VHF392656 VHF458184:VHF458192 VHF523720:VHF523728 VHF589256:VHF589264 VHF654792:VHF654800 VHF720328:VHF720336 VHF785864:VHF785872 VHF851400:VHF851408 VHF916936:VHF916944 VHF982472:VHF982480 VRB64968:VRB64976 VRB130504:VRB130512 VRB196040:VRB196048 VRB261576:VRB261584 VRB327112:VRB327120 VRB392648:VRB392656 VRB458184:VRB458192 VRB523720:VRB523728 VRB589256:VRB589264 VRB654792:VRB654800 VRB720328:VRB720336 VRB785864:VRB785872 VRB851400:VRB851408 VRB916936:VRB916944 VRB982472:VRB982480 WAX64968:WAX64976 WAX130504:WAX130512 WAX196040:WAX196048 WAX261576:WAX261584 WAX327112:WAX327120 WAX392648:WAX392656 WAX458184:WAX458192 WAX523720:WAX523728 WAX589256:WAX589264 WAX654792:WAX654800 WAX720328:WAX720336 WAX785864:WAX785872 WAX851400:WAX851408 WAX916936:WAX916944 WAX982472:WAX982480 WKT64968:WKT64976 WKT130504:WKT130512 WKT196040:WKT196048 WKT261576:WKT261584 WKT327112:WKT327120 WKT392648:WKT392656 WKT458184:WKT458192 WKT523720:WKT523728 WKT589256:WKT589264 WKT654792:WKT654800 WKT720328:WKT720336 WKT785864:WKT785872 WKT851400:WKT851408 WKT916936:WKT916944 WKT982472:WKT982480 WUP64968:WUP64976 WUP130504:WUP130512 WUP196040:WUP196048 WUP261576:WUP261584 WUP327112:WUP327120 WUP392648:WUP392656 WUP458184:WUP458192 WUP523720:WUP523728 WUP589256:WUP589264 WUP654792:WUP654800 WUP720328:WUP720336 WUP785864:WUP785872 WUP851400:WUP851408 WUP916936:WUP916944 WUP982472:WUP982480" xr:uid="{00000000-0002-0000-0600-000000000000}">
      <formula1>#REF!</formula1>
    </dataValidation>
  </dataValidation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0B3B9-59AE-4166-A3E1-484A486B9E1A}">
  <dimension ref="B1:H26"/>
  <sheetViews>
    <sheetView workbookViewId="0">
      <selection activeCell="B3" sqref="B3:B26"/>
    </sheetView>
  </sheetViews>
  <sheetFormatPr defaultRowHeight="14.5"/>
  <cols>
    <col min="6" max="6" width="11.6328125" bestFit="1" customWidth="1"/>
    <col min="7" max="7" width="11.54296875" bestFit="1" customWidth="1"/>
    <col min="8" max="8" width="10.453125" bestFit="1" customWidth="1"/>
  </cols>
  <sheetData>
    <row r="1" spans="2:8">
      <c r="B1" s="887" t="s">
        <v>1645</v>
      </c>
      <c r="C1" s="887" t="s">
        <v>1119</v>
      </c>
      <c r="D1" s="887" t="s">
        <v>1092</v>
      </c>
      <c r="E1" s="310"/>
      <c r="F1" s="887" t="s">
        <v>206</v>
      </c>
      <c r="G1" s="893" t="s">
        <v>207</v>
      </c>
      <c r="H1" s="310" t="s">
        <v>1646</v>
      </c>
    </row>
    <row r="2" spans="2:8">
      <c r="B2" s="630">
        <v>1</v>
      </c>
      <c r="C2" s="631" t="s">
        <v>269</v>
      </c>
      <c r="D2" s="631" t="s">
        <v>182</v>
      </c>
      <c r="E2" s="636"/>
      <c r="F2" s="636" t="s">
        <v>210</v>
      </c>
      <c r="G2" s="634">
        <v>45799</v>
      </c>
      <c r="H2" s="634">
        <v>45812</v>
      </c>
    </row>
    <row r="3" spans="2:8">
      <c r="B3" s="630">
        <f>B2+1</f>
        <v>2</v>
      </c>
      <c r="C3" s="632" t="s">
        <v>477</v>
      </c>
      <c r="D3" s="632" t="s">
        <v>242</v>
      </c>
      <c r="E3" s="636"/>
      <c r="F3" s="636" t="s">
        <v>210</v>
      </c>
      <c r="G3" s="635">
        <v>45807</v>
      </c>
      <c r="H3" s="635">
        <v>45813</v>
      </c>
    </row>
    <row r="4" spans="2:8">
      <c r="B4" s="630">
        <f t="shared" ref="B4:B26" si="0">B3+1</f>
        <v>3</v>
      </c>
      <c r="C4" s="631" t="s">
        <v>1334</v>
      </c>
      <c r="D4" s="631" t="s">
        <v>115</v>
      </c>
      <c r="E4" s="636"/>
      <c r="F4" s="636" t="s">
        <v>292</v>
      </c>
      <c r="G4" s="634">
        <v>45805</v>
      </c>
      <c r="H4" s="634">
        <v>45814</v>
      </c>
    </row>
    <row r="5" spans="2:8">
      <c r="B5" s="630">
        <f t="shared" si="0"/>
        <v>4</v>
      </c>
      <c r="C5" s="632" t="s">
        <v>1368</v>
      </c>
      <c r="D5" s="632" t="s">
        <v>115</v>
      </c>
      <c r="E5" s="636"/>
      <c r="F5" s="636" t="s">
        <v>210</v>
      </c>
      <c r="G5" s="889">
        <v>45809</v>
      </c>
      <c r="H5" s="889">
        <v>45815</v>
      </c>
    </row>
    <row r="6" spans="2:8">
      <c r="B6" s="630">
        <f t="shared" si="0"/>
        <v>5</v>
      </c>
      <c r="C6" s="632" t="s">
        <v>811</v>
      </c>
      <c r="D6" s="632" t="s">
        <v>182</v>
      </c>
      <c r="E6" s="636"/>
      <c r="F6" s="636" t="s">
        <v>210</v>
      </c>
      <c r="G6" s="634">
        <v>45810</v>
      </c>
      <c r="H6" s="634">
        <v>45816</v>
      </c>
    </row>
    <row r="7" spans="2:8">
      <c r="B7" s="630">
        <f t="shared" si="0"/>
        <v>6</v>
      </c>
      <c r="C7" s="632" t="s">
        <v>393</v>
      </c>
      <c r="D7" s="632" t="s">
        <v>182</v>
      </c>
      <c r="E7" s="636"/>
      <c r="F7" s="636" t="s">
        <v>210</v>
      </c>
      <c r="G7" s="634">
        <v>45810</v>
      </c>
      <c r="H7" s="634">
        <v>45818</v>
      </c>
    </row>
    <row r="8" spans="2:8">
      <c r="B8" s="630">
        <f t="shared" si="0"/>
        <v>7</v>
      </c>
      <c r="C8" s="632" t="s">
        <v>1371</v>
      </c>
      <c r="D8" s="632" t="s">
        <v>125</v>
      </c>
      <c r="E8" s="636"/>
      <c r="F8" s="636" t="s">
        <v>210</v>
      </c>
      <c r="G8" s="635">
        <v>45877</v>
      </c>
      <c r="H8" s="890">
        <v>45820</v>
      </c>
    </row>
    <row r="9" spans="2:8">
      <c r="B9" s="630">
        <f t="shared" si="0"/>
        <v>8</v>
      </c>
      <c r="C9" s="632" t="s">
        <v>814</v>
      </c>
      <c r="D9" s="632" t="s">
        <v>182</v>
      </c>
      <c r="E9" s="636"/>
      <c r="F9" s="636" t="s">
        <v>210</v>
      </c>
      <c r="G9" s="635">
        <v>45812</v>
      </c>
      <c r="H9" s="635">
        <v>45820</v>
      </c>
    </row>
    <row r="10" spans="2:8">
      <c r="B10" s="630">
        <f t="shared" si="0"/>
        <v>9</v>
      </c>
      <c r="C10" s="632" t="s">
        <v>1370</v>
      </c>
      <c r="D10" s="632" t="s">
        <v>143</v>
      </c>
      <c r="E10" s="636"/>
      <c r="F10" s="636" t="s">
        <v>210</v>
      </c>
      <c r="G10" s="634">
        <v>45813</v>
      </c>
      <c r="H10" s="634">
        <v>45823</v>
      </c>
    </row>
    <row r="11" spans="2:8">
      <c r="B11" s="630">
        <f t="shared" si="0"/>
        <v>10</v>
      </c>
      <c r="C11" s="631" t="s">
        <v>392</v>
      </c>
      <c r="D11" s="631" t="s">
        <v>242</v>
      </c>
      <c r="E11" s="636"/>
      <c r="F11" s="636" t="s">
        <v>210</v>
      </c>
      <c r="G11" s="634">
        <v>45818</v>
      </c>
      <c r="H11" s="634">
        <v>45823</v>
      </c>
    </row>
    <row r="12" spans="2:8">
      <c r="B12" s="630">
        <f t="shared" si="0"/>
        <v>11</v>
      </c>
      <c r="C12" s="632" t="s">
        <v>193</v>
      </c>
      <c r="D12" s="632" t="s">
        <v>115</v>
      </c>
      <c r="E12" s="636"/>
      <c r="F12" s="636" t="s">
        <v>210</v>
      </c>
      <c r="G12" s="635">
        <v>45816</v>
      </c>
      <c r="H12" s="634">
        <v>45823</v>
      </c>
    </row>
    <row r="13" spans="2:8">
      <c r="B13" s="630">
        <f t="shared" si="0"/>
        <v>12</v>
      </c>
      <c r="C13" s="632" t="s">
        <v>159</v>
      </c>
      <c r="D13" s="632" t="s">
        <v>115</v>
      </c>
      <c r="E13" s="636"/>
      <c r="F13" s="636" t="s">
        <v>210</v>
      </c>
      <c r="G13" s="634">
        <v>45821</v>
      </c>
      <c r="H13" s="889">
        <v>45824</v>
      </c>
    </row>
    <row r="14" spans="2:8">
      <c r="B14" s="630">
        <f t="shared" si="0"/>
        <v>13</v>
      </c>
      <c r="C14" s="632" t="s">
        <v>813</v>
      </c>
      <c r="D14" s="632" t="s">
        <v>182</v>
      </c>
      <c r="E14" s="636"/>
      <c r="F14" s="636" t="s">
        <v>210</v>
      </c>
      <c r="G14" s="634">
        <v>45821</v>
      </c>
      <c r="H14" s="634">
        <v>45824</v>
      </c>
    </row>
    <row r="15" spans="2:8">
      <c r="B15" s="630">
        <f t="shared" si="0"/>
        <v>14</v>
      </c>
      <c r="C15" s="632" t="s">
        <v>157</v>
      </c>
      <c r="D15" s="632" t="s">
        <v>132</v>
      </c>
      <c r="E15" s="636"/>
      <c r="F15" s="636" t="s">
        <v>210</v>
      </c>
      <c r="G15" s="635">
        <v>45824</v>
      </c>
      <c r="H15" s="890">
        <v>45828</v>
      </c>
    </row>
    <row r="16" spans="2:8">
      <c r="B16" s="630">
        <f t="shared" si="0"/>
        <v>15</v>
      </c>
      <c r="C16" s="632" t="s">
        <v>810</v>
      </c>
      <c r="D16" s="632" t="s">
        <v>182</v>
      </c>
      <c r="E16" s="636"/>
      <c r="F16" s="636" t="s">
        <v>210</v>
      </c>
      <c r="G16" s="634">
        <v>45823</v>
      </c>
      <c r="H16" s="634">
        <v>45829</v>
      </c>
    </row>
    <row r="17" spans="2:8">
      <c r="B17" s="630">
        <f t="shared" si="0"/>
        <v>16</v>
      </c>
      <c r="C17" s="633" t="s">
        <v>816</v>
      </c>
      <c r="D17" s="633" t="s">
        <v>182</v>
      </c>
      <c r="E17" s="637"/>
      <c r="F17" s="637" t="s">
        <v>210</v>
      </c>
      <c r="G17" s="638">
        <v>45823</v>
      </c>
      <c r="H17" s="638">
        <v>45830</v>
      </c>
    </row>
    <row r="18" spans="2:8">
      <c r="B18" s="630">
        <f t="shared" si="0"/>
        <v>17</v>
      </c>
      <c r="C18" s="633" t="s">
        <v>415</v>
      </c>
      <c r="D18" s="633" t="s">
        <v>119</v>
      </c>
      <c r="E18" s="637"/>
      <c r="F18" s="637" t="s">
        <v>292</v>
      </c>
      <c r="G18" s="638">
        <v>45824</v>
      </c>
      <c r="H18" s="638">
        <v>45831</v>
      </c>
    </row>
    <row r="19" spans="2:8">
      <c r="B19" s="630">
        <f t="shared" si="0"/>
        <v>18</v>
      </c>
      <c r="C19" s="617" t="s">
        <v>809</v>
      </c>
      <c r="D19" s="617" t="s">
        <v>182</v>
      </c>
      <c r="E19" s="325"/>
      <c r="F19" s="325" t="s">
        <v>210</v>
      </c>
      <c r="G19" s="642">
        <v>45830</v>
      </c>
      <c r="H19" s="642">
        <v>45833</v>
      </c>
    </row>
    <row r="20" spans="2:8">
      <c r="B20" s="630">
        <f t="shared" si="0"/>
        <v>19</v>
      </c>
      <c r="C20" s="628" t="s">
        <v>812</v>
      </c>
      <c r="D20" s="628" t="s">
        <v>182</v>
      </c>
      <c r="E20" s="843"/>
      <c r="F20" s="843" t="s">
        <v>210</v>
      </c>
      <c r="G20" s="643">
        <v>45830</v>
      </c>
      <c r="H20" s="643">
        <v>45833</v>
      </c>
    </row>
    <row r="21" spans="2:8">
      <c r="B21" s="630">
        <f t="shared" si="0"/>
        <v>20</v>
      </c>
      <c r="C21" s="646" t="s">
        <v>1496</v>
      </c>
      <c r="D21" s="646" t="s">
        <v>119</v>
      </c>
      <c r="E21" s="844"/>
      <c r="F21" s="844" t="s">
        <v>210</v>
      </c>
      <c r="G21" s="647">
        <v>45828</v>
      </c>
      <c r="H21" s="891">
        <v>45834</v>
      </c>
    </row>
    <row r="22" spans="2:8">
      <c r="B22" s="630">
        <f t="shared" si="0"/>
        <v>21</v>
      </c>
      <c r="C22" s="617" t="s">
        <v>1303</v>
      </c>
      <c r="D22" s="617" t="s">
        <v>125</v>
      </c>
      <c r="E22" s="325"/>
      <c r="F22" s="325" t="s">
        <v>210</v>
      </c>
      <c r="G22" s="645">
        <v>45825</v>
      </c>
      <c r="H22" s="648">
        <v>45835</v>
      </c>
    </row>
    <row r="23" spans="2:8">
      <c r="B23" s="630">
        <f t="shared" si="0"/>
        <v>22</v>
      </c>
      <c r="C23" s="628" t="s">
        <v>372</v>
      </c>
      <c r="D23" s="628" t="s">
        <v>185</v>
      </c>
      <c r="E23" s="843"/>
      <c r="F23" s="843" t="s">
        <v>292</v>
      </c>
      <c r="G23" s="544">
        <v>45833</v>
      </c>
      <c r="H23" s="892">
        <v>45838</v>
      </c>
    </row>
    <row r="24" spans="2:8">
      <c r="B24" s="630">
        <f t="shared" si="0"/>
        <v>23</v>
      </c>
      <c r="C24" s="617" t="s">
        <v>1372</v>
      </c>
      <c r="D24" s="617" t="s">
        <v>115</v>
      </c>
      <c r="E24" s="325"/>
      <c r="F24" s="325" t="s">
        <v>210</v>
      </c>
      <c r="G24" s="642">
        <v>45818</v>
      </c>
      <c r="H24" s="834">
        <v>45838</v>
      </c>
    </row>
    <row r="25" spans="2:8">
      <c r="B25" s="630">
        <f t="shared" si="0"/>
        <v>24</v>
      </c>
      <c r="C25" s="548" t="s">
        <v>808</v>
      </c>
      <c r="D25" s="548" t="s">
        <v>185</v>
      </c>
      <c r="E25" s="316"/>
      <c r="F25" s="316" t="s">
        <v>210</v>
      </c>
      <c r="G25" s="648">
        <v>45833</v>
      </c>
      <c r="H25" s="834">
        <v>45838</v>
      </c>
    </row>
    <row r="26" spans="2:8">
      <c r="B26" s="630">
        <f t="shared" si="0"/>
        <v>25</v>
      </c>
      <c r="C26" s="548" t="s">
        <v>817</v>
      </c>
      <c r="D26" s="548" t="s">
        <v>182</v>
      </c>
      <c r="E26" s="316"/>
      <c r="F26" s="316" t="s">
        <v>210</v>
      </c>
      <c r="G26" s="544">
        <v>45833</v>
      </c>
      <c r="H26" s="834">
        <v>45838</v>
      </c>
    </row>
  </sheetData>
  <conditionalFormatting sqref="C1">
    <cfRule type="duplicateValues" dxfId="3397" priority="1"/>
  </conditionalFormatting>
  <conditionalFormatting sqref="C2:C9 C11:C26">
    <cfRule type="duplicateValues" dxfId="3396" priority="6"/>
    <cfRule type="duplicateValues" dxfId="3395" priority="7"/>
    <cfRule type="duplicateValues" dxfId="3394" priority="8" stopIfTrue="1"/>
  </conditionalFormatting>
  <conditionalFormatting sqref="C2:C26">
    <cfRule type="duplicateValues" dxfId="3393" priority="2"/>
  </conditionalFormatting>
  <conditionalFormatting sqref="C10">
    <cfRule type="duplicateValues" dxfId="3392" priority="3"/>
    <cfRule type="duplicateValues" dxfId="3391" priority="4"/>
    <cfRule type="duplicateValues" dxfId="3390" priority="5" stopIfTrue="1"/>
  </conditionalFormatting>
  <pageMargins left="0.70866141732283472" right="0.70866141732283472" top="0.74803149606299213" bottom="0.74803149606299213" header="0.31496062992125984" footer="0.31496062992125984"/>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VG312"/>
  <sheetViews>
    <sheetView view="pageBreakPreview" topLeftCell="A219" zoomScale="90" zoomScaleNormal="90" zoomScaleSheetLayoutView="90" workbookViewId="0">
      <selection activeCell="P227" sqref="P227:P234"/>
    </sheetView>
  </sheetViews>
  <sheetFormatPr defaultColWidth="9" defaultRowHeight="13"/>
  <cols>
    <col min="1" max="1" width="4.1796875" style="322" customWidth="1"/>
    <col min="2" max="2" width="7.54296875" style="322" customWidth="1"/>
    <col min="3" max="3" width="4.81640625" style="322" hidden="1" customWidth="1"/>
    <col min="4" max="4" width="10.54296875" style="322" customWidth="1"/>
    <col min="5" max="7" width="9.6328125" style="322" hidden="1" customWidth="1"/>
    <col min="8" max="8" width="12" style="322" hidden="1" customWidth="1"/>
    <col min="9" max="9" width="9.6328125" style="322" hidden="1" customWidth="1"/>
    <col min="10" max="10" width="9" style="322" customWidth="1"/>
    <col min="11" max="11" width="9.81640625" style="322" customWidth="1"/>
    <col min="12" max="12" width="14.90625" style="322" customWidth="1"/>
    <col min="13" max="13" width="12" style="322" customWidth="1"/>
    <col min="14" max="14" width="23.453125" style="322" bestFit="1" customWidth="1"/>
    <col min="15" max="15" width="15.1796875" style="322" hidden="1" customWidth="1"/>
    <col min="16" max="16" width="28.36328125" style="322" customWidth="1"/>
    <col min="17" max="245" width="30.54296875" style="322" customWidth="1"/>
    <col min="246" max="246" width="6.54296875" style="322" customWidth="1"/>
    <col min="247" max="247" width="7.54296875" style="322" customWidth="1"/>
    <col min="248" max="248" width="4.81640625" style="322" customWidth="1"/>
    <col min="249" max="249" width="11.81640625" style="322" customWidth="1"/>
    <col min="250" max="250" width="9.81640625" style="322" customWidth="1"/>
    <col min="251" max="251" width="3" style="322" customWidth="1"/>
    <col min="252" max="252" width="7.1796875" style="322" customWidth="1"/>
    <col min="253" max="253" width="22.81640625" style="322" customWidth="1"/>
    <col min="254" max="254" width="7.1796875" style="322" customWidth="1"/>
    <col min="255" max="255" width="9" style="322" hidden="1" customWidth="1"/>
    <col min="256" max="256" width="8.81640625" style="322" customWidth="1"/>
    <col min="257" max="257" width="9.81640625" style="322" customWidth="1"/>
    <col min="258" max="258" width="10.54296875" style="322" customWidth="1"/>
    <col min="259" max="259" width="12.1796875" style="322" customWidth="1"/>
    <col min="260" max="260" width="11.1796875" style="322" customWidth="1"/>
    <col min="261" max="261" width="6.81640625" style="322" customWidth="1"/>
    <col min="262" max="501" width="30.54296875" style="322" customWidth="1"/>
    <col min="502" max="502" width="6.54296875" style="322" customWidth="1"/>
    <col min="503" max="503" width="7.54296875" style="322" customWidth="1"/>
    <col min="504" max="504" width="4.81640625" style="322" customWidth="1"/>
    <col min="505" max="505" width="11.81640625" style="322" customWidth="1"/>
    <col min="506" max="506" width="9.81640625" style="322" customWidth="1"/>
    <col min="507" max="507" width="3" style="322" customWidth="1"/>
    <col min="508" max="508" width="7.1796875" style="322" customWidth="1"/>
    <col min="509" max="509" width="22.81640625" style="322" customWidth="1"/>
    <col min="510" max="510" width="7.1796875" style="322" customWidth="1"/>
    <col min="511" max="511" width="9" style="322" hidden="1" customWidth="1"/>
    <col min="512" max="512" width="8.81640625" style="322" customWidth="1"/>
    <col min="513" max="513" width="9.81640625" style="322" customWidth="1"/>
    <col min="514" max="514" width="10.54296875" style="322" customWidth="1"/>
    <col min="515" max="515" width="12.1796875" style="322" customWidth="1"/>
    <col min="516" max="516" width="11.1796875" style="322" customWidth="1"/>
    <col min="517" max="517" width="6.81640625" style="322" customWidth="1"/>
    <col min="518" max="757" width="30.54296875" style="322" customWidth="1"/>
    <col min="758" max="758" width="6.54296875" style="322" customWidth="1"/>
    <col min="759" max="759" width="7.54296875" style="322" customWidth="1"/>
    <col min="760" max="760" width="4.81640625" style="322" customWidth="1"/>
    <col min="761" max="761" width="11.81640625" style="322" customWidth="1"/>
    <col min="762" max="762" width="9.81640625" style="322" customWidth="1"/>
    <col min="763" max="763" width="3" style="322" customWidth="1"/>
    <col min="764" max="764" width="7.1796875" style="322" customWidth="1"/>
    <col min="765" max="765" width="22.81640625" style="322" customWidth="1"/>
    <col min="766" max="766" width="7.1796875" style="322" customWidth="1"/>
    <col min="767" max="767" width="9" style="322" hidden="1" customWidth="1"/>
    <col min="768" max="768" width="8.81640625" style="322" customWidth="1"/>
    <col min="769" max="769" width="9.81640625" style="322" customWidth="1"/>
    <col min="770" max="770" width="10.54296875" style="322" customWidth="1"/>
    <col min="771" max="771" width="12.1796875" style="322" customWidth="1"/>
    <col min="772" max="772" width="11.1796875" style="322" customWidth="1"/>
    <col min="773" max="773" width="6.81640625" style="322" customWidth="1"/>
    <col min="774" max="1013" width="30.54296875" style="322" customWidth="1"/>
    <col min="1014" max="1014" width="6.54296875" style="322" customWidth="1"/>
    <col min="1015" max="1015" width="7.54296875" style="322" customWidth="1"/>
    <col min="1016" max="1016" width="4.81640625" style="322" customWidth="1"/>
    <col min="1017" max="1017" width="11.81640625" style="322" customWidth="1"/>
    <col min="1018" max="1018" width="9.81640625" style="322" customWidth="1"/>
    <col min="1019" max="1019" width="3" style="322" customWidth="1"/>
    <col min="1020" max="1020" width="7.1796875" style="322" customWidth="1"/>
    <col min="1021" max="1021" width="22.81640625" style="322" customWidth="1"/>
    <col min="1022" max="1022" width="7.1796875" style="322" customWidth="1"/>
    <col min="1023" max="1023" width="9" style="322" hidden="1" customWidth="1"/>
    <col min="1024" max="1024" width="8.81640625" style="322" customWidth="1"/>
    <col min="1025" max="1025" width="9.81640625" style="322" customWidth="1"/>
    <col min="1026" max="1026" width="10.54296875" style="322" customWidth="1"/>
    <col min="1027" max="1027" width="12.1796875" style="322" customWidth="1"/>
    <col min="1028" max="1028" width="11.1796875" style="322" customWidth="1"/>
    <col min="1029" max="1029" width="6.81640625" style="322" customWidth="1"/>
    <col min="1030" max="1269" width="30.54296875" style="322" customWidth="1"/>
    <col min="1270" max="1270" width="6.54296875" style="322" customWidth="1"/>
    <col min="1271" max="1271" width="7.54296875" style="322" customWidth="1"/>
    <col min="1272" max="1272" width="4.81640625" style="322" customWidth="1"/>
    <col min="1273" max="1273" width="11.81640625" style="322" customWidth="1"/>
    <col min="1274" max="1274" width="9.81640625" style="322" customWidth="1"/>
    <col min="1275" max="1275" width="3" style="322" customWidth="1"/>
    <col min="1276" max="1276" width="7.1796875" style="322" customWidth="1"/>
    <col min="1277" max="1277" width="22.81640625" style="322" customWidth="1"/>
    <col min="1278" max="1278" width="7.1796875" style="322" customWidth="1"/>
    <col min="1279" max="1279" width="9" style="322" hidden="1" customWidth="1"/>
    <col min="1280" max="1280" width="8.81640625" style="322" customWidth="1"/>
    <col min="1281" max="1281" width="9.81640625" style="322" customWidth="1"/>
    <col min="1282" max="1282" width="10.54296875" style="322" customWidth="1"/>
    <col min="1283" max="1283" width="12.1796875" style="322" customWidth="1"/>
    <col min="1284" max="1284" width="11.1796875" style="322" customWidth="1"/>
    <col min="1285" max="1285" width="6.81640625" style="322" customWidth="1"/>
    <col min="1286" max="1525" width="30.54296875" style="322" customWidth="1"/>
    <col min="1526" max="1526" width="6.54296875" style="322" customWidth="1"/>
    <col min="1527" max="1527" width="7.54296875" style="322" customWidth="1"/>
    <col min="1528" max="1528" width="4.81640625" style="322" customWidth="1"/>
    <col min="1529" max="1529" width="11.81640625" style="322" customWidth="1"/>
    <col min="1530" max="1530" width="9.81640625" style="322" customWidth="1"/>
    <col min="1531" max="1531" width="3" style="322" customWidth="1"/>
    <col min="1532" max="1532" width="7.1796875" style="322" customWidth="1"/>
    <col min="1533" max="1533" width="22.81640625" style="322" customWidth="1"/>
    <col min="1534" max="1534" width="7.1796875" style="322" customWidth="1"/>
    <col min="1535" max="1535" width="9" style="322" hidden="1" customWidth="1"/>
    <col min="1536" max="1536" width="8.81640625" style="322" customWidth="1"/>
    <col min="1537" max="1537" width="9.81640625" style="322" customWidth="1"/>
    <col min="1538" max="1538" width="10.54296875" style="322" customWidth="1"/>
    <col min="1539" max="1539" width="12.1796875" style="322" customWidth="1"/>
    <col min="1540" max="1540" width="11.1796875" style="322" customWidth="1"/>
    <col min="1541" max="1541" width="6.81640625" style="322" customWidth="1"/>
    <col min="1542" max="1781" width="30.54296875" style="322" customWidth="1"/>
    <col min="1782" max="1782" width="6.54296875" style="322" customWidth="1"/>
    <col min="1783" max="1783" width="7.54296875" style="322" customWidth="1"/>
    <col min="1784" max="1784" width="4.81640625" style="322" customWidth="1"/>
    <col min="1785" max="1785" width="11.81640625" style="322" customWidth="1"/>
    <col min="1786" max="1786" width="9.81640625" style="322" customWidth="1"/>
    <col min="1787" max="1787" width="3" style="322" customWidth="1"/>
    <col min="1788" max="1788" width="7.1796875" style="322" customWidth="1"/>
    <col min="1789" max="1789" width="22.81640625" style="322" customWidth="1"/>
    <col min="1790" max="1790" width="7.1796875" style="322" customWidth="1"/>
    <col min="1791" max="1791" width="9" style="322" hidden="1" customWidth="1"/>
    <col min="1792" max="1792" width="8.81640625" style="322" customWidth="1"/>
    <col min="1793" max="1793" width="9.81640625" style="322" customWidth="1"/>
    <col min="1794" max="1794" width="10.54296875" style="322" customWidth="1"/>
    <col min="1795" max="1795" width="12.1796875" style="322" customWidth="1"/>
    <col min="1796" max="1796" width="11.1796875" style="322" customWidth="1"/>
    <col min="1797" max="1797" width="6.81640625" style="322" customWidth="1"/>
    <col min="1798" max="2037" width="30.54296875" style="322" customWidth="1"/>
    <col min="2038" max="2038" width="6.54296875" style="322" customWidth="1"/>
    <col min="2039" max="2039" width="7.54296875" style="322" customWidth="1"/>
    <col min="2040" max="2040" width="4.81640625" style="322" customWidth="1"/>
    <col min="2041" max="2041" width="11.81640625" style="322" customWidth="1"/>
    <col min="2042" max="2042" width="9.81640625" style="322" customWidth="1"/>
    <col min="2043" max="2043" width="3" style="322" customWidth="1"/>
    <col min="2044" max="2044" width="7.1796875" style="322" customWidth="1"/>
    <col min="2045" max="2045" width="22.81640625" style="322" customWidth="1"/>
    <col min="2046" max="2046" width="7.1796875" style="322" customWidth="1"/>
    <col min="2047" max="2047" width="9" style="322" hidden="1" customWidth="1"/>
    <col min="2048" max="2048" width="8.81640625" style="322" customWidth="1"/>
    <col min="2049" max="2049" width="9.81640625" style="322" customWidth="1"/>
    <col min="2050" max="2050" width="10.54296875" style="322" customWidth="1"/>
    <col min="2051" max="2051" width="12.1796875" style="322" customWidth="1"/>
    <col min="2052" max="2052" width="11.1796875" style="322" customWidth="1"/>
    <col min="2053" max="2053" width="6.81640625" style="322" customWidth="1"/>
    <col min="2054" max="2293" width="30.54296875" style="322" customWidth="1"/>
    <col min="2294" max="2294" width="6.54296875" style="322" customWidth="1"/>
    <col min="2295" max="2295" width="7.54296875" style="322" customWidth="1"/>
    <col min="2296" max="2296" width="4.81640625" style="322" customWidth="1"/>
    <col min="2297" max="2297" width="11.81640625" style="322" customWidth="1"/>
    <col min="2298" max="2298" width="9.81640625" style="322" customWidth="1"/>
    <col min="2299" max="2299" width="3" style="322" customWidth="1"/>
    <col min="2300" max="2300" width="7.1796875" style="322" customWidth="1"/>
    <col min="2301" max="2301" width="22.81640625" style="322" customWidth="1"/>
    <col min="2302" max="2302" width="7.1796875" style="322" customWidth="1"/>
    <col min="2303" max="2303" width="9" style="322" hidden="1" customWidth="1"/>
    <col min="2304" max="2304" width="8.81640625" style="322" customWidth="1"/>
    <col min="2305" max="2305" width="9.81640625" style="322" customWidth="1"/>
    <col min="2306" max="2306" width="10.54296875" style="322" customWidth="1"/>
    <col min="2307" max="2307" width="12.1796875" style="322" customWidth="1"/>
    <col min="2308" max="2308" width="11.1796875" style="322" customWidth="1"/>
    <col min="2309" max="2309" width="6.81640625" style="322" customWidth="1"/>
    <col min="2310" max="2549" width="30.54296875" style="322" customWidth="1"/>
    <col min="2550" max="2550" width="6.54296875" style="322" customWidth="1"/>
    <col min="2551" max="2551" width="7.54296875" style="322" customWidth="1"/>
    <col min="2552" max="2552" width="4.81640625" style="322" customWidth="1"/>
    <col min="2553" max="2553" width="11.81640625" style="322" customWidth="1"/>
    <col min="2554" max="2554" width="9.81640625" style="322" customWidth="1"/>
    <col min="2555" max="2555" width="3" style="322" customWidth="1"/>
    <col min="2556" max="2556" width="7.1796875" style="322" customWidth="1"/>
    <col min="2557" max="2557" width="22.81640625" style="322" customWidth="1"/>
    <col min="2558" max="2558" width="7.1796875" style="322" customWidth="1"/>
    <col min="2559" max="2559" width="9" style="322" hidden="1" customWidth="1"/>
    <col min="2560" max="2560" width="8.81640625" style="322" customWidth="1"/>
    <col min="2561" max="2561" width="9.81640625" style="322" customWidth="1"/>
    <col min="2562" max="2562" width="10.54296875" style="322" customWidth="1"/>
    <col min="2563" max="2563" width="12.1796875" style="322" customWidth="1"/>
    <col min="2564" max="2564" width="11.1796875" style="322" customWidth="1"/>
    <col min="2565" max="2565" width="6.81640625" style="322" customWidth="1"/>
    <col min="2566" max="2805" width="30.54296875" style="322" customWidth="1"/>
    <col min="2806" max="2806" width="6.54296875" style="322" customWidth="1"/>
    <col min="2807" max="2807" width="7.54296875" style="322" customWidth="1"/>
    <col min="2808" max="2808" width="4.81640625" style="322" customWidth="1"/>
    <col min="2809" max="2809" width="11.81640625" style="322" customWidth="1"/>
    <col min="2810" max="2810" width="9.81640625" style="322" customWidth="1"/>
    <col min="2811" max="2811" width="3" style="322" customWidth="1"/>
    <col min="2812" max="2812" width="7.1796875" style="322" customWidth="1"/>
    <col min="2813" max="2813" width="22.81640625" style="322" customWidth="1"/>
    <col min="2814" max="2814" width="7.1796875" style="322" customWidth="1"/>
    <col min="2815" max="2815" width="9" style="322" hidden="1" customWidth="1"/>
    <col min="2816" max="2816" width="8.81640625" style="322" customWidth="1"/>
    <col min="2817" max="2817" width="9.81640625" style="322" customWidth="1"/>
    <col min="2818" max="2818" width="10.54296875" style="322" customWidth="1"/>
    <col min="2819" max="2819" width="12.1796875" style="322" customWidth="1"/>
    <col min="2820" max="2820" width="11.1796875" style="322" customWidth="1"/>
    <col min="2821" max="2821" width="6.81640625" style="322" customWidth="1"/>
    <col min="2822" max="3061" width="30.54296875" style="322" customWidth="1"/>
    <col min="3062" max="3062" width="6.54296875" style="322" customWidth="1"/>
    <col min="3063" max="3063" width="7.54296875" style="322" customWidth="1"/>
    <col min="3064" max="3064" width="4.81640625" style="322" customWidth="1"/>
    <col min="3065" max="3065" width="11.81640625" style="322" customWidth="1"/>
    <col min="3066" max="3066" width="9.81640625" style="322" customWidth="1"/>
    <col min="3067" max="3067" width="3" style="322" customWidth="1"/>
    <col min="3068" max="3068" width="7.1796875" style="322" customWidth="1"/>
    <col min="3069" max="3069" width="22.81640625" style="322" customWidth="1"/>
    <col min="3070" max="3070" width="7.1796875" style="322" customWidth="1"/>
    <col min="3071" max="3071" width="9" style="322" hidden="1" customWidth="1"/>
    <col min="3072" max="3072" width="8.81640625" style="322" customWidth="1"/>
    <col min="3073" max="3073" width="9.81640625" style="322" customWidth="1"/>
    <col min="3074" max="3074" width="10.54296875" style="322" customWidth="1"/>
    <col min="3075" max="3075" width="12.1796875" style="322" customWidth="1"/>
    <col min="3076" max="3076" width="11.1796875" style="322" customWidth="1"/>
    <col min="3077" max="3077" width="6.81640625" style="322" customWidth="1"/>
    <col min="3078" max="3317" width="30.54296875" style="322" customWidth="1"/>
    <col min="3318" max="3318" width="6.54296875" style="322" customWidth="1"/>
    <col min="3319" max="3319" width="7.54296875" style="322" customWidth="1"/>
    <col min="3320" max="3320" width="4.81640625" style="322" customWidth="1"/>
    <col min="3321" max="3321" width="11.81640625" style="322" customWidth="1"/>
    <col min="3322" max="3322" width="9.81640625" style="322" customWidth="1"/>
    <col min="3323" max="3323" width="3" style="322" customWidth="1"/>
    <col min="3324" max="3324" width="7.1796875" style="322" customWidth="1"/>
    <col min="3325" max="3325" width="22.81640625" style="322" customWidth="1"/>
    <col min="3326" max="3326" width="7.1796875" style="322" customWidth="1"/>
    <col min="3327" max="3327" width="9" style="322" hidden="1" customWidth="1"/>
    <col min="3328" max="3328" width="8.81640625" style="322" customWidth="1"/>
    <col min="3329" max="3329" width="9.81640625" style="322" customWidth="1"/>
    <col min="3330" max="3330" width="10.54296875" style="322" customWidth="1"/>
    <col min="3331" max="3331" width="12.1796875" style="322" customWidth="1"/>
    <col min="3332" max="3332" width="11.1796875" style="322" customWidth="1"/>
    <col min="3333" max="3333" width="6.81640625" style="322" customWidth="1"/>
    <col min="3334" max="3573" width="30.54296875" style="322" customWidth="1"/>
    <col min="3574" max="3574" width="6.54296875" style="322" customWidth="1"/>
    <col min="3575" max="3575" width="7.54296875" style="322" customWidth="1"/>
    <col min="3576" max="3576" width="4.81640625" style="322" customWidth="1"/>
    <col min="3577" max="3577" width="11.81640625" style="322" customWidth="1"/>
    <col min="3578" max="3578" width="9.81640625" style="322" customWidth="1"/>
    <col min="3579" max="3579" width="3" style="322" customWidth="1"/>
    <col min="3580" max="3580" width="7.1796875" style="322" customWidth="1"/>
    <col min="3581" max="3581" width="22.81640625" style="322" customWidth="1"/>
    <col min="3582" max="3582" width="7.1796875" style="322" customWidth="1"/>
    <col min="3583" max="3583" width="9" style="322" hidden="1" customWidth="1"/>
    <col min="3584" max="3584" width="8.81640625" style="322" customWidth="1"/>
    <col min="3585" max="3585" width="9.81640625" style="322" customWidth="1"/>
    <col min="3586" max="3586" width="10.54296875" style="322" customWidth="1"/>
    <col min="3587" max="3587" width="12.1796875" style="322" customWidth="1"/>
    <col min="3588" max="3588" width="11.1796875" style="322" customWidth="1"/>
    <col min="3589" max="3589" width="6.81640625" style="322" customWidth="1"/>
    <col min="3590" max="3829" width="30.54296875" style="322" customWidth="1"/>
    <col min="3830" max="3830" width="6.54296875" style="322" customWidth="1"/>
    <col min="3831" max="3831" width="7.54296875" style="322" customWidth="1"/>
    <col min="3832" max="3832" width="4.81640625" style="322" customWidth="1"/>
    <col min="3833" max="3833" width="11.81640625" style="322" customWidth="1"/>
    <col min="3834" max="3834" width="9.81640625" style="322" customWidth="1"/>
    <col min="3835" max="3835" width="3" style="322" customWidth="1"/>
    <col min="3836" max="3836" width="7.1796875" style="322" customWidth="1"/>
    <col min="3837" max="3837" width="22.81640625" style="322" customWidth="1"/>
    <col min="3838" max="3838" width="7.1796875" style="322" customWidth="1"/>
    <col min="3839" max="3839" width="9" style="322" hidden="1" customWidth="1"/>
    <col min="3840" max="3840" width="8.81640625" style="322" customWidth="1"/>
    <col min="3841" max="3841" width="9.81640625" style="322" customWidth="1"/>
    <col min="3842" max="3842" width="10.54296875" style="322" customWidth="1"/>
    <col min="3843" max="3843" width="12.1796875" style="322" customWidth="1"/>
    <col min="3844" max="3844" width="11.1796875" style="322" customWidth="1"/>
    <col min="3845" max="3845" width="6.81640625" style="322" customWidth="1"/>
    <col min="3846" max="4085" width="30.54296875" style="322" customWidth="1"/>
    <col min="4086" max="4086" width="6.54296875" style="322" customWidth="1"/>
    <col min="4087" max="4087" width="7.54296875" style="322" customWidth="1"/>
    <col min="4088" max="4088" width="4.81640625" style="322" customWidth="1"/>
    <col min="4089" max="4089" width="11.81640625" style="322" customWidth="1"/>
    <col min="4090" max="4090" width="9.81640625" style="322" customWidth="1"/>
    <col min="4091" max="4091" width="3" style="322" customWidth="1"/>
    <col min="4092" max="4092" width="7.1796875" style="322" customWidth="1"/>
    <col min="4093" max="4093" width="22.81640625" style="322" customWidth="1"/>
    <col min="4094" max="4094" width="7.1796875" style="322" customWidth="1"/>
    <col min="4095" max="4095" width="9" style="322" hidden="1" customWidth="1"/>
    <col min="4096" max="4096" width="8.81640625" style="322" customWidth="1"/>
    <col min="4097" max="4097" width="9.81640625" style="322" customWidth="1"/>
    <col min="4098" max="4098" width="10.54296875" style="322" customWidth="1"/>
    <col min="4099" max="4099" width="12.1796875" style="322" customWidth="1"/>
    <col min="4100" max="4100" width="11.1796875" style="322" customWidth="1"/>
    <col min="4101" max="4101" width="6.81640625" style="322" customWidth="1"/>
    <col min="4102" max="4341" width="30.54296875" style="322" customWidth="1"/>
    <col min="4342" max="4342" width="6.54296875" style="322" customWidth="1"/>
    <col min="4343" max="4343" width="7.54296875" style="322" customWidth="1"/>
    <col min="4344" max="4344" width="4.81640625" style="322" customWidth="1"/>
    <col min="4345" max="4345" width="11.81640625" style="322" customWidth="1"/>
    <col min="4346" max="4346" width="9.81640625" style="322" customWidth="1"/>
    <col min="4347" max="4347" width="3" style="322" customWidth="1"/>
    <col min="4348" max="4348" width="7.1796875" style="322" customWidth="1"/>
    <col min="4349" max="4349" width="22.81640625" style="322" customWidth="1"/>
    <col min="4350" max="4350" width="7.1796875" style="322" customWidth="1"/>
    <col min="4351" max="4351" width="9" style="322" hidden="1" customWidth="1"/>
    <col min="4352" max="4352" width="8.81640625" style="322" customWidth="1"/>
    <col min="4353" max="4353" width="9.81640625" style="322" customWidth="1"/>
    <col min="4354" max="4354" width="10.54296875" style="322" customWidth="1"/>
    <col min="4355" max="4355" width="12.1796875" style="322" customWidth="1"/>
    <col min="4356" max="4356" width="11.1796875" style="322" customWidth="1"/>
    <col min="4357" max="4357" width="6.81640625" style="322" customWidth="1"/>
    <col min="4358" max="4597" width="30.54296875" style="322" customWidth="1"/>
    <col min="4598" max="4598" width="6.54296875" style="322" customWidth="1"/>
    <col min="4599" max="4599" width="7.54296875" style="322" customWidth="1"/>
    <col min="4600" max="4600" width="4.81640625" style="322" customWidth="1"/>
    <col min="4601" max="4601" width="11.81640625" style="322" customWidth="1"/>
    <col min="4602" max="4602" width="9.81640625" style="322" customWidth="1"/>
    <col min="4603" max="4603" width="3" style="322" customWidth="1"/>
    <col min="4604" max="4604" width="7.1796875" style="322" customWidth="1"/>
    <col min="4605" max="4605" width="22.81640625" style="322" customWidth="1"/>
    <col min="4606" max="4606" width="7.1796875" style="322" customWidth="1"/>
    <col min="4607" max="4607" width="9" style="322" hidden="1" customWidth="1"/>
    <col min="4608" max="4608" width="8.81640625" style="322" customWidth="1"/>
    <col min="4609" max="4609" width="9.81640625" style="322" customWidth="1"/>
    <col min="4610" max="4610" width="10.54296875" style="322" customWidth="1"/>
    <col min="4611" max="4611" width="12.1796875" style="322" customWidth="1"/>
    <col min="4612" max="4612" width="11.1796875" style="322" customWidth="1"/>
    <col min="4613" max="4613" width="6.81640625" style="322" customWidth="1"/>
    <col min="4614" max="4853" width="30.54296875" style="322" customWidth="1"/>
    <col min="4854" max="4854" width="6.54296875" style="322" customWidth="1"/>
    <col min="4855" max="4855" width="7.54296875" style="322" customWidth="1"/>
    <col min="4856" max="4856" width="4.81640625" style="322" customWidth="1"/>
    <col min="4857" max="4857" width="11.81640625" style="322" customWidth="1"/>
    <col min="4858" max="4858" width="9.81640625" style="322" customWidth="1"/>
    <col min="4859" max="4859" width="3" style="322" customWidth="1"/>
    <col min="4860" max="4860" width="7.1796875" style="322" customWidth="1"/>
    <col min="4861" max="4861" width="22.81640625" style="322" customWidth="1"/>
    <col min="4862" max="4862" width="7.1796875" style="322" customWidth="1"/>
    <col min="4863" max="4863" width="9" style="322" hidden="1" customWidth="1"/>
    <col min="4864" max="4864" width="8.81640625" style="322" customWidth="1"/>
    <col min="4865" max="4865" width="9.81640625" style="322" customWidth="1"/>
    <col min="4866" max="4866" width="10.54296875" style="322" customWidth="1"/>
    <col min="4867" max="4867" width="12.1796875" style="322" customWidth="1"/>
    <col min="4868" max="4868" width="11.1796875" style="322" customWidth="1"/>
    <col min="4869" max="4869" width="6.81640625" style="322" customWidth="1"/>
    <col min="4870" max="5109" width="30.54296875" style="322" customWidth="1"/>
    <col min="5110" max="5110" width="6.54296875" style="322" customWidth="1"/>
    <col min="5111" max="5111" width="7.54296875" style="322" customWidth="1"/>
    <col min="5112" max="5112" width="4.81640625" style="322" customWidth="1"/>
    <col min="5113" max="5113" width="11.81640625" style="322" customWidth="1"/>
    <col min="5114" max="5114" width="9.81640625" style="322" customWidth="1"/>
    <col min="5115" max="5115" width="3" style="322" customWidth="1"/>
    <col min="5116" max="5116" width="7.1796875" style="322" customWidth="1"/>
    <col min="5117" max="5117" width="22.81640625" style="322" customWidth="1"/>
    <col min="5118" max="5118" width="7.1796875" style="322" customWidth="1"/>
    <col min="5119" max="5119" width="9" style="322" hidden="1" customWidth="1"/>
    <col min="5120" max="5120" width="8.81640625" style="322" customWidth="1"/>
    <col min="5121" max="5121" width="9.81640625" style="322" customWidth="1"/>
    <col min="5122" max="5122" width="10.54296875" style="322" customWidth="1"/>
    <col min="5123" max="5123" width="12.1796875" style="322" customWidth="1"/>
    <col min="5124" max="5124" width="11.1796875" style="322" customWidth="1"/>
    <col min="5125" max="5125" width="6.81640625" style="322" customWidth="1"/>
    <col min="5126" max="5365" width="30.54296875" style="322" customWidth="1"/>
    <col min="5366" max="5366" width="6.54296875" style="322" customWidth="1"/>
    <col min="5367" max="5367" width="7.54296875" style="322" customWidth="1"/>
    <col min="5368" max="5368" width="4.81640625" style="322" customWidth="1"/>
    <col min="5369" max="5369" width="11.81640625" style="322" customWidth="1"/>
    <col min="5370" max="5370" width="9.81640625" style="322" customWidth="1"/>
    <col min="5371" max="5371" width="3" style="322" customWidth="1"/>
    <col min="5372" max="5372" width="7.1796875" style="322" customWidth="1"/>
    <col min="5373" max="5373" width="22.81640625" style="322" customWidth="1"/>
    <col min="5374" max="5374" width="7.1796875" style="322" customWidth="1"/>
    <col min="5375" max="5375" width="9" style="322" hidden="1" customWidth="1"/>
    <col min="5376" max="5376" width="8.81640625" style="322" customWidth="1"/>
    <col min="5377" max="5377" width="9.81640625" style="322" customWidth="1"/>
    <col min="5378" max="5378" width="10.54296875" style="322" customWidth="1"/>
    <col min="5379" max="5379" width="12.1796875" style="322" customWidth="1"/>
    <col min="5380" max="5380" width="11.1796875" style="322" customWidth="1"/>
    <col min="5381" max="5381" width="6.81640625" style="322" customWidth="1"/>
    <col min="5382" max="5621" width="30.54296875" style="322" customWidth="1"/>
    <col min="5622" max="5622" width="6.54296875" style="322" customWidth="1"/>
    <col min="5623" max="5623" width="7.54296875" style="322" customWidth="1"/>
    <col min="5624" max="5624" width="4.81640625" style="322" customWidth="1"/>
    <col min="5625" max="5625" width="11.81640625" style="322" customWidth="1"/>
    <col min="5626" max="5626" width="9.81640625" style="322" customWidth="1"/>
    <col min="5627" max="5627" width="3" style="322" customWidth="1"/>
    <col min="5628" max="5628" width="7.1796875" style="322" customWidth="1"/>
    <col min="5629" max="5629" width="22.81640625" style="322" customWidth="1"/>
    <col min="5630" max="5630" width="7.1796875" style="322" customWidth="1"/>
    <col min="5631" max="5631" width="9" style="322" hidden="1" customWidth="1"/>
    <col min="5632" max="5632" width="8.81640625" style="322" customWidth="1"/>
    <col min="5633" max="5633" width="9.81640625" style="322" customWidth="1"/>
    <col min="5634" max="5634" width="10.54296875" style="322" customWidth="1"/>
    <col min="5635" max="5635" width="12.1796875" style="322" customWidth="1"/>
    <col min="5636" max="5636" width="11.1796875" style="322" customWidth="1"/>
    <col min="5637" max="5637" width="6.81640625" style="322" customWidth="1"/>
    <col min="5638" max="5877" width="30.54296875" style="322" customWidth="1"/>
    <col min="5878" max="5878" width="6.54296875" style="322" customWidth="1"/>
    <col min="5879" max="5879" width="7.54296875" style="322" customWidth="1"/>
    <col min="5880" max="5880" width="4.81640625" style="322" customWidth="1"/>
    <col min="5881" max="5881" width="11.81640625" style="322" customWidth="1"/>
    <col min="5882" max="5882" width="9.81640625" style="322" customWidth="1"/>
    <col min="5883" max="5883" width="3" style="322" customWidth="1"/>
    <col min="5884" max="5884" width="7.1796875" style="322" customWidth="1"/>
    <col min="5885" max="5885" width="22.81640625" style="322" customWidth="1"/>
    <col min="5886" max="5886" width="7.1796875" style="322" customWidth="1"/>
    <col min="5887" max="5887" width="9" style="322" hidden="1" customWidth="1"/>
    <col min="5888" max="5888" width="8.81640625" style="322" customWidth="1"/>
    <col min="5889" max="5889" width="9.81640625" style="322" customWidth="1"/>
    <col min="5890" max="5890" width="10.54296875" style="322" customWidth="1"/>
    <col min="5891" max="5891" width="12.1796875" style="322" customWidth="1"/>
    <col min="5892" max="5892" width="11.1796875" style="322" customWidth="1"/>
    <col min="5893" max="5893" width="6.81640625" style="322" customWidth="1"/>
    <col min="5894" max="6133" width="30.54296875" style="322" customWidth="1"/>
    <col min="6134" max="6134" width="6.54296875" style="322" customWidth="1"/>
    <col min="6135" max="6135" width="7.54296875" style="322" customWidth="1"/>
    <col min="6136" max="6136" width="4.81640625" style="322" customWidth="1"/>
    <col min="6137" max="6137" width="11.81640625" style="322" customWidth="1"/>
    <col min="6138" max="6138" width="9.81640625" style="322" customWidth="1"/>
    <col min="6139" max="6139" width="3" style="322" customWidth="1"/>
    <col min="6140" max="6140" width="7.1796875" style="322" customWidth="1"/>
    <col min="6141" max="6141" width="22.81640625" style="322" customWidth="1"/>
    <col min="6142" max="6142" width="7.1796875" style="322" customWidth="1"/>
    <col min="6143" max="6143" width="9" style="322" hidden="1" customWidth="1"/>
    <col min="6144" max="6144" width="8.81640625" style="322" customWidth="1"/>
    <col min="6145" max="6145" width="9.81640625" style="322" customWidth="1"/>
    <col min="6146" max="6146" width="10.54296875" style="322" customWidth="1"/>
    <col min="6147" max="6147" width="12.1796875" style="322" customWidth="1"/>
    <col min="6148" max="6148" width="11.1796875" style="322" customWidth="1"/>
    <col min="6149" max="6149" width="6.81640625" style="322" customWidth="1"/>
    <col min="6150" max="6389" width="30.54296875" style="322" customWidth="1"/>
    <col min="6390" max="6390" width="6.54296875" style="322" customWidth="1"/>
    <col min="6391" max="6391" width="7.54296875" style="322" customWidth="1"/>
    <col min="6392" max="6392" width="4.81640625" style="322" customWidth="1"/>
    <col min="6393" max="6393" width="11.81640625" style="322" customWidth="1"/>
    <col min="6394" max="6394" width="9.81640625" style="322" customWidth="1"/>
    <col min="6395" max="6395" width="3" style="322" customWidth="1"/>
    <col min="6396" max="6396" width="7.1796875" style="322" customWidth="1"/>
    <col min="6397" max="6397" width="22.81640625" style="322" customWidth="1"/>
    <col min="6398" max="6398" width="7.1796875" style="322" customWidth="1"/>
    <col min="6399" max="6399" width="9" style="322" hidden="1" customWidth="1"/>
    <col min="6400" max="6400" width="8.81640625" style="322" customWidth="1"/>
    <col min="6401" max="6401" width="9.81640625" style="322" customWidth="1"/>
    <col min="6402" max="6402" width="10.54296875" style="322" customWidth="1"/>
    <col min="6403" max="6403" width="12.1796875" style="322" customWidth="1"/>
    <col min="6404" max="6404" width="11.1796875" style="322" customWidth="1"/>
    <col min="6405" max="6405" width="6.81640625" style="322" customWidth="1"/>
    <col min="6406" max="6645" width="30.54296875" style="322" customWidth="1"/>
    <col min="6646" max="6646" width="6.54296875" style="322" customWidth="1"/>
    <col min="6647" max="6647" width="7.54296875" style="322" customWidth="1"/>
    <col min="6648" max="6648" width="4.81640625" style="322" customWidth="1"/>
    <col min="6649" max="6649" width="11.81640625" style="322" customWidth="1"/>
    <col min="6650" max="6650" width="9.81640625" style="322" customWidth="1"/>
    <col min="6651" max="6651" width="3" style="322" customWidth="1"/>
    <col min="6652" max="6652" width="7.1796875" style="322" customWidth="1"/>
    <col min="6653" max="6653" width="22.81640625" style="322" customWidth="1"/>
    <col min="6654" max="6654" width="7.1796875" style="322" customWidth="1"/>
    <col min="6655" max="6655" width="9" style="322" hidden="1" customWidth="1"/>
    <col min="6656" max="6656" width="8.81640625" style="322" customWidth="1"/>
    <col min="6657" max="6657" width="9.81640625" style="322" customWidth="1"/>
    <col min="6658" max="6658" width="10.54296875" style="322" customWidth="1"/>
    <col min="6659" max="6659" width="12.1796875" style="322" customWidth="1"/>
    <col min="6660" max="6660" width="11.1796875" style="322" customWidth="1"/>
    <col min="6661" max="6661" width="6.81640625" style="322" customWidth="1"/>
    <col min="6662" max="6901" width="30.54296875" style="322" customWidth="1"/>
    <col min="6902" max="6902" width="6.54296875" style="322" customWidth="1"/>
    <col min="6903" max="6903" width="7.54296875" style="322" customWidth="1"/>
    <col min="6904" max="6904" width="4.81640625" style="322" customWidth="1"/>
    <col min="6905" max="6905" width="11.81640625" style="322" customWidth="1"/>
    <col min="6906" max="6906" width="9.81640625" style="322" customWidth="1"/>
    <col min="6907" max="6907" width="3" style="322" customWidth="1"/>
    <col min="6908" max="6908" width="7.1796875" style="322" customWidth="1"/>
    <col min="6909" max="6909" width="22.81640625" style="322" customWidth="1"/>
    <col min="6910" max="6910" width="7.1796875" style="322" customWidth="1"/>
    <col min="6911" max="6911" width="9" style="322" hidden="1" customWidth="1"/>
    <col min="6912" max="6912" width="8.81640625" style="322" customWidth="1"/>
    <col min="6913" max="6913" width="9.81640625" style="322" customWidth="1"/>
    <col min="6914" max="6914" width="10.54296875" style="322" customWidth="1"/>
    <col min="6915" max="6915" width="12.1796875" style="322" customWidth="1"/>
    <col min="6916" max="6916" width="11.1796875" style="322" customWidth="1"/>
    <col min="6917" max="6917" width="6.81640625" style="322" customWidth="1"/>
    <col min="6918" max="7157" width="30.54296875" style="322" customWidth="1"/>
    <col min="7158" max="7158" width="6.54296875" style="322" customWidth="1"/>
    <col min="7159" max="7159" width="7.54296875" style="322" customWidth="1"/>
    <col min="7160" max="7160" width="4.81640625" style="322" customWidth="1"/>
    <col min="7161" max="7161" width="11.81640625" style="322" customWidth="1"/>
    <col min="7162" max="7162" width="9.81640625" style="322" customWidth="1"/>
    <col min="7163" max="7163" width="3" style="322" customWidth="1"/>
    <col min="7164" max="7164" width="7.1796875" style="322" customWidth="1"/>
    <col min="7165" max="7165" width="22.81640625" style="322" customWidth="1"/>
    <col min="7166" max="7166" width="7.1796875" style="322" customWidth="1"/>
    <col min="7167" max="7167" width="9" style="322" hidden="1" customWidth="1"/>
    <col min="7168" max="7168" width="8.81640625" style="322" customWidth="1"/>
    <col min="7169" max="7169" width="9.81640625" style="322" customWidth="1"/>
    <col min="7170" max="7170" width="10.54296875" style="322" customWidth="1"/>
    <col min="7171" max="7171" width="12.1796875" style="322" customWidth="1"/>
    <col min="7172" max="7172" width="11.1796875" style="322" customWidth="1"/>
    <col min="7173" max="7173" width="6.81640625" style="322" customWidth="1"/>
    <col min="7174" max="7413" width="30.54296875" style="322" customWidth="1"/>
    <col min="7414" max="7414" width="6.54296875" style="322" customWidth="1"/>
    <col min="7415" max="7415" width="7.54296875" style="322" customWidth="1"/>
    <col min="7416" max="7416" width="4.81640625" style="322" customWidth="1"/>
    <col min="7417" max="7417" width="11.81640625" style="322" customWidth="1"/>
    <col min="7418" max="7418" width="9.81640625" style="322" customWidth="1"/>
    <col min="7419" max="7419" width="3" style="322" customWidth="1"/>
    <col min="7420" max="7420" width="7.1796875" style="322" customWidth="1"/>
    <col min="7421" max="7421" width="22.81640625" style="322" customWidth="1"/>
    <col min="7422" max="7422" width="7.1796875" style="322" customWidth="1"/>
    <col min="7423" max="7423" width="9" style="322" hidden="1" customWidth="1"/>
    <col min="7424" max="7424" width="8.81640625" style="322" customWidth="1"/>
    <col min="7425" max="7425" width="9.81640625" style="322" customWidth="1"/>
    <col min="7426" max="7426" width="10.54296875" style="322" customWidth="1"/>
    <col min="7427" max="7427" width="12.1796875" style="322" customWidth="1"/>
    <col min="7428" max="7428" width="11.1796875" style="322" customWidth="1"/>
    <col min="7429" max="7429" width="6.81640625" style="322" customWidth="1"/>
    <col min="7430" max="7669" width="30.54296875" style="322" customWidth="1"/>
    <col min="7670" max="7670" width="6.54296875" style="322" customWidth="1"/>
    <col min="7671" max="7671" width="7.54296875" style="322" customWidth="1"/>
    <col min="7672" max="7672" width="4.81640625" style="322" customWidth="1"/>
    <col min="7673" max="7673" width="11.81640625" style="322" customWidth="1"/>
    <col min="7674" max="7674" width="9.81640625" style="322" customWidth="1"/>
    <col min="7675" max="7675" width="3" style="322" customWidth="1"/>
    <col min="7676" max="7676" width="7.1796875" style="322" customWidth="1"/>
    <col min="7677" max="7677" width="22.81640625" style="322" customWidth="1"/>
    <col min="7678" max="7678" width="7.1796875" style="322" customWidth="1"/>
    <col min="7679" max="7679" width="9" style="322" hidden="1" customWidth="1"/>
    <col min="7680" max="7680" width="8.81640625" style="322" customWidth="1"/>
    <col min="7681" max="7681" width="9.81640625" style="322" customWidth="1"/>
    <col min="7682" max="7682" width="10.54296875" style="322" customWidth="1"/>
    <col min="7683" max="7683" width="12.1796875" style="322" customWidth="1"/>
    <col min="7684" max="7684" width="11.1796875" style="322" customWidth="1"/>
    <col min="7685" max="7685" width="6.81640625" style="322" customWidth="1"/>
    <col min="7686" max="7925" width="30.54296875" style="322" customWidth="1"/>
    <col min="7926" max="7926" width="6.54296875" style="322" customWidth="1"/>
    <col min="7927" max="7927" width="7.54296875" style="322" customWidth="1"/>
    <col min="7928" max="7928" width="4.81640625" style="322" customWidth="1"/>
    <col min="7929" max="7929" width="11.81640625" style="322" customWidth="1"/>
    <col min="7930" max="7930" width="9.81640625" style="322" customWidth="1"/>
    <col min="7931" max="7931" width="3" style="322" customWidth="1"/>
    <col min="7932" max="7932" width="7.1796875" style="322" customWidth="1"/>
    <col min="7933" max="7933" width="22.81640625" style="322" customWidth="1"/>
    <col min="7934" max="7934" width="7.1796875" style="322" customWidth="1"/>
    <col min="7935" max="7935" width="9" style="322" hidden="1" customWidth="1"/>
    <col min="7936" max="7936" width="8.81640625" style="322" customWidth="1"/>
    <col min="7937" max="7937" width="9.81640625" style="322" customWidth="1"/>
    <col min="7938" max="7938" width="10.54296875" style="322" customWidth="1"/>
    <col min="7939" max="7939" width="12.1796875" style="322" customWidth="1"/>
    <col min="7940" max="7940" width="11.1796875" style="322" customWidth="1"/>
    <col min="7941" max="7941" width="6.81640625" style="322" customWidth="1"/>
    <col min="7942" max="8181" width="30.54296875" style="322" customWidth="1"/>
    <col min="8182" max="8182" width="6.54296875" style="322" customWidth="1"/>
    <col min="8183" max="8183" width="7.54296875" style="322" customWidth="1"/>
    <col min="8184" max="8184" width="4.81640625" style="322" customWidth="1"/>
    <col min="8185" max="8185" width="11.81640625" style="322" customWidth="1"/>
    <col min="8186" max="8186" width="9.81640625" style="322" customWidth="1"/>
    <col min="8187" max="8187" width="3" style="322" customWidth="1"/>
    <col min="8188" max="8188" width="7.1796875" style="322" customWidth="1"/>
    <col min="8189" max="8189" width="22.81640625" style="322" customWidth="1"/>
    <col min="8190" max="8190" width="7.1796875" style="322" customWidth="1"/>
    <col min="8191" max="8191" width="9" style="322" hidden="1" customWidth="1"/>
    <col min="8192" max="8192" width="8.81640625" style="322" customWidth="1"/>
    <col min="8193" max="8193" width="9.81640625" style="322" customWidth="1"/>
    <col min="8194" max="8194" width="10.54296875" style="322" customWidth="1"/>
    <col min="8195" max="8195" width="12.1796875" style="322" customWidth="1"/>
    <col min="8196" max="8196" width="11.1796875" style="322" customWidth="1"/>
    <col min="8197" max="8197" width="6.81640625" style="322" customWidth="1"/>
    <col min="8198" max="8437" width="30.54296875" style="322" customWidth="1"/>
    <col min="8438" max="8438" width="6.54296875" style="322" customWidth="1"/>
    <col min="8439" max="8439" width="7.54296875" style="322" customWidth="1"/>
    <col min="8440" max="8440" width="4.81640625" style="322" customWidth="1"/>
    <col min="8441" max="8441" width="11.81640625" style="322" customWidth="1"/>
    <col min="8442" max="8442" width="9.81640625" style="322" customWidth="1"/>
    <col min="8443" max="8443" width="3" style="322" customWidth="1"/>
    <col min="8444" max="8444" width="7.1796875" style="322" customWidth="1"/>
    <col min="8445" max="8445" width="22.81640625" style="322" customWidth="1"/>
    <col min="8446" max="8446" width="7.1796875" style="322" customWidth="1"/>
    <col min="8447" max="8447" width="9" style="322" hidden="1" customWidth="1"/>
    <col min="8448" max="8448" width="8.81640625" style="322" customWidth="1"/>
    <col min="8449" max="8449" width="9.81640625" style="322" customWidth="1"/>
    <col min="8450" max="8450" width="10.54296875" style="322" customWidth="1"/>
    <col min="8451" max="8451" width="12.1796875" style="322" customWidth="1"/>
    <col min="8452" max="8452" width="11.1796875" style="322" customWidth="1"/>
    <col min="8453" max="8453" width="6.81640625" style="322" customWidth="1"/>
    <col min="8454" max="8693" width="30.54296875" style="322" customWidth="1"/>
    <col min="8694" max="8694" width="6.54296875" style="322" customWidth="1"/>
    <col min="8695" max="8695" width="7.54296875" style="322" customWidth="1"/>
    <col min="8696" max="8696" width="4.81640625" style="322" customWidth="1"/>
    <col min="8697" max="8697" width="11.81640625" style="322" customWidth="1"/>
    <col min="8698" max="8698" width="9.81640625" style="322" customWidth="1"/>
    <col min="8699" max="8699" width="3" style="322" customWidth="1"/>
    <col min="8700" max="8700" width="7.1796875" style="322" customWidth="1"/>
    <col min="8701" max="8701" width="22.81640625" style="322" customWidth="1"/>
    <col min="8702" max="8702" width="7.1796875" style="322" customWidth="1"/>
    <col min="8703" max="8703" width="9" style="322" hidden="1" customWidth="1"/>
    <col min="8704" max="8704" width="8.81640625" style="322" customWidth="1"/>
    <col min="8705" max="8705" width="9.81640625" style="322" customWidth="1"/>
    <col min="8706" max="8706" width="10.54296875" style="322" customWidth="1"/>
    <col min="8707" max="8707" width="12.1796875" style="322" customWidth="1"/>
    <col min="8708" max="8708" width="11.1796875" style="322" customWidth="1"/>
    <col min="8709" max="8709" width="6.81640625" style="322" customWidth="1"/>
    <col min="8710" max="8949" width="30.54296875" style="322" customWidth="1"/>
    <col min="8950" max="8950" width="6.54296875" style="322" customWidth="1"/>
    <col min="8951" max="8951" width="7.54296875" style="322" customWidth="1"/>
    <col min="8952" max="8952" width="4.81640625" style="322" customWidth="1"/>
    <col min="8953" max="8953" width="11.81640625" style="322" customWidth="1"/>
    <col min="8954" max="8954" width="9.81640625" style="322" customWidth="1"/>
    <col min="8955" max="8955" width="3" style="322" customWidth="1"/>
    <col min="8956" max="8956" width="7.1796875" style="322" customWidth="1"/>
    <col min="8957" max="8957" width="22.81640625" style="322" customWidth="1"/>
    <col min="8958" max="8958" width="7.1796875" style="322" customWidth="1"/>
    <col min="8959" max="8959" width="9" style="322" hidden="1" customWidth="1"/>
    <col min="8960" max="8960" width="8.81640625" style="322" customWidth="1"/>
    <col min="8961" max="8961" width="9.81640625" style="322" customWidth="1"/>
    <col min="8962" max="8962" width="10.54296875" style="322" customWidth="1"/>
    <col min="8963" max="8963" width="12.1796875" style="322" customWidth="1"/>
    <col min="8964" max="8964" width="11.1796875" style="322" customWidth="1"/>
    <col min="8965" max="8965" width="6.81640625" style="322" customWidth="1"/>
    <col min="8966" max="9205" width="30.54296875" style="322" customWidth="1"/>
    <col min="9206" max="9206" width="6.54296875" style="322" customWidth="1"/>
    <col min="9207" max="9207" width="7.54296875" style="322" customWidth="1"/>
    <col min="9208" max="9208" width="4.81640625" style="322" customWidth="1"/>
    <col min="9209" max="9209" width="11.81640625" style="322" customWidth="1"/>
    <col min="9210" max="9210" width="9.81640625" style="322" customWidth="1"/>
    <col min="9211" max="9211" width="3" style="322" customWidth="1"/>
    <col min="9212" max="9212" width="7.1796875" style="322" customWidth="1"/>
    <col min="9213" max="9213" width="22.81640625" style="322" customWidth="1"/>
    <col min="9214" max="9214" width="7.1796875" style="322" customWidth="1"/>
    <col min="9215" max="9215" width="9" style="322" hidden="1" customWidth="1"/>
    <col min="9216" max="9216" width="8.81640625" style="322" customWidth="1"/>
    <col min="9217" max="9217" width="9.81640625" style="322" customWidth="1"/>
    <col min="9218" max="9218" width="10.54296875" style="322" customWidth="1"/>
    <col min="9219" max="9219" width="12.1796875" style="322" customWidth="1"/>
    <col min="9220" max="9220" width="11.1796875" style="322" customWidth="1"/>
    <col min="9221" max="9221" width="6.81640625" style="322" customWidth="1"/>
    <col min="9222" max="9461" width="30.54296875" style="322" customWidth="1"/>
    <col min="9462" max="9462" width="6.54296875" style="322" customWidth="1"/>
    <col min="9463" max="9463" width="7.54296875" style="322" customWidth="1"/>
    <col min="9464" max="9464" width="4.81640625" style="322" customWidth="1"/>
    <col min="9465" max="9465" width="11.81640625" style="322" customWidth="1"/>
    <col min="9466" max="9466" width="9.81640625" style="322" customWidth="1"/>
    <col min="9467" max="9467" width="3" style="322" customWidth="1"/>
    <col min="9468" max="9468" width="7.1796875" style="322" customWidth="1"/>
    <col min="9469" max="9469" width="22.81640625" style="322" customWidth="1"/>
    <col min="9470" max="9470" width="7.1796875" style="322" customWidth="1"/>
    <col min="9471" max="9471" width="9" style="322" hidden="1" customWidth="1"/>
    <col min="9472" max="9472" width="8.81640625" style="322" customWidth="1"/>
    <col min="9473" max="9473" width="9.81640625" style="322" customWidth="1"/>
    <col min="9474" max="9474" width="10.54296875" style="322" customWidth="1"/>
    <col min="9475" max="9475" width="12.1796875" style="322" customWidth="1"/>
    <col min="9476" max="9476" width="11.1796875" style="322" customWidth="1"/>
    <col min="9477" max="9477" width="6.81640625" style="322" customWidth="1"/>
    <col min="9478" max="9717" width="30.54296875" style="322" customWidth="1"/>
    <col min="9718" max="9718" width="6.54296875" style="322" customWidth="1"/>
    <col min="9719" max="9719" width="7.54296875" style="322" customWidth="1"/>
    <col min="9720" max="9720" width="4.81640625" style="322" customWidth="1"/>
    <col min="9721" max="9721" width="11.81640625" style="322" customWidth="1"/>
    <col min="9722" max="9722" width="9.81640625" style="322" customWidth="1"/>
    <col min="9723" max="9723" width="3" style="322" customWidth="1"/>
    <col min="9724" max="9724" width="7.1796875" style="322" customWidth="1"/>
    <col min="9725" max="9725" width="22.81640625" style="322" customWidth="1"/>
    <col min="9726" max="9726" width="7.1796875" style="322" customWidth="1"/>
    <col min="9727" max="9727" width="9" style="322" hidden="1" customWidth="1"/>
    <col min="9728" max="9728" width="8.81640625" style="322" customWidth="1"/>
    <col min="9729" max="9729" width="9.81640625" style="322" customWidth="1"/>
    <col min="9730" max="9730" width="10.54296875" style="322" customWidth="1"/>
    <col min="9731" max="9731" width="12.1796875" style="322" customWidth="1"/>
    <col min="9732" max="9732" width="11.1796875" style="322" customWidth="1"/>
    <col min="9733" max="9733" width="6.81640625" style="322" customWidth="1"/>
    <col min="9734" max="9973" width="30.54296875" style="322" customWidth="1"/>
    <col min="9974" max="9974" width="6.54296875" style="322" customWidth="1"/>
    <col min="9975" max="9975" width="7.54296875" style="322" customWidth="1"/>
    <col min="9976" max="9976" width="4.81640625" style="322" customWidth="1"/>
    <col min="9977" max="9977" width="11.81640625" style="322" customWidth="1"/>
    <col min="9978" max="9978" width="9.81640625" style="322" customWidth="1"/>
    <col min="9979" max="9979" width="3" style="322" customWidth="1"/>
    <col min="9980" max="9980" width="7.1796875" style="322" customWidth="1"/>
    <col min="9981" max="9981" width="22.81640625" style="322" customWidth="1"/>
    <col min="9982" max="9982" width="7.1796875" style="322" customWidth="1"/>
    <col min="9983" max="9983" width="9" style="322" hidden="1" customWidth="1"/>
    <col min="9984" max="9984" width="8.81640625" style="322" customWidth="1"/>
    <col min="9985" max="9985" width="9.81640625" style="322" customWidth="1"/>
    <col min="9986" max="9986" width="10.54296875" style="322" customWidth="1"/>
    <col min="9987" max="9987" width="12.1796875" style="322" customWidth="1"/>
    <col min="9988" max="9988" width="11.1796875" style="322" customWidth="1"/>
    <col min="9989" max="9989" width="6.81640625" style="322" customWidth="1"/>
    <col min="9990" max="10229" width="30.54296875" style="322" customWidth="1"/>
    <col min="10230" max="10230" width="6.54296875" style="322" customWidth="1"/>
    <col min="10231" max="10231" width="7.54296875" style="322" customWidth="1"/>
    <col min="10232" max="10232" width="4.81640625" style="322" customWidth="1"/>
    <col min="10233" max="10233" width="11.81640625" style="322" customWidth="1"/>
    <col min="10234" max="10234" width="9.81640625" style="322" customWidth="1"/>
    <col min="10235" max="10235" width="3" style="322" customWidth="1"/>
    <col min="10236" max="10236" width="7.1796875" style="322" customWidth="1"/>
    <col min="10237" max="10237" width="22.81640625" style="322" customWidth="1"/>
    <col min="10238" max="10238" width="7.1796875" style="322" customWidth="1"/>
    <col min="10239" max="10239" width="9" style="322" hidden="1" customWidth="1"/>
    <col min="10240" max="10240" width="8.81640625" style="322" customWidth="1"/>
    <col min="10241" max="10241" width="9.81640625" style="322" customWidth="1"/>
    <col min="10242" max="10242" width="10.54296875" style="322" customWidth="1"/>
    <col min="10243" max="10243" width="12.1796875" style="322" customWidth="1"/>
    <col min="10244" max="10244" width="11.1796875" style="322" customWidth="1"/>
    <col min="10245" max="10245" width="6.81640625" style="322" customWidth="1"/>
    <col min="10246" max="10485" width="30.54296875" style="322" customWidth="1"/>
    <col min="10486" max="10486" width="6.54296875" style="322" customWidth="1"/>
    <col min="10487" max="10487" width="7.54296875" style="322" customWidth="1"/>
    <col min="10488" max="10488" width="4.81640625" style="322" customWidth="1"/>
    <col min="10489" max="10489" width="11.81640625" style="322" customWidth="1"/>
    <col min="10490" max="10490" width="9.81640625" style="322" customWidth="1"/>
    <col min="10491" max="10491" width="3" style="322" customWidth="1"/>
    <col min="10492" max="10492" width="7.1796875" style="322" customWidth="1"/>
    <col min="10493" max="10493" width="22.81640625" style="322" customWidth="1"/>
    <col min="10494" max="10494" width="7.1796875" style="322" customWidth="1"/>
    <col min="10495" max="10495" width="9" style="322" hidden="1" customWidth="1"/>
    <col min="10496" max="10496" width="8.81640625" style="322" customWidth="1"/>
    <col min="10497" max="10497" width="9.81640625" style="322" customWidth="1"/>
    <col min="10498" max="10498" width="10.54296875" style="322" customWidth="1"/>
    <col min="10499" max="10499" width="12.1796875" style="322" customWidth="1"/>
    <col min="10500" max="10500" width="11.1796875" style="322" customWidth="1"/>
    <col min="10501" max="10501" width="6.81640625" style="322" customWidth="1"/>
    <col min="10502" max="10741" width="30.54296875" style="322" customWidth="1"/>
    <col min="10742" max="10742" width="6.54296875" style="322" customWidth="1"/>
    <col min="10743" max="10743" width="7.54296875" style="322" customWidth="1"/>
    <col min="10744" max="10744" width="4.81640625" style="322" customWidth="1"/>
    <col min="10745" max="10745" width="11.81640625" style="322" customWidth="1"/>
    <col min="10746" max="10746" width="9.81640625" style="322" customWidth="1"/>
    <col min="10747" max="10747" width="3" style="322" customWidth="1"/>
    <col min="10748" max="10748" width="7.1796875" style="322" customWidth="1"/>
    <col min="10749" max="10749" width="22.81640625" style="322" customWidth="1"/>
    <col min="10750" max="10750" width="7.1796875" style="322" customWidth="1"/>
    <col min="10751" max="10751" width="9" style="322" hidden="1" customWidth="1"/>
    <col min="10752" max="10752" width="8.81640625" style="322" customWidth="1"/>
    <col min="10753" max="10753" width="9.81640625" style="322" customWidth="1"/>
    <col min="10754" max="10754" width="10.54296875" style="322" customWidth="1"/>
    <col min="10755" max="10755" width="12.1796875" style="322" customWidth="1"/>
    <col min="10756" max="10756" width="11.1796875" style="322" customWidth="1"/>
    <col min="10757" max="10757" width="6.81640625" style="322" customWidth="1"/>
    <col min="10758" max="10997" width="30.54296875" style="322" customWidth="1"/>
    <col min="10998" max="10998" width="6.54296875" style="322" customWidth="1"/>
    <col min="10999" max="10999" width="7.54296875" style="322" customWidth="1"/>
    <col min="11000" max="11000" width="4.81640625" style="322" customWidth="1"/>
    <col min="11001" max="11001" width="11.81640625" style="322" customWidth="1"/>
    <col min="11002" max="11002" width="9.81640625" style="322" customWidth="1"/>
    <col min="11003" max="11003" width="3" style="322" customWidth="1"/>
    <col min="11004" max="11004" width="7.1796875" style="322" customWidth="1"/>
    <col min="11005" max="11005" width="22.81640625" style="322" customWidth="1"/>
    <col min="11006" max="11006" width="7.1796875" style="322" customWidth="1"/>
    <col min="11007" max="11007" width="9" style="322" hidden="1" customWidth="1"/>
    <col min="11008" max="11008" width="8.81640625" style="322" customWidth="1"/>
    <col min="11009" max="11009" width="9.81640625" style="322" customWidth="1"/>
    <col min="11010" max="11010" width="10.54296875" style="322" customWidth="1"/>
    <col min="11011" max="11011" width="12.1796875" style="322" customWidth="1"/>
    <col min="11012" max="11012" width="11.1796875" style="322" customWidth="1"/>
    <col min="11013" max="11013" width="6.81640625" style="322" customWidth="1"/>
    <col min="11014" max="11253" width="30.54296875" style="322" customWidth="1"/>
    <col min="11254" max="11254" width="6.54296875" style="322" customWidth="1"/>
    <col min="11255" max="11255" width="7.54296875" style="322" customWidth="1"/>
    <col min="11256" max="11256" width="4.81640625" style="322" customWidth="1"/>
    <col min="11257" max="11257" width="11.81640625" style="322" customWidth="1"/>
    <col min="11258" max="11258" width="9.81640625" style="322" customWidth="1"/>
    <col min="11259" max="11259" width="3" style="322" customWidth="1"/>
    <col min="11260" max="11260" width="7.1796875" style="322" customWidth="1"/>
    <col min="11261" max="11261" width="22.81640625" style="322" customWidth="1"/>
    <col min="11262" max="11262" width="7.1796875" style="322" customWidth="1"/>
    <col min="11263" max="11263" width="9" style="322" hidden="1" customWidth="1"/>
    <col min="11264" max="11264" width="8.81640625" style="322" customWidth="1"/>
    <col min="11265" max="11265" width="9.81640625" style="322" customWidth="1"/>
    <col min="11266" max="11266" width="10.54296875" style="322" customWidth="1"/>
    <col min="11267" max="11267" width="12.1796875" style="322" customWidth="1"/>
    <col min="11268" max="11268" width="11.1796875" style="322" customWidth="1"/>
    <col min="11269" max="11269" width="6.81640625" style="322" customWidth="1"/>
    <col min="11270" max="11509" width="30.54296875" style="322" customWidth="1"/>
    <col min="11510" max="11510" width="6.54296875" style="322" customWidth="1"/>
    <col min="11511" max="11511" width="7.54296875" style="322" customWidth="1"/>
    <col min="11512" max="11512" width="4.81640625" style="322" customWidth="1"/>
    <col min="11513" max="11513" width="11.81640625" style="322" customWidth="1"/>
    <col min="11514" max="11514" width="9.81640625" style="322" customWidth="1"/>
    <col min="11515" max="11515" width="3" style="322" customWidth="1"/>
    <col min="11516" max="11516" width="7.1796875" style="322" customWidth="1"/>
    <col min="11517" max="11517" width="22.81640625" style="322" customWidth="1"/>
    <col min="11518" max="11518" width="7.1796875" style="322" customWidth="1"/>
    <col min="11519" max="11519" width="9" style="322" hidden="1" customWidth="1"/>
    <col min="11520" max="11520" width="8.81640625" style="322" customWidth="1"/>
    <col min="11521" max="11521" width="9.81640625" style="322" customWidth="1"/>
    <col min="11522" max="11522" width="10.54296875" style="322" customWidth="1"/>
    <col min="11523" max="11523" width="12.1796875" style="322" customWidth="1"/>
    <col min="11524" max="11524" width="11.1796875" style="322" customWidth="1"/>
    <col min="11525" max="11525" width="6.81640625" style="322" customWidth="1"/>
    <col min="11526" max="11765" width="30.54296875" style="322" customWidth="1"/>
    <col min="11766" max="11766" width="6.54296875" style="322" customWidth="1"/>
    <col min="11767" max="11767" width="7.54296875" style="322" customWidth="1"/>
    <col min="11768" max="11768" width="4.81640625" style="322" customWidth="1"/>
    <col min="11769" max="11769" width="11.81640625" style="322" customWidth="1"/>
    <col min="11770" max="11770" width="9.81640625" style="322" customWidth="1"/>
    <col min="11771" max="11771" width="3" style="322" customWidth="1"/>
    <col min="11772" max="11772" width="7.1796875" style="322" customWidth="1"/>
    <col min="11773" max="11773" width="22.81640625" style="322" customWidth="1"/>
    <col min="11774" max="11774" width="7.1796875" style="322" customWidth="1"/>
    <col min="11775" max="11775" width="9" style="322" hidden="1" customWidth="1"/>
    <col min="11776" max="11776" width="8.81640625" style="322" customWidth="1"/>
    <col min="11777" max="11777" width="9.81640625" style="322" customWidth="1"/>
    <col min="11778" max="11778" width="10.54296875" style="322" customWidth="1"/>
    <col min="11779" max="11779" width="12.1796875" style="322" customWidth="1"/>
    <col min="11780" max="11780" width="11.1796875" style="322" customWidth="1"/>
    <col min="11781" max="11781" width="6.81640625" style="322" customWidth="1"/>
    <col min="11782" max="12021" width="30.54296875" style="322" customWidth="1"/>
    <col min="12022" max="12022" width="6.54296875" style="322" customWidth="1"/>
    <col min="12023" max="12023" width="7.54296875" style="322" customWidth="1"/>
    <col min="12024" max="12024" width="4.81640625" style="322" customWidth="1"/>
    <col min="12025" max="12025" width="11.81640625" style="322" customWidth="1"/>
    <col min="12026" max="12026" width="9.81640625" style="322" customWidth="1"/>
    <col min="12027" max="12027" width="3" style="322" customWidth="1"/>
    <col min="12028" max="12028" width="7.1796875" style="322" customWidth="1"/>
    <col min="12029" max="12029" width="22.81640625" style="322" customWidth="1"/>
    <col min="12030" max="12030" width="7.1796875" style="322" customWidth="1"/>
    <col min="12031" max="12031" width="9" style="322" hidden="1" customWidth="1"/>
    <col min="12032" max="12032" width="8.81640625" style="322" customWidth="1"/>
    <col min="12033" max="12033" width="9.81640625" style="322" customWidth="1"/>
    <col min="12034" max="12034" width="10.54296875" style="322" customWidth="1"/>
    <col min="12035" max="12035" width="12.1796875" style="322" customWidth="1"/>
    <col min="12036" max="12036" width="11.1796875" style="322" customWidth="1"/>
    <col min="12037" max="12037" width="6.81640625" style="322" customWidth="1"/>
    <col min="12038" max="12277" width="30.54296875" style="322" customWidth="1"/>
    <col min="12278" max="12278" width="6.54296875" style="322" customWidth="1"/>
    <col min="12279" max="12279" width="7.54296875" style="322" customWidth="1"/>
    <col min="12280" max="12280" width="4.81640625" style="322" customWidth="1"/>
    <col min="12281" max="12281" width="11.81640625" style="322" customWidth="1"/>
    <col min="12282" max="12282" width="9.81640625" style="322" customWidth="1"/>
    <col min="12283" max="12283" width="3" style="322" customWidth="1"/>
    <col min="12284" max="12284" width="7.1796875" style="322" customWidth="1"/>
    <col min="12285" max="12285" width="22.81640625" style="322" customWidth="1"/>
    <col min="12286" max="12286" width="7.1796875" style="322" customWidth="1"/>
    <col min="12287" max="12287" width="9" style="322" hidden="1" customWidth="1"/>
    <col min="12288" max="12288" width="8.81640625" style="322" customWidth="1"/>
    <col min="12289" max="12289" width="9.81640625" style="322" customWidth="1"/>
    <col min="12290" max="12290" width="10.54296875" style="322" customWidth="1"/>
    <col min="12291" max="12291" width="12.1796875" style="322" customWidth="1"/>
    <col min="12292" max="12292" width="11.1796875" style="322" customWidth="1"/>
    <col min="12293" max="12293" width="6.81640625" style="322" customWidth="1"/>
    <col min="12294" max="12533" width="30.54296875" style="322" customWidth="1"/>
    <col min="12534" max="12534" width="6.54296875" style="322" customWidth="1"/>
    <col min="12535" max="12535" width="7.54296875" style="322" customWidth="1"/>
    <col min="12536" max="12536" width="4.81640625" style="322" customWidth="1"/>
    <col min="12537" max="12537" width="11.81640625" style="322" customWidth="1"/>
    <col min="12538" max="12538" width="9.81640625" style="322" customWidth="1"/>
    <col min="12539" max="12539" width="3" style="322" customWidth="1"/>
    <col min="12540" max="12540" width="7.1796875" style="322" customWidth="1"/>
    <col min="12541" max="12541" width="22.81640625" style="322" customWidth="1"/>
    <col min="12542" max="12542" width="7.1796875" style="322" customWidth="1"/>
    <col min="12543" max="12543" width="9" style="322" hidden="1" customWidth="1"/>
    <col min="12544" max="12544" width="8.81640625" style="322" customWidth="1"/>
    <col min="12545" max="12545" width="9.81640625" style="322" customWidth="1"/>
    <col min="12546" max="12546" width="10.54296875" style="322" customWidth="1"/>
    <col min="12547" max="12547" width="12.1796875" style="322" customWidth="1"/>
    <col min="12548" max="12548" width="11.1796875" style="322" customWidth="1"/>
    <col min="12549" max="12549" width="6.81640625" style="322" customWidth="1"/>
    <col min="12550" max="12789" width="30.54296875" style="322" customWidth="1"/>
    <col min="12790" max="12790" width="6.54296875" style="322" customWidth="1"/>
    <col min="12791" max="12791" width="7.54296875" style="322" customWidth="1"/>
    <col min="12792" max="12792" width="4.81640625" style="322" customWidth="1"/>
    <col min="12793" max="12793" width="11.81640625" style="322" customWidth="1"/>
    <col min="12794" max="12794" width="9.81640625" style="322" customWidth="1"/>
    <col min="12795" max="12795" width="3" style="322" customWidth="1"/>
    <col min="12796" max="12796" width="7.1796875" style="322" customWidth="1"/>
    <col min="12797" max="12797" width="22.81640625" style="322" customWidth="1"/>
    <col min="12798" max="12798" width="7.1796875" style="322" customWidth="1"/>
    <col min="12799" max="12799" width="9" style="322" hidden="1" customWidth="1"/>
    <col min="12800" max="12800" width="8.81640625" style="322" customWidth="1"/>
    <col min="12801" max="12801" width="9.81640625" style="322" customWidth="1"/>
    <col min="12802" max="12802" width="10.54296875" style="322" customWidth="1"/>
    <col min="12803" max="12803" width="12.1796875" style="322" customWidth="1"/>
    <col min="12804" max="12804" width="11.1796875" style="322" customWidth="1"/>
    <col min="12805" max="12805" width="6.81640625" style="322" customWidth="1"/>
    <col min="12806" max="13045" width="30.54296875" style="322" customWidth="1"/>
    <col min="13046" max="13046" width="6.54296875" style="322" customWidth="1"/>
    <col min="13047" max="13047" width="7.54296875" style="322" customWidth="1"/>
    <col min="13048" max="13048" width="4.81640625" style="322" customWidth="1"/>
    <col min="13049" max="13049" width="11.81640625" style="322" customWidth="1"/>
    <col min="13050" max="13050" width="9.81640625" style="322" customWidth="1"/>
    <col min="13051" max="13051" width="3" style="322" customWidth="1"/>
    <col min="13052" max="13052" width="7.1796875" style="322" customWidth="1"/>
    <col min="13053" max="13053" width="22.81640625" style="322" customWidth="1"/>
    <col min="13054" max="13054" width="7.1796875" style="322" customWidth="1"/>
    <col min="13055" max="13055" width="9" style="322" hidden="1" customWidth="1"/>
    <col min="13056" max="13056" width="8.81640625" style="322" customWidth="1"/>
    <col min="13057" max="13057" width="9.81640625" style="322" customWidth="1"/>
    <col min="13058" max="13058" width="10.54296875" style="322" customWidth="1"/>
    <col min="13059" max="13059" width="12.1796875" style="322" customWidth="1"/>
    <col min="13060" max="13060" width="11.1796875" style="322" customWidth="1"/>
    <col min="13061" max="13061" width="6.81640625" style="322" customWidth="1"/>
    <col min="13062" max="13301" width="30.54296875" style="322" customWidth="1"/>
    <col min="13302" max="13302" width="6.54296875" style="322" customWidth="1"/>
    <col min="13303" max="13303" width="7.54296875" style="322" customWidth="1"/>
    <col min="13304" max="13304" width="4.81640625" style="322" customWidth="1"/>
    <col min="13305" max="13305" width="11.81640625" style="322" customWidth="1"/>
    <col min="13306" max="13306" width="9.81640625" style="322" customWidth="1"/>
    <col min="13307" max="13307" width="3" style="322" customWidth="1"/>
    <col min="13308" max="13308" width="7.1796875" style="322" customWidth="1"/>
    <col min="13309" max="13309" width="22.81640625" style="322" customWidth="1"/>
    <col min="13310" max="13310" width="7.1796875" style="322" customWidth="1"/>
    <col min="13311" max="13311" width="9" style="322" hidden="1" customWidth="1"/>
    <col min="13312" max="13312" width="8.81640625" style="322" customWidth="1"/>
    <col min="13313" max="13313" width="9.81640625" style="322" customWidth="1"/>
    <col min="13314" max="13314" width="10.54296875" style="322" customWidth="1"/>
    <col min="13315" max="13315" width="12.1796875" style="322" customWidth="1"/>
    <col min="13316" max="13316" width="11.1796875" style="322" customWidth="1"/>
    <col min="13317" max="13317" width="6.81640625" style="322" customWidth="1"/>
    <col min="13318" max="13557" width="30.54296875" style="322" customWidth="1"/>
    <col min="13558" max="13558" width="6.54296875" style="322" customWidth="1"/>
    <col min="13559" max="13559" width="7.54296875" style="322" customWidth="1"/>
    <col min="13560" max="13560" width="4.81640625" style="322" customWidth="1"/>
    <col min="13561" max="13561" width="11.81640625" style="322" customWidth="1"/>
    <col min="13562" max="13562" width="9.81640625" style="322" customWidth="1"/>
    <col min="13563" max="13563" width="3" style="322" customWidth="1"/>
    <col min="13564" max="13564" width="7.1796875" style="322" customWidth="1"/>
    <col min="13565" max="13565" width="22.81640625" style="322" customWidth="1"/>
    <col min="13566" max="13566" width="7.1796875" style="322" customWidth="1"/>
    <col min="13567" max="13567" width="9" style="322" hidden="1" customWidth="1"/>
    <col min="13568" max="13568" width="8.81640625" style="322" customWidth="1"/>
    <col min="13569" max="13569" width="9.81640625" style="322" customWidth="1"/>
    <col min="13570" max="13570" width="10.54296875" style="322" customWidth="1"/>
    <col min="13571" max="13571" width="12.1796875" style="322" customWidth="1"/>
    <col min="13572" max="13572" width="11.1796875" style="322" customWidth="1"/>
    <col min="13573" max="13573" width="6.81640625" style="322" customWidth="1"/>
    <col min="13574" max="13813" width="30.54296875" style="322" customWidth="1"/>
    <col min="13814" max="13814" width="6.54296875" style="322" customWidth="1"/>
    <col min="13815" max="13815" width="7.54296875" style="322" customWidth="1"/>
    <col min="13816" max="13816" width="4.81640625" style="322" customWidth="1"/>
    <col min="13817" max="13817" width="11.81640625" style="322" customWidth="1"/>
    <col min="13818" max="13818" width="9.81640625" style="322" customWidth="1"/>
    <col min="13819" max="13819" width="3" style="322" customWidth="1"/>
    <col min="13820" max="13820" width="7.1796875" style="322" customWidth="1"/>
    <col min="13821" max="13821" width="22.81640625" style="322" customWidth="1"/>
    <col min="13822" max="13822" width="7.1796875" style="322" customWidth="1"/>
    <col min="13823" max="13823" width="9" style="322" hidden="1" customWidth="1"/>
    <col min="13824" max="13824" width="8.81640625" style="322" customWidth="1"/>
    <col min="13825" max="13825" width="9.81640625" style="322" customWidth="1"/>
    <col min="13826" max="13826" width="10.54296875" style="322" customWidth="1"/>
    <col min="13827" max="13827" width="12.1796875" style="322" customWidth="1"/>
    <col min="13828" max="13828" width="11.1796875" style="322" customWidth="1"/>
    <col min="13829" max="13829" width="6.81640625" style="322" customWidth="1"/>
    <col min="13830" max="14069" width="30.54296875" style="322" customWidth="1"/>
    <col min="14070" max="14070" width="6.54296875" style="322" customWidth="1"/>
    <col min="14071" max="14071" width="7.54296875" style="322" customWidth="1"/>
    <col min="14072" max="14072" width="4.81640625" style="322" customWidth="1"/>
    <col min="14073" max="14073" width="11.81640625" style="322" customWidth="1"/>
    <col min="14074" max="14074" width="9.81640625" style="322" customWidth="1"/>
    <col min="14075" max="14075" width="3" style="322" customWidth="1"/>
    <col min="14076" max="14076" width="7.1796875" style="322" customWidth="1"/>
    <col min="14077" max="14077" width="22.81640625" style="322" customWidth="1"/>
    <col min="14078" max="14078" width="7.1796875" style="322" customWidth="1"/>
    <col min="14079" max="14079" width="9" style="322" hidden="1" customWidth="1"/>
    <col min="14080" max="14080" width="8.81640625" style="322" customWidth="1"/>
    <col min="14081" max="14081" width="9.81640625" style="322" customWidth="1"/>
    <col min="14082" max="14082" width="10.54296875" style="322" customWidth="1"/>
    <col min="14083" max="14083" width="12.1796875" style="322" customWidth="1"/>
    <col min="14084" max="14084" width="11.1796875" style="322" customWidth="1"/>
    <col min="14085" max="14085" width="6.81640625" style="322" customWidth="1"/>
    <col min="14086" max="14325" width="30.54296875" style="322" customWidth="1"/>
    <col min="14326" max="14326" width="6.54296875" style="322" customWidth="1"/>
    <col min="14327" max="14327" width="7.54296875" style="322" customWidth="1"/>
    <col min="14328" max="14328" width="4.81640625" style="322" customWidth="1"/>
    <col min="14329" max="14329" width="11.81640625" style="322" customWidth="1"/>
    <col min="14330" max="14330" width="9.81640625" style="322" customWidth="1"/>
    <col min="14331" max="14331" width="3" style="322" customWidth="1"/>
    <col min="14332" max="14332" width="7.1796875" style="322" customWidth="1"/>
    <col min="14333" max="14333" width="22.81640625" style="322" customWidth="1"/>
    <col min="14334" max="14334" width="7.1796875" style="322" customWidth="1"/>
    <col min="14335" max="14335" width="9" style="322" hidden="1" customWidth="1"/>
    <col min="14336" max="14336" width="8.81640625" style="322" customWidth="1"/>
    <col min="14337" max="14337" width="9.81640625" style="322" customWidth="1"/>
    <col min="14338" max="14338" width="10.54296875" style="322" customWidth="1"/>
    <col min="14339" max="14339" width="12.1796875" style="322" customWidth="1"/>
    <col min="14340" max="14340" width="11.1796875" style="322" customWidth="1"/>
    <col min="14341" max="14341" width="6.81640625" style="322" customWidth="1"/>
    <col min="14342" max="14581" width="30.54296875" style="322" customWidth="1"/>
    <col min="14582" max="14582" width="6.54296875" style="322" customWidth="1"/>
    <col min="14583" max="14583" width="7.54296875" style="322" customWidth="1"/>
    <col min="14584" max="14584" width="4.81640625" style="322" customWidth="1"/>
    <col min="14585" max="14585" width="11.81640625" style="322" customWidth="1"/>
    <col min="14586" max="14586" width="9.81640625" style="322" customWidth="1"/>
    <col min="14587" max="14587" width="3" style="322" customWidth="1"/>
    <col min="14588" max="14588" width="7.1796875" style="322" customWidth="1"/>
    <col min="14589" max="14589" width="22.81640625" style="322" customWidth="1"/>
    <col min="14590" max="14590" width="7.1796875" style="322" customWidth="1"/>
    <col min="14591" max="14591" width="9" style="322" hidden="1" customWidth="1"/>
    <col min="14592" max="14592" width="8.81640625" style="322" customWidth="1"/>
    <col min="14593" max="14593" width="9.81640625" style="322" customWidth="1"/>
    <col min="14594" max="14594" width="10.54296875" style="322" customWidth="1"/>
    <col min="14595" max="14595" width="12.1796875" style="322" customWidth="1"/>
    <col min="14596" max="14596" width="11.1796875" style="322" customWidth="1"/>
    <col min="14597" max="14597" width="6.81640625" style="322" customWidth="1"/>
    <col min="14598" max="14837" width="30.54296875" style="322" customWidth="1"/>
    <col min="14838" max="14838" width="6.54296875" style="322" customWidth="1"/>
    <col min="14839" max="14839" width="7.54296875" style="322" customWidth="1"/>
    <col min="14840" max="14840" width="4.81640625" style="322" customWidth="1"/>
    <col min="14841" max="14841" width="11.81640625" style="322" customWidth="1"/>
    <col min="14842" max="14842" width="9.81640625" style="322" customWidth="1"/>
    <col min="14843" max="14843" width="3" style="322" customWidth="1"/>
    <col min="14844" max="14844" width="7.1796875" style="322" customWidth="1"/>
    <col min="14845" max="14845" width="22.81640625" style="322" customWidth="1"/>
    <col min="14846" max="14846" width="7.1796875" style="322" customWidth="1"/>
    <col min="14847" max="14847" width="9" style="322" hidden="1" customWidth="1"/>
    <col min="14848" max="14848" width="8.81640625" style="322" customWidth="1"/>
    <col min="14849" max="14849" width="9.81640625" style="322" customWidth="1"/>
    <col min="14850" max="14850" width="10.54296875" style="322" customWidth="1"/>
    <col min="14851" max="14851" width="12.1796875" style="322" customWidth="1"/>
    <col min="14852" max="14852" width="11.1796875" style="322" customWidth="1"/>
    <col min="14853" max="14853" width="6.81640625" style="322" customWidth="1"/>
    <col min="14854" max="15093" width="30.54296875" style="322" customWidth="1"/>
    <col min="15094" max="15094" width="6.54296875" style="322" customWidth="1"/>
    <col min="15095" max="15095" width="7.54296875" style="322" customWidth="1"/>
    <col min="15096" max="15096" width="4.81640625" style="322" customWidth="1"/>
    <col min="15097" max="15097" width="11.81640625" style="322" customWidth="1"/>
    <col min="15098" max="15098" width="9.81640625" style="322" customWidth="1"/>
    <col min="15099" max="15099" width="3" style="322" customWidth="1"/>
    <col min="15100" max="15100" width="7.1796875" style="322" customWidth="1"/>
    <col min="15101" max="15101" width="22.81640625" style="322" customWidth="1"/>
    <col min="15102" max="15102" width="7.1796875" style="322" customWidth="1"/>
    <col min="15103" max="15103" width="9" style="322" hidden="1" customWidth="1"/>
    <col min="15104" max="15104" width="8.81640625" style="322" customWidth="1"/>
    <col min="15105" max="15105" width="9.81640625" style="322" customWidth="1"/>
    <col min="15106" max="15106" width="10.54296875" style="322" customWidth="1"/>
    <col min="15107" max="15107" width="12.1796875" style="322" customWidth="1"/>
    <col min="15108" max="15108" width="11.1796875" style="322" customWidth="1"/>
    <col min="15109" max="15109" width="6.81640625" style="322" customWidth="1"/>
    <col min="15110" max="15349" width="30.54296875" style="322" customWidth="1"/>
    <col min="15350" max="15350" width="6.54296875" style="322" customWidth="1"/>
    <col min="15351" max="15351" width="7.54296875" style="322" customWidth="1"/>
    <col min="15352" max="15352" width="4.81640625" style="322" customWidth="1"/>
    <col min="15353" max="15353" width="11.81640625" style="322" customWidth="1"/>
    <col min="15354" max="15354" width="9.81640625" style="322" customWidth="1"/>
    <col min="15355" max="15355" width="3" style="322" customWidth="1"/>
    <col min="15356" max="15356" width="7.1796875" style="322" customWidth="1"/>
    <col min="15357" max="15357" width="22.81640625" style="322" customWidth="1"/>
    <col min="15358" max="15358" width="7.1796875" style="322" customWidth="1"/>
    <col min="15359" max="15359" width="9" style="322" hidden="1" customWidth="1"/>
    <col min="15360" max="15360" width="8.81640625" style="322" customWidth="1"/>
    <col min="15361" max="15361" width="9.81640625" style="322" customWidth="1"/>
    <col min="15362" max="15362" width="10.54296875" style="322" customWidth="1"/>
    <col min="15363" max="15363" width="12.1796875" style="322" customWidth="1"/>
    <col min="15364" max="15364" width="11.1796875" style="322" customWidth="1"/>
    <col min="15365" max="15365" width="6.81640625" style="322" customWidth="1"/>
    <col min="15366" max="15605" width="30.54296875" style="322" customWidth="1"/>
    <col min="15606" max="15606" width="6.54296875" style="322" customWidth="1"/>
    <col min="15607" max="15607" width="7.54296875" style="322" customWidth="1"/>
    <col min="15608" max="15608" width="4.81640625" style="322" customWidth="1"/>
    <col min="15609" max="15609" width="11.81640625" style="322" customWidth="1"/>
    <col min="15610" max="15610" width="9.81640625" style="322" customWidth="1"/>
    <col min="15611" max="15611" width="3" style="322" customWidth="1"/>
    <col min="15612" max="15612" width="7.1796875" style="322" customWidth="1"/>
    <col min="15613" max="15613" width="22.81640625" style="322" customWidth="1"/>
    <col min="15614" max="15614" width="7.1796875" style="322" customWidth="1"/>
    <col min="15615" max="15615" width="9" style="322" hidden="1" customWidth="1"/>
    <col min="15616" max="15616" width="8.81640625" style="322" customWidth="1"/>
    <col min="15617" max="15617" width="9.81640625" style="322" customWidth="1"/>
    <col min="15618" max="15618" width="10.54296875" style="322" customWidth="1"/>
    <col min="15619" max="15619" width="12.1796875" style="322" customWidth="1"/>
    <col min="15620" max="15620" width="11.1796875" style="322" customWidth="1"/>
    <col min="15621" max="15621" width="6.81640625" style="322" customWidth="1"/>
    <col min="15622" max="15861" width="30.54296875" style="322" customWidth="1"/>
    <col min="15862" max="15862" width="6.54296875" style="322" customWidth="1"/>
    <col min="15863" max="15863" width="7.54296875" style="322" customWidth="1"/>
    <col min="15864" max="15864" width="4.81640625" style="322" customWidth="1"/>
    <col min="15865" max="15865" width="11.81640625" style="322" customWidth="1"/>
    <col min="15866" max="15866" width="9.81640625" style="322" customWidth="1"/>
    <col min="15867" max="15867" width="3" style="322" customWidth="1"/>
    <col min="15868" max="15868" width="7.1796875" style="322" customWidth="1"/>
    <col min="15869" max="15869" width="22.81640625" style="322" customWidth="1"/>
    <col min="15870" max="15870" width="7.1796875" style="322" customWidth="1"/>
    <col min="15871" max="15871" width="9" style="322" hidden="1" customWidth="1"/>
    <col min="15872" max="15872" width="8.81640625" style="322" customWidth="1"/>
    <col min="15873" max="15873" width="9.81640625" style="322" customWidth="1"/>
    <col min="15874" max="15874" width="10.54296875" style="322" customWidth="1"/>
    <col min="15875" max="15875" width="12.1796875" style="322" customWidth="1"/>
    <col min="15876" max="15876" width="11.1796875" style="322" customWidth="1"/>
    <col min="15877" max="15877" width="6.81640625" style="322" customWidth="1"/>
    <col min="15878" max="16117" width="30.54296875" style="322" customWidth="1"/>
    <col min="16118" max="16118" width="6.54296875" style="322" customWidth="1"/>
    <col min="16119" max="16119" width="7.54296875" style="322" customWidth="1"/>
    <col min="16120" max="16120" width="4.81640625" style="322" customWidth="1"/>
    <col min="16121" max="16121" width="11.81640625" style="322" customWidth="1"/>
    <col min="16122" max="16122" width="9.81640625" style="322" customWidth="1"/>
    <col min="16123" max="16123" width="3" style="322" customWidth="1"/>
    <col min="16124" max="16124" width="7.1796875" style="322" customWidth="1"/>
    <col min="16125" max="16125" width="22.81640625" style="322" customWidth="1"/>
    <col min="16126" max="16126" width="7.1796875" style="322" customWidth="1"/>
    <col min="16127" max="16127" width="9" style="322" hidden="1" customWidth="1"/>
    <col min="16128" max="16128" width="8.81640625" style="322" customWidth="1"/>
    <col min="16129" max="16129" width="9.81640625" style="322" customWidth="1"/>
    <col min="16130" max="16130" width="10.54296875" style="322" customWidth="1"/>
    <col min="16131" max="16131" width="12.1796875" style="322" customWidth="1"/>
    <col min="16132" max="16132" width="11.1796875" style="322" customWidth="1"/>
    <col min="16133" max="16133" width="6.81640625" style="322" customWidth="1"/>
    <col min="16134" max="16384" width="30.54296875" style="322" customWidth="1"/>
  </cols>
  <sheetData>
    <row r="1" spans="1:34" ht="15.5">
      <c r="A1" s="1533" t="s">
        <v>78</v>
      </c>
      <c r="B1" s="1534"/>
      <c r="C1" s="1534"/>
      <c r="D1" s="1534"/>
      <c r="E1" s="1534"/>
      <c r="F1" s="1534"/>
      <c r="G1" s="1534"/>
      <c r="H1" s="1534"/>
      <c r="I1" s="1534"/>
      <c r="J1" s="1534"/>
      <c r="K1" s="1534"/>
      <c r="L1" s="1534"/>
      <c r="M1" s="1534"/>
      <c r="N1" s="1534"/>
      <c r="O1" s="1534"/>
      <c r="P1" s="1534"/>
      <c r="Q1" s="1534"/>
      <c r="R1" s="1534"/>
      <c r="S1" s="1534"/>
      <c r="T1" s="1534"/>
      <c r="U1" s="1534"/>
      <c r="V1" s="1534"/>
      <c r="W1" s="1534"/>
      <c r="X1" s="1534"/>
      <c r="Y1" s="1534"/>
      <c r="Z1" s="1534"/>
      <c r="AA1" s="1534"/>
      <c r="AB1" s="1534"/>
      <c r="AC1" s="1534"/>
      <c r="AD1" s="1534"/>
      <c r="AE1" s="1534"/>
      <c r="AF1" s="1534"/>
      <c r="AG1" s="1534"/>
      <c r="AH1" s="1535"/>
    </row>
    <row r="2" spans="1:34" ht="15.5">
      <c r="A2" s="1536" t="s">
        <v>79</v>
      </c>
      <c r="B2" s="1419"/>
      <c r="C2" s="1419"/>
      <c r="D2" s="1419"/>
      <c r="E2" s="1419"/>
      <c r="F2" s="1419"/>
      <c r="G2" s="1419"/>
      <c r="H2" s="1419"/>
      <c r="I2" s="1419"/>
      <c r="J2" s="1419"/>
      <c r="K2" s="1419"/>
      <c r="L2" s="1419"/>
      <c r="M2" s="1419"/>
      <c r="N2" s="1419"/>
      <c r="O2" s="1419"/>
      <c r="P2" s="1419"/>
      <c r="Q2" s="1419"/>
      <c r="R2" s="1419"/>
      <c r="S2" s="1419"/>
      <c r="T2" s="1419"/>
      <c r="U2" s="1419"/>
      <c r="V2" s="1419"/>
      <c r="W2" s="1419"/>
      <c r="X2" s="1419"/>
      <c r="Y2" s="1419"/>
      <c r="Z2" s="1419"/>
      <c r="AA2" s="1419"/>
      <c r="AB2" s="1419"/>
      <c r="AC2" s="1419"/>
      <c r="AD2" s="1419"/>
      <c r="AE2" s="1419"/>
      <c r="AF2" s="1419"/>
      <c r="AG2" s="1419"/>
      <c r="AH2" s="1537"/>
    </row>
    <row r="3" spans="1:34" ht="15.5">
      <c r="A3" s="1536" t="s">
        <v>80</v>
      </c>
      <c r="B3" s="1419"/>
      <c r="C3" s="1419"/>
      <c r="D3" s="1419"/>
      <c r="E3" s="1419"/>
      <c r="F3" s="1419"/>
      <c r="G3" s="1419"/>
      <c r="H3" s="1419"/>
      <c r="I3" s="1419"/>
      <c r="J3" s="1419"/>
      <c r="K3" s="1419"/>
      <c r="L3" s="1419"/>
      <c r="M3" s="1419"/>
      <c r="N3" s="1419"/>
      <c r="O3" s="1419"/>
      <c r="P3" s="1419"/>
      <c r="Q3" s="1419"/>
      <c r="R3" s="1419"/>
      <c r="S3" s="1419"/>
      <c r="T3" s="1419"/>
      <c r="U3" s="1419"/>
      <c r="V3" s="1419"/>
      <c r="W3" s="1419"/>
      <c r="X3" s="1419"/>
      <c r="Y3" s="1419"/>
      <c r="Z3" s="1419"/>
      <c r="AA3" s="1419"/>
      <c r="AB3" s="1419"/>
      <c r="AC3" s="1419"/>
      <c r="AD3" s="1419"/>
      <c r="AE3" s="1419"/>
      <c r="AF3" s="1419"/>
      <c r="AG3" s="1419"/>
      <c r="AH3" s="1537"/>
    </row>
    <row r="5" spans="1:34" ht="14.5">
      <c r="A5" s="322" t="s">
        <v>218</v>
      </c>
      <c r="N5" s="57">
        <f>SUBTOTAL(3,N9:N227)</f>
        <v>219</v>
      </c>
    </row>
    <row r="6" spans="1:34">
      <c r="A6" s="1489" t="s">
        <v>203</v>
      </c>
      <c r="B6" s="1489" t="s">
        <v>204</v>
      </c>
      <c r="C6" s="1491" t="s">
        <v>219</v>
      </c>
      <c r="D6" s="1489" t="s">
        <v>205</v>
      </c>
      <c r="E6" s="1490" t="s">
        <v>1049</v>
      </c>
      <c r="F6" s="1490" t="s">
        <v>1572</v>
      </c>
      <c r="G6" s="1490" t="s">
        <v>1180</v>
      </c>
      <c r="H6" s="1490" t="s">
        <v>1573</v>
      </c>
      <c r="I6" s="1490" t="s">
        <v>1574</v>
      </c>
      <c r="J6" s="1490" t="s">
        <v>220</v>
      </c>
      <c r="K6" s="1489" t="s">
        <v>221</v>
      </c>
      <c r="L6" s="1489"/>
      <c r="M6" s="1489"/>
      <c r="N6" s="1489"/>
      <c r="O6" s="1489"/>
    </row>
    <row r="7" spans="1:34" ht="26">
      <c r="A7" s="1490"/>
      <c r="B7" s="1490"/>
      <c r="C7" s="1491"/>
      <c r="D7" s="1490"/>
      <c r="E7" s="1492"/>
      <c r="F7" s="1492"/>
      <c r="G7" s="1492"/>
      <c r="H7" s="1492"/>
      <c r="I7" s="1492"/>
      <c r="J7" s="1492"/>
      <c r="K7" s="1490"/>
      <c r="L7" s="312" t="s">
        <v>222</v>
      </c>
      <c r="M7" s="312" t="s">
        <v>208</v>
      </c>
      <c r="N7" s="311" t="s">
        <v>223</v>
      </c>
      <c r="O7" s="311" t="s">
        <v>224</v>
      </c>
      <c r="P7" s="311" t="s">
        <v>34</v>
      </c>
    </row>
    <row r="8" spans="1:34" ht="15.5">
      <c r="A8" s="323">
        <v>1</v>
      </c>
      <c r="B8" s="314" t="s">
        <v>225</v>
      </c>
      <c r="C8" s="314" t="s">
        <v>225</v>
      </c>
      <c r="D8" s="314" t="s">
        <v>185</v>
      </c>
      <c r="E8" s="839">
        <v>1.86</v>
      </c>
      <c r="F8" s="839">
        <v>12.47</v>
      </c>
      <c r="G8" s="839">
        <v>134.69999999999999</v>
      </c>
      <c r="H8" s="841">
        <v>1.115</v>
      </c>
      <c r="I8" s="839">
        <v>0.29899999999999999</v>
      </c>
      <c r="J8" s="840"/>
      <c r="K8" s="840" t="s">
        <v>210</v>
      </c>
      <c r="L8" s="314">
        <v>45665</v>
      </c>
      <c r="M8" s="314">
        <v>45674</v>
      </c>
      <c r="N8" s="1087" t="s">
        <v>226</v>
      </c>
      <c r="O8" s="314">
        <v>45674</v>
      </c>
      <c r="P8" s="1088" t="s">
        <v>211</v>
      </c>
    </row>
    <row r="9" spans="1:34" ht="14.25" customHeight="1">
      <c r="A9" s="325">
        <f>A8+1</f>
        <v>2</v>
      </c>
      <c r="B9" s="314" t="s">
        <v>231</v>
      </c>
      <c r="C9" s="314" t="s">
        <v>231</v>
      </c>
      <c r="D9" s="314" t="s">
        <v>182</v>
      </c>
      <c r="E9" s="839">
        <v>1.57</v>
      </c>
      <c r="F9" s="839">
        <v>11.05</v>
      </c>
      <c r="G9" s="839">
        <v>115.3</v>
      </c>
      <c r="H9" s="841">
        <v>0.91900000000000004</v>
      </c>
      <c r="I9" s="842">
        <v>0.29899999999999999</v>
      </c>
      <c r="J9" s="840"/>
      <c r="K9" s="840" t="s">
        <v>210</v>
      </c>
      <c r="L9" s="314">
        <v>45675</v>
      </c>
      <c r="M9" s="314">
        <v>45684</v>
      </c>
      <c r="N9" s="314" t="s">
        <v>232</v>
      </c>
      <c r="O9" s="314"/>
      <c r="P9" s="1088" t="s">
        <v>211</v>
      </c>
    </row>
    <row r="10" spans="1:34" ht="14.25" customHeight="1">
      <c r="A10" s="325">
        <f t="shared" ref="A10:A73" si="0">A9+1</f>
        <v>3</v>
      </c>
      <c r="B10" s="314" t="s">
        <v>209</v>
      </c>
      <c r="C10" s="314"/>
      <c r="D10" s="314" t="s">
        <v>182</v>
      </c>
      <c r="E10" s="839">
        <v>1.57</v>
      </c>
      <c r="F10" s="839">
        <v>11.05</v>
      </c>
      <c r="G10" s="839">
        <v>115.3</v>
      </c>
      <c r="H10" s="841">
        <v>0.91900000000000004</v>
      </c>
      <c r="I10" s="842">
        <v>0.29899999999999999</v>
      </c>
      <c r="J10" s="840"/>
      <c r="K10" s="840" t="s">
        <v>210</v>
      </c>
      <c r="L10" s="314">
        <v>45685</v>
      </c>
      <c r="M10" s="314">
        <v>45690</v>
      </c>
      <c r="N10" s="314" t="s">
        <v>232</v>
      </c>
      <c r="O10" s="314"/>
      <c r="P10" s="1088" t="s">
        <v>211</v>
      </c>
    </row>
    <row r="11" spans="1:34" ht="14.25" customHeight="1">
      <c r="A11" s="325">
        <f t="shared" si="0"/>
        <v>4</v>
      </c>
      <c r="B11" s="314" t="s">
        <v>212</v>
      </c>
      <c r="C11" s="314"/>
      <c r="D11" s="314" t="s">
        <v>182</v>
      </c>
      <c r="E11" s="839">
        <v>1.57</v>
      </c>
      <c r="F11" s="839">
        <v>11.05</v>
      </c>
      <c r="G11" s="839">
        <v>115.3</v>
      </c>
      <c r="H11" s="841">
        <v>0.91900000000000004</v>
      </c>
      <c r="I11" s="842">
        <v>0.29899999999999999</v>
      </c>
      <c r="J11" s="840"/>
      <c r="K11" s="840" t="s">
        <v>210</v>
      </c>
      <c r="L11" s="314">
        <v>45691</v>
      </c>
      <c r="M11" s="314">
        <v>45693</v>
      </c>
      <c r="N11" s="314" t="s">
        <v>232</v>
      </c>
      <c r="O11" s="314"/>
      <c r="P11" s="1088" t="s">
        <v>211</v>
      </c>
    </row>
    <row r="12" spans="1:34" ht="17.5" customHeight="1">
      <c r="A12" s="325">
        <f t="shared" si="0"/>
        <v>5</v>
      </c>
      <c r="B12" s="314" t="s">
        <v>213</v>
      </c>
      <c r="C12" s="314"/>
      <c r="D12" s="314" t="s">
        <v>182</v>
      </c>
      <c r="E12" s="839">
        <v>1.57</v>
      </c>
      <c r="F12" s="839">
        <v>11.05</v>
      </c>
      <c r="G12" s="839">
        <v>115.3</v>
      </c>
      <c r="H12" s="841">
        <v>0.91900000000000004</v>
      </c>
      <c r="I12" s="842">
        <v>0.29899999999999999</v>
      </c>
      <c r="J12" s="840"/>
      <c r="K12" s="840" t="s">
        <v>210</v>
      </c>
      <c r="L12" s="314">
        <v>45686</v>
      </c>
      <c r="M12" s="314">
        <v>45693</v>
      </c>
      <c r="N12" s="845" t="s">
        <v>1614</v>
      </c>
      <c r="O12" s="314"/>
      <c r="P12" s="1088" t="s">
        <v>211</v>
      </c>
    </row>
    <row r="13" spans="1:34" ht="15.5">
      <c r="A13" s="325">
        <f t="shared" si="0"/>
        <v>6</v>
      </c>
      <c r="B13" s="314" t="s">
        <v>214</v>
      </c>
      <c r="C13" s="314"/>
      <c r="D13" s="314" t="s">
        <v>185</v>
      </c>
      <c r="E13" s="839">
        <v>1.86</v>
      </c>
      <c r="F13" s="839">
        <v>12.47</v>
      </c>
      <c r="G13" s="839">
        <v>134.69999999999999</v>
      </c>
      <c r="H13" s="841">
        <v>1.115</v>
      </c>
      <c r="I13" s="839">
        <v>0.29899999999999999</v>
      </c>
      <c r="J13" s="840"/>
      <c r="K13" s="840" t="s">
        <v>210</v>
      </c>
      <c r="L13" s="314">
        <v>24</v>
      </c>
      <c r="M13" s="314">
        <v>45698</v>
      </c>
      <c r="N13" s="845" t="s">
        <v>1614</v>
      </c>
      <c r="O13" s="314"/>
      <c r="P13" s="1088" t="s">
        <v>211</v>
      </c>
    </row>
    <row r="14" spans="1:34" ht="14.25" customHeight="1">
      <c r="A14" s="325">
        <f t="shared" si="0"/>
        <v>7</v>
      </c>
      <c r="B14" s="314" t="s">
        <v>236</v>
      </c>
      <c r="C14" s="314"/>
      <c r="D14" s="314" t="s">
        <v>182</v>
      </c>
      <c r="E14" s="839">
        <v>1.57</v>
      </c>
      <c r="F14" s="839">
        <v>11.05</v>
      </c>
      <c r="G14" s="839">
        <v>115.3</v>
      </c>
      <c r="H14" s="841">
        <v>0.91900000000000004</v>
      </c>
      <c r="I14" s="842">
        <v>0.29899999999999999</v>
      </c>
      <c r="J14" s="840"/>
      <c r="K14" s="840" t="s">
        <v>210</v>
      </c>
      <c r="L14" s="314">
        <v>45697</v>
      </c>
      <c r="M14" s="314">
        <v>45705</v>
      </c>
      <c r="N14" s="845" t="s">
        <v>1614</v>
      </c>
      <c r="O14" s="314"/>
      <c r="P14" s="1088" t="s">
        <v>211</v>
      </c>
    </row>
    <row r="15" spans="1:34" ht="14" customHeight="1">
      <c r="A15" s="325">
        <f t="shared" si="0"/>
        <v>8</v>
      </c>
      <c r="B15" s="314" t="s">
        <v>237</v>
      </c>
      <c r="C15" s="314"/>
      <c r="D15" s="314" t="s">
        <v>182</v>
      </c>
      <c r="E15" s="839">
        <v>1.57</v>
      </c>
      <c r="F15" s="839">
        <v>11.05</v>
      </c>
      <c r="G15" s="839">
        <v>115.3</v>
      </c>
      <c r="H15" s="841">
        <v>0.91900000000000004</v>
      </c>
      <c r="I15" s="842">
        <v>0.29899999999999999</v>
      </c>
      <c r="J15" s="840"/>
      <c r="K15" s="840" t="s">
        <v>210</v>
      </c>
      <c r="L15" s="314">
        <v>45700</v>
      </c>
      <c r="M15" s="314">
        <v>45706</v>
      </c>
      <c r="N15" s="845" t="s">
        <v>1614</v>
      </c>
      <c r="O15" s="314"/>
      <c r="P15" s="1088" t="s">
        <v>211</v>
      </c>
    </row>
    <row r="16" spans="1:34" ht="15.5">
      <c r="A16" s="325">
        <f t="shared" si="0"/>
        <v>9</v>
      </c>
      <c r="B16" s="314" t="s">
        <v>215</v>
      </c>
      <c r="C16" s="314"/>
      <c r="D16" s="314" t="s">
        <v>182</v>
      </c>
      <c r="E16" s="839">
        <v>1.57</v>
      </c>
      <c r="F16" s="839">
        <v>11.05</v>
      </c>
      <c r="G16" s="839">
        <v>115.3</v>
      </c>
      <c r="H16" s="841">
        <v>0.91900000000000004</v>
      </c>
      <c r="I16" s="842">
        <v>0.29899999999999999</v>
      </c>
      <c r="J16" s="840"/>
      <c r="K16" s="840" t="s">
        <v>210</v>
      </c>
      <c r="L16" s="314">
        <v>45691</v>
      </c>
      <c r="M16" s="314">
        <v>45699</v>
      </c>
      <c r="N16" s="314" t="s">
        <v>254</v>
      </c>
      <c r="O16" s="314"/>
      <c r="P16" s="1088" t="s">
        <v>211</v>
      </c>
    </row>
    <row r="17" spans="1:17" ht="15.5">
      <c r="A17" s="325">
        <f t="shared" si="0"/>
        <v>10</v>
      </c>
      <c r="B17" s="314" t="s">
        <v>216</v>
      </c>
      <c r="C17" s="314"/>
      <c r="D17" s="314" t="s">
        <v>185</v>
      </c>
      <c r="E17" s="839">
        <v>1.86</v>
      </c>
      <c r="F17" s="839">
        <v>12.47</v>
      </c>
      <c r="G17" s="839">
        <v>134.69999999999999</v>
      </c>
      <c r="H17" s="841">
        <v>1.115</v>
      </c>
      <c r="I17" s="839">
        <v>0.29899999999999999</v>
      </c>
      <c r="J17" s="840"/>
      <c r="K17" s="840" t="s">
        <v>210</v>
      </c>
      <c r="L17" s="314">
        <v>45691</v>
      </c>
      <c r="M17" s="314">
        <v>45697</v>
      </c>
      <c r="N17" s="314" t="s">
        <v>232</v>
      </c>
      <c r="O17" s="314"/>
      <c r="P17" s="1088" t="s">
        <v>211</v>
      </c>
    </row>
    <row r="18" spans="1:17" ht="15.5">
      <c r="A18" s="325">
        <f t="shared" si="0"/>
        <v>11</v>
      </c>
      <c r="B18" s="314" t="s">
        <v>239</v>
      </c>
      <c r="C18" s="314"/>
      <c r="D18" s="314" t="s">
        <v>182</v>
      </c>
      <c r="E18" s="839">
        <v>1.57</v>
      </c>
      <c r="F18" s="839">
        <v>11.05</v>
      </c>
      <c r="G18" s="839">
        <v>17</v>
      </c>
      <c r="H18" s="841">
        <v>0.91900000000000004</v>
      </c>
      <c r="I18" s="842">
        <v>41</v>
      </c>
      <c r="J18" s="840"/>
      <c r="K18" s="840" t="s">
        <v>210</v>
      </c>
      <c r="L18" s="314">
        <v>45696</v>
      </c>
      <c r="M18" s="314">
        <v>45702</v>
      </c>
      <c r="N18" s="314" t="s">
        <v>232</v>
      </c>
      <c r="O18" s="314"/>
      <c r="P18" s="1088" t="s">
        <v>211</v>
      </c>
    </row>
    <row r="19" spans="1:17" ht="15.5">
      <c r="A19" s="325">
        <f t="shared" si="0"/>
        <v>12</v>
      </c>
      <c r="B19" s="314" t="s">
        <v>240</v>
      </c>
      <c r="C19" s="314"/>
      <c r="D19" s="314" t="s">
        <v>185</v>
      </c>
      <c r="E19" s="839">
        <v>1.86</v>
      </c>
      <c r="F19" s="839">
        <v>12.47</v>
      </c>
      <c r="G19" s="839">
        <v>134.69999999999999</v>
      </c>
      <c r="H19" s="841">
        <v>1.115</v>
      </c>
      <c r="I19" s="839">
        <v>0.29899999999999999</v>
      </c>
      <c r="J19" s="840"/>
      <c r="K19" s="840" t="s">
        <v>210</v>
      </c>
      <c r="L19" s="314">
        <v>45699</v>
      </c>
      <c r="M19" s="314">
        <v>45705</v>
      </c>
      <c r="N19" s="314" t="s">
        <v>254</v>
      </c>
      <c r="O19" s="314"/>
      <c r="P19" s="1088" t="s">
        <v>211</v>
      </c>
    </row>
    <row r="20" spans="1:17" ht="15.5">
      <c r="A20" s="325">
        <f t="shared" si="0"/>
        <v>13</v>
      </c>
      <c r="B20" s="314" t="s">
        <v>241</v>
      </c>
      <c r="C20" s="314"/>
      <c r="D20" s="314" t="s">
        <v>242</v>
      </c>
      <c r="E20" s="839">
        <v>1.86</v>
      </c>
      <c r="F20" s="839">
        <v>12.47</v>
      </c>
      <c r="G20" s="839">
        <v>134.69999999999999</v>
      </c>
      <c r="H20" s="841">
        <v>1.115</v>
      </c>
      <c r="I20" s="839">
        <v>0.29899999999999999</v>
      </c>
      <c r="J20" s="840"/>
      <c r="K20" s="840" t="s">
        <v>210</v>
      </c>
      <c r="L20" s="314">
        <v>45701</v>
      </c>
      <c r="M20" s="314">
        <v>45707</v>
      </c>
      <c r="N20" s="314" t="s">
        <v>232</v>
      </c>
      <c r="O20" s="314"/>
      <c r="P20" s="1088" t="s">
        <v>211</v>
      </c>
    </row>
    <row r="21" spans="1:17" ht="15.5">
      <c r="A21" s="325">
        <f t="shared" si="0"/>
        <v>14</v>
      </c>
      <c r="B21" s="314" t="s">
        <v>251</v>
      </c>
      <c r="C21" s="314"/>
      <c r="D21" s="314" t="s">
        <v>248</v>
      </c>
      <c r="E21" s="839">
        <v>1.86</v>
      </c>
      <c r="F21" s="839">
        <v>12.47</v>
      </c>
      <c r="G21" s="839">
        <v>134.69999999999999</v>
      </c>
      <c r="H21" s="841">
        <v>1.115</v>
      </c>
      <c r="I21" s="839">
        <v>0.29899999999999999</v>
      </c>
      <c r="J21" s="840"/>
      <c r="K21" s="840" t="s">
        <v>210</v>
      </c>
      <c r="L21" s="314">
        <v>45705</v>
      </c>
      <c r="M21" s="314">
        <v>45710</v>
      </c>
      <c r="N21" s="845" t="s">
        <v>1614</v>
      </c>
      <c r="O21" s="314"/>
      <c r="P21" s="1088" t="s">
        <v>211</v>
      </c>
    </row>
    <row r="22" spans="1:17" ht="15.5">
      <c r="A22" s="325">
        <f t="shared" si="0"/>
        <v>15</v>
      </c>
      <c r="B22" s="314" t="s">
        <v>244</v>
      </c>
      <c r="C22" s="314"/>
      <c r="D22" s="314" t="s">
        <v>182</v>
      </c>
      <c r="E22" s="839">
        <v>1.57</v>
      </c>
      <c r="F22" s="839">
        <v>11.05</v>
      </c>
      <c r="G22" s="839">
        <v>115.3</v>
      </c>
      <c r="H22" s="841">
        <v>0.91900000000000004</v>
      </c>
      <c r="I22" s="842">
        <v>0.29899999999999999</v>
      </c>
      <c r="J22" s="840"/>
      <c r="K22" s="840" t="s">
        <v>210</v>
      </c>
      <c r="L22" s="314">
        <v>45698</v>
      </c>
      <c r="M22" s="314">
        <v>45710</v>
      </c>
      <c r="N22" s="314" t="s">
        <v>245</v>
      </c>
      <c r="O22" s="314"/>
      <c r="P22" s="1088" t="s">
        <v>211</v>
      </c>
    </row>
    <row r="23" spans="1:17" ht="15.5">
      <c r="A23" s="325">
        <f t="shared" si="0"/>
        <v>16</v>
      </c>
      <c r="B23" s="326" t="s">
        <v>253</v>
      </c>
      <c r="C23" s="316"/>
      <c r="D23" s="314" t="s">
        <v>248</v>
      </c>
      <c r="E23" s="839">
        <v>1.86</v>
      </c>
      <c r="F23" s="839">
        <v>12.47</v>
      </c>
      <c r="G23" s="839">
        <v>134.69999999999999</v>
      </c>
      <c r="H23" s="841">
        <v>1.115</v>
      </c>
      <c r="I23" s="839">
        <v>0.29899999999999999</v>
      </c>
      <c r="J23" s="840"/>
      <c r="K23" s="840" t="s">
        <v>210</v>
      </c>
      <c r="L23" s="314">
        <v>45705</v>
      </c>
      <c r="M23" s="314">
        <v>45711</v>
      </c>
      <c r="N23" s="314" t="s">
        <v>254</v>
      </c>
      <c r="O23" s="314"/>
      <c r="P23" s="1088" t="s">
        <v>211</v>
      </c>
    </row>
    <row r="24" spans="1:17" ht="15.5">
      <c r="A24" s="325">
        <f t="shared" si="0"/>
        <v>17</v>
      </c>
      <c r="B24" s="331" t="s">
        <v>217</v>
      </c>
      <c r="C24" s="845"/>
      <c r="D24" s="314" t="s">
        <v>182</v>
      </c>
      <c r="E24" s="839">
        <v>1.08</v>
      </c>
      <c r="F24" s="839">
        <v>8.68</v>
      </c>
      <c r="G24" s="839">
        <v>50.1</v>
      </c>
      <c r="H24" s="841">
        <v>0.78800000000000003</v>
      </c>
      <c r="I24" s="842">
        <v>0.29899999999999999</v>
      </c>
      <c r="J24" s="840"/>
      <c r="K24" s="840" t="s">
        <v>292</v>
      </c>
      <c r="L24" s="314">
        <v>45708</v>
      </c>
      <c r="M24" s="314">
        <v>45713</v>
      </c>
      <c r="N24" s="314" t="s">
        <v>255</v>
      </c>
      <c r="O24" s="314"/>
      <c r="P24" s="1088" t="s">
        <v>211</v>
      </c>
    </row>
    <row r="25" spans="1:17" ht="15.5">
      <c r="A25" s="325">
        <f t="shared" si="0"/>
        <v>18</v>
      </c>
      <c r="B25" s="331" t="s">
        <v>259</v>
      </c>
      <c r="C25" s="309"/>
      <c r="D25" s="314" t="s">
        <v>248</v>
      </c>
      <c r="E25" s="839">
        <v>1.86</v>
      </c>
      <c r="F25" s="839">
        <v>12.47</v>
      </c>
      <c r="G25" s="839">
        <v>134.69999999999999</v>
      </c>
      <c r="H25" s="841">
        <v>1.115</v>
      </c>
      <c r="I25" s="839">
        <v>0.29899999999999999</v>
      </c>
      <c r="J25" s="840"/>
      <c r="K25" s="840" t="s">
        <v>210</v>
      </c>
      <c r="L25" s="314">
        <v>45709</v>
      </c>
      <c r="M25" s="314">
        <v>45713</v>
      </c>
      <c r="N25" s="845" t="s">
        <v>1614</v>
      </c>
      <c r="O25" s="314"/>
      <c r="P25" s="1088" t="s">
        <v>211</v>
      </c>
    </row>
    <row r="26" spans="1:17" ht="15.5">
      <c r="A26" s="325">
        <f t="shared" si="0"/>
        <v>19</v>
      </c>
      <c r="B26" s="326" t="s">
        <v>247</v>
      </c>
      <c r="C26" s="316"/>
      <c r="D26" s="314" t="s">
        <v>248</v>
      </c>
      <c r="E26" s="839">
        <v>1.86</v>
      </c>
      <c r="F26" s="839">
        <v>12.47</v>
      </c>
      <c r="G26" s="839">
        <v>134.69999999999999</v>
      </c>
      <c r="H26" s="841">
        <v>1.115</v>
      </c>
      <c r="I26" s="839">
        <v>0.29899999999999999</v>
      </c>
      <c r="J26" s="840"/>
      <c r="K26" s="840" t="s">
        <v>210</v>
      </c>
      <c r="L26" s="314">
        <v>45705</v>
      </c>
      <c r="M26" s="314">
        <v>45716</v>
      </c>
      <c r="N26" s="314" t="s">
        <v>249</v>
      </c>
      <c r="O26" s="314"/>
      <c r="P26" s="1088" t="s">
        <v>211</v>
      </c>
      <c r="Q26" s="1089"/>
    </row>
    <row r="27" spans="1:17" ht="14.25" customHeight="1">
      <c r="A27" s="325">
        <f t="shared" si="0"/>
        <v>20</v>
      </c>
      <c r="B27" s="326" t="s">
        <v>257</v>
      </c>
      <c r="C27" s="316"/>
      <c r="D27" s="314" t="s">
        <v>248</v>
      </c>
      <c r="E27" s="839">
        <v>1.86</v>
      </c>
      <c r="F27" s="839">
        <v>12.47</v>
      </c>
      <c r="G27" s="839">
        <v>134.69999999999999</v>
      </c>
      <c r="H27" s="841">
        <v>1.115</v>
      </c>
      <c r="I27" s="839">
        <v>0.29899999999999999</v>
      </c>
      <c r="J27" s="840"/>
      <c r="K27" s="840" t="s">
        <v>210</v>
      </c>
      <c r="L27" s="314">
        <v>45708</v>
      </c>
      <c r="M27" s="314">
        <v>45715</v>
      </c>
      <c r="N27" s="314" t="s">
        <v>232</v>
      </c>
      <c r="O27" s="314"/>
      <c r="P27" s="1088" t="s">
        <v>211</v>
      </c>
      <c r="Q27" s="1089"/>
    </row>
    <row r="28" spans="1:17" ht="15.5">
      <c r="A28" s="325">
        <f t="shared" si="0"/>
        <v>21</v>
      </c>
      <c r="B28" s="331" t="s">
        <v>262</v>
      </c>
      <c r="C28" s="309"/>
      <c r="D28" s="314" t="s">
        <v>242</v>
      </c>
      <c r="E28" s="839">
        <v>1.86</v>
      </c>
      <c r="F28" s="839">
        <v>12.47</v>
      </c>
      <c r="G28" s="839">
        <v>134.69999999999999</v>
      </c>
      <c r="H28" s="841">
        <v>1.115</v>
      </c>
      <c r="I28" s="839">
        <v>0.29899999999999999</v>
      </c>
      <c r="J28" s="840"/>
      <c r="K28" s="840" t="s">
        <v>210</v>
      </c>
      <c r="L28" s="314">
        <v>45711</v>
      </c>
      <c r="M28" s="314">
        <v>45725</v>
      </c>
      <c r="N28" s="314" t="s">
        <v>245</v>
      </c>
      <c r="O28" s="314"/>
      <c r="P28" s="1088" t="s">
        <v>211</v>
      </c>
    </row>
    <row r="29" spans="1:17" ht="15.5">
      <c r="A29" s="325">
        <f t="shared" si="0"/>
        <v>22</v>
      </c>
      <c r="B29" s="331" t="s">
        <v>263</v>
      </c>
      <c r="C29" s="309"/>
      <c r="D29" s="314" t="s">
        <v>242</v>
      </c>
      <c r="E29" s="839">
        <v>1.86</v>
      </c>
      <c r="F29" s="839">
        <v>12.47</v>
      </c>
      <c r="G29" s="839">
        <v>134.69999999999999</v>
      </c>
      <c r="H29" s="841">
        <v>1.115</v>
      </c>
      <c r="I29" s="839">
        <v>0.29899999999999999</v>
      </c>
      <c r="J29" s="323"/>
      <c r="K29" s="840" t="s">
        <v>210</v>
      </c>
      <c r="L29" s="314">
        <v>45712</v>
      </c>
      <c r="M29" s="314">
        <v>45718</v>
      </c>
      <c r="N29" s="314" t="s">
        <v>254</v>
      </c>
      <c r="O29" s="309"/>
      <c r="P29" s="1088" t="s">
        <v>211</v>
      </c>
    </row>
    <row r="30" spans="1:17" ht="15.5">
      <c r="A30" s="325">
        <f t="shared" si="0"/>
        <v>23</v>
      </c>
      <c r="B30" s="326" t="s">
        <v>293</v>
      </c>
      <c r="C30" s="309"/>
      <c r="D30" s="314" t="s">
        <v>182</v>
      </c>
      <c r="E30" s="839">
        <v>1.57</v>
      </c>
      <c r="F30" s="839">
        <v>11.05</v>
      </c>
      <c r="G30" s="839">
        <v>115.3</v>
      </c>
      <c r="H30" s="841">
        <v>0.91900000000000004</v>
      </c>
      <c r="I30" s="842">
        <v>0.29899999999999999</v>
      </c>
      <c r="J30" s="323"/>
      <c r="K30" s="840" t="s">
        <v>210</v>
      </c>
      <c r="L30" s="314">
        <v>45712</v>
      </c>
      <c r="M30" s="314">
        <v>45716</v>
      </c>
      <c r="N30" s="845" t="s">
        <v>1614</v>
      </c>
      <c r="O30" s="309"/>
      <c r="P30" s="1088" t="s">
        <v>211</v>
      </c>
    </row>
    <row r="31" spans="1:17" ht="15.5">
      <c r="A31" s="325">
        <f t="shared" si="0"/>
        <v>24</v>
      </c>
      <c r="B31" s="316" t="s">
        <v>294</v>
      </c>
      <c r="C31" s="316"/>
      <c r="D31" s="316" t="s">
        <v>182</v>
      </c>
      <c r="E31" s="839">
        <v>1.57</v>
      </c>
      <c r="F31" s="839">
        <v>11.05</v>
      </c>
      <c r="G31" s="839">
        <v>115.3</v>
      </c>
      <c r="H31" s="841">
        <v>0.91900000000000004</v>
      </c>
      <c r="I31" s="842">
        <v>0.29899999999999999</v>
      </c>
      <c r="J31" s="316"/>
      <c r="K31" s="840" t="s">
        <v>210</v>
      </c>
      <c r="L31" s="314">
        <v>45713</v>
      </c>
      <c r="M31" s="314">
        <v>45716</v>
      </c>
      <c r="N31" s="314" t="s">
        <v>255</v>
      </c>
      <c r="O31" s="316"/>
      <c r="P31" s="1088" t="s">
        <v>211</v>
      </c>
    </row>
    <row r="32" spans="1:17" ht="15.5">
      <c r="A32" s="325">
        <f t="shared" si="0"/>
        <v>25</v>
      </c>
      <c r="B32" s="316" t="s">
        <v>279</v>
      </c>
      <c r="C32" s="316"/>
      <c r="D32" s="316" t="s">
        <v>242</v>
      </c>
      <c r="E32" s="839">
        <v>1.86</v>
      </c>
      <c r="F32" s="839">
        <v>12.47</v>
      </c>
      <c r="G32" s="839">
        <v>134.69999999999999</v>
      </c>
      <c r="H32" s="841">
        <v>1.115</v>
      </c>
      <c r="I32" s="839">
        <v>0.29899999999999999</v>
      </c>
      <c r="J32" s="316"/>
      <c r="K32" s="840" t="s">
        <v>210</v>
      </c>
      <c r="L32" s="314">
        <v>45715</v>
      </c>
      <c r="M32" s="1008">
        <v>45726</v>
      </c>
      <c r="N32" s="314" t="s">
        <v>1291</v>
      </c>
      <c r="O32" s="316"/>
      <c r="P32" s="1088" t="s">
        <v>211</v>
      </c>
    </row>
    <row r="33" spans="1:16" ht="15.5">
      <c r="A33" s="325">
        <f t="shared" si="0"/>
        <v>26</v>
      </c>
      <c r="B33" s="316" t="s">
        <v>260</v>
      </c>
      <c r="C33" s="316"/>
      <c r="D33" s="316" t="s">
        <v>182</v>
      </c>
      <c r="E33" s="839">
        <v>1.57</v>
      </c>
      <c r="F33" s="839">
        <v>11.05</v>
      </c>
      <c r="G33" s="839">
        <v>115.3</v>
      </c>
      <c r="H33" s="841">
        <v>0.91900000000000004</v>
      </c>
      <c r="I33" s="842">
        <v>0.29899999999999999</v>
      </c>
      <c r="J33" s="316"/>
      <c r="K33" s="840" t="s">
        <v>210</v>
      </c>
      <c r="L33" s="314">
        <v>45716</v>
      </c>
      <c r="M33" s="1008">
        <v>45722</v>
      </c>
      <c r="N33" s="314" t="s">
        <v>249</v>
      </c>
      <c r="O33" s="316"/>
      <c r="P33" s="1088" t="s">
        <v>211</v>
      </c>
    </row>
    <row r="34" spans="1:16" ht="15.5">
      <c r="A34" s="325">
        <f t="shared" si="0"/>
        <v>27</v>
      </c>
      <c r="B34" s="316" t="s">
        <v>276</v>
      </c>
      <c r="C34" s="316"/>
      <c r="D34" s="316" t="s">
        <v>182</v>
      </c>
      <c r="E34" s="839">
        <v>1.57</v>
      </c>
      <c r="F34" s="839">
        <v>11.05</v>
      </c>
      <c r="G34" s="839">
        <v>115.3</v>
      </c>
      <c r="H34" s="841">
        <v>0.91900000000000004</v>
      </c>
      <c r="I34" s="842">
        <v>0.29899999999999999</v>
      </c>
      <c r="J34" s="316"/>
      <c r="K34" s="840" t="s">
        <v>210</v>
      </c>
      <c r="L34" s="314">
        <v>45718</v>
      </c>
      <c r="M34" s="1008">
        <v>45723</v>
      </c>
      <c r="N34" s="314" t="s">
        <v>255</v>
      </c>
      <c r="O34" s="316"/>
      <c r="P34" s="1088" t="s">
        <v>211</v>
      </c>
    </row>
    <row r="35" spans="1:16" ht="15.5">
      <c r="A35" s="325">
        <f t="shared" si="0"/>
        <v>28</v>
      </c>
      <c r="B35" s="316" t="s">
        <v>268</v>
      </c>
      <c r="C35" s="316"/>
      <c r="D35" s="316" t="s">
        <v>185</v>
      </c>
      <c r="E35" s="839">
        <v>1.86</v>
      </c>
      <c r="F35" s="839">
        <v>12.47</v>
      </c>
      <c r="G35" s="839">
        <v>134.69999999999999</v>
      </c>
      <c r="H35" s="841">
        <v>1.115</v>
      </c>
      <c r="I35" s="839">
        <v>0.29899999999999999</v>
      </c>
      <c r="J35" s="316"/>
      <c r="K35" s="840" t="s">
        <v>210</v>
      </c>
      <c r="L35" s="314">
        <v>45718</v>
      </c>
      <c r="M35" s="1008">
        <v>45724</v>
      </c>
      <c r="N35" s="314" t="s">
        <v>232</v>
      </c>
      <c r="O35" s="316"/>
      <c r="P35" s="1088" t="s">
        <v>211</v>
      </c>
    </row>
    <row r="36" spans="1:16" ht="15.5">
      <c r="A36" s="325">
        <f t="shared" si="0"/>
        <v>29</v>
      </c>
      <c r="B36" s="316" t="s">
        <v>274</v>
      </c>
      <c r="C36" s="316"/>
      <c r="D36" s="316" t="s">
        <v>248</v>
      </c>
      <c r="E36" s="839">
        <v>1.86</v>
      </c>
      <c r="F36" s="839">
        <v>12.47</v>
      </c>
      <c r="G36" s="839">
        <v>134.69999999999999</v>
      </c>
      <c r="H36" s="841">
        <v>1.115</v>
      </c>
      <c r="I36" s="839">
        <v>0.29899999999999999</v>
      </c>
      <c r="J36" s="316"/>
      <c r="K36" s="840" t="s">
        <v>210</v>
      </c>
      <c r="L36" s="314">
        <v>45719</v>
      </c>
      <c r="M36" s="1008">
        <v>45723</v>
      </c>
      <c r="N36" s="845" t="s">
        <v>1614</v>
      </c>
      <c r="O36" s="316"/>
      <c r="P36" s="1088" t="s">
        <v>211</v>
      </c>
    </row>
    <row r="37" spans="1:16" ht="15.5">
      <c r="A37" s="325">
        <f t="shared" si="0"/>
        <v>30</v>
      </c>
      <c r="B37" s="316" t="s">
        <v>261</v>
      </c>
      <c r="C37" s="316"/>
      <c r="D37" s="316" t="s">
        <v>185</v>
      </c>
      <c r="E37" s="839">
        <v>1.86</v>
      </c>
      <c r="F37" s="839">
        <v>12.47</v>
      </c>
      <c r="G37" s="839">
        <v>134.69999999999999</v>
      </c>
      <c r="H37" s="841">
        <v>1.115</v>
      </c>
      <c r="I37" s="839">
        <v>0.29899999999999999</v>
      </c>
      <c r="J37" s="316"/>
      <c r="K37" s="840" t="s">
        <v>210</v>
      </c>
      <c r="L37" s="314">
        <v>45721</v>
      </c>
      <c r="M37" s="1008">
        <v>45727</v>
      </c>
      <c r="N37" s="314" t="s">
        <v>249</v>
      </c>
      <c r="O37" s="316"/>
      <c r="P37" s="1088" t="s">
        <v>211</v>
      </c>
    </row>
    <row r="38" spans="1:16" ht="15.5">
      <c r="A38" s="325">
        <f t="shared" si="0"/>
        <v>31</v>
      </c>
      <c r="B38" s="316" t="s">
        <v>275</v>
      </c>
      <c r="C38" s="316"/>
      <c r="D38" s="316" t="s">
        <v>248</v>
      </c>
      <c r="E38" s="839">
        <v>1.86</v>
      </c>
      <c r="F38" s="839">
        <v>12.47</v>
      </c>
      <c r="G38" s="839">
        <v>134.69999999999999</v>
      </c>
      <c r="H38" s="841">
        <v>1.115</v>
      </c>
      <c r="I38" s="839">
        <v>0.29899999999999999</v>
      </c>
      <c r="J38" s="316"/>
      <c r="K38" s="840" t="s">
        <v>210</v>
      </c>
      <c r="L38" s="314">
        <v>45722</v>
      </c>
      <c r="M38" s="1008">
        <v>45726</v>
      </c>
      <c r="N38" s="845" t="s">
        <v>1614</v>
      </c>
      <c r="O38" s="316"/>
      <c r="P38" s="1088" t="s">
        <v>211</v>
      </c>
    </row>
    <row r="39" spans="1:16" ht="15.5">
      <c r="A39" s="325">
        <f t="shared" si="0"/>
        <v>32</v>
      </c>
      <c r="B39" s="316" t="s">
        <v>258</v>
      </c>
      <c r="C39" s="316"/>
      <c r="D39" s="316" t="s">
        <v>182</v>
      </c>
      <c r="E39" s="839">
        <v>1.57</v>
      </c>
      <c r="F39" s="839">
        <v>11.05</v>
      </c>
      <c r="G39" s="839">
        <v>115.3</v>
      </c>
      <c r="H39" s="841">
        <v>0.91900000000000004</v>
      </c>
      <c r="I39" s="842">
        <v>0.29899999999999999</v>
      </c>
      <c r="J39" s="316"/>
      <c r="K39" s="840" t="s">
        <v>210</v>
      </c>
      <c r="L39" s="314">
        <v>45720</v>
      </c>
      <c r="M39" s="1008">
        <v>45726</v>
      </c>
      <c r="N39" s="314" t="s">
        <v>254</v>
      </c>
      <c r="O39" s="316"/>
      <c r="P39" s="1088" t="s">
        <v>211</v>
      </c>
    </row>
    <row r="40" spans="1:16" ht="15.5">
      <c r="A40" s="325">
        <f t="shared" si="0"/>
        <v>33</v>
      </c>
      <c r="B40" s="316" t="s">
        <v>277</v>
      </c>
      <c r="C40" s="316"/>
      <c r="D40" s="316" t="s">
        <v>185</v>
      </c>
      <c r="E40" s="839">
        <v>1.86</v>
      </c>
      <c r="F40" s="839">
        <v>12.47</v>
      </c>
      <c r="G40" s="839">
        <v>134.69999999999999</v>
      </c>
      <c r="H40" s="841">
        <v>1.115</v>
      </c>
      <c r="I40" s="839">
        <v>0.29899999999999999</v>
      </c>
      <c r="J40" s="316"/>
      <c r="K40" s="316" t="s">
        <v>210</v>
      </c>
      <c r="L40" s="314">
        <v>45731</v>
      </c>
      <c r="M40" s="1008">
        <v>45740</v>
      </c>
      <c r="N40" s="314" t="s">
        <v>254</v>
      </c>
      <c r="O40" s="316"/>
      <c r="P40" s="1088" t="s">
        <v>211</v>
      </c>
    </row>
    <row r="41" spans="1:16" ht="15.5">
      <c r="A41" s="325">
        <f t="shared" si="0"/>
        <v>34</v>
      </c>
      <c r="B41" s="316" t="s">
        <v>285</v>
      </c>
      <c r="C41" s="316"/>
      <c r="D41" s="316" t="s">
        <v>185</v>
      </c>
      <c r="E41" s="839">
        <v>1.86</v>
      </c>
      <c r="F41" s="839">
        <v>12.47</v>
      </c>
      <c r="G41" s="839">
        <v>134.69999999999999</v>
      </c>
      <c r="H41" s="841">
        <v>1.115</v>
      </c>
      <c r="I41" s="839">
        <v>0.29899999999999999</v>
      </c>
      <c r="J41" s="316"/>
      <c r="K41" s="316" t="s">
        <v>210</v>
      </c>
      <c r="L41" s="314">
        <v>45735</v>
      </c>
      <c r="M41" s="1008">
        <v>45742</v>
      </c>
      <c r="N41" s="845" t="s">
        <v>1614</v>
      </c>
      <c r="O41" s="316"/>
      <c r="P41" s="1088" t="s">
        <v>211</v>
      </c>
    </row>
    <row r="42" spans="1:16" ht="15.5">
      <c r="A42" s="325">
        <f t="shared" si="0"/>
        <v>35</v>
      </c>
      <c r="B42" s="316" t="s">
        <v>289</v>
      </c>
      <c r="C42" s="316"/>
      <c r="D42" s="316" t="s">
        <v>182</v>
      </c>
      <c r="E42" s="839">
        <v>1.08</v>
      </c>
      <c r="F42" s="839">
        <v>8.68</v>
      </c>
      <c r="G42" s="839">
        <v>50.1</v>
      </c>
      <c r="H42" s="841">
        <v>0.78800000000000003</v>
      </c>
      <c r="I42" s="842">
        <v>0.29899999999999999</v>
      </c>
      <c r="J42" s="316"/>
      <c r="K42" s="840" t="s">
        <v>292</v>
      </c>
      <c r="L42" s="314">
        <v>45729</v>
      </c>
      <c r="M42" s="1008">
        <v>45746</v>
      </c>
      <c r="N42" s="314" t="s">
        <v>1291</v>
      </c>
      <c r="O42" s="316"/>
      <c r="P42" s="1088" t="s">
        <v>211</v>
      </c>
    </row>
    <row r="43" spans="1:16" ht="15.5">
      <c r="A43" s="325">
        <f t="shared" si="0"/>
        <v>36</v>
      </c>
      <c r="B43" s="316" t="s">
        <v>280</v>
      </c>
      <c r="C43" s="316"/>
      <c r="D43" s="316" t="s">
        <v>248</v>
      </c>
      <c r="E43" s="839">
        <v>1.86</v>
      </c>
      <c r="F43" s="839">
        <v>12.47</v>
      </c>
      <c r="G43" s="839">
        <v>134.69999999999999</v>
      </c>
      <c r="H43" s="841">
        <v>1.115</v>
      </c>
      <c r="I43" s="839">
        <v>0.29899999999999999</v>
      </c>
      <c r="J43" s="316"/>
      <c r="K43" s="316" t="s">
        <v>210</v>
      </c>
      <c r="L43" s="314">
        <v>45738</v>
      </c>
      <c r="M43" s="1008">
        <v>45746</v>
      </c>
      <c r="N43" s="314" t="s">
        <v>254</v>
      </c>
      <c r="O43" s="316"/>
      <c r="P43" s="1088" t="s">
        <v>211</v>
      </c>
    </row>
    <row r="44" spans="1:16" ht="15.5">
      <c r="A44" s="325">
        <f t="shared" si="0"/>
        <v>37</v>
      </c>
      <c r="B44" s="316" t="s">
        <v>284</v>
      </c>
      <c r="C44" s="316"/>
      <c r="D44" s="316" t="s">
        <v>185</v>
      </c>
      <c r="E44" s="839">
        <v>1.86</v>
      </c>
      <c r="F44" s="839">
        <v>12.47</v>
      </c>
      <c r="G44" s="839">
        <v>134.69999999999999</v>
      </c>
      <c r="H44" s="841">
        <v>1.115</v>
      </c>
      <c r="I44" s="839">
        <v>0.29899999999999999</v>
      </c>
      <c r="J44" s="316"/>
      <c r="K44" s="316" t="s">
        <v>210</v>
      </c>
      <c r="L44" s="314">
        <v>45741</v>
      </c>
      <c r="M44" s="1008">
        <v>45746</v>
      </c>
      <c r="N44" s="845" t="s">
        <v>1614</v>
      </c>
      <c r="O44" s="316"/>
      <c r="P44" s="1088" t="s">
        <v>211</v>
      </c>
    </row>
    <row r="45" spans="1:16" ht="15.5">
      <c r="A45" s="325">
        <f t="shared" si="0"/>
        <v>38</v>
      </c>
      <c r="B45" s="316" t="s">
        <v>355</v>
      </c>
      <c r="C45" s="316"/>
      <c r="D45" s="316" t="s">
        <v>248</v>
      </c>
      <c r="E45" s="839">
        <v>1.86</v>
      </c>
      <c r="F45" s="839">
        <v>12.47</v>
      </c>
      <c r="G45" s="839">
        <v>134.69999999999999</v>
      </c>
      <c r="H45" s="841">
        <v>1.115</v>
      </c>
      <c r="I45" s="839">
        <v>0.29899999999999999</v>
      </c>
      <c r="J45" s="316"/>
      <c r="K45" s="316" t="s">
        <v>210</v>
      </c>
      <c r="L45" s="1008">
        <v>45745</v>
      </c>
      <c r="M45" s="1008">
        <v>45747</v>
      </c>
      <c r="N45" s="845" t="s">
        <v>1614</v>
      </c>
      <c r="O45" s="316"/>
      <c r="P45" s="1088" t="s">
        <v>211</v>
      </c>
    </row>
    <row r="46" spans="1:16" ht="15.5">
      <c r="A46" s="325">
        <f t="shared" si="0"/>
        <v>39</v>
      </c>
      <c r="B46" s="316" t="s">
        <v>169</v>
      </c>
      <c r="C46" s="316"/>
      <c r="D46" s="316" t="s">
        <v>182</v>
      </c>
      <c r="E46" s="839">
        <v>1.08</v>
      </c>
      <c r="F46" s="839">
        <v>8.68</v>
      </c>
      <c r="G46" s="839">
        <v>50.1</v>
      </c>
      <c r="H46" s="841">
        <v>0.78800000000000003</v>
      </c>
      <c r="I46" s="842">
        <v>0.29899999999999999</v>
      </c>
      <c r="J46" s="316"/>
      <c r="K46" s="316" t="s">
        <v>292</v>
      </c>
      <c r="L46" s="1008">
        <v>45745</v>
      </c>
      <c r="M46" s="1008">
        <v>45751</v>
      </c>
      <c r="N46" s="314" t="s">
        <v>1291</v>
      </c>
      <c r="O46" s="316"/>
      <c r="P46" s="1088" t="s">
        <v>211</v>
      </c>
    </row>
    <row r="47" spans="1:16" ht="15.5">
      <c r="A47" s="325">
        <f t="shared" si="0"/>
        <v>40</v>
      </c>
      <c r="B47" s="316" t="s">
        <v>287</v>
      </c>
      <c r="C47" s="316"/>
      <c r="D47" s="316" t="s">
        <v>248</v>
      </c>
      <c r="E47" s="839">
        <v>1.86</v>
      </c>
      <c r="F47" s="839">
        <v>12.47</v>
      </c>
      <c r="G47" s="839">
        <v>134.69999999999999</v>
      </c>
      <c r="H47" s="841">
        <v>1.115</v>
      </c>
      <c r="I47" s="839">
        <v>0.29899999999999999</v>
      </c>
      <c r="J47" s="316"/>
      <c r="K47" s="316" t="s">
        <v>210</v>
      </c>
      <c r="L47" s="1008">
        <v>45751</v>
      </c>
      <c r="M47" s="1008">
        <v>45756</v>
      </c>
      <c r="N47" s="845" t="s">
        <v>1614</v>
      </c>
      <c r="O47" s="316"/>
      <c r="P47" s="1088" t="s">
        <v>211</v>
      </c>
    </row>
    <row r="48" spans="1:16" ht="15.5">
      <c r="A48" s="325">
        <f t="shared" si="0"/>
        <v>41</v>
      </c>
      <c r="B48" s="316" t="s">
        <v>406</v>
      </c>
      <c r="C48" s="316"/>
      <c r="D48" s="316" t="s">
        <v>182</v>
      </c>
      <c r="E48" s="839">
        <v>1.57</v>
      </c>
      <c r="F48" s="839">
        <v>11.05</v>
      </c>
      <c r="G48" s="839">
        <v>115.3</v>
      </c>
      <c r="H48" s="841">
        <v>0.91900000000000004</v>
      </c>
      <c r="I48" s="842">
        <v>0.29899999999999999</v>
      </c>
      <c r="J48" s="316"/>
      <c r="K48" s="316" t="s">
        <v>210</v>
      </c>
      <c r="L48" s="1008">
        <v>45750</v>
      </c>
      <c r="M48" s="1008">
        <v>45760</v>
      </c>
      <c r="N48" s="314" t="s">
        <v>254</v>
      </c>
      <c r="O48" s="316"/>
      <c r="P48" s="1088" t="s">
        <v>211</v>
      </c>
    </row>
    <row r="49" spans="1:16" ht="15.5">
      <c r="A49" s="325">
        <f t="shared" si="0"/>
        <v>42</v>
      </c>
      <c r="B49" s="316" t="s">
        <v>290</v>
      </c>
      <c r="C49" s="316"/>
      <c r="D49" s="316" t="s">
        <v>182</v>
      </c>
      <c r="E49" s="839">
        <v>1.57</v>
      </c>
      <c r="F49" s="839">
        <v>11.05</v>
      </c>
      <c r="G49" s="839">
        <v>115.3</v>
      </c>
      <c r="H49" s="841">
        <v>0.91900000000000004</v>
      </c>
      <c r="I49" s="842">
        <v>0.29899999999999999</v>
      </c>
      <c r="J49" s="316"/>
      <c r="K49" s="316" t="s">
        <v>210</v>
      </c>
      <c r="L49" s="1008">
        <v>45746</v>
      </c>
      <c r="M49" s="1008">
        <v>45763</v>
      </c>
      <c r="N49" s="314" t="s">
        <v>254</v>
      </c>
      <c r="O49" s="316"/>
      <c r="P49" s="1088" t="s">
        <v>211</v>
      </c>
    </row>
    <row r="50" spans="1:16" ht="15.5">
      <c r="A50" s="325">
        <f t="shared" si="0"/>
        <v>43</v>
      </c>
      <c r="B50" s="316" t="s">
        <v>273</v>
      </c>
      <c r="C50" s="316"/>
      <c r="D50" s="316" t="s">
        <v>182</v>
      </c>
      <c r="E50" s="839">
        <v>1.57</v>
      </c>
      <c r="F50" s="839">
        <v>11.05</v>
      </c>
      <c r="G50" s="839">
        <v>115.3</v>
      </c>
      <c r="H50" s="841">
        <v>0.91900000000000004</v>
      </c>
      <c r="I50" s="842">
        <v>0.29899999999999999</v>
      </c>
      <c r="J50" s="316"/>
      <c r="K50" s="316" t="s">
        <v>210</v>
      </c>
      <c r="L50" s="1008">
        <v>45746</v>
      </c>
      <c r="M50" s="1008">
        <v>45764</v>
      </c>
      <c r="N50" s="316" t="s">
        <v>1117</v>
      </c>
      <c r="O50" s="316"/>
      <c r="P50" s="1088" t="s">
        <v>211</v>
      </c>
    </row>
    <row r="51" spans="1:16" ht="15.5">
      <c r="A51" s="325">
        <f t="shared" si="0"/>
        <v>44</v>
      </c>
      <c r="B51" s="316" t="s">
        <v>474</v>
      </c>
      <c r="C51" s="316"/>
      <c r="D51" s="316" t="s">
        <v>185</v>
      </c>
      <c r="E51" s="839">
        <v>1.86</v>
      </c>
      <c r="F51" s="839">
        <v>12.47</v>
      </c>
      <c r="G51" s="839">
        <v>134.69999999999999</v>
      </c>
      <c r="H51" s="841">
        <v>1.115</v>
      </c>
      <c r="I51" s="839">
        <v>0.29899999999999999</v>
      </c>
      <c r="J51" s="316"/>
      <c r="K51" s="316" t="s">
        <v>210</v>
      </c>
      <c r="L51" s="1008">
        <v>45762</v>
      </c>
      <c r="M51" s="1008">
        <v>45765</v>
      </c>
      <c r="N51" s="845" t="s">
        <v>1614</v>
      </c>
      <c r="O51" s="316"/>
      <c r="P51" s="1088" t="s">
        <v>211</v>
      </c>
    </row>
    <row r="52" spans="1:16" ht="15.5">
      <c r="A52" s="325">
        <f t="shared" si="0"/>
        <v>45</v>
      </c>
      <c r="B52" s="316" t="s">
        <v>414</v>
      </c>
      <c r="C52" s="316"/>
      <c r="D52" s="316" t="s">
        <v>248</v>
      </c>
      <c r="E52" s="839">
        <v>1.86</v>
      </c>
      <c r="F52" s="839">
        <v>12.47</v>
      </c>
      <c r="G52" s="839">
        <v>134.69999999999999</v>
      </c>
      <c r="H52" s="841">
        <v>1.115</v>
      </c>
      <c r="I52" s="839">
        <v>0.29899999999999999</v>
      </c>
      <c r="J52" s="316"/>
      <c r="K52" s="316" t="s">
        <v>210</v>
      </c>
      <c r="L52" s="1008">
        <v>45761</v>
      </c>
      <c r="M52" s="1008">
        <v>45767</v>
      </c>
      <c r="N52" s="316" t="s">
        <v>1290</v>
      </c>
      <c r="O52" s="316"/>
      <c r="P52" s="1088" t="s">
        <v>211</v>
      </c>
    </row>
    <row r="53" spans="1:16" ht="15.5">
      <c r="A53" s="325">
        <f t="shared" si="0"/>
        <v>46</v>
      </c>
      <c r="B53" s="316" t="s">
        <v>475</v>
      </c>
      <c r="C53" s="316"/>
      <c r="D53" s="316" t="s">
        <v>185</v>
      </c>
      <c r="E53" s="839">
        <v>1.86</v>
      </c>
      <c r="F53" s="839">
        <v>12.47</v>
      </c>
      <c r="G53" s="839">
        <v>134.69999999999999</v>
      </c>
      <c r="H53" s="841">
        <v>1.115</v>
      </c>
      <c r="I53" s="839">
        <v>0.29899999999999999</v>
      </c>
      <c r="J53" s="316"/>
      <c r="K53" s="316" t="s">
        <v>210</v>
      </c>
      <c r="L53" s="1008">
        <v>45765</v>
      </c>
      <c r="M53" s="1008">
        <v>45769</v>
      </c>
      <c r="N53" s="845" t="s">
        <v>1614</v>
      </c>
      <c r="O53" s="316"/>
      <c r="P53" s="1088" t="s">
        <v>211</v>
      </c>
    </row>
    <row r="54" spans="1:16" ht="15.5">
      <c r="A54" s="325">
        <f t="shared" si="0"/>
        <v>47</v>
      </c>
      <c r="B54" s="316" t="s">
        <v>311</v>
      </c>
      <c r="C54" s="316"/>
      <c r="D54" s="316" t="s">
        <v>185</v>
      </c>
      <c r="E54" s="839">
        <v>1.86</v>
      </c>
      <c r="F54" s="839">
        <v>12.47</v>
      </c>
      <c r="G54" s="839">
        <v>134.69999999999999</v>
      </c>
      <c r="H54" s="841">
        <v>1.115</v>
      </c>
      <c r="I54" s="839">
        <v>0.29899999999999999</v>
      </c>
      <c r="J54" s="316"/>
      <c r="K54" s="316" t="s">
        <v>210</v>
      </c>
      <c r="L54" s="1008">
        <v>45765</v>
      </c>
      <c r="M54" s="1008">
        <v>45770</v>
      </c>
      <c r="N54" s="316" t="s">
        <v>1117</v>
      </c>
      <c r="O54" s="316"/>
      <c r="P54" s="1088" t="s">
        <v>211</v>
      </c>
    </row>
    <row r="55" spans="1:16" ht="15.5">
      <c r="A55" s="325">
        <f t="shared" si="0"/>
        <v>48</v>
      </c>
      <c r="B55" s="316" t="s">
        <v>426</v>
      </c>
      <c r="C55" s="316"/>
      <c r="D55" s="316" t="s">
        <v>182</v>
      </c>
      <c r="E55" s="839">
        <v>1.08</v>
      </c>
      <c r="F55" s="839">
        <v>8.68</v>
      </c>
      <c r="G55" s="839">
        <v>50.1</v>
      </c>
      <c r="H55" s="841">
        <v>0.78800000000000003</v>
      </c>
      <c r="I55" s="842">
        <v>0.29899999999999999</v>
      </c>
      <c r="J55" s="316"/>
      <c r="K55" s="316" t="s">
        <v>292</v>
      </c>
      <c r="L55" s="1008">
        <v>45766</v>
      </c>
      <c r="M55" s="1008">
        <v>45772</v>
      </c>
      <c r="N55" s="314" t="s">
        <v>254</v>
      </c>
      <c r="O55" s="316"/>
      <c r="P55" s="1088" t="s">
        <v>211</v>
      </c>
    </row>
    <row r="56" spans="1:16" ht="15.5">
      <c r="A56" s="325">
        <f t="shared" si="0"/>
        <v>49</v>
      </c>
      <c r="B56" s="316" t="s">
        <v>227</v>
      </c>
      <c r="C56" s="316"/>
      <c r="D56" s="316" t="s">
        <v>182</v>
      </c>
      <c r="E56" s="839">
        <v>1.57</v>
      </c>
      <c r="F56" s="839">
        <v>11.05</v>
      </c>
      <c r="G56" s="839">
        <v>115.3</v>
      </c>
      <c r="H56" s="841">
        <v>0.91900000000000004</v>
      </c>
      <c r="I56" s="842">
        <v>0.29899999999999999</v>
      </c>
      <c r="J56" s="316"/>
      <c r="K56" s="316" t="s">
        <v>210</v>
      </c>
      <c r="L56" s="1008">
        <v>45767</v>
      </c>
      <c r="M56" s="1008">
        <v>45776</v>
      </c>
      <c r="N56" s="316" t="s">
        <v>1290</v>
      </c>
      <c r="O56" s="316"/>
      <c r="P56" s="1088" t="s">
        <v>211</v>
      </c>
    </row>
    <row r="57" spans="1:16" ht="15.5">
      <c r="A57" s="325">
        <f t="shared" si="0"/>
        <v>50</v>
      </c>
      <c r="B57" s="316" t="s">
        <v>282</v>
      </c>
      <c r="C57" s="316"/>
      <c r="D57" s="316" t="s">
        <v>242</v>
      </c>
      <c r="E57" s="839">
        <v>1.86</v>
      </c>
      <c r="F57" s="839">
        <v>12.47</v>
      </c>
      <c r="G57" s="839">
        <v>134.69999999999999</v>
      </c>
      <c r="H57" s="841">
        <v>1.115</v>
      </c>
      <c r="I57" s="839">
        <v>0.29899999999999999</v>
      </c>
      <c r="J57" s="316"/>
      <c r="K57" s="316" t="s">
        <v>210</v>
      </c>
      <c r="L57" s="1008">
        <v>45770</v>
      </c>
      <c r="M57" s="1008">
        <v>45776</v>
      </c>
      <c r="N57" s="316" t="s">
        <v>1117</v>
      </c>
      <c r="O57" s="316"/>
      <c r="P57" s="1088" t="s">
        <v>211</v>
      </c>
    </row>
    <row r="58" spans="1:16" ht="15.5">
      <c r="A58" s="325">
        <f t="shared" si="0"/>
        <v>51</v>
      </c>
      <c r="B58" s="316" t="s">
        <v>446</v>
      </c>
      <c r="C58" s="316"/>
      <c r="D58" s="316" t="s">
        <v>182</v>
      </c>
      <c r="E58" s="839">
        <v>1.57</v>
      </c>
      <c r="F58" s="839">
        <v>11.05</v>
      </c>
      <c r="G58" s="839">
        <v>115.3</v>
      </c>
      <c r="H58" s="841">
        <v>0.91900000000000004</v>
      </c>
      <c r="I58" s="842">
        <v>0.29899999999999999</v>
      </c>
      <c r="J58" s="316"/>
      <c r="K58" s="316" t="s">
        <v>210</v>
      </c>
      <c r="L58" s="1008">
        <v>45769</v>
      </c>
      <c r="M58" s="1008">
        <v>45776</v>
      </c>
      <c r="N58" s="316" t="s">
        <v>1302</v>
      </c>
      <c r="O58" s="316"/>
      <c r="P58" s="1088" t="s">
        <v>211</v>
      </c>
    </row>
    <row r="59" spans="1:16" ht="15.5">
      <c r="A59" s="325">
        <f t="shared" si="0"/>
        <v>52</v>
      </c>
      <c r="B59" s="316" t="s">
        <v>447</v>
      </c>
      <c r="C59" s="316"/>
      <c r="D59" s="316" t="s">
        <v>182</v>
      </c>
      <c r="E59" s="839">
        <v>1.57</v>
      </c>
      <c r="F59" s="839">
        <v>11.05</v>
      </c>
      <c r="G59" s="839">
        <v>115.3</v>
      </c>
      <c r="H59" s="841">
        <v>0.91900000000000004</v>
      </c>
      <c r="I59" s="842">
        <v>0.29899999999999999</v>
      </c>
      <c r="J59" s="316"/>
      <c r="K59" s="316" t="s">
        <v>210</v>
      </c>
      <c r="L59" s="1008">
        <v>45775</v>
      </c>
      <c r="M59" s="1008">
        <v>45782</v>
      </c>
      <c r="N59" s="316" t="s">
        <v>1302</v>
      </c>
      <c r="O59" s="316"/>
      <c r="P59" s="1088" t="s">
        <v>211</v>
      </c>
    </row>
    <row r="60" spans="1:16" ht="15.5">
      <c r="A60" s="325">
        <f t="shared" si="0"/>
        <v>53</v>
      </c>
      <c r="B60" s="316" t="s">
        <v>449</v>
      </c>
      <c r="C60" s="316"/>
      <c r="D60" s="316" t="s">
        <v>185</v>
      </c>
      <c r="E60" s="839">
        <v>1.86</v>
      </c>
      <c r="F60" s="839">
        <v>12.47</v>
      </c>
      <c r="G60" s="839">
        <v>134.69999999999999</v>
      </c>
      <c r="H60" s="841">
        <v>1.115</v>
      </c>
      <c r="I60" s="839">
        <v>0.29899999999999999</v>
      </c>
      <c r="J60" s="316"/>
      <c r="K60" s="316" t="s">
        <v>210</v>
      </c>
      <c r="L60" s="1008">
        <v>45783</v>
      </c>
      <c r="M60" s="1008">
        <v>45792</v>
      </c>
      <c r="N60" s="316" t="s">
        <v>1302</v>
      </c>
      <c r="O60" s="316"/>
      <c r="P60" s="1088" t="s">
        <v>211</v>
      </c>
    </row>
    <row r="61" spans="1:16" ht="15.5">
      <c r="A61" s="325">
        <f t="shared" si="0"/>
        <v>54</v>
      </c>
      <c r="B61" s="316" t="s">
        <v>435</v>
      </c>
      <c r="C61" s="316"/>
      <c r="D61" s="316" t="s">
        <v>242</v>
      </c>
      <c r="E61" s="839">
        <v>1.86</v>
      </c>
      <c r="F61" s="839">
        <v>12.47</v>
      </c>
      <c r="G61" s="839">
        <v>134.69999999999999</v>
      </c>
      <c r="H61" s="841">
        <v>1.115</v>
      </c>
      <c r="I61" s="839">
        <v>0.29899999999999999</v>
      </c>
      <c r="J61" s="316"/>
      <c r="K61" s="316" t="s">
        <v>210</v>
      </c>
      <c r="L61" s="1008">
        <v>45781</v>
      </c>
      <c r="M61" s="1008">
        <v>45795</v>
      </c>
      <c r="N61" s="316" t="s">
        <v>1290</v>
      </c>
      <c r="O61" s="316"/>
      <c r="P61" s="1088" t="s">
        <v>211</v>
      </c>
    </row>
    <row r="62" spans="1:16" ht="15.5">
      <c r="A62" s="325">
        <f t="shared" si="0"/>
        <v>55</v>
      </c>
      <c r="B62" s="316" t="s">
        <v>271</v>
      </c>
      <c r="C62" s="316"/>
      <c r="D62" s="316" t="s">
        <v>242</v>
      </c>
      <c r="E62" s="839">
        <v>1.86</v>
      </c>
      <c r="F62" s="839">
        <v>12.47</v>
      </c>
      <c r="G62" s="839">
        <v>134.69999999999999</v>
      </c>
      <c r="H62" s="841">
        <v>1.115</v>
      </c>
      <c r="I62" s="839">
        <v>0.29899999999999999</v>
      </c>
      <c r="J62" s="316"/>
      <c r="K62" s="316" t="s">
        <v>210</v>
      </c>
      <c r="L62" s="1008">
        <v>45790</v>
      </c>
      <c r="M62" s="1008">
        <v>45798</v>
      </c>
      <c r="N62" s="316" t="s">
        <v>1117</v>
      </c>
      <c r="O62" s="316"/>
      <c r="P62" s="1088" t="s">
        <v>211</v>
      </c>
    </row>
    <row r="63" spans="1:16" ht="14.5">
      <c r="A63" s="325">
        <f t="shared" si="0"/>
        <v>56</v>
      </c>
      <c r="B63" s="316" t="s">
        <v>1311</v>
      </c>
      <c r="C63" s="316"/>
      <c r="D63" s="316" t="s">
        <v>115</v>
      </c>
      <c r="E63" s="316">
        <f>1.09+0.51</f>
        <v>1.6</v>
      </c>
      <c r="F63" s="316">
        <f>4.85+8.28</f>
        <v>13.129999999999999</v>
      </c>
      <c r="G63" s="316">
        <f>63.85+23.4</f>
        <v>87.25</v>
      </c>
      <c r="H63" s="316">
        <f>(581.5+792)/1000</f>
        <v>1.3734999999999999</v>
      </c>
      <c r="I63" s="316">
        <f>(530.392/2+472.512/2)/1000</f>
        <v>0.50145200000000001</v>
      </c>
      <c r="J63" s="316"/>
      <c r="K63" s="316" t="s">
        <v>210</v>
      </c>
      <c r="L63" s="1008">
        <v>45784</v>
      </c>
      <c r="M63" s="1008">
        <v>45800</v>
      </c>
      <c r="N63" s="314" t="s">
        <v>254</v>
      </c>
      <c r="O63" s="316"/>
      <c r="P63" s="1088" t="s">
        <v>211</v>
      </c>
    </row>
    <row r="64" spans="1:16" ht="15.5">
      <c r="A64" s="325">
        <f t="shared" si="0"/>
        <v>57</v>
      </c>
      <c r="B64" s="316" t="s">
        <v>1327</v>
      </c>
      <c r="C64" s="316"/>
      <c r="D64" s="316" t="s">
        <v>185</v>
      </c>
      <c r="E64" s="839">
        <v>1.86</v>
      </c>
      <c r="F64" s="839">
        <v>12.47</v>
      </c>
      <c r="G64" s="839">
        <v>134.69999999999999</v>
      </c>
      <c r="H64" s="841">
        <v>1.115</v>
      </c>
      <c r="I64" s="839">
        <v>0.29899999999999999</v>
      </c>
      <c r="J64" s="316"/>
      <c r="K64" s="316" t="s">
        <v>210</v>
      </c>
      <c r="L64" s="1008">
        <v>45795</v>
      </c>
      <c r="M64" s="1008">
        <v>45802</v>
      </c>
      <c r="N64" s="316" t="s">
        <v>1290</v>
      </c>
      <c r="O64" s="316"/>
      <c r="P64" s="1088" t="s">
        <v>211</v>
      </c>
    </row>
    <row r="65" spans="1:16" ht="14.5">
      <c r="A65" s="325">
        <f t="shared" si="0"/>
        <v>58</v>
      </c>
      <c r="B65" s="316" t="s">
        <v>421</v>
      </c>
      <c r="C65" s="316"/>
      <c r="D65" s="316" t="s">
        <v>115</v>
      </c>
      <c r="E65" s="316">
        <v>1.6</v>
      </c>
      <c r="F65" s="316">
        <v>13.13</v>
      </c>
      <c r="G65" s="316">
        <v>87.25</v>
      </c>
      <c r="H65" s="316">
        <v>1.3740000000000001</v>
      </c>
      <c r="I65" s="316">
        <v>0.501</v>
      </c>
      <c r="J65" s="316"/>
      <c r="K65" s="316" t="s">
        <v>292</v>
      </c>
      <c r="L65" s="1008">
        <v>45789</v>
      </c>
      <c r="M65" s="1008">
        <v>45806</v>
      </c>
      <c r="N65" s="316" t="s">
        <v>1335</v>
      </c>
      <c r="O65" s="316"/>
      <c r="P65" s="1088" t="s">
        <v>211</v>
      </c>
    </row>
    <row r="66" spans="1:16" ht="14.5">
      <c r="A66" s="325">
        <f t="shared" si="0"/>
        <v>59</v>
      </c>
      <c r="B66" s="316" t="s">
        <v>726</v>
      </c>
      <c r="C66" s="316"/>
      <c r="D66" s="316" t="s">
        <v>125</v>
      </c>
      <c r="E66" s="316">
        <f>1.81+1.12</f>
        <v>2.93</v>
      </c>
      <c r="F66" s="316">
        <f>8.16+12.18</f>
        <v>20.34</v>
      </c>
      <c r="G66" s="316">
        <f>79.95+144.9</f>
        <v>224.85000000000002</v>
      </c>
      <c r="H66" s="316">
        <f>1.476+1.188</f>
        <v>2.6639999999999997</v>
      </c>
      <c r="I66" s="316">
        <f>(265.195+236.256)/1000</f>
        <v>0.50145099999999998</v>
      </c>
      <c r="J66" s="316"/>
      <c r="K66" s="316" t="s">
        <v>210</v>
      </c>
      <c r="L66" s="1008">
        <v>45793</v>
      </c>
      <c r="M66" s="1008">
        <v>45805</v>
      </c>
      <c r="N66" s="316" t="s">
        <v>1302</v>
      </c>
      <c r="O66" s="316"/>
      <c r="P66" s="1088" t="s">
        <v>211</v>
      </c>
    </row>
    <row r="67" spans="1:16" ht="15.5">
      <c r="A67" s="325">
        <f t="shared" si="0"/>
        <v>60</v>
      </c>
      <c r="B67" s="316" t="s">
        <v>283</v>
      </c>
      <c r="C67" s="316"/>
      <c r="D67" s="316" t="s">
        <v>242</v>
      </c>
      <c r="E67" s="839">
        <v>1.86</v>
      </c>
      <c r="F67" s="839">
        <v>12.47</v>
      </c>
      <c r="G67" s="839">
        <v>134.69999999999999</v>
      </c>
      <c r="H67" s="841">
        <v>1.115</v>
      </c>
      <c r="I67" s="839">
        <v>0.29899999999999999</v>
      </c>
      <c r="J67" s="316"/>
      <c r="K67" s="316" t="s">
        <v>210</v>
      </c>
      <c r="L67" s="1008">
        <v>45779</v>
      </c>
      <c r="M67" s="1008">
        <v>45808</v>
      </c>
      <c r="N67" s="316" t="s">
        <v>1117</v>
      </c>
      <c r="O67" s="316"/>
      <c r="P67" s="1088" t="s">
        <v>211</v>
      </c>
    </row>
    <row r="68" spans="1:16" ht="15.5">
      <c r="A68" s="325">
        <f t="shared" si="0"/>
        <v>61</v>
      </c>
      <c r="B68" s="901" t="s">
        <v>269</v>
      </c>
      <c r="C68" s="316"/>
      <c r="D68" s="636" t="s">
        <v>182</v>
      </c>
      <c r="E68" s="839">
        <v>1.57</v>
      </c>
      <c r="F68" s="839">
        <v>11.05</v>
      </c>
      <c r="G68" s="839">
        <v>115.3</v>
      </c>
      <c r="H68" s="841">
        <v>0.91900000000000004</v>
      </c>
      <c r="I68" s="842">
        <v>0.29899999999999999</v>
      </c>
      <c r="J68" s="636"/>
      <c r="K68" s="636" t="s">
        <v>210</v>
      </c>
      <c r="L68" s="1090">
        <v>45799</v>
      </c>
      <c r="M68" s="1090">
        <v>45812</v>
      </c>
      <c r="N68" s="636" t="s">
        <v>1117</v>
      </c>
      <c r="O68" s="316"/>
      <c r="P68" s="1088" t="s">
        <v>211</v>
      </c>
    </row>
    <row r="69" spans="1:16" ht="15.5">
      <c r="A69" s="325">
        <f t="shared" si="0"/>
        <v>62</v>
      </c>
      <c r="B69" s="901" t="s">
        <v>477</v>
      </c>
      <c r="C69" s="316"/>
      <c r="D69" s="636" t="s">
        <v>242</v>
      </c>
      <c r="E69" s="839">
        <v>1.86</v>
      </c>
      <c r="F69" s="839">
        <v>12.47</v>
      </c>
      <c r="G69" s="839">
        <v>134.69999999999999</v>
      </c>
      <c r="H69" s="841">
        <v>1.115</v>
      </c>
      <c r="I69" s="839">
        <v>0.29899999999999999</v>
      </c>
      <c r="J69" s="636"/>
      <c r="K69" s="636" t="s">
        <v>210</v>
      </c>
      <c r="L69" s="1090">
        <v>45807</v>
      </c>
      <c r="M69" s="1090">
        <v>45813</v>
      </c>
      <c r="N69" s="636" t="s">
        <v>1369</v>
      </c>
      <c r="O69" s="316"/>
      <c r="P69" s="1088" t="s">
        <v>211</v>
      </c>
    </row>
    <row r="70" spans="1:16" ht="14.5">
      <c r="A70" s="325">
        <f t="shared" si="0"/>
        <v>63</v>
      </c>
      <c r="B70" s="901" t="s">
        <v>1334</v>
      </c>
      <c r="C70" s="316"/>
      <c r="D70" s="636" t="s">
        <v>115</v>
      </c>
      <c r="E70" s="316">
        <v>1.6</v>
      </c>
      <c r="F70" s="316">
        <v>13.13</v>
      </c>
      <c r="G70" s="316">
        <v>87.25</v>
      </c>
      <c r="H70" s="316">
        <v>1.3740000000000001</v>
      </c>
      <c r="I70" s="316">
        <v>0.501</v>
      </c>
      <c r="J70" s="636"/>
      <c r="K70" s="636" t="s">
        <v>292</v>
      </c>
      <c r="L70" s="1090">
        <v>45805</v>
      </c>
      <c r="M70" s="1090">
        <v>45814</v>
      </c>
      <c r="N70" s="316" t="s">
        <v>1290</v>
      </c>
      <c r="O70" s="316"/>
      <c r="P70" s="1088" t="s">
        <v>211</v>
      </c>
    </row>
    <row r="71" spans="1:16" ht="14.5">
      <c r="A71" s="325">
        <f t="shared" si="0"/>
        <v>64</v>
      </c>
      <c r="B71" s="901" t="s">
        <v>1368</v>
      </c>
      <c r="C71" s="316"/>
      <c r="D71" s="636" t="s">
        <v>115</v>
      </c>
      <c r="E71" s="316">
        <f>1.09+0.51</f>
        <v>1.6</v>
      </c>
      <c r="F71" s="316">
        <f>4.85+8.28</f>
        <v>13.129999999999999</v>
      </c>
      <c r="G71" s="316">
        <f>63.85+23.4</f>
        <v>87.25</v>
      </c>
      <c r="H71" s="316">
        <f>(581.5+792)/1000</f>
        <v>1.3734999999999999</v>
      </c>
      <c r="I71" s="316">
        <f>(530.392/2+472.512/2)/1000</f>
        <v>0.50145200000000001</v>
      </c>
      <c r="J71" s="636"/>
      <c r="K71" s="636" t="s">
        <v>210</v>
      </c>
      <c r="L71" s="1059">
        <v>45809</v>
      </c>
      <c r="M71" s="1059">
        <v>45815</v>
      </c>
      <c r="N71" s="845" t="s">
        <v>1614</v>
      </c>
      <c r="O71" s="316"/>
      <c r="P71" s="1088" t="s">
        <v>211</v>
      </c>
    </row>
    <row r="72" spans="1:16" ht="15.5">
      <c r="A72" s="325">
        <f t="shared" si="0"/>
        <v>65</v>
      </c>
      <c r="B72" s="636" t="s">
        <v>393</v>
      </c>
      <c r="C72" s="316"/>
      <c r="D72" s="636" t="s">
        <v>182</v>
      </c>
      <c r="E72" s="839">
        <v>1.57</v>
      </c>
      <c r="F72" s="839">
        <v>11.05</v>
      </c>
      <c r="G72" s="839">
        <v>115.3</v>
      </c>
      <c r="H72" s="841">
        <v>0.91900000000000004</v>
      </c>
      <c r="I72" s="842">
        <v>0.29899999999999999</v>
      </c>
      <c r="J72" s="636"/>
      <c r="K72" s="636" t="s">
        <v>210</v>
      </c>
      <c r="L72" s="1090">
        <v>45810</v>
      </c>
      <c r="M72" s="1090">
        <v>45818</v>
      </c>
      <c r="N72" s="314" t="s">
        <v>254</v>
      </c>
      <c r="O72" s="316"/>
      <c r="P72" s="1088" t="s">
        <v>211</v>
      </c>
    </row>
    <row r="73" spans="1:16" ht="14.5">
      <c r="A73" s="325">
        <f t="shared" si="0"/>
        <v>66</v>
      </c>
      <c r="B73" s="636" t="s">
        <v>1371</v>
      </c>
      <c r="C73" s="316"/>
      <c r="D73" s="636" t="s">
        <v>125</v>
      </c>
      <c r="E73" s="316">
        <f>1.81+1.12</f>
        <v>2.93</v>
      </c>
      <c r="F73" s="316">
        <f>8.16+12.18</f>
        <v>20.34</v>
      </c>
      <c r="G73" s="316">
        <f>79.95+144.9</f>
        <v>224.85000000000002</v>
      </c>
      <c r="H73" s="316">
        <f>1.476+1.188</f>
        <v>2.6639999999999997</v>
      </c>
      <c r="I73" s="316">
        <f>(265.195+236.256)/1000</f>
        <v>0.50145099999999998</v>
      </c>
      <c r="J73" s="636"/>
      <c r="K73" s="636" t="s">
        <v>210</v>
      </c>
      <c r="L73" s="1090">
        <v>45877</v>
      </c>
      <c r="M73" s="1059">
        <v>45820</v>
      </c>
      <c r="N73" s="845" t="s">
        <v>1614</v>
      </c>
      <c r="O73" s="316"/>
      <c r="P73" s="1088" t="s">
        <v>211</v>
      </c>
    </row>
    <row r="74" spans="1:16" ht="15.5">
      <c r="A74" s="325">
        <f t="shared" ref="A74:A137" si="1">A73+1</f>
        <v>67</v>
      </c>
      <c r="B74" s="901" t="s">
        <v>811</v>
      </c>
      <c r="C74" s="901"/>
      <c r="D74" s="901" t="s">
        <v>182</v>
      </c>
      <c r="E74" s="898">
        <v>1.57</v>
      </c>
      <c r="F74" s="898">
        <v>11.05</v>
      </c>
      <c r="G74" s="898">
        <v>115.3</v>
      </c>
      <c r="H74" s="899">
        <v>0.91900000000000004</v>
      </c>
      <c r="I74" s="900">
        <v>0.29899999999999999</v>
      </c>
      <c r="J74" s="901"/>
      <c r="K74" s="901" t="s">
        <v>210</v>
      </c>
      <c r="L74" s="1059">
        <v>45810</v>
      </c>
      <c r="M74" s="1059">
        <v>45816</v>
      </c>
      <c r="N74" s="1064" t="s">
        <v>1575</v>
      </c>
      <c r="O74" s="901"/>
      <c r="P74" s="1088" t="s">
        <v>211</v>
      </c>
    </row>
    <row r="75" spans="1:16" ht="15.5">
      <c r="A75" s="325">
        <f t="shared" si="1"/>
        <v>68</v>
      </c>
      <c r="B75" s="636" t="s">
        <v>814</v>
      </c>
      <c r="C75" s="316"/>
      <c r="D75" s="636" t="s">
        <v>182</v>
      </c>
      <c r="E75" s="839">
        <v>1.57</v>
      </c>
      <c r="F75" s="839">
        <v>11.05</v>
      </c>
      <c r="G75" s="839">
        <v>115.3</v>
      </c>
      <c r="H75" s="841">
        <v>0.91900000000000004</v>
      </c>
      <c r="I75" s="842">
        <v>0.29899999999999999</v>
      </c>
      <c r="J75" s="636"/>
      <c r="K75" s="636" t="s">
        <v>210</v>
      </c>
      <c r="L75" s="1090">
        <v>45812</v>
      </c>
      <c r="M75" s="1090">
        <v>45820</v>
      </c>
      <c r="N75" s="636" t="s">
        <v>232</v>
      </c>
      <c r="O75" s="316"/>
      <c r="P75" s="1088" t="s">
        <v>211</v>
      </c>
    </row>
    <row r="76" spans="1:16" ht="14.5">
      <c r="A76" s="325">
        <f t="shared" si="1"/>
        <v>69</v>
      </c>
      <c r="B76" s="636" t="s">
        <v>1370</v>
      </c>
      <c r="C76" s="316"/>
      <c r="D76" s="636" t="s">
        <v>143</v>
      </c>
      <c r="E76" s="316">
        <f>1.81+1.12</f>
        <v>2.93</v>
      </c>
      <c r="F76" s="316">
        <f>8.16+12.18</f>
        <v>20.34</v>
      </c>
      <c r="G76" s="316">
        <f>79.95+144.9</f>
        <v>224.85000000000002</v>
      </c>
      <c r="H76" s="316">
        <f>1.476+1.188</f>
        <v>2.6639999999999997</v>
      </c>
      <c r="I76" s="316">
        <f>(265.195+236.256)/1000</f>
        <v>0.50145099999999998</v>
      </c>
      <c r="J76" s="636"/>
      <c r="K76" s="636" t="s">
        <v>210</v>
      </c>
      <c r="L76" s="1090">
        <v>45813</v>
      </c>
      <c r="M76" s="1090">
        <v>45823</v>
      </c>
      <c r="N76" s="636" t="s">
        <v>1369</v>
      </c>
      <c r="O76" s="316"/>
      <c r="P76" s="1088" t="s">
        <v>211</v>
      </c>
    </row>
    <row r="77" spans="1:16" ht="15.5">
      <c r="A77" s="325">
        <f t="shared" si="1"/>
        <v>70</v>
      </c>
      <c r="B77" s="636" t="s">
        <v>392</v>
      </c>
      <c r="C77" s="316"/>
      <c r="D77" s="636" t="s">
        <v>242</v>
      </c>
      <c r="E77" s="839">
        <v>1.86</v>
      </c>
      <c r="F77" s="839">
        <v>12.47</v>
      </c>
      <c r="G77" s="839">
        <v>134.69999999999999</v>
      </c>
      <c r="H77" s="841">
        <v>1.115</v>
      </c>
      <c r="I77" s="839">
        <v>0.29899999999999999</v>
      </c>
      <c r="J77" s="636"/>
      <c r="K77" s="636" t="s">
        <v>210</v>
      </c>
      <c r="L77" s="1090">
        <v>45818</v>
      </c>
      <c r="M77" s="1090">
        <v>45823</v>
      </c>
      <c r="N77" s="314" t="s">
        <v>254</v>
      </c>
      <c r="O77" s="316"/>
      <c r="P77" s="1088" t="s">
        <v>211</v>
      </c>
    </row>
    <row r="78" spans="1:16" ht="14.5">
      <c r="A78" s="325">
        <f t="shared" si="1"/>
        <v>71</v>
      </c>
      <c r="B78" s="636" t="s">
        <v>193</v>
      </c>
      <c r="C78" s="316"/>
      <c r="D78" s="636" t="s">
        <v>115</v>
      </c>
      <c r="E78" s="316">
        <f t="shared" ref="E78:E79" si="2">1.09+0.51</f>
        <v>1.6</v>
      </c>
      <c r="F78" s="316">
        <f t="shared" ref="F78:F79" si="3">4.85+8.28</f>
        <v>13.129999999999999</v>
      </c>
      <c r="G78" s="316">
        <f t="shared" ref="G78:G79" si="4">63.85+23.4</f>
        <v>87.25</v>
      </c>
      <c r="H78" s="316">
        <f t="shared" ref="H78:H79" si="5">(581.5+792)/1000</f>
        <v>1.3734999999999999</v>
      </c>
      <c r="I78" s="316">
        <f t="shared" ref="I78:I79" si="6">(530.392/2+472.512/2)/1000</f>
        <v>0.50145200000000001</v>
      </c>
      <c r="J78" s="636"/>
      <c r="K78" s="636" t="s">
        <v>210</v>
      </c>
      <c r="L78" s="1090">
        <v>45816</v>
      </c>
      <c r="M78" s="1090">
        <v>45823</v>
      </c>
      <c r="N78" s="1064" t="s">
        <v>1575</v>
      </c>
      <c r="O78" s="316"/>
      <c r="P78" s="1088" t="s">
        <v>211</v>
      </c>
    </row>
    <row r="79" spans="1:16" ht="14.5">
      <c r="A79" s="325">
        <f t="shared" si="1"/>
        <v>72</v>
      </c>
      <c r="B79" s="636" t="s">
        <v>159</v>
      </c>
      <c r="C79" s="316"/>
      <c r="D79" s="636" t="s">
        <v>115</v>
      </c>
      <c r="E79" s="316">
        <f t="shared" si="2"/>
        <v>1.6</v>
      </c>
      <c r="F79" s="316">
        <f t="shared" si="3"/>
        <v>13.129999999999999</v>
      </c>
      <c r="G79" s="316">
        <f t="shared" si="4"/>
        <v>87.25</v>
      </c>
      <c r="H79" s="316">
        <f t="shared" si="5"/>
        <v>1.3734999999999999</v>
      </c>
      <c r="I79" s="316">
        <f t="shared" si="6"/>
        <v>0.50145200000000001</v>
      </c>
      <c r="J79" s="636"/>
      <c r="K79" s="636" t="s">
        <v>210</v>
      </c>
      <c r="L79" s="1090">
        <v>45821</v>
      </c>
      <c r="M79" s="1059">
        <v>45824</v>
      </c>
      <c r="N79" s="845" t="s">
        <v>1614</v>
      </c>
      <c r="O79" s="316"/>
      <c r="P79" s="1088" t="s">
        <v>211</v>
      </c>
    </row>
    <row r="80" spans="1:16" ht="15.5">
      <c r="A80" s="325">
        <f t="shared" si="1"/>
        <v>73</v>
      </c>
      <c r="B80" s="636" t="s">
        <v>813</v>
      </c>
      <c r="C80" s="316"/>
      <c r="D80" s="636" t="s">
        <v>182</v>
      </c>
      <c r="E80" s="839">
        <v>1.57</v>
      </c>
      <c r="F80" s="839">
        <v>11.05</v>
      </c>
      <c r="G80" s="839">
        <v>115.3</v>
      </c>
      <c r="H80" s="841">
        <v>0.91900000000000004</v>
      </c>
      <c r="I80" s="842">
        <v>0.29899999999999999</v>
      </c>
      <c r="J80" s="636"/>
      <c r="K80" s="636" t="s">
        <v>210</v>
      </c>
      <c r="L80" s="1090">
        <v>45821</v>
      </c>
      <c r="M80" s="1090">
        <v>45824</v>
      </c>
      <c r="N80" s="636" t="s">
        <v>1417</v>
      </c>
      <c r="O80" s="316"/>
      <c r="P80" s="1088" t="s">
        <v>211</v>
      </c>
    </row>
    <row r="81" spans="1:16" ht="14.5">
      <c r="A81" s="325">
        <f t="shared" si="1"/>
        <v>74</v>
      </c>
      <c r="B81" s="636" t="s">
        <v>157</v>
      </c>
      <c r="C81" s="316"/>
      <c r="D81" s="636" t="s">
        <v>132</v>
      </c>
      <c r="E81" s="636">
        <v>1.68</v>
      </c>
      <c r="F81" s="636">
        <v>12.41</v>
      </c>
      <c r="G81" s="636">
        <v>143.4</v>
      </c>
      <c r="H81" s="636">
        <v>1.728</v>
      </c>
      <c r="I81" s="636">
        <v>0.41399999999999998</v>
      </c>
      <c r="J81" s="636"/>
      <c r="K81" s="636" t="s">
        <v>210</v>
      </c>
      <c r="L81" s="1090">
        <v>45824</v>
      </c>
      <c r="M81" s="1059">
        <v>45828</v>
      </c>
      <c r="N81" s="845" t="s">
        <v>1614</v>
      </c>
      <c r="O81" s="316"/>
      <c r="P81" s="1088" t="s">
        <v>211</v>
      </c>
    </row>
    <row r="82" spans="1:16" ht="15.5">
      <c r="A82" s="325">
        <f t="shared" si="1"/>
        <v>75</v>
      </c>
      <c r="B82" s="636" t="s">
        <v>810</v>
      </c>
      <c r="C82" s="316"/>
      <c r="D82" s="636" t="s">
        <v>182</v>
      </c>
      <c r="E82" s="839">
        <v>1.57</v>
      </c>
      <c r="F82" s="839">
        <v>11.05</v>
      </c>
      <c r="G82" s="839">
        <v>115.3</v>
      </c>
      <c r="H82" s="841">
        <v>0.91900000000000004</v>
      </c>
      <c r="I82" s="839">
        <v>0.29899999999999999</v>
      </c>
      <c r="J82" s="636"/>
      <c r="K82" s="636" t="s">
        <v>210</v>
      </c>
      <c r="L82" s="1090">
        <v>45823</v>
      </c>
      <c r="M82" s="1090">
        <v>45829</v>
      </c>
      <c r="N82" s="1064" t="s">
        <v>1575</v>
      </c>
      <c r="O82" s="316"/>
      <c r="P82" s="1088" t="s">
        <v>211</v>
      </c>
    </row>
    <row r="83" spans="1:16" ht="15.5">
      <c r="A83" s="325">
        <f t="shared" si="1"/>
        <v>76</v>
      </c>
      <c r="B83" s="637" t="s">
        <v>816</v>
      </c>
      <c r="C83" s="325"/>
      <c r="D83" s="637" t="s">
        <v>182</v>
      </c>
      <c r="E83" s="839">
        <v>1.57</v>
      </c>
      <c r="F83" s="839">
        <v>11.05</v>
      </c>
      <c r="G83" s="839">
        <v>115.3</v>
      </c>
      <c r="H83" s="841">
        <v>0.91900000000000004</v>
      </c>
      <c r="I83" s="839">
        <v>0.29899999999999999</v>
      </c>
      <c r="J83" s="637"/>
      <c r="K83" s="637" t="s">
        <v>210</v>
      </c>
      <c r="L83" s="1091">
        <v>45823</v>
      </c>
      <c r="M83" s="1091">
        <v>45830</v>
      </c>
      <c r="N83" s="637" t="s">
        <v>1418</v>
      </c>
      <c r="O83" s="316"/>
      <c r="P83" s="1088" t="s">
        <v>211</v>
      </c>
    </row>
    <row r="84" spans="1:16" ht="14.5">
      <c r="A84" s="325">
        <f t="shared" si="1"/>
        <v>77</v>
      </c>
      <c r="B84" s="637" t="s">
        <v>415</v>
      </c>
      <c r="C84" s="325"/>
      <c r="D84" s="637" t="s">
        <v>119</v>
      </c>
      <c r="E84" s="637">
        <v>1.1200000000000001</v>
      </c>
      <c r="F84" s="637">
        <v>9.6300000000000008</v>
      </c>
      <c r="G84" s="637">
        <v>61.2</v>
      </c>
      <c r="H84" s="637">
        <v>1.865</v>
      </c>
      <c r="I84" s="637">
        <v>0.41299999999999998</v>
      </c>
      <c r="J84" s="637"/>
      <c r="K84" s="637" t="s">
        <v>292</v>
      </c>
      <c r="L84" s="1091">
        <v>45824</v>
      </c>
      <c r="M84" s="1091">
        <v>45831</v>
      </c>
      <c r="N84" s="316" t="s">
        <v>1290</v>
      </c>
      <c r="O84" s="316"/>
      <c r="P84" s="1088" t="s">
        <v>211</v>
      </c>
    </row>
    <row r="85" spans="1:16" ht="15.5">
      <c r="A85" s="325">
        <f t="shared" si="1"/>
        <v>78</v>
      </c>
      <c r="B85" s="325" t="s">
        <v>809</v>
      </c>
      <c r="C85" s="325"/>
      <c r="D85" s="325" t="s">
        <v>182</v>
      </c>
      <c r="E85" s="839">
        <v>1.57</v>
      </c>
      <c r="F85" s="839">
        <v>11.05</v>
      </c>
      <c r="G85" s="839">
        <v>115.3</v>
      </c>
      <c r="H85" s="841">
        <v>0.91900000000000004</v>
      </c>
      <c r="I85" s="842">
        <v>0.29899999999999999</v>
      </c>
      <c r="J85" s="325"/>
      <c r="K85" s="325" t="s">
        <v>210</v>
      </c>
      <c r="L85" s="1007">
        <v>45830</v>
      </c>
      <c r="M85" s="1007">
        <v>45833</v>
      </c>
      <c r="N85" s="1064" t="s">
        <v>1575</v>
      </c>
      <c r="O85" s="901"/>
      <c r="P85" s="1088" t="s">
        <v>211</v>
      </c>
    </row>
    <row r="86" spans="1:16" ht="15.5">
      <c r="A86" s="325">
        <f t="shared" si="1"/>
        <v>79</v>
      </c>
      <c r="B86" s="843" t="s">
        <v>812</v>
      </c>
      <c r="C86" s="843"/>
      <c r="D86" s="843" t="s">
        <v>182</v>
      </c>
      <c r="E86" s="839">
        <v>1.57</v>
      </c>
      <c r="F86" s="839">
        <v>11.05</v>
      </c>
      <c r="G86" s="839">
        <v>115.3</v>
      </c>
      <c r="H86" s="841">
        <v>0.91900000000000004</v>
      </c>
      <c r="I86" s="842">
        <v>0.29899999999999999</v>
      </c>
      <c r="J86" s="843"/>
      <c r="K86" s="843" t="s">
        <v>210</v>
      </c>
      <c r="L86" s="1092">
        <v>45830</v>
      </c>
      <c r="M86" s="1092">
        <v>45833</v>
      </c>
      <c r="N86" s="843" t="s">
        <v>1499</v>
      </c>
      <c r="O86" s="1093"/>
      <c r="P86" s="1088" t="s">
        <v>211</v>
      </c>
    </row>
    <row r="87" spans="1:16" ht="14.5">
      <c r="A87" s="325">
        <f t="shared" si="1"/>
        <v>80</v>
      </c>
      <c r="B87" s="844" t="s">
        <v>1496</v>
      </c>
      <c r="C87" s="844"/>
      <c r="D87" s="844" t="s">
        <v>119</v>
      </c>
      <c r="E87" s="636">
        <v>1.68</v>
      </c>
      <c r="F87" s="636">
        <v>12.41</v>
      </c>
      <c r="G87" s="636">
        <v>143.4</v>
      </c>
      <c r="H87" s="636">
        <v>1.728</v>
      </c>
      <c r="I87" s="636">
        <v>0.41399999999999998</v>
      </c>
      <c r="J87" s="844"/>
      <c r="K87" s="844" t="s">
        <v>210</v>
      </c>
      <c r="L87" s="1094">
        <v>45828</v>
      </c>
      <c r="M87" s="1095">
        <v>45834</v>
      </c>
      <c r="N87" s="845" t="s">
        <v>1614</v>
      </c>
      <c r="O87" s="845"/>
      <c r="P87" s="1088" t="s">
        <v>211</v>
      </c>
    </row>
    <row r="88" spans="1:16" ht="14.5">
      <c r="A88" s="325">
        <f t="shared" si="1"/>
        <v>81</v>
      </c>
      <c r="B88" s="325" t="s">
        <v>1303</v>
      </c>
      <c r="C88" s="325"/>
      <c r="D88" s="325" t="s">
        <v>125</v>
      </c>
      <c r="E88" s="316">
        <f>1.81+1.12</f>
        <v>2.93</v>
      </c>
      <c r="F88" s="316">
        <f>8.16+12.18</f>
        <v>20.34</v>
      </c>
      <c r="G88" s="316">
        <f>79.95+144.9</f>
        <v>224.85000000000002</v>
      </c>
      <c r="H88" s="316">
        <f>1.476+1.188</f>
        <v>2.6639999999999997</v>
      </c>
      <c r="I88" s="316">
        <f>(265.195+236.256)/1000</f>
        <v>0.50145099999999998</v>
      </c>
      <c r="J88" s="325"/>
      <c r="K88" s="325" t="s">
        <v>210</v>
      </c>
      <c r="L88" s="1007">
        <v>45825</v>
      </c>
      <c r="M88" s="1008">
        <v>45835</v>
      </c>
      <c r="N88" s="1096" t="s">
        <v>254</v>
      </c>
      <c r="O88" s="1093"/>
      <c r="P88" s="1088" t="s">
        <v>211</v>
      </c>
    </row>
    <row r="89" spans="1:16" ht="15.5">
      <c r="A89" s="325">
        <f t="shared" si="1"/>
        <v>82</v>
      </c>
      <c r="B89" s="843" t="s">
        <v>372</v>
      </c>
      <c r="C89" s="843"/>
      <c r="D89" s="843" t="s">
        <v>185</v>
      </c>
      <c r="E89" s="839"/>
      <c r="F89" s="839"/>
      <c r="G89" s="839"/>
      <c r="H89" s="841"/>
      <c r="I89" s="839">
        <v>0.29899999999999999</v>
      </c>
      <c r="J89" s="843"/>
      <c r="K89" s="843" t="s">
        <v>292</v>
      </c>
      <c r="L89" s="1008">
        <v>45833</v>
      </c>
      <c r="M89" s="1097">
        <v>45838</v>
      </c>
      <c r="N89" s="845" t="s">
        <v>1614</v>
      </c>
      <c r="O89" s="1093"/>
      <c r="P89" s="1088" t="s">
        <v>211</v>
      </c>
    </row>
    <row r="90" spans="1:16" ht="14.5">
      <c r="A90" s="325">
        <f t="shared" si="1"/>
        <v>83</v>
      </c>
      <c r="B90" s="325" t="s">
        <v>1372</v>
      </c>
      <c r="C90" s="325"/>
      <c r="D90" s="325" t="s">
        <v>115</v>
      </c>
      <c r="E90" s="316">
        <f>1.09+0.51</f>
        <v>1.6</v>
      </c>
      <c r="F90" s="316">
        <f>4.85+8.28</f>
        <v>13.129999999999999</v>
      </c>
      <c r="G90" s="316">
        <f>63.85+23.4</f>
        <v>87.25</v>
      </c>
      <c r="H90" s="316">
        <f>(581.5+792)/1000</f>
        <v>1.3734999999999999</v>
      </c>
      <c r="I90" s="316">
        <f>(530.392/2+472.512/2)/1000</f>
        <v>0.50145200000000001</v>
      </c>
      <c r="J90" s="325"/>
      <c r="K90" s="325" t="s">
        <v>210</v>
      </c>
      <c r="L90" s="1007">
        <v>45818</v>
      </c>
      <c r="M90" s="1092">
        <v>45838</v>
      </c>
      <c r="N90" s="325" t="s">
        <v>1373</v>
      </c>
      <c r="O90" s="901"/>
      <c r="P90" s="1088" t="s">
        <v>211</v>
      </c>
    </row>
    <row r="91" spans="1:16" ht="15.5">
      <c r="A91" s="325">
        <f t="shared" si="1"/>
        <v>84</v>
      </c>
      <c r="B91" s="316" t="s">
        <v>808</v>
      </c>
      <c r="C91" s="316"/>
      <c r="D91" s="316" t="s">
        <v>185</v>
      </c>
      <c r="E91" s="839">
        <v>1.86</v>
      </c>
      <c r="F91" s="839">
        <v>12.47</v>
      </c>
      <c r="G91" s="839">
        <v>134.69999999999999</v>
      </c>
      <c r="H91" s="841">
        <v>1.115</v>
      </c>
      <c r="I91" s="839">
        <v>0.29899999999999999</v>
      </c>
      <c r="J91" s="316"/>
      <c r="K91" s="316" t="s">
        <v>210</v>
      </c>
      <c r="L91" s="1008">
        <v>45833</v>
      </c>
      <c r="M91" s="1092">
        <v>45838</v>
      </c>
      <c r="N91" s="1064" t="s">
        <v>1575</v>
      </c>
      <c r="O91" s="316"/>
      <c r="P91" s="1088" t="s">
        <v>211</v>
      </c>
    </row>
    <row r="92" spans="1:16" ht="15.5">
      <c r="A92" s="325">
        <f t="shared" si="1"/>
        <v>85</v>
      </c>
      <c r="B92" s="316" t="s">
        <v>817</v>
      </c>
      <c r="C92" s="316"/>
      <c r="D92" s="316" t="s">
        <v>182</v>
      </c>
      <c r="E92" s="839">
        <v>1.57</v>
      </c>
      <c r="F92" s="839">
        <v>11.05</v>
      </c>
      <c r="G92" s="839">
        <v>115.3</v>
      </c>
      <c r="H92" s="841">
        <v>0.91900000000000004</v>
      </c>
      <c r="I92" s="842">
        <v>0.29899999999999999</v>
      </c>
      <c r="J92" s="316"/>
      <c r="K92" s="316" t="s">
        <v>210</v>
      </c>
      <c r="L92" s="1008">
        <v>45833</v>
      </c>
      <c r="M92" s="1092">
        <v>45838</v>
      </c>
      <c r="N92" s="316" t="s">
        <v>1418</v>
      </c>
      <c r="O92" s="316"/>
      <c r="P92" s="1088" t="s">
        <v>211</v>
      </c>
    </row>
    <row r="93" spans="1:16" ht="14.5">
      <c r="A93" s="325">
        <f t="shared" si="1"/>
        <v>86</v>
      </c>
      <c r="B93" s="843" t="s">
        <v>412</v>
      </c>
      <c r="C93" s="316"/>
      <c r="D93" s="316" t="s">
        <v>119</v>
      </c>
      <c r="E93" s="637">
        <v>1.1200000000000001</v>
      </c>
      <c r="F93" s="637">
        <v>9.6300000000000008</v>
      </c>
      <c r="G93" s="637">
        <v>61.2</v>
      </c>
      <c r="H93" s="637">
        <v>1.865</v>
      </c>
      <c r="I93" s="637">
        <v>0.41299999999999998</v>
      </c>
      <c r="J93" s="316"/>
      <c r="K93" s="316" t="s">
        <v>292</v>
      </c>
      <c r="L93" s="1008">
        <v>45831</v>
      </c>
      <c r="M93" s="1008">
        <v>45842</v>
      </c>
      <c r="N93" s="1098" t="s">
        <v>1669</v>
      </c>
      <c r="O93" s="316"/>
      <c r="P93" s="1088" t="s">
        <v>211</v>
      </c>
    </row>
    <row r="94" spans="1:16" ht="15.5">
      <c r="A94" s="325">
        <f t="shared" si="1"/>
        <v>87</v>
      </c>
      <c r="B94" s="325" t="s">
        <v>820</v>
      </c>
      <c r="C94" s="325"/>
      <c r="D94" s="325" t="s">
        <v>182</v>
      </c>
      <c r="E94" s="1099">
        <v>1.57</v>
      </c>
      <c r="F94" s="1099">
        <v>11.05</v>
      </c>
      <c r="G94" s="1099">
        <v>115.3</v>
      </c>
      <c r="H94" s="841">
        <v>0.91900000000000004</v>
      </c>
      <c r="I94" s="1100">
        <v>0.29899999999999999</v>
      </c>
      <c r="J94" s="325"/>
      <c r="K94" s="325" t="s">
        <v>210</v>
      </c>
      <c r="L94" s="1007">
        <v>45835</v>
      </c>
      <c r="M94" s="1008">
        <v>45843</v>
      </c>
      <c r="N94" s="325" t="s">
        <v>1499</v>
      </c>
      <c r="O94" s="325"/>
      <c r="P94" s="1088" t="s">
        <v>211</v>
      </c>
    </row>
    <row r="95" spans="1:16" ht="14.5">
      <c r="A95" s="325">
        <f t="shared" si="1"/>
        <v>88</v>
      </c>
      <c r="B95" s="1101" t="s">
        <v>727</v>
      </c>
      <c r="C95" s="845"/>
      <c r="D95" s="845" t="s">
        <v>128</v>
      </c>
      <c r="E95" s="316">
        <v>1.6</v>
      </c>
      <c r="F95" s="316">
        <v>13.13</v>
      </c>
      <c r="G95" s="316">
        <v>87.25</v>
      </c>
      <c r="H95" s="316">
        <v>1.3740000000000001</v>
      </c>
      <c r="I95" s="316">
        <v>0.501</v>
      </c>
      <c r="J95" s="845"/>
      <c r="K95" s="845" t="s">
        <v>210</v>
      </c>
      <c r="L95" s="1017">
        <v>45833</v>
      </c>
      <c r="M95" s="1008">
        <v>45844</v>
      </c>
      <c r="N95" s="316" t="s">
        <v>1290</v>
      </c>
      <c r="O95" s="1060"/>
      <c r="P95" s="1088" t="s">
        <v>211</v>
      </c>
    </row>
    <row r="96" spans="1:16" ht="15.5">
      <c r="A96" s="325">
        <f t="shared" si="1"/>
        <v>89</v>
      </c>
      <c r="B96" s="325" t="s">
        <v>818</v>
      </c>
      <c r="C96" s="325"/>
      <c r="D96" s="325" t="s">
        <v>182</v>
      </c>
      <c r="E96" s="1099">
        <v>1.57</v>
      </c>
      <c r="F96" s="1099">
        <v>11.05</v>
      </c>
      <c r="G96" s="1099">
        <v>115.3</v>
      </c>
      <c r="H96" s="841">
        <v>0.91900000000000004</v>
      </c>
      <c r="I96" s="1099">
        <v>0.29899999999999999</v>
      </c>
      <c r="J96" s="325"/>
      <c r="K96" s="325" t="s">
        <v>210</v>
      </c>
      <c r="L96" s="1007">
        <v>45842</v>
      </c>
      <c r="M96" s="1007">
        <v>45846</v>
      </c>
      <c r="N96" s="325" t="s">
        <v>1499</v>
      </c>
      <c r="O96" s="325"/>
      <c r="P96" s="1088" t="s">
        <v>211</v>
      </c>
    </row>
    <row r="97" spans="1:16" ht="14.5">
      <c r="A97" s="325">
        <f t="shared" si="1"/>
        <v>90</v>
      </c>
      <c r="B97" s="316" t="s">
        <v>1571</v>
      </c>
      <c r="C97" s="316"/>
      <c r="D97" s="316" t="s">
        <v>115</v>
      </c>
      <c r="E97" s="316">
        <f>1.09+0.51</f>
        <v>1.6</v>
      </c>
      <c r="F97" s="316">
        <f>4.85+8.28</f>
        <v>13.129999999999999</v>
      </c>
      <c r="G97" s="316">
        <f>63.85+23.4</f>
        <v>87.25</v>
      </c>
      <c r="H97" s="316">
        <f>(581.5+792)/1000</f>
        <v>1.3734999999999999</v>
      </c>
      <c r="I97" s="316">
        <f>530.392/2+472.512/2</f>
        <v>501.452</v>
      </c>
      <c r="J97" s="316"/>
      <c r="K97" s="316" t="s">
        <v>210</v>
      </c>
      <c r="L97" s="1008">
        <v>45841</v>
      </c>
      <c r="M97" s="1007">
        <v>45846</v>
      </c>
      <c r="N97" s="1064" t="s">
        <v>1575</v>
      </c>
      <c r="O97" s="316"/>
      <c r="P97" s="1088" t="s">
        <v>211</v>
      </c>
    </row>
    <row r="98" spans="1:16" ht="14.5">
      <c r="A98" s="325">
        <f t="shared" si="1"/>
        <v>91</v>
      </c>
      <c r="B98" s="843" t="s">
        <v>270</v>
      </c>
      <c r="C98" s="843"/>
      <c r="D98" s="843" t="s">
        <v>188</v>
      </c>
      <c r="E98" s="1062">
        <v>1.46</v>
      </c>
      <c r="F98" s="1062">
        <v>15.22</v>
      </c>
      <c r="G98" s="1062">
        <v>82</v>
      </c>
      <c r="H98" s="1062">
        <v>1.7230000000000001</v>
      </c>
      <c r="I98" s="843">
        <f>0.162+0.414</f>
        <v>0.57599999999999996</v>
      </c>
      <c r="J98" s="843" t="s">
        <v>454</v>
      </c>
      <c r="K98" s="843" t="s">
        <v>210</v>
      </c>
      <c r="L98" s="1092">
        <v>45836</v>
      </c>
      <c r="M98" s="1092">
        <v>45848</v>
      </c>
      <c r="N98" s="1021" t="s">
        <v>1601</v>
      </c>
      <c r="O98" s="1093"/>
      <c r="P98" s="1088" t="s">
        <v>211</v>
      </c>
    </row>
    <row r="99" spans="1:16" ht="15.5">
      <c r="A99" s="325">
        <f t="shared" si="1"/>
        <v>92</v>
      </c>
      <c r="B99" s="843" t="s">
        <v>463</v>
      </c>
      <c r="C99" s="843"/>
      <c r="D99" s="843" t="s">
        <v>248</v>
      </c>
      <c r="E99" s="839">
        <v>1.86</v>
      </c>
      <c r="F99" s="839">
        <v>12.47</v>
      </c>
      <c r="G99" s="839">
        <v>134.69999999999999</v>
      </c>
      <c r="H99" s="1102">
        <v>1.115</v>
      </c>
      <c r="I99" s="839">
        <v>0.29899999999999999</v>
      </c>
      <c r="J99" s="316"/>
      <c r="K99" s="316" t="s">
        <v>210</v>
      </c>
      <c r="L99" s="1008">
        <v>45842</v>
      </c>
      <c r="M99" s="1092">
        <v>45848</v>
      </c>
      <c r="N99" s="1064" t="s">
        <v>1603</v>
      </c>
      <c r="O99" s="901"/>
      <c r="P99" s="1088" t="s">
        <v>211</v>
      </c>
    </row>
    <row r="100" spans="1:16" ht="14.5">
      <c r="A100" s="325">
        <f t="shared" si="1"/>
        <v>93</v>
      </c>
      <c r="B100" s="1021" t="s">
        <v>819</v>
      </c>
      <c r="C100" s="843"/>
      <c r="D100" s="843" t="s">
        <v>182</v>
      </c>
      <c r="E100" s="843"/>
      <c r="F100" s="843"/>
      <c r="G100" s="843"/>
      <c r="H100" s="843"/>
      <c r="I100" s="843"/>
      <c r="J100" s="843"/>
      <c r="K100" s="843" t="s">
        <v>210</v>
      </c>
      <c r="L100" s="1092">
        <v>45845</v>
      </c>
      <c r="M100" s="1092">
        <v>45848</v>
      </c>
      <c r="N100" s="843" t="s">
        <v>1499</v>
      </c>
      <c r="O100" s="843"/>
      <c r="P100" s="1088" t="s">
        <v>211</v>
      </c>
    </row>
    <row r="101" spans="1:16" ht="14.5">
      <c r="A101" s="325">
        <f t="shared" si="1"/>
        <v>94</v>
      </c>
      <c r="B101" s="843" t="s">
        <v>168</v>
      </c>
      <c r="C101" s="843"/>
      <c r="D101" s="843" t="s">
        <v>167</v>
      </c>
      <c r="E101" s="843">
        <v>1.68</v>
      </c>
      <c r="F101" s="843">
        <v>12.41</v>
      </c>
      <c r="G101" s="843">
        <v>143.4</v>
      </c>
      <c r="H101" s="843">
        <v>1.728</v>
      </c>
      <c r="I101" s="843">
        <v>0.41399999999999998</v>
      </c>
      <c r="J101" s="843"/>
      <c r="K101" s="843" t="s">
        <v>210</v>
      </c>
      <c r="L101" s="1092">
        <v>45835</v>
      </c>
      <c r="M101" s="1092">
        <v>45849</v>
      </c>
      <c r="N101" s="1098" t="s">
        <v>1669</v>
      </c>
      <c r="O101" s="843"/>
      <c r="P101" s="1088" t="s">
        <v>211</v>
      </c>
    </row>
    <row r="102" spans="1:16" ht="14.5">
      <c r="A102" s="325">
        <f t="shared" si="1"/>
        <v>95</v>
      </c>
      <c r="B102" s="1021" t="s">
        <v>790</v>
      </c>
      <c r="C102" s="843"/>
      <c r="D102" s="843" t="s">
        <v>182</v>
      </c>
      <c r="E102" s="843"/>
      <c r="F102" s="843"/>
      <c r="G102" s="843"/>
      <c r="H102" s="843"/>
      <c r="I102" s="843"/>
      <c r="J102" s="843"/>
      <c r="K102" s="843" t="s">
        <v>210</v>
      </c>
      <c r="L102" s="1092">
        <v>45845</v>
      </c>
      <c r="M102" s="1092">
        <v>45849</v>
      </c>
      <c r="N102" s="1021" t="s">
        <v>1570</v>
      </c>
      <c r="O102" s="843"/>
      <c r="P102" s="1088" t="s">
        <v>211</v>
      </c>
    </row>
    <row r="103" spans="1:16" ht="14.5">
      <c r="A103" s="325">
        <f t="shared" si="1"/>
        <v>96</v>
      </c>
      <c r="B103" s="316" t="s">
        <v>821</v>
      </c>
      <c r="C103" s="316"/>
      <c r="D103" s="316" t="s">
        <v>182</v>
      </c>
      <c r="E103" s="316"/>
      <c r="F103" s="316"/>
      <c r="G103" s="316"/>
      <c r="H103" s="316"/>
      <c r="I103" s="316"/>
      <c r="J103" s="316"/>
      <c r="K103" s="316" t="s">
        <v>210</v>
      </c>
      <c r="L103" s="1008">
        <v>45848</v>
      </c>
      <c r="M103" s="1008">
        <v>45850</v>
      </c>
      <c r="N103" s="843" t="s">
        <v>1499</v>
      </c>
      <c r="O103" s="316"/>
      <c r="P103" s="1088" t="s">
        <v>211</v>
      </c>
    </row>
    <row r="104" spans="1:16" ht="14.5">
      <c r="A104" s="325">
        <f t="shared" si="1"/>
        <v>97</v>
      </c>
      <c r="B104" s="1021" t="s">
        <v>791</v>
      </c>
      <c r="C104" s="843"/>
      <c r="D104" s="843" t="s">
        <v>242</v>
      </c>
      <c r="E104" s="843"/>
      <c r="F104" s="843"/>
      <c r="G104" s="843"/>
      <c r="H104" s="843"/>
      <c r="I104" s="843"/>
      <c r="J104" s="843"/>
      <c r="K104" s="843" t="s">
        <v>210</v>
      </c>
      <c r="L104" s="1092">
        <v>45847</v>
      </c>
      <c r="M104" s="1092">
        <v>45851</v>
      </c>
      <c r="N104" s="1021" t="s">
        <v>1570</v>
      </c>
      <c r="O104" s="316"/>
      <c r="P104" s="1088" t="s">
        <v>211</v>
      </c>
    </row>
    <row r="105" spans="1:16" ht="14.5">
      <c r="A105" s="325">
        <f t="shared" si="1"/>
        <v>98</v>
      </c>
      <c r="B105" s="316" t="s">
        <v>806</v>
      </c>
      <c r="C105" s="316"/>
      <c r="D105" s="316" t="s">
        <v>185</v>
      </c>
      <c r="E105" s="316"/>
      <c r="F105" s="316"/>
      <c r="G105" s="316"/>
      <c r="H105" s="316"/>
      <c r="I105" s="316"/>
      <c r="J105" s="316"/>
      <c r="K105" s="316" t="s">
        <v>210</v>
      </c>
      <c r="L105" s="1008">
        <v>45847</v>
      </c>
      <c r="M105" s="1092">
        <v>45851</v>
      </c>
      <c r="N105" s="1064" t="s">
        <v>1575</v>
      </c>
      <c r="O105" s="316"/>
      <c r="P105" s="1088" t="s">
        <v>211</v>
      </c>
    </row>
    <row r="106" spans="1:16" ht="14.5">
      <c r="A106" s="325">
        <f t="shared" si="1"/>
        <v>99</v>
      </c>
      <c r="B106" s="316" t="s">
        <v>765</v>
      </c>
      <c r="C106" s="316"/>
      <c r="D106" s="316" t="s">
        <v>185</v>
      </c>
      <c r="E106" s="316"/>
      <c r="F106" s="316"/>
      <c r="G106" s="316"/>
      <c r="H106" s="316"/>
      <c r="I106" s="316"/>
      <c r="J106" s="316"/>
      <c r="K106" s="316" t="s">
        <v>210</v>
      </c>
      <c r="L106" s="1008">
        <v>45848</v>
      </c>
      <c r="M106" s="1092">
        <v>45852</v>
      </c>
      <c r="N106" s="845" t="s">
        <v>1614</v>
      </c>
      <c r="O106" s="316"/>
      <c r="P106" s="1088" t="s">
        <v>211</v>
      </c>
    </row>
    <row r="107" spans="1:16" ht="14.5">
      <c r="A107" s="325">
        <f t="shared" si="1"/>
        <v>100</v>
      </c>
      <c r="B107" s="843" t="s">
        <v>739</v>
      </c>
      <c r="C107" s="843"/>
      <c r="D107" s="843" t="s">
        <v>182</v>
      </c>
      <c r="E107" s="325"/>
      <c r="F107" s="325"/>
      <c r="G107" s="325"/>
      <c r="H107" s="325"/>
      <c r="I107" s="325"/>
      <c r="J107" s="325"/>
      <c r="K107" s="325" t="s">
        <v>210</v>
      </c>
      <c r="L107" s="1007">
        <v>45842</v>
      </c>
      <c r="M107" s="1092">
        <v>45852</v>
      </c>
      <c r="N107" s="1064" t="s">
        <v>1673</v>
      </c>
      <c r="O107" s="325"/>
      <c r="P107" s="1088" t="s">
        <v>211</v>
      </c>
    </row>
    <row r="108" spans="1:16" ht="14.5">
      <c r="A108" s="325">
        <f t="shared" si="1"/>
        <v>101</v>
      </c>
      <c r="B108" s="316" t="s">
        <v>822</v>
      </c>
      <c r="C108" s="316"/>
      <c r="D108" s="316" t="s">
        <v>182</v>
      </c>
      <c r="E108" s="316"/>
      <c r="F108" s="316"/>
      <c r="G108" s="316"/>
      <c r="H108" s="316"/>
      <c r="I108" s="316"/>
      <c r="J108" s="316"/>
      <c r="K108" s="316" t="s">
        <v>210</v>
      </c>
      <c r="L108" s="1008">
        <v>45851</v>
      </c>
      <c r="M108" s="1092">
        <v>45853</v>
      </c>
      <c r="N108" s="843" t="s">
        <v>1499</v>
      </c>
      <c r="O108" s="316"/>
      <c r="P108" s="1088" t="s">
        <v>211</v>
      </c>
    </row>
    <row r="109" spans="1:16" ht="14.5">
      <c r="A109" s="325">
        <f t="shared" si="1"/>
        <v>102</v>
      </c>
      <c r="B109" s="1021" t="s">
        <v>1595</v>
      </c>
      <c r="C109" s="843"/>
      <c r="D109" s="843" t="s">
        <v>167</v>
      </c>
      <c r="E109" s="316"/>
      <c r="F109" s="316"/>
      <c r="G109" s="316"/>
      <c r="H109" s="316"/>
      <c r="I109" s="316"/>
      <c r="J109" s="316"/>
      <c r="K109" s="316" t="s">
        <v>210</v>
      </c>
      <c r="L109" s="1008">
        <v>45847</v>
      </c>
      <c r="M109" s="1092">
        <v>45854</v>
      </c>
      <c r="N109" s="316" t="s">
        <v>1290</v>
      </c>
      <c r="O109" s="316"/>
      <c r="P109" s="1088" t="s">
        <v>211</v>
      </c>
    </row>
    <row r="110" spans="1:16" ht="14.5">
      <c r="A110" s="325">
        <f t="shared" si="1"/>
        <v>103</v>
      </c>
      <c r="B110" s="1021" t="s">
        <v>1321</v>
      </c>
      <c r="C110" s="843"/>
      <c r="D110" s="843" t="s">
        <v>115</v>
      </c>
      <c r="E110" s="316"/>
      <c r="F110" s="316"/>
      <c r="G110" s="316"/>
      <c r="H110" s="316"/>
      <c r="I110" s="316"/>
      <c r="J110" s="325"/>
      <c r="K110" s="325" t="s">
        <v>210</v>
      </c>
      <c r="L110" s="1007">
        <v>45846</v>
      </c>
      <c r="M110" s="1092">
        <v>45854</v>
      </c>
      <c r="N110" s="1064" t="s">
        <v>1612</v>
      </c>
      <c r="O110" s="316"/>
      <c r="P110" s="1088" t="s">
        <v>211</v>
      </c>
    </row>
    <row r="111" spans="1:16" ht="14.5">
      <c r="A111" s="325">
        <f t="shared" si="1"/>
        <v>104</v>
      </c>
      <c r="B111" s="316" t="s">
        <v>764</v>
      </c>
      <c r="C111" s="316"/>
      <c r="D111" s="316" t="s">
        <v>182</v>
      </c>
      <c r="E111" s="316"/>
      <c r="F111" s="316"/>
      <c r="G111" s="316"/>
      <c r="H111" s="316"/>
      <c r="I111" s="316"/>
      <c r="J111" s="316"/>
      <c r="K111" s="316" t="s">
        <v>210</v>
      </c>
      <c r="L111" s="1008">
        <v>45852</v>
      </c>
      <c r="M111" s="1092">
        <v>45854</v>
      </c>
      <c r="N111" s="845" t="s">
        <v>1614</v>
      </c>
      <c r="O111" s="316"/>
      <c r="P111" s="1088" t="s">
        <v>211</v>
      </c>
    </row>
    <row r="112" spans="1:16" s="1103" customFormat="1" ht="14.5">
      <c r="A112" s="325">
        <f t="shared" si="1"/>
        <v>105</v>
      </c>
      <c r="B112" s="316" t="s">
        <v>804</v>
      </c>
      <c r="C112" s="316"/>
      <c r="D112" s="316" t="s">
        <v>182</v>
      </c>
      <c r="E112" s="316"/>
      <c r="F112" s="316"/>
      <c r="G112" s="316"/>
      <c r="H112" s="316"/>
      <c r="I112" s="316"/>
      <c r="J112" s="316"/>
      <c r="K112" s="316" t="s">
        <v>210</v>
      </c>
      <c r="L112" s="1008">
        <v>45852</v>
      </c>
      <c r="M112" s="1092">
        <v>45854</v>
      </c>
      <c r="N112" s="1064" t="s">
        <v>1575</v>
      </c>
      <c r="O112" s="316"/>
      <c r="P112" s="1088" t="s">
        <v>211</v>
      </c>
    </row>
    <row r="113" spans="1:16" s="1103" customFormat="1" ht="14.5">
      <c r="A113" s="325">
        <f t="shared" si="1"/>
        <v>106</v>
      </c>
      <c r="B113" s="316" t="s">
        <v>1617</v>
      </c>
      <c r="C113" s="316"/>
      <c r="D113" s="316" t="s">
        <v>137</v>
      </c>
      <c r="E113" s="316"/>
      <c r="F113" s="316"/>
      <c r="G113" s="316"/>
      <c r="H113" s="316"/>
      <c r="I113" s="316"/>
      <c r="J113" s="316"/>
      <c r="K113" s="316" t="s">
        <v>210</v>
      </c>
      <c r="L113" s="1008">
        <v>45850</v>
      </c>
      <c r="M113" s="1092">
        <v>45855</v>
      </c>
      <c r="N113" s="1021" t="s">
        <v>1570</v>
      </c>
      <c r="O113" s="316"/>
      <c r="P113" s="1088" t="s">
        <v>211</v>
      </c>
    </row>
    <row r="114" spans="1:16" s="1103" customFormat="1" ht="14.5">
      <c r="A114" s="325">
        <f t="shared" si="1"/>
        <v>107</v>
      </c>
      <c r="B114" s="1064" t="s">
        <v>1610</v>
      </c>
      <c r="C114" s="316"/>
      <c r="D114" s="316" t="s">
        <v>1611</v>
      </c>
      <c r="E114" s="316"/>
      <c r="F114" s="316"/>
      <c r="G114" s="316"/>
      <c r="H114" s="316"/>
      <c r="I114" s="316"/>
      <c r="J114" s="316"/>
      <c r="K114" s="316" t="s">
        <v>210</v>
      </c>
      <c r="L114" s="1008">
        <v>45848</v>
      </c>
      <c r="M114" s="1092">
        <v>45856</v>
      </c>
      <c r="N114" s="1064" t="s">
        <v>1613</v>
      </c>
      <c r="O114" s="433"/>
      <c r="P114" s="1088" t="s">
        <v>211</v>
      </c>
    </row>
    <row r="115" spans="1:16" s="1103" customFormat="1" ht="14.5">
      <c r="A115" s="325">
        <f t="shared" si="1"/>
        <v>108</v>
      </c>
      <c r="B115" s="316" t="s">
        <v>823</v>
      </c>
      <c r="C115" s="316"/>
      <c r="D115" s="316" t="s">
        <v>182</v>
      </c>
      <c r="E115" s="316"/>
      <c r="F115" s="316"/>
      <c r="G115" s="316"/>
      <c r="H115" s="316"/>
      <c r="I115" s="316"/>
      <c r="J115" s="316"/>
      <c r="K115" s="316" t="s">
        <v>210</v>
      </c>
      <c r="L115" s="1008">
        <v>45853</v>
      </c>
      <c r="M115" s="1092">
        <v>45856</v>
      </c>
      <c r="N115" s="843" t="s">
        <v>1499</v>
      </c>
      <c r="O115" s="433"/>
      <c r="P115" s="1088" t="s">
        <v>211</v>
      </c>
    </row>
    <row r="116" spans="1:16" ht="14.5">
      <c r="A116" s="325">
        <f t="shared" si="1"/>
        <v>109</v>
      </c>
      <c r="B116" s="316" t="s">
        <v>380</v>
      </c>
      <c r="C116" s="316"/>
      <c r="D116" s="316" t="s">
        <v>119</v>
      </c>
      <c r="E116" s="316"/>
      <c r="F116" s="316"/>
      <c r="G116" s="316"/>
      <c r="H116" s="316"/>
      <c r="I116" s="316"/>
      <c r="J116" s="316"/>
      <c r="K116" s="316" t="s">
        <v>210</v>
      </c>
      <c r="L116" s="1008">
        <v>45846</v>
      </c>
      <c r="M116" s="1092">
        <v>45857</v>
      </c>
      <c r="N116" s="1064" t="s">
        <v>1602</v>
      </c>
      <c r="O116" s="433"/>
      <c r="P116" s="1088" t="s">
        <v>211</v>
      </c>
    </row>
    <row r="117" spans="1:16" ht="14.5">
      <c r="A117" s="325">
        <f t="shared" si="1"/>
        <v>110</v>
      </c>
      <c r="B117" s="316" t="s">
        <v>763</v>
      </c>
      <c r="C117" s="316"/>
      <c r="D117" s="316" t="s">
        <v>182</v>
      </c>
      <c r="E117" s="316"/>
      <c r="F117" s="316"/>
      <c r="G117" s="316"/>
      <c r="H117" s="316"/>
      <c r="I117" s="316"/>
      <c r="J117" s="316"/>
      <c r="K117" s="316" t="s">
        <v>210</v>
      </c>
      <c r="L117" s="1008">
        <v>45855</v>
      </c>
      <c r="M117" s="1092">
        <v>45859</v>
      </c>
      <c r="N117" s="845" t="s">
        <v>1614</v>
      </c>
      <c r="P117" s="1088" t="s">
        <v>211</v>
      </c>
    </row>
    <row r="118" spans="1:16" ht="14.5">
      <c r="A118" s="325">
        <f t="shared" si="1"/>
        <v>111</v>
      </c>
      <c r="B118" s="316" t="s">
        <v>1634</v>
      </c>
      <c r="C118" s="316"/>
      <c r="D118" s="316" t="s">
        <v>137</v>
      </c>
      <c r="E118" s="316"/>
      <c r="F118" s="316"/>
      <c r="G118" s="316"/>
      <c r="H118" s="316"/>
      <c r="I118" s="316"/>
      <c r="J118" s="316"/>
      <c r="K118" s="316" t="s">
        <v>210</v>
      </c>
      <c r="L118" s="1008">
        <v>45855</v>
      </c>
      <c r="M118" s="1092">
        <v>45859</v>
      </c>
      <c r="N118" s="1021" t="s">
        <v>1570</v>
      </c>
      <c r="O118" s="433"/>
      <c r="P118" s="1088" t="s">
        <v>211</v>
      </c>
    </row>
    <row r="119" spans="1:16" ht="14.5">
      <c r="A119" s="325">
        <f t="shared" si="1"/>
        <v>112</v>
      </c>
      <c r="B119" s="316" t="s">
        <v>803</v>
      </c>
      <c r="C119" s="316"/>
      <c r="D119" s="316" t="s">
        <v>185</v>
      </c>
      <c r="E119" s="316"/>
      <c r="F119" s="316"/>
      <c r="G119" s="316"/>
      <c r="H119" s="316"/>
      <c r="I119" s="316"/>
      <c r="J119" s="316"/>
      <c r="K119" s="316" t="s">
        <v>210</v>
      </c>
      <c r="L119" s="1008">
        <v>45854</v>
      </c>
      <c r="M119" s="1092">
        <v>45859</v>
      </c>
      <c r="N119" s="1064" t="s">
        <v>1575</v>
      </c>
      <c r="O119" s="433"/>
      <c r="P119" s="1088" t="s">
        <v>211</v>
      </c>
    </row>
    <row r="120" spans="1:16" ht="14.5">
      <c r="A120" s="325">
        <f t="shared" si="1"/>
        <v>113</v>
      </c>
      <c r="B120" s="316" t="s">
        <v>824</v>
      </c>
      <c r="C120" s="316"/>
      <c r="D120" s="316" t="s">
        <v>182</v>
      </c>
      <c r="E120" s="316"/>
      <c r="F120" s="316"/>
      <c r="G120" s="316"/>
      <c r="H120" s="316"/>
      <c r="I120" s="316"/>
      <c r="J120" s="316"/>
      <c r="K120" s="316" t="s">
        <v>210</v>
      </c>
      <c r="L120" s="1008">
        <v>45857</v>
      </c>
      <c r="M120" s="1092">
        <v>45861</v>
      </c>
      <c r="N120" s="843" t="s">
        <v>1499</v>
      </c>
      <c r="O120" s="433"/>
      <c r="P120" s="1088" t="s">
        <v>211</v>
      </c>
    </row>
    <row r="121" spans="1:16" ht="12" customHeight="1">
      <c r="A121" s="325">
        <f t="shared" si="1"/>
        <v>114</v>
      </c>
      <c r="B121" s="843" t="s">
        <v>866</v>
      </c>
      <c r="C121" s="843"/>
      <c r="D121" s="843" t="s">
        <v>137</v>
      </c>
      <c r="E121" s="325"/>
      <c r="F121" s="325"/>
      <c r="G121" s="325"/>
      <c r="H121" s="325"/>
      <c r="I121" s="325"/>
      <c r="J121" s="325"/>
      <c r="K121" s="325" t="s">
        <v>210</v>
      </c>
      <c r="L121" s="1007">
        <v>45853</v>
      </c>
      <c r="M121" s="1092">
        <v>45862</v>
      </c>
      <c r="N121" s="1064" t="s">
        <v>1673</v>
      </c>
      <c r="O121" s="433"/>
      <c r="P121" s="1088" t="s">
        <v>211</v>
      </c>
    </row>
    <row r="122" spans="1:16" ht="14.5">
      <c r="A122" s="325">
        <f t="shared" si="1"/>
        <v>115</v>
      </c>
      <c r="B122" s="316" t="s">
        <v>166</v>
      </c>
      <c r="C122" s="316"/>
      <c r="D122" s="316" t="s">
        <v>167</v>
      </c>
      <c r="E122" s="316"/>
      <c r="F122" s="316"/>
      <c r="G122" s="316"/>
      <c r="H122" s="316"/>
      <c r="I122" s="316"/>
      <c r="J122" s="316"/>
      <c r="K122" s="316" t="s">
        <v>210</v>
      </c>
      <c r="L122" s="1008">
        <v>45851</v>
      </c>
      <c r="M122" s="1092">
        <v>45862</v>
      </c>
      <c r="N122" s="1098" t="s">
        <v>1669</v>
      </c>
      <c r="O122" s="433"/>
      <c r="P122" s="1088" t="s">
        <v>211</v>
      </c>
    </row>
    <row r="123" spans="1:16" ht="14.5">
      <c r="A123" s="325">
        <f t="shared" si="1"/>
        <v>116</v>
      </c>
      <c r="B123" s="316" t="s">
        <v>183</v>
      </c>
      <c r="C123" s="316"/>
      <c r="D123" s="316" t="s">
        <v>182</v>
      </c>
      <c r="E123" s="316"/>
      <c r="F123" s="316"/>
      <c r="G123" s="316"/>
      <c r="H123" s="316"/>
      <c r="I123" s="316"/>
      <c r="J123" s="316"/>
      <c r="K123" s="316" t="s">
        <v>210</v>
      </c>
      <c r="L123" s="1008">
        <v>45860</v>
      </c>
      <c r="M123" s="1092">
        <v>45862</v>
      </c>
      <c r="N123" s="845" t="s">
        <v>1614</v>
      </c>
      <c r="P123" s="1088" t="s">
        <v>211</v>
      </c>
    </row>
    <row r="124" spans="1:16" ht="14.5">
      <c r="A124" s="325">
        <f t="shared" si="1"/>
        <v>117</v>
      </c>
      <c r="B124" s="316" t="s">
        <v>805</v>
      </c>
      <c r="C124" s="316"/>
      <c r="D124" s="316" t="s">
        <v>182</v>
      </c>
      <c r="E124" s="316"/>
      <c r="F124" s="316"/>
      <c r="G124" s="316"/>
      <c r="H124" s="316"/>
      <c r="I124" s="316"/>
      <c r="J124" s="316"/>
      <c r="K124" s="316" t="s">
        <v>210</v>
      </c>
      <c r="L124" s="1092">
        <v>45860</v>
      </c>
      <c r="M124" s="1092">
        <v>45863</v>
      </c>
      <c r="N124" s="1064" t="s">
        <v>1575</v>
      </c>
      <c r="O124" s="433"/>
      <c r="P124" s="1088" t="s">
        <v>211</v>
      </c>
    </row>
    <row r="125" spans="1:16" ht="18" customHeight="1">
      <c r="A125" s="325">
        <f t="shared" si="1"/>
        <v>118</v>
      </c>
      <c r="B125" s="316" t="s">
        <v>744</v>
      </c>
      <c r="C125" s="316"/>
      <c r="D125" s="316" t="s">
        <v>185</v>
      </c>
      <c r="E125" s="316"/>
      <c r="F125" s="316"/>
      <c r="G125" s="316"/>
      <c r="H125" s="316"/>
      <c r="I125" s="316"/>
      <c r="J125" s="316"/>
      <c r="K125" s="316" t="s">
        <v>210</v>
      </c>
      <c r="L125" s="1008">
        <v>45853</v>
      </c>
      <c r="M125" s="1092">
        <v>45864</v>
      </c>
      <c r="N125" s="316" t="s">
        <v>1618</v>
      </c>
      <c r="O125" s="433"/>
      <c r="P125" s="1088" t="s">
        <v>211</v>
      </c>
    </row>
    <row r="126" spans="1:16" ht="14.5">
      <c r="A126" s="325">
        <f t="shared" si="1"/>
        <v>119</v>
      </c>
      <c r="B126" s="845" t="s">
        <v>796</v>
      </c>
      <c r="C126" s="845"/>
      <c r="D126" s="845" t="s">
        <v>185</v>
      </c>
      <c r="E126" s="845"/>
      <c r="F126" s="845"/>
      <c r="G126" s="845"/>
      <c r="H126" s="845"/>
      <c r="I126" s="845"/>
      <c r="J126" s="845"/>
      <c r="K126" s="845" t="s">
        <v>210</v>
      </c>
      <c r="L126" s="1104">
        <v>45860</v>
      </c>
      <c r="M126" s="1092">
        <v>45864</v>
      </c>
      <c r="N126" s="1105" t="s">
        <v>1570</v>
      </c>
      <c r="P126" s="1088" t="s">
        <v>211</v>
      </c>
    </row>
    <row r="127" spans="1:16" ht="14.5">
      <c r="A127" s="325">
        <f t="shared" si="1"/>
        <v>120</v>
      </c>
      <c r="B127" s="316" t="s">
        <v>385</v>
      </c>
      <c r="C127" s="316"/>
      <c r="D127" s="316" t="s">
        <v>182</v>
      </c>
      <c r="E127" s="316"/>
      <c r="F127" s="316"/>
      <c r="G127" s="316"/>
      <c r="H127" s="316"/>
      <c r="I127" s="316"/>
      <c r="J127" s="316"/>
      <c r="K127" s="316" t="s">
        <v>210</v>
      </c>
      <c r="L127" s="1008">
        <v>45849</v>
      </c>
      <c r="M127" s="1092">
        <v>45865</v>
      </c>
      <c r="N127" s="1064" t="s">
        <v>1601</v>
      </c>
      <c r="O127" s="433"/>
      <c r="P127" s="1088" t="s">
        <v>211</v>
      </c>
    </row>
    <row r="128" spans="1:16" ht="14.5">
      <c r="A128" s="325">
        <f t="shared" si="1"/>
        <v>121</v>
      </c>
      <c r="B128" s="316" t="s">
        <v>767</v>
      </c>
      <c r="C128" s="316"/>
      <c r="D128" s="316" t="s">
        <v>242</v>
      </c>
      <c r="E128" s="316"/>
      <c r="F128" s="316"/>
      <c r="G128" s="316"/>
      <c r="H128" s="316"/>
      <c r="I128" s="316"/>
      <c r="J128" s="316"/>
      <c r="K128" s="316" t="s">
        <v>210</v>
      </c>
      <c r="L128" s="1008">
        <v>45862</v>
      </c>
      <c r="M128" s="1092">
        <v>45865</v>
      </c>
      <c r="N128" s="845" t="s">
        <v>1614</v>
      </c>
      <c r="O128" s="433"/>
      <c r="P128" s="1088" t="s">
        <v>211</v>
      </c>
    </row>
    <row r="129" spans="1:16" ht="14.5">
      <c r="A129" s="325">
        <f t="shared" si="1"/>
        <v>122</v>
      </c>
      <c r="B129" s="1064" t="s">
        <v>1654</v>
      </c>
      <c r="C129" s="316"/>
      <c r="D129" s="316" t="s">
        <v>185</v>
      </c>
      <c r="E129" s="316"/>
      <c r="F129" s="316"/>
      <c r="G129" s="316"/>
      <c r="H129" s="316"/>
      <c r="I129" s="316"/>
      <c r="J129" s="316"/>
      <c r="K129" s="316" t="s">
        <v>210</v>
      </c>
      <c r="L129" s="1008">
        <v>45862</v>
      </c>
      <c r="M129" s="1092">
        <v>45865</v>
      </c>
      <c r="N129" s="316" t="s">
        <v>1499</v>
      </c>
      <c r="O129" s="433"/>
      <c r="P129" s="1088" t="s">
        <v>211</v>
      </c>
    </row>
    <row r="130" spans="1:16" ht="14.5">
      <c r="A130" s="325">
        <f t="shared" si="1"/>
        <v>123</v>
      </c>
      <c r="B130" s="1021" t="s">
        <v>731</v>
      </c>
      <c r="C130" s="843"/>
      <c r="D130" s="843" t="s">
        <v>115</v>
      </c>
      <c r="E130" s="316"/>
      <c r="F130" s="316"/>
      <c r="G130" s="316"/>
      <c r="H130" s="316"/>
      <c r="I130" s="316"/>
      <c r="J130" s="316"/>
      <c r="K130" s="316" t="s">
        <v>210</v>
      </c>
      <c r="L130" s="1008">
        <v>45859</v>
      </c>
      <c r="M130" s="1092">
        <v>45866</v>
      </c>
      <c r="N130" s="316" t="s">
        <v>1290</v>
      </c>
      <c r="O130" s="433"/>
      <c r="P130" s="1088" t="s">
        <v>211</v>
      </c>
    </row>
    <row r="131" spans="1:16" ht="14.5">
      <c r="A131" s="325">
        <f t="shared" si="1"/>
        <v>124</v>
      </c>
      <c r="B131" s="843" t="s">
        <v>427</v>
      </c>
      <c r="C131" s="843"/>
      <c r="D131" s="843" t="s">
        <v>185</v>
      </c>
      <c r="E131" s="843"/>
      <c r="F131" s="843"/>
      <c r="G131" s="843"/>
      <c r="H131" s="843"/>
      <c r="I131" s="843"/>
      <c r="J131" s="843"/>
      <c r="K131" s="843" t="s">
        <v>210</v>
      </c>
      <c r="L131" s="1092">
        <v>45851</v>
      </c>
      <c r="M131" s="1092">
        <v>45867</v>
      </c>
      <c r="N131" s="314" t="s">
        <v>254</v>
      </c>
      <c r="O131" s="843"/>
      <c r="P131" s="1088" t="s">
        <v>211</v>
      </c>
    </row>
    <row r="132" spans="1:16" ht="14.5">
      <c r="A132" s="325">
        <f t="shared" si="1"/>
        <v>125</v>
      </c>
      <c r="B132" s="316" t="s">
        <v>794</v>
      </c>
      <c r="C132" s="316"/>
      <c r="D132" s="316" t="s">
        <v>185</v>
      </c>
      <c r="E132" s="316"/>
      <c r="F132" s="316"/>
      <c r="G132" s="316"/>
      <c r="H132" s="316"/>
      <c r="I132" s="316"/>
      <c r="J132" s="316"/>
      <c r="K132" s="316" t="s">
        <v>210</v>
      </c>
      <c r="L132" s="1092">
        <v>45863</v>
      </c>
      <c r="M132" s="1092">
        <v>45867</v>
      </c>
      <c r="N132" s="1021" t="s">
        <v>1570</v>
      </c>
      <c r="O132" s="316"/>
      <c r="P132" s="1088" t="s">
        <v>211</v>
      </c>
    </row>
    <row r="133" spans="1:16" ht="14.5">
      <c r="A133" s="325">
        <f t="shared" si="1"/>
        <v>126</v>
      </c>
      <c r="B133" s="316" t="s">
        <v>180</v>
      </c>
      <c r="C133" s="316"/>
      <c r="D133" s="316" t="s">
        <v>182</v>
      </c>
      <c r="E133" s="316"/>
      <c r="F133" s="316"/>
      <c r="G133" s="316"/>
      <c r="H133" s="316"/>
      <c r="I133" s="316"/>
      <c r="J133" s="316"/>
      <c r="K133" s="316" t="s">
        <v>210</v>
      </c>
      <c r="L133" s="1008">
        <v>45865</v>
      </c>
      <c r="M133" s="1092">
        <v>45868</v>
      </c>
      <c r="N133" s="845" t="s">
        <v>1614</v>
      </c>
      <c r="O133" s="433"/>
      <c r="P133" s="1088" t="s">
        <v>211</v>
      </c>
    </row>
    <row r="134" spans="1:16" ht="14.5">
      <c r="A134" s="325">
        <f t="shared" si="1"/>
        <v>127</v>
      </c>
      <c r="B134" s="1064" t="s">
        <v>1366</v>
      </c>
      <c r="C134" s="316"/>
      <c r="D134" s="316" t="s">
        <v>182</v>
      </c>
      <c r="E134" s="316"/>
      <c r="F134" s="316"/>
      <c r="G134" s="316"/>
      <c r="H134" s="316"/>
      <c r="I134" s="316"/>
      <c r="J134" s="316"/>
      <c r="K134" s="316" t="s">
        <v>210</v>
      </c>
      <c r="L134" s="1008">
        <v>45865</v>
      </c>
      <c r="M134" s="1092">
        <v>45868</v>
      </c>
      <c r="N134" s="316" t="s">
        <v>1499</v>
      </c>
      <c r="O134" s="433"/>
      <c r="P134" s="1088" t="s">
        <v>211</v>
      </c>
    </row>
    <row r="135" spans="1:16" ht="14.5">
      <c r="A135" s="325">
        <f t="shared" si="1"/>
        <v>128</v>
      </c>
      <c r="B135" s="316" t="s">
        <v>191</v>
      </c>
      <c r="C135" s="316"/>
      <c r="D135" s="316" t="s">
        <v>192</v>
      </c>
      <c r="E135" s="316"/>
      <c r="F135" s="316"/>
      <c r="G135" s="316"/>
      <c r="H135" s="316"/>
      <c r="I135" s="316"/>
      <c r="J135" s="316"/>
      <c r="K135" s="316" t="s">
        <v>210</v>
      </c>
      <c r="L135" s="1092">
        <v>45863</v>
      </c>
      <c r="M135" s="1092">
        <v>45869</v>
      </c>
      <c r="N135" s="1064" t="s">
        <v>1575</v>
      </c>
      <c r="O135" s="433"/>
      <c r="P135" s="1088" t="s">
        <v>211</v>
      </c>
    </row>
    <row r="136" spans="1:16" ht="14.5">
      <c r="A136" s="325">
        <f t="shared" si="1"/>
        <v>129</v>
      </c>
      <c r="B136" s="316" t="s">
        <v>799</v>
      </c>
      <c r="C136" s="316"/>
      <c r="D136" s="316" t="s">
        <v>182</v>
      </c>
      <c r="E136" s="316"/>
      <c r="F136" s="316"/>
      <c r="G136" s="316"/>
      <c r="H136" s="316"/>
      <c r="I136" s="316"/>
      <c r="J136" s="316"/>
      <c r="K136" s="316" t="s">
        <v>210</v>
      </c>
      <c r="L136" s="1092">
        <v>45867</v>
      </c>
      <c r="M136" s="1092">
        <v>45869</v>
      </c>
      <c r="N136" s="1021" t="s">
        <v>1570</v>
      </c>
      <c r="O136" s="433"/>
      <c r="P136" s="1088" t="s">
        <v>211</v>
      </c>
    </row>
    <row r="137" spans="1:16" ht="14.5">
      <c r="A137" s="325">
        <f t="shared" si="1"/>
        <v>130</v>
      </c>
      <c r="B137" s="316" t="s">
        <v>766</v>
      </c>
      <c r="C137" s="316"/>
      <c r="D137" s="316" t="s">
        <v>182</v>
      </c>
      <c r="E137" s="316"/>
      <c r="F137" s="316"/>
      <c r="G137" s="316"/>
      <c r="H137" s="316"/>
      <c r="I137" s="316"/>
      <c r="J137" s="316"/>
      <c r="K137" s="316" t="s">
        <v>210</v>
      </c>
      <c r="L137" s="1092">
        <v>45868</v>
      </c>
      <c r="M137" s="1092">
        <v>45869</v>
      </c>
      <c r="N137" s="845" t="s">
        <v>1614</v>
      </c>
      <c r="O137" s="433"/>
      <c r="P137" s="1088" t="s">
        <v>211</v>
      </c>
    </row>
    <row r="138" spans="1:16" ht="14.5">
      <c r="A138" s="325">
        <f t="shared" ref="A138:A201" si="7">A137+1</f>
        <v>131</v>
      </c>
      <c r="B138" s="316" t="s">
        <v>751</v>
      </c>
      <c r="C138" s="316"/>
      <c r="D138" s="316" t="s">
        <v>248</v>
      </c>
      <c r="E138" s="316"/>
      <c r="F138" s="316"/>
      <c r="G138" s="316"/>
      <c r="H138" s="316"/>
      <c r="I138" s="316"/>
      <c r="J138" s="316"/>
      <c r="K138" s="316" t="s">
        <v>210</v>
      </c>
      <c r="L138" s="1008">
        <v>45863</v>
      </c>
      <c r="M138" s="1092">
        <v>45869</v>
      </c>
      <c r="N138" s="1064" t="s">
        <v>1673</v>
      </c>
      <c r="O138" s="433"/>
      <c r="P138" s="1088" t="s">
        <v>211</v>
      </c>
    </row>
    <row r="139" spans="1:16" ht="14.5">
      <c r="A139" s="325">
        <f t="shared" si="7"/>
        <v>132</v>
      </c>
      <c r="B139" s="1106" t="s">
        <v>174</v>
      </c>
      <c r="C139" s="843"/>
      <c r="D139" s="843" t="s">
        <v>1633</v>
      </c>
      <c r="E139" s="316"/>
      <c r="F139" s="316"/>
      <c r="G139" s="316"/>
      <c r="H139" s="316"/>
      <c r="I139" s="316"/>
      <c r="J139" s="316"/>
      <c r="K139" s="316" t="s">
        <v>210</v>
      </c>
      <c r="L139" s="1008">
        <v>45855</v>
      </c>
      <c r="M139" s="1092">
        <v>45869</v>
      </c>
      <c r="N139" s="1064" t="s">
        <v>1612</v>
      </c>
      <c r="O139" s="433"/>
      <c r="P139" s="1088" t="s">
        <v>211</v>
      </c>
    </row>
    <row r="140" spans="1:16" ht="14.5">
      <c r="A140" s="325">
        <f t="shared" si="7"/>
        <v>133</v>
      </c>
      <c r="B140" s="1093" t="s">
        <v>422</v>
      </c>
      <c r="C140" s="843"/>
      <c r="D140" s="843" t="s">
        <v>125</v>
      </c>
      <c r="E140" s="843">
        <f>1.81+1.12</f>
        <v>2.93</v>
      </c>
      <c r="F140" s="843">
        <f>8.16+12.18</f>
        <v>20.34</v>
      </c>
      <c r="G140" s="843">
        <f>79.95+144.9</f>
        <v>224.85000000000002</v>
      </c>
      <c r="H140" s="843">
        <f>1.476+1.188</f>
        <v>2.6639999999999997</v>
      </c>
      <c r="I140" s="843">
        <f>(265.195+236.256)/1000</f>
        <v>0.50145099999999998</v>
      </c>
      <c r="J140" s="843"/>
      <c r="K140" s="843" t="s">
        <v>292</v>
      </c>
      <c r="L140" s="1092">
        <v>45818</v>
      </c>
      <c r="M140" s="1092">
        <v>45869</v>
      </c>
      <c r="N140" s="1096" t="s">
        <v>254</v>
      </c>
      <c r="O140" s="1107"/>
      <c r="P140" s="1088" t="s">
        <v>211</v>
      </c>
    </row>
    <row r="141" spans="1:16" ht="14.5">
      <c r="A141" s="325">
        <f t="shared" si="7"/>
        <v>134</v>
      </c>
      <c r="B141" s="1060" t="s">
        <v>158</v>
      </c>
      <c r="C141" s="845"/>
      <c r="D141" s="845" t="s">
        <v>115</v>
      </c>
      <c r="E141" s="845"/>
      <c r="F141" s="845"/>
      <c r="G141" s="845"/>
      <c r="H141" s="845"/>
      <c r="I141" s="845"/>
      <c r="J141" s="845"/>
      <c r="K141" s="845" t="s">
        <v>210</v>
      </c>
      <c r="L141" s="1017">
        <v>45862</v>
      </c>
      <c r="M141" s="1092">
        <v>45869</v>
      </c>
      <c r="N141" s="1098" t="s">
        <v>1669</v>
      </c>
      <c r="O141" s="1108"/>
      <c r="P141" s="1088" t="s">
        <v>211</v>
      </c>
    </row>
    <row r="142" spans="1:16" ht="14.5">
      <c r="A142" s="325">
        <f t="shared" si="7"/>
        <v>135</v>
      </c>
      <c r="B142" s="901" t="s">
        <v>1658</v>
      </c>
      <c r="C142" s="316"/>
      <c r="D142" s="316" t="s">
        <v>125</v>
      </c>
      <c r="E142" s="316"/>
      <c r="F142" s="316"/>
      <c r="G142" s="316"/>
      <c r="H142" s="316"/>
      <c r="I142" s="316"/>
      <c r="J142" s="316"/>
      <c r="K142" s="316" t="s">
        <v>210</v>
      </c>
      <c r="L142" s="1008">
        <v>45861</v>
      </c>
      <c r="M142" s="1092">
        <v>45869</v>
      </c>
      <c r="N142" s="1064" t="s">
        <v>1613</v>
      </c>
      <c r="O142" s="433"/>
      <c r="P142" s="1088" t="s">
        <v>211</v>
      </c>
    </row>
    <row r="143" spans="1:16" ht="14.5">
      <c r="A143" s="325">
        <f t="shared" si="7"/>
        <v>136</v>
      </c>
      <c r="B143" s="316" t="s">
        <v>743</v>
      </c>
      <c r="C143" s="316"/>
      <c r="D143" s="316" t="s">
        <v>242</v>
      </c>
      <c r="E143" s="316"/>
      <c r="F143" s="316"/>
      <c r="G143" s="316"/>
      <c r="H143" s="316"/>
      <c r="I143" s="316"/>
      <c r="J143" s="316"/>
      <c r="K143" s="316" t="s">
        <v>210</v>
      </c>
      <c r="L143" s="1008">
        <v>45865</v>
      </c>
      <c r="M143" s="1092">
        <v>45871</v>
      </c>
      <c r="N143" s="316" t="s">
        <v>1618</v>
      </c>
      <c r="O143" s="433"/>
      <c r="P143" s="1088" t="s">
        <v>211</v>
      </c>
    </row>
    <row r="144" spans="1:16" ht="14.5">
      <c r="A144" s="325">
        <f t="shared" si="7"/>
        <v>137</v>
      </c>
      <c r="B144" s="316" t="s">
        <v>800</v>
      </c>
      <c r="C144" s="316"/>
      <c r="D144" s="316" t="s">
        <v>185</v>
      </c>
      <c r="E144" s="316"/>
      <c r="F144" s="316"/>
      <c r="G144" s="316"/>
      <c r="H144" s="316"/>
      <c r="I144" s="316"/>
      <c r="J144" s="316"/>
      <c r="K144" s="316" t="s">
        <v>210</v>
      </c>
      <c r="L144" s="1092">
        <v>45868</v>
      </c>
      <c r="M144" s="1092">
        <v>45871</v>
      </c>
      <c r="N144" s="1021" t="s">
        <v>1570</v>
      </c>
      <c r="O144" s="433"/>
      <c r="P144" s="1088" t="s">
        <v>211</v>
      </c>
    </row>
    <row r="145" spans="1:16" ht="14.5">
      <c r="A145" s="325">
        <f t="shared" si="7"/>
        <v>138</v>
      </c>
      <c r="B145" s="1021" t="s">
        <v>1598</v>
      </c>
      <c r="C145" s="843"/>
      <c r="D145" s="843" t="s">
        <v>128</v>
      </c>
      <c r="E145" s="325"/>
      <c r="F145" s="325"/>
      <c r="G145" s="325"/>
      <c r="H145" s="325"/>
      <c r="I145" s="325"/>
      <c r="J145" s="325"/>
      <c r="K145" s="325" t="s">
        <v>210</v>
      </c>
      <c r="L145" s="1007">
        <v>45845</v>
      </c>
      <c r="M145" s="1007">
        <v>45873</v>
      </c>
      <c r="N145" s="1064" t="s">
        <v>1698</v>
      </c>
      <c r="O145" s="1109"/>
      <c r="P145" s="1088" t="s">
        <v>211</v>
      </c>
    </row>
    <row r="146" spans="1:16" ht="14.5">
      <c r="A146" s="325">
        <f t="shared" si="7"/>
        <v>139</v>
      </c>
      <c r="B146" s="316" t="s">
        <v>798</v>
      </c>
      <c r="C146" s="316"/>
      <c r="D146" s="316" t="s">
        <v>185</v>
      </c>
      <c r="E146" s="316"/>
      <c r="F146" s="316"/>
      <c r="G146" s="316"/>
      <c r="H146" s="316"/>
      <c r="I146" s="316"/>
      <c r="J146" s="316"/>
      <c r="K146" s="316" t="s">
        <v>210</v>
      </c>
      <c r="L146" s="1092">
        <v>45872</v>
      </c>
      <c r="M146" s="1007">
        <v>45873</v>
      </c>
      <c r="N146" s="1021" t="s">
        <v>1570</v>
      </c>
      <c r="P146" s="1088" t="s">
        <v>211</v>
      </c>
    </row>
    <row r="147" spans="1:16" ht="14.5">
      <c r="A147" s="325">
        <f t="shared" si="7"/>
        <v>140</v>
      </c>
      <c r="B147" s="316" t="s">
        <v>418</v>
      </c>
      <c r="C147" s="316"/>
      <c r="D147" s="316" t="s">
        <v>185</v>
      </c>
      <c r="E147" s="316"/>
      <c r="F147" s="316"/>
      <c r="G147" s="316"/>
      <c r="H147" s="316"/>
      <c r="I147" s="316"/>
      <c r="J147" s="316"/>
      <c r="K147" s="316" t="s">
        <v>210</v>
      </c>
      <c r="L147" s="1008">
        <v>45869</v>
      </c>
      <c r="M147" s="1007">
        <v>45874</v>
      </c>
      <c r="N147" s="314" t="s">
        <v>254</v>
      </c>
      <c r="O147" s="433"/>
      <c r="P147" s="1088" t="s">
        <v>211</v>
      </c>
    </row>
    <row r="148" spans="1:16" ht="14.5">
      <c r="A148" s="325">
        <f t="shared" si="7"/>
        <v>141</v>
      </c>
      <c r="B148" s="316" t="s">
        <v>795</v>
      </c>
      <c r="C148" s="316"/>
      <c r="D148" s="316" t="s">
        <v>182</v>
      </c>
      <c r="E148" s="316"/>
      <c r="F148" s="316"/>
      <c r="G148" s="316"/>
      <c r="H148" s="316"/>
      <c r="I148" s="316"/>
      <c r="J148" s="316"/>
      <c r="K148" s="316" t="s">
        <v>210</v>
      </c>
      <c r="L148" s="1008">
        <v>45873</v>
      </c>
      <c r="M148" s="1008">
        <v>45875</v>
      </c>
      <c r="N148" s="1021" t="s">
        <v>1570</v>
      </c>
      <c r="O148" s="433"/>
      <c r="P148" s="1088" t="s">
        <v>211</v>
      </c>
    </row>
    <row r="149" spans="1:16" ht="14.5">
      <c r="A149" s="325">
        <f t="shared" si="7"/>
        <v>142</v>
      </c>
      <c r="B149" s="843" t="s">
        <v>1336</v>
      </c>
      <c r="C149" s="325"/>
      <c r="D149" s="325" t="s">
        <v>115</v>
      </c>
      <c r="E149" s="316">
        <v>1.6</v>
      </c>
      <c r="F149" s="316">
        <v>13.13</v>
      </c>
      <c r="G149" s="316">
        <v>87.25</v>
      </c>
      <c r="H149" s="316">
        <v>1.3740000000000001</v>
      </c>
      <c r="I149" s="316">
        <v>0.501</v>
      </c>
      <c r="J149" s="325"/>
      <c r="K149" s="325" t="s">
        <v>292</v>
      </c>
      <c r="L149" s="1007">
        <v>45803</v>
      </c>
      <c r="M149" s="1008">
        <v>45876</v>
      </c>
      <c r="N149" s="1096" t="s">
        <v>254</v>
      </c>
      <c r="O149" s="1107"/>
      <c r="P149" s="1088" t="s">
        <v>211</v>
      </c>
    </row>
    <row r="150" spans="1:16" ht="14.5">
      <c r="A150" s="325">
        <f t="shared" si="7"/>
        <v>143</v>
      </c>
      <c r="B150" s="1021" t="s">
        <v>439</v>
      </c>
      <c r="C150" s="843"/>
      <c r="D150" s="843" t="s">
        <v>182</v>
      </c>
      <c r="E150" s="316"/>
      <c r="F150" s="316"/>
      <c r="G150" s="316"/>
      <c r="H150" s="316"/>
      <c r="I150" s="316"/>
      <c r="J150" s="316"/>
      <c r="K150" s="316" t="s">
        <v>210</v>
      </c>
      <c r="L150" s="1008">
        <v>45870</v>
      </c>
      <c r="M150" s="1008">
        <v>45876</v>
      </c>
      <c r="N150" s="316" t="s">
        <v>1290</v>
      </c>
      <c r="P150" s="1088" t="s">
        <v>211</v>
      </c>
    </row>
    <row r="151" spans="1:16" ht="14.5">
      <c r="A151" s="325">
        <f t="shared" si="7"/>
        <v>144</v>
      </c>
      <c r="B151" s="316" t="s">
        <v>181</v>
      </c>
      <c r="C151" s="316"/>
      <c r="D151" s="316" t="s">
        <v>182</v>
      </c>
      <c r="E151" s="316"/>
      <c r="F151" s="316"/>
      <c r="G151" s="316"/>
      <c r="H151" s="316"/>
      <c r="I151" s="316"/>
      <c r="J151" s="316"/>
      <c r="K151" s="316" t="s">
        <v>210</v>
      </c>
      <c r="L151" s="1092">
        <v>45870</v>
      </c>
      <c r="M151" s="1008">
        <v>45876</v>
      </c>
      <c r="N151" s="845" t="s">
        <v>1614</v>
      </c>
      <c r="P151" s="1088" t="s">
        <v>211</v>
      </c>
    </row>
    <row r="152" spans="1:16" ht="14.5">
      <c r="A152" s="325">
        <f t="shared" si="7"/>
        <v>145</v>
      </c>
      <c r="B152" s="845" t="s">
        <v>190</v>
      </c>
      <c r="C152" s="845"/>
      <c r="D152" s="845" t="s">
        <v>192</v>
      </c>
      <c r="E152" s="845"/>
      <c r="F152" s="845"/>
      <c r="G152" s="845"/>
      <c r="H152" s="845"/>
      <c r="I152" s="845"/>
      <c r="J152" s="845"/>
      <c r="K152" s="845" t="s">
        <v>210</v>
      </c>
      <c r="L152" s="1104">
        <v>45870</v>
      </c>
      <c r="M152" s="1008">
        <v>45876</v>
      </c>
      <c r="N152" s="1064" t="s">
        <v>1575</v>
      </c>
      <c r="P152" s="1088" t="s">
        <v>211</v>
      </c>
    </row>
    <row r="153" spans="1:16" ht="14.5">
      <c r="A153" s="325">
        <f t="shared" si="7"/>
        <v>146</v>
      </c>
      <c r="B153" s="1021" t="s">
        <v>1667</v>
      </c>
      <c r="C153" s="843"/>
      <c r="D153" s="843" t="s">
        <v>123</v>
      </c>
      <c r="E153" s="316"/>
      <c r="F153" s="316"/>
      <c r="G153" s="316"/>
      <c r="H153" s="316"/>
      <c r="I153" s="316"/>
      <c r="J153" s="316"/>
      <c r="K153" s="316" t="s">
        <v>210</v>
      </c>
      <c r="L153" s="1008">
        <v>45871</v>
      </c>
      <c r="M153" s="1008">
        <v>45877</v>
      </c>
      <c r="N153" s="1064" t="s">
        <v>1612</v>
      </c>
      <c r="O153" s="316"/>
      <c r="P153" s="1088" t="s">
        <v>211</v>
      </c>
    </row>
    <row r="154" spans="1:16" ht="14.5">
      <c r="A154" s="325">
        <f t="shared" si="7"/>
        <v>147</v>
      </c>
      <c r="B154" s="1021" t="s">
        <v>869</v>
      </c>
      <c r="C154" s="843"/>
      <c r="D154" s="843" t="s">
        <v>115</v>
      </c>
      <c r="E154" s="325"/>
      <c r="F154" s="325"/>
      <c r="G154" s="325"/>
      <c r="H154" s="325"/>
      <c r="I154" s="325"/>
      <c r="J154" s="325"/>
      <c r="K154" s="325" t="s">
        <v>210</v>
      </c>
      <c r="L154" s="1007">
        <v>45870</v>
      </c>
      <c r="M154" s="1008">
        <v>45877</v>
      </c>
      <c r="N154" s="1064" t="s">
        <v>1673</v>
      </c>
      <c r="O154" s="325"/>
      <c r="P154" s="1088" t="s">
        <v>211</v>
      </c>
    </row>
    <row r="155" spans="1:16" ht="14.5">
      <c r="A155" s="325">
        <f t="shared" si="7"/>
        <v>148</v>
      </c>
      <c r="B155" s="316" t="s">
        <v>161</v>
      </c>
      <c r="C155" s="316"/>
      <c r="D155" s="316" t="s">
        <v>115</v>
      </c>
      <c r="E155" s="316"/>
      <c r="F155" s="316"/>
      <c r="G155" s="316"/>
      <c r="H155" s="316"/>
      <c r="I155" s="316"/>
      <c r="J155" s="316"/>
      <c r="K155" s="316" t="s">
        <v>210</v>
      </c>
      <c r="L155" s="1008">
        <v>45867</v>
      </c>
      <c r="M155" s="1008">
        <v>45878</v>
      </c>
      <c r="N155" s="1064" t="s">
        <v>1601</v>
      </c>
      <c r="O155" s="316"/>
      <c r="P155" s="1088" t="s">
        <v>211</v>
      </c>
    </row>
    <row r="156" spans="1:16" ht="14.5">
      <c r="A156" s="325">
        <f t="shared" si="7"/>
        <v>149</v>
      </c>
      <c r="B156" s="316" t="s">
        <v>797</v>
      </c>
      <c r="C156" s="316"/>
      <c r="D156" s="316" t="s">
        <v>185</v>
      </c>
      <c r="E156" s="316"/>
      <c r="F156" s="316"/>
      <c r="G156" s="316"/>
      <c r="H156" s="316"/>
      <c r="I156" s="316"/>
      <c r="J156" s="316"/>
      <c r="K156" s="316" t="s">
        <v>210</v>
      </c>
      <c r="L156" s="1008">
        <v>45875</v>
      </c>
      <c r="M156" s="1008">
        <v>45878</v>
      </c>
      <c r="N156" s="1021" t="s">
        <v>1570</v>
      </c>
      <c r="O156" s="316"/>
      <c r="P156" s="1088" t="s">
        <v>211</v>
      </c>
    </row>
    <row r="157" spans="1:16" ht="14.5">
      <c r="A157" s="325">
        <f t="shared" si="7"/>
        <v>150</v>
      </c>
      <c r="B157" s="316" t="s">
        <v>755</v>
      </c>
      <c r="C157" s="316"/>
      <c r="D157" s="316" t="s">
        <v>185</v>
      </c>
      <c r="E157" s="316"/>
      <c r="F157" s="316"/>
      <c r="G157" s="316"/>
      <c r="H157" s="316"/>
      <c r="I157" s="316"/>
      <c r="J157" s="316"/>
      <c r="K157" s="316" t="s">
        <v>210</v>
      </c>
      <c r="L157" s="1008">
        <v>45875</v>
      </c>
      <c r="M157" s="1008">
        <v>45881</v>
      </c>
      <c r="N157" s="1064" t="s">
        <v>1575</v>
      </c>
      <c r="O157" s="316"/>
      <c r="P157" s="1088" t="s">
        <v>211</v>
      </c>
    </row>
    <row r="158" spans="1:16" ht="14.5">
      <c r="A158" s="325">
        <f t="shared" si="7"/>
        <v>151</v>
      </c>
      <c r="B158" s="1064" t="s">
        <v>1672</v>
      </c>
      <c r="C158" s="316"/>
      <c r="D158" s="316" t="s">
        <v>188</v>
      </c>
      <c r="E158" s="316"/>
      <c r="F158" s="316"/>
      <c r="G158" s="316"/>
      <c r="H158" s="316"/>
      <c r="I158" s="316"/>
      <c r="J158" s="316"/>
      <c r="K158" s="316" t="s">
        <v>210</v>
      </c>
      <c r="L158" s="1008">
        <v>45876</v>
      </c>
      <c r="M158" s="1008">
        <v>45881</v>
      </c>
      <c r="N158" s="316" t="s">
        <v>1499</v>
      </c>
      <c r="O158" s="316"/>
      <c r="P158" s="1088" t="s">
        <v>211</v>
      </c>
    </row>
    <row r="159" spans="1:16" ht="14.5">
      <c r="A159" s="325">
        <f t="shared" si="7"/>
        <v>152</v>
      </c>
      <c r="B159" s="843" t="s">
        <v>425</v>
      </c>
      <c r="C159" s="325"/>
      <c r="D159" s="325" t="s">
        <v>115</v>
      </c>
      <c r="E159" s="316">
        <v>1.6</v>
      </c>
      <c r="F159" s="316">
        <v>13.13</v>
      </c>
      <c r="G159" s="316">
        <v>87.25</v>
      </c>
      <c r="H159" s="316">
        <v>1.3740000000000001</v>
      </c>
      <c r="I159" s="316">
        <v>0.501</v>
      </c>
      <c r="J159" s="325"/>
      <c r="K159" s="325" t="s">
        <v>210</v>
      </c>
      <c r="L159" s="1007">
        <v>45874</v>
      </c>
      <c r="M159" s="1007">
        <v>45883</v>
      </c>
      <c r="N159" s="314" t="s">
        <v>254</v>
      </c>
      <c r="O159" s="1107"/>
      <c r="P159" s="1088" t="s">
        <v>211</v>
      </c>
    </row>
    <row r="160" spans="1:16" ht="14.5">
      <c r="A160" s="325">
        <f t="shared" si="7"/>
        <v>153</v>
      </c>
      <c r="B160" s="316" t="s">
        <v>788</v>
      </c>
      <c r="C160" s="316"/>
      <c r="D160" s="316" t="s">
        <v>185</v>
      </c>
      <c r="E160" s="316"/>
      <c r="F160" s="316"/>
      <c r="G160" s="316"/>
      <c r="H160" s="316"/>
      <c r="I160" s="316"/>
      <c r="J160" s="316"/>
      <c r="K160" s="316" t="s">
        <v>210</v>
      </c>
      <c r="L160" s="1008">
        <v>45879</v>
      </c>
      <c r="M160" s="1007">
        <v>45883</v>
      </c>
      <c r="N160" s="316" t="s">
        <v>1570</v>
      </c>
      <c r="O160" s="433"/>
      <c r="P160" s="1088" t="s">
        <v>211</v>
      </c>
    </row>
    <row r="161" spans="1:16" ht="14.5">
      <c r="A161" s="325">
        <f t="shared" si="7"/>
        <v>154</v>
      </c>
      <c r="B161" s="1021" t="s">
        <v>438</v>
      </c>
      <c r="C161" s="843"/>
      <c r="D161" s="843" t="s">
        <v>182</v>
      </c>
      <c r="E161" s="316"/>
      <c r="F161" s="316"/>
      <c r="G161" s="316"/>
      <c r="H161" s="316"/>
      <c r="I161" s="316"/>
      <c r="J161" s="316"/>
      <c r="K161" s="316" t="s">
        <v>210</v>
      </c>
      <c r="L161" s="1008">
        <v>45880</v>
      </c>
      <c r="M161" s="1007">
        <v>45883</v>
      </c>
      <c r="N161" s="316" t="s">
        <v>1290</v>
      </c>
      <c r="O161" s="433"/>
      <c r="P161" s="1088" t="s">
        <v>211</v>
      </c>
    </row>
    <row r="162" spans="1:16" ht="14.5">
      <c r="A162" s="325">
        <f t="shared" si="7"/>
        <v>155</v>
      </c>
      <c r="B162" s="316" t="s">
        <v>465</v>
      </c>
      <c r="C162" s="316"/>
      <c r="D162" s="316" t="s">
        <v>132</v>
      </c>
      <c r="E162" s="316"/>
      <c r="F162" s="316"/>
      <c r="G162" s="316"/>
      <c r="H162" s="316"/>
      <c r="I162" s="316"/>
      <c r="J162" s="316"/>
      <c r="K162" s="316" t="s">
        <v>210</v>
      </c>
      <c r="L162" s="1008">
        <v>45874</v>
      </c>
      <c r="M162" s="1008">
        <v>45885</v>
      </c>
      <c r="N162" s="1064" t="s">
        <v>1613</v>
      </c>
      <c r="O162" s="433"/>
      <c r="P162" s="1088" t="s">
        <v>211</v>
      </c>
    </row>
    <row r="163" spans="1:16" ht="14.5">
      <c r="A163" s="325">
        <f t="shared" si="7"/>
        <v>156</v>
      </c>
      <c r="B163" s="316" t="s">
        <v>1362</v>
      </c>
      <c r="C163" s="316"/>
      <c r="D163" s="316" t="s">
        <v>248</v>
      </c>
      <c r="E163" s="316"/>
      <c r="F163" s="316"/>
      <c r="G163" s="316"/>
      <c r="H163" s="316"/>
      <c r="I163" s="316"/>
      <c r="J163" s="316"/>
      <c r="K163" s="316" t="s">
        <v>210</v>
      </c>
      <c r="L163" s="1008">
        <v>45875</v>
      </c>
      <c r="M163" s="1008">
        <v>45885</v>
      </c>
      <c r="N163" s="845" t="s">
        <v>1614</v>
      </c>
      <c r="O163" s="433"/>
      <c r="P163" s="1088" t="s">
        <v>211</v>
      </c>
    </row>
    <row r="164" spans="1:16" ht="14.5">
      <c r="A164" s="325">
        <f t="shared" si="7"/>
        <v>157</v>
      </c>
      <c r="B164" s="316" t="s">
        <v>787</v>
      </c>
      <c r="C164" s="316"/>
      <c r="D164" s="316" t="s">
        <v>185</v>
      </c>
      <c r="E164" s="316"/>
      <c r="F164" s="316"/>
      <c r="G164" s="316"/>
      <c r="H164" s="316"/>
      <c r="I164" s="316"/>
      <c r="J164" s="316"/>
      <c r="K164" s="316" t="s">
        <v>210</v>
      </c>
      <c r="L164" s="1008">
        <v>45880</v>
      </c>
      <c r="M164" s="1008">
        <v>45886</v>
      </c>
      <c r="N164" s="316" t="s">
        <v>1570</v>
      </c>
      <c r="O164" s="433"/>
      <c r="P164" s="1088" t="s">
        <v>211</v>
      </c>
    </row>
    <row r="165" spans="1:16" ht="14.5">
      <c r="A165" s="325">
        <f t="shared" si="7"/>
        <v>158</v>
      </c>
      <c r="B165" s="316" t="s">
        <v>177</v>
      </c>
      <c r="C165" s="316"/>
      <c r="D165" s="316" t="s">
        <v>128</v>
      </c>
      <c r="E165" s="316"/>
      <c r="F165" s="316"/>
      <c r="G165" s="316"/>
      <c r="H165" s="316"/>
      <c r="I165" s="316"/>
      <c r="J165" s="316"/>
      <c r="K165" s="316" t="s">
        <v>210</v>
      </c>
      <c r="L165" s="1092">
        <v>45872</v>
      </c>
      <c r="M165" s="1008">
        <v>45888</v>
      </c>
      <c r="N165" s="316" t="s">
        <v>1618</v>
      </c>
      <c r="O165" s="433"/>
      <c r="P165" s="1088" t="s">
        <v>211</v>
      </c>
    </row>
    <row r="166" spans="1:16" ht="14.5">
      <c r="A166" s="325">
        <f t="shared" si="7"/>
        <v>159</v>
      </c>
      <c r="B166" s="1110" t="s">
        <v>1678</v>
      </c>
      <c r="C166" s="843"/>
      <c r="D166" s="843" t="s">
        <v>115</v>
      </c>
      <c r="E166" s="325"/>
      <c r="F166" s="325"/>
      <c r="G166" s="325"/>
      <c r="H166" s="325"/>
      <c r="I166" s="325"/>
      <c r="J166" s="325"/>
      <c r="K166" s="325" t="s">
        <v>210</v>
      </c>
      <c r="L166" s="1007">
        <v>45885</v>
      </c>
      <c r="M166" s="1008">
        <v>45888</v>
      </c>
      <c r="N166" s="845" t="s">
        <v>1614</v>
      </c>
      <c r="O166" s="433"/>
      <c r="P166" s="1088" t="s">
        <v>211</v>
      </c>
    </row>
    <row r="167" spans="1:16" ht="14.5">
      <c r="A167" s="325">
        <f t="shared" si="7"/>
        <v>160</v>
      </c>
      <c r="B167" s="1064" t="s">
        <v>1363</v>
      </c>
      <c r="C167" s="316"/>
      <c r="D167" s="316" t="s">
        <v>125</v>
      </c>
      <c r="E167" s="316"/>
      <c r="F167" s="316"/>
      <c r="G167" s="316"/>
      <c r="H167" s="316"/>
      <c r="I167" s="316"/>
      <c r="J167" s="316"/>
      <c r="K167" s="316" t="s">
        <v>210</v>
      </c>
      <c r="L167" s="1008">
        <v>45879</v>
      </c>
      <c r="M167" s="1008">
        <v>45888</v>
      </c>
      <c r="N167" s="316" t="s">
        <v>1499</v>
      </c>
      <c r="O167" s="433"/>
      <c r="P167" s="1088" t="s">
        <v>211</v>
      </c>
    </row>
    <row r="168" spans="1:16" ht="14.5">
      <c r="A168" s="325">
        <f t="shared" si="7"/>
        <v>161</v>
      </c>
      <c r="B168" s="316" t="s">
        <v>868</v>
      </c>
      <c r="C168" s="316"/>
      <c r="D168" s="316" t="s">
        <v>137</v>
      </c>
      <c r="E168" s="316"/>
      <c r="F168" s="316"/>
      <c r="G168" s="316"/>
      <c r="H168" s="316"/>
      <c r="I168" s="316"/>
      <c r="J168" s="316"/>
      <c r="K168" s="316" t="s">
        <v>210</v>
      </c>
      <c r="L168" s="1092">
        <v>45880</v>
      </c>
      <c r="M168" s="1008">
        <v>45889</v>
      </c>
      <c r="N168" s="1064" t="s">
        <v>1673</v>
      </c>
      <c r="O168" s="316"/>
      <c r="P168" s="1088" t="s">
        <v>211</v>
      </c>
    </row>
    <row r="169" spans="1:16" ht="14.5">
      <c r="A169" s="325">
        <f t="shared" si="7"/>
        <v>162</v>
      </c>
      <c r="B169" s="316" t="s">
        <v>189</v>
      </c>
      <c r="C169" s="316"/>
      <c r="D169" s="316" t="s">
        <v>115</v>
      </c>
      <c r="E169" s="316"/>
      <c r="F169" s="316"/>
      <c r="G169" s="316"/>
      <c r="H169" s="316"/>
      <c r="I169" s="316"/>
      <c r="J169" s="316"/>
      <c r="K169" s="316" t="s">
        <v>210</v>
      </c>
      <c r="L169" s="1008">
        <v>45885</v>
      </c>
      <c r="M169" s="1008">
        <v>45889</v>
      </c>
      <c r="N169" s="316" t="s">
        <v>1570</v>
      </c>
      <c r="O169" s="316"/>
      <c r="P169" s="1088" t="s">
        <v>211</v>
      </c>
    </row>
    <row r="170" spans="1:16" ht="14.5">
      <c r="A170" s="325">
        <f t="shared" si="7"/>
        <v>163</v>
      </c>
      <c r="B170" s="316" t="s">
        <v>756</v>
      </c>
      <c r="C170" s="316"/>
      <c r="D170" s="316" t="s">
        <v>185</v>
      </c>
      <c r="E170" s="316"/>
      <c r="F170" s="316"/>
      <c r="G170" s="316"/>
      <c r="H170" s="316"/>
      <c r="I170" s="316"/>
      <c r="J170" s="316"/>
      <c r="K170" s="316" t="s">
        <v>210</v>
      </c>
      <c r="L170" s="1008">
        <v>45882</v>
      </c>
      <c r="M170" s="1008">
        <v>45889</v>
      </c>
      <c r="N170" s="1064" t="s">
        <v>1575</v>
      </c>
      <c r="O170" s="316"/>
      <c r="P170" s="1088" t="s">
        <v>211</v>
      </c>
    </row>
    <row r="171" spans="1:16" ht="14.5">
      <c r="A171" s="325">
        <f t="shared" si="7"/>
        <v>164</v>
      </c>
      <c r="B171" s="316" t="s">
        <v>162</v>
      </c>
      <c r="C171" s="316"/>
      <c r="D171" s="316" t="s">
        <v>115</v>
      </c>
      <c r="E171" s="316"/>
      <c r="F171" s="316"/>
      <c r="G171" s="316"/>
      <c r="H171" s="316"/>
      <c r="I171" s="316"/>
      <c r="J171" s="316"/>
      <c r="K171" s="316" t="s">
        <v>210</v>
      </c>
      <c r="L171" s="1008">
        <v>45881</v>
      </c>
      <c r="M171" s="1008">
        <v>45891</v>
      </c>
      <c r="N171" s="1021" t="s">
        <v>1676</v>
      </c>
      <c r="O171" s="433"/>
      <c r="P171" s="1088" t="s">
        <v>211</v>
      </c>
    </row>
    <row r="172" spans="1:16" ht="14.5">
      <c r="A172" s="325">
        <f t="shared" si="7"/>
        <v>165</v>
      </c>
      <c r="B172" s="1064" t="s">
        <v>1677</v>
      </c>
      <c r="C172" s="316"/>
      <c r="D172" s="316" t="s">
        <v>185</v>
      </c>
      <c r="E172" s="316"/>
      <c r="F172" s="316"/>
      <c r="G172" s="316"/>
      <c r="H172" s="316"/>
      <c r="I172" s="316"/>
      <c r="J172" s="316"/>
      <c r="K172" s="316" t="s">
        <v>210</v>
      </c>
      <c r="L172" s="1008">
        <v>45883</v>
      </c>
      <c r="M172" s="1008">
        <v>45891</v>
      </c>
      <c r="N172" s="314" t="s">
        <v>254</v>
      </c>
      <c r="O172" s="433"/>
      <c r="P172" s="1088" t="s">
        <v>211</v>
      </c>
    </row>
    <row r="173" spans="1:16" ht="14.5">
      <c r="A173" s="325">
        <f t="shared" si="7"/>
        <v>166</v>
      </c>
      <c r="B173" s="1021" t="s">
        <v>752</v>
      </c>
      <c r="C173" s="843"/>
      <c r="D173" s="843" t="s">
        <v>1670</v>
      </c>
      <c r="E173" s="325"/>
      <c r="F173" s="325"/>
      <c r="G173" s="325"/>
      <c r="H173" s="325"/>
      <c r="I173" s="325"/>
      <c r="J173" s="325"/>
      <c r="K173" s="325" t="s">
        <v>210</v>
      </c>
      <c r="L173" s="1007">
        <v>45873</v>
      </c>
      <c r="M173" s="1008">
        <v>45892</v>
      </c>
      <c r="N173" s="1064" t="s">
        <v>1698</v>
      </c>
      <c r="O173" s="433"/>
      <c r="P173" s="1088" t="s">
        <v>211</v>
      </c>
    </row>
    <row r="174" spans="1:16" ht="14.5">
      <c r="A174" s="325">
        <f t="shared" si="7"/>
        <v>167</v>
      </c>
      <c r="B174" s="1110" t="s">
        <v>774</v>
      </c>
      <c r="C174" s="843"/>
      <c r="D174" s="843" t="s">
        <v>182</v>
      </c>
      <c r="E174" s="325"/>
      <c r="F174" s="325"/>
      <c r="G174" s="325"/>
      <c r="H174" s="325"/>
      <c r="I174" s="325"/>
      <c r="J174" s="325"/>
      <c r="K174" s="325" t="s">
        <v>210</v>
      </c>
      <c r="L174" s="1008">
        <v>45889</v>
      </c>
      <c r="M174" s="1008">
        <v>45892</v>
      </c>
      <c r="N174" s="845" t="s">
        <v>1614</v>
      </c>
      <c r="O174" s="433"/>
      <c r="P174" s="1088" t="s">
        <v>211</v>
      </c>
    </row>
    <row r="175" spans="1:16" ht="14.5">
      <c r="A175" s="325">
        <f t="shared" si="7"/>
        <v>168</v>
      </c>
      <c r="B175" s="316" t="s">
        <v>780</v>
      </c>
      <c r="C175" s="316"/>
      <c r="D175" s="316" t="s">
        <v>182</v>
      </c>
      <c r="E175" s="316"/>
      <c r="F175" s="316"/>
      <c r="G175" s="316"/>
      <c r="H175" s="316"/>
      <c r="I175" s="316"/>
      <c r="J175" s="316"/>
      <c r="K175" s="316" t="s">
        <v>210</v>
      </c>
      <c r="L175" s="1008">
        <v>45890</v>
      </c>
      <c r="M175" s="1008">
        <v>45892</v>
      </c>
      <c r="N175" s="316" t="s">
        <v>1570</v>
      </c>
      <c r="P175" s="1088" t="s">
        <v>211</v>
      </c>
    </row>
    <row r="176" spans="1:16" ht="14.5">
      <c r="A176" s="325">
        <f t="shared" si="7"/>
        <v>169</v>
      </c>
      <c r="B176" s="316" t="s">
        <v>350</v>
      </c>
      <c r="C176" s="316"/>
      <c r="D176" s="316" t="s">
        <v>182</v>
      </c>
      <c r="E176" s="316"/>
      <c r="F176" s="316"/>
      <c r="G176" s="316"/>
      <c r="H176" s="316"/>
      <c r="I176" s="316"/>
      <c r="J176" s="316"/>
      <c r="K176" s="316" t="s">
        <v>210</v>
      </c>
      <c r="L176" s="1008">
        <v>45885</v>
      </c>
      <c r="M176" s="1008">
        <v>45893</v>
      </c>
      <c r="N176" s="316" t="s">
        <v>1697</v>
      </c>
      <c r="O176" s="433"/>
      <c r="P176" s="1088" t="s">
        <v>211</v>
      </c>
    </row>
    <row r="177" spans="1:1023 1279:2047 2303:3071 3327:4095 4351:5119 5375:6143 6399:7167 7423:8191 8447:9215 9471:10239 10495:11263 11519:12287 12543:13311 13567:14335 14591:15359 15615:16127" ht="14.5">
      <c r="A177" s="325">
        <f t="shared" si="7"/>
        <v>170</v>
      </c>
      <c r="B177" s="316" t="s">
        <v>186</v>
      </c>
      <c r="C177" s="316"/>
      <c r="D177" s="316" t="s">
        <v>188</v>
      </c>
      <c r="E177" s="316"/>
      <c r="F177" s="316"/>
      <c r="G177" s="316"/>
      <c r="H177" s="316"/>
      <c r="I177" s="316"/>
      <c r="J177" s="316"/>
      <c r="K177" s="316" t="s">
        <v>210</v>
      </c>
      <c r="L177" s="1092">
        <v>45874</v>
      </c>
      <c r="M177" s="1008">
        <v>45893</v>
      </c>
      <c r="N177" s="316" t="s">
        <v>1699</v>
      </c>
      <c r="O177" s="433"/>
      <c r="P177" s="1088" t="s">
        <v>211</v>
      </c>
    </row>
    <row r="178" spans="1:1023 1279:2047 2303:3071 3327:4095 4351:5119 5375:6143 6399:7167 7423:8191 8447:9215 9471:10239 10495:11263 11519:12287 12543:13311 13567:14335 14591:15359 15615:16127" ht="14.5">
      <c r="A178" s="325">
        <f t="shared" si="7"/>
        <v>171</v>
      </c>
      <c r="B178" s="316" t="s">
        <v>758</v>
      </c>
      <c r="C178" s="316"/>
      <c r="D178" s="316" t="s">
        <v>182</v>
      </c>
      <c r="E178" s="316"/>
      <c r="F178" s="316"/>
      <c r="G178" s="316"/>
      <c r="H178" s="316"/>
      <c r="I178" s="316"/>
      <c r="J178" s="316"/>
      <c r="K178" s="316" t="s">
        <v>210</v>
      </c>
      <c r="L178" s="1008">
        <v>45889</v>
      </c>
      <c r="M178" s="1008">
        <v>45894</v>
      </c>
      <c r="N178" s="1064" t="s">
        <v>1575</v>
      </c>
      <c r="O178" s="433"/>
      <c r="P178" s="1088" t="s">
        <v>211</v>
      </c>
    </row>
    <row r="179" spans="1:1023 1279:2047 2303:3071 3327:4095 4351:5119 5375:6143 6399:7167 7423:8191 8447:9215 9471:10239 10495:11263 11519:12287 12543:13311 13567:14335 14591:15359 15615:16127" ht="14.5">
      <c r="A179" s="325">
        <f t="shared" si="7"/>
        <v>172</v>
      </c>
      <c r="B179" s="845" t="s">
        <v>781</v>
      </c>
      <c r="C179" s="845"/>
      <c r="D179" s="845" t="s">
        <v>182</v>
      </c>
      <c r="E179" s="845"/>
      <c r="F179" s="845"/>
      <c r="G179" s="845"/>
      <c r="H179" s="845"/>
      <c r="I179" s="845"/>
      <c r="J179" s="845"/>
      <c r="K179" s="845" t="s">
        <v>210</v>
      </c>
      <c r="L179" s="1017">
        <v>45891</v>
      </c>
      <c r="M179" s="1008">
        <v>45894</v>
      </c>
      <c r="N179" s="845" t="s">
        <v>1570</v>
      </c>
      <c r="P179" s="1088" t="s">
        <v>211</v>
      </c>
    </row>
    <row r="180" spans="1:1023 1279:2047 2303:3071 3327:4095 4351:5119 5375:6143 6399:7167 7423:8191 8447:9215 9471:10239 10495:11263 11519:12287 12543:13311 13567:14335 14591:15359 15615:16127" s="1112" customFormat="1" ht="15.5">
      <c r="A180" s="1111">
        <f t="shared" si="7"/>
        <v>173</v>
      </c>
      <c r="B180" s="901" t="s">
        <v>327</v>
      </c>
      <c r="C180" s="316"/>
      <c r="D180" s="901" t="s">
        <v>242</v>
      </c>
      <c r="E180" s="839">
        <v>1.86</v>
      </c>
      <c r="F180" s="839">
        <v>12.47</v>
      </c>
      <c r="G180" s="839">
        <v>134.69999999999999</v>
      </c>
      <c r="H180" s="841">
        <v>1.115</v>
      </c>
      <c r="I180" s="839">
        <v>0.29899999999999999</v>
      </c>
      <c r="J180" s="901"/>
      <c r="K180" s="901" t="s">
        <v>210</v>
      </c>
      <c r="L180" s="1059">
        <v>45889</v>
      </c>
      <c r="M180" s="1059">
        <v>45895</v>
      </c>
      <c r="N180" s="901" t="s">
        <v>1696</v>
      </c>
      <c r="O180" s="433"/>
      <c r="P180" s="324" t="s">
        <v>211</v>
      </c>
      <c r="IU180" s="322"/>
      <c r="SQ180" s="322"/>
      <c r="ACM180" s="322"/>
      <c r="AMI180" s="322"/>
      <c r="AWE180" s="322"/>
      <c r="BGA180" s="322"/>
      <c r="BPW180" s="322"/>
      <c r="BZS180" s="322"/>
      <c r="CJO180" s="322"/>
      <c r="CTK180" s="322"/>
      <c r="DDG180" s="322"/>
      <c r="DNC180" s="322"/>
      <c r="DWY180" s="322"/>
      <c r="EGU180" s="322"/>
      <c r="EQQ180" s="322"/>
      <c r="FAM180" s="322"/>
      <c r="FKI180" s="322"/>
      <c r="FUE180" s="322"/>
      <c r="GEA180" s="322"/>
      <c r="GNW180" s="322"/>
      <c r="GXS180" s="322"/>
      <c r="HHO180" s="322"/>
      <c r="HRK180" s="322"/>
      <c r="IBG180" s="322"/>
      <c r="ILC180" s="322"/>
      <c r="IUY180" s="322"/>
      <c r="JEU180" s="322"/>
      <c r="JOQ180" s="322"/>
      <c r="JYM180" s="322"/>
      <c r="KII180" s="322"/>
      <c r="KSE180" s="322"/>
      <c r="LCA180" s="322"/>
      <c r="LLW180" s="322"/>
      <c r="LVS180" s="322"/>
      <c r="MFO180" s="322"/>
      <c r="MPK180" s="322"/>
      <c r="MZG180" s="322"/>
      <c r="NJC180" s="322"/>
      <c r="NSY180" s="322"/>
      <c r="OCU180" s="322"/>
      <c r="OMQ180" s="322"/>
      <c r="OWM180" s="322"/>
      <c r="PGI180" s="322"/>
      <c r="PQE180" s="322"/>
      <c r="QAA180" s="322"/>
      <c r="QJW180" s="322"/>
      <c r="QTS180" s="322"/>
      <c r="RDO180" s="322"/>
      <c r="RNK180" s="322"/>
      <c r="RXG180" s="322"/>
      <c r="SHC180" s="322"/>
      <c r="SQY180" s="322"/>
      <c r="TAU180" s="322"/>
      <c r="TKQ180" s="322"/>
      <c r="TUM180" s="322"/>
      <c r="UEI180" s="322"/>
      <c r="UOE180" s="322"/>
      <c r="UYA180" s="322"/>
      <c r="VHW180" s="322"/>
      <c r="VRS180" s="322"/>
      <c r="WBO180" s="322"/>
      <c r="WLK180" s="322"/>
      <c r="WVG180" s="322"/>
    </row>
    <row r="181" spans="1:1023 1279:2047 2303:3071 3327:4095 4351:5119 5375:6143 6399:7167 7423:8191 8447:9215 9471:10239 10495:11263 11519:12287 12543:13311 13567:14335 14591:15359 15615:16127" ht="14.5">
      <c r="A181" s="325">
        <f t="shared" si="7"/>
        <v>174</v>
      </c>
      <c r="B181" s="316" t="s">
        <v>1358</v>
      </c>
      <c r="C181" s="316"/>
      <c r="D181" s="316" t="s">
        <v>185</v>
      </c>
      <c r="E181" s="316"/>
      <c r="F181" s="316"/>
      <c r="G181" s="316"/>
      <c r="H181" s="316"/>
      <c r="I181" s="316"/>
      <c r="J181" s="316"/>
      <c r="K181" s="316" t="s">
        <v>210</v>
      </c>
      <c r="L181" s="1008">
        <v>45893</v>
      </c>
      <c r="M181" s="1008">
        <v>45895</v>
      </c>
      <c r="N181" s="845" t="s">
        <v>1614</v>
      </c>
      <c r="O181" s="433"/>
      <c r="P181" s="1088" t="s">
        <v>211</v>
      </c>
    </row>
    <row r="182" spans="1:1023 1279:2047 2303:3071 3327:4095 4351:5119 5375:6143 6399:7167 7423:8191 8447:9215 9471:10239 10495:11263 11519:12287 12543:13311 13567:14335 14591:15359 15615:16127" s="1112" customFormat="1" ht="15.5">
      <c r="A182" s="1111">
        <f t="shared" si="7"/>
        <v>175</v>
      </c>
      <c r="B182" s="901" t="s">
        <v>325</v>
      </c>
      <c r="C182" s="316"/>
      <c r="D182" s="901" t="s">
        <v>182</v>
      </c>
      <c r="E182" s="898">
        <v>1.57</v>
      </c>
      <c r="F182" s="898">
        <v>11.05</v>
      </c>
      <c r="G182" s="898">
        <v>115.3</v>
      </c>
      <c r="H182" s="899">
        <v>0.91900000000000004</v>
      </c>
      <c r="I182" s="900">
        <v>0.29899999999999999</v>
      </c>
      <c r="J182" s="901"/>
      <c r="K182" s="901" t="s">
        <v>210</v>
      </c>
      <c r="L182" s="1059">
        <v>45885</v>
      </c>
      <c r="M182" s="1059">
        <v>45896</v>
      </c>
      <c r="N182" s="901" t="s">
        <v>1696</v>
      </c>
      <c r="O182" s="433"/>
      <c r="P182" s="324" t="s">
        <v>211</v>
      </c>
      <c r="IU182" s="322"/>
      <c r="SQ182" s="322"/>
      <c r="ACM182" s="322"/>
      <c r="AMI182" s="322"/>
      <c r="AWE182" s="322"/>
      <c r="BGA182" s="322"/>
      <c r="BPW182" s="322"/>
      <c r="BZS182" s="322"/>
      <c r="CJO182" s="322"/>
      <c r="CTK182" s="322"/>
      <c r="DDG182" s="322"/>
      <c r="DNC182" s="322"/>
      <c r="DWY182" s="322"/>
      <c r="EGU182" s="322"/>
      <c r="EQQ182" s="322"/>
      <c r="FAM182" s="322"/>
      <c r="FKI182" s="322"/>
      <c r="FUE182" s="322"/>
      <c r="GEA182" s="322"/>
      <c r="GNW182" s="322"/>
      <c r="GXS182" s="322"/>
      <c r="HHO182" s="322"/>
      <c r="HRK182" s="322"/>
      <c r="IBG182" s="322"/>
      <c r="ILC182" s="322"/>
      <c r="IUY182" s="322"/>
      <c r="JEU182" s="322"/>
      <c r="JOQ182" s="322"/>
      <c r="JYM182" s="322"/>
      <c r="KII182" s="322"/>
      <c r="KSE182" s="322"/>
      <c r="LCA182" s="322"/>
      <c r="LLW182" s="322"/>
      <c r="LVS182" s="322"/>
      <c r="MFO182" s="322"/>
      <c r="MPK182" s="322"/>
      <c r="MZG182" s="322"/>
      <c r="NJC182" s="322"/>
      <c r="NSY182" s="322"/>
      <c r="OCU182" s="322"/>
      <c r="OMQ182" s="322"/>
      <c r="OWM182" s="322"/>
      <c r="PGI182" s="322"/>
      <c r="PQE182" s="322"/>
      <c r="QAA182" s="322"/>
      <c r="QJW182" s="322"/>
      <c r="QTS182" s="322"/>
      <c r="RDO182" s="322"/>
      <c r="RNK182" s="322"/>
      <c r="RXG182" s="322"/>
      <c r="SHC182" s="322"/>
      <c r="SQY182" s="322"/>
      <c r="TAU182" s="322"/>
      <c r="TKQ182" s="322"/>
      <c r="TUM182" s="322"/>
      <c r="UEI182" s="322"/>
      <c r="UOE182" s="322"/>
      <c r="UYA182" s="322"/>
      <c r="VHW182" s="322"/>
      <c r="VRS182" s="322"/>
      <c r="WBO182" s="322"/>
      <c r="WLK182" s="322"/>
      <c r="WVG182" s="322"/>
    </row>
    <row r="183" spans="1:1023 1279:2047 2303:3071 3327:4095 4351:5119 5375:6143 6399:7167 7423:8191 8447:9215 9471:10239 10495:11263 11519:12287 12543:13311 13567:14335 14591:15359 15615:16127" ht="14.5">
      <c r="A183" s="325">
        <f t="shared" si="7"/>
        <v>176</v>
      </c>
      <c r="B183" s="1064" t="s">
        <v>1679</v>
      </c>
      <c r="C183" s="316"/>
      <c r="D183" s="316" t="s">
        <v>125</v>
      </c>
      <c r="E183" s="316"/>
      <c r="F183" s="316"/>
      <c r="G183" s="316"/>
      <c r="H183" s="316"/>
      <c r="I183" s="316"/>
      <c r="J183" s="316"/>
      <c r="K183" s="316" t="s">
        <v>210</v>
      </c>
      <c r="L183" s="1008">
        <v>45887</v>
      </c>
      <c r="M183" s="1008">
        <v>45897</v>
      </c>
      <c r="N183" s="316" t="s">
        <v>1499</v>
      </c>
      <c r="O183" s="433"/>
      <c r="P183" s="1088" t="s">
        <v>211</v>
      </c>
    </row>
    <row r="184" spans="1:1023 1279:2047 2303:3071 3327:4095 4351:5119 5375:6143 6399:7167 7423:8191 8447:9215 9471:10239 10495:11263 11519:12287 12543:13311 13567:14335 14591:15359 15615:16127" ht="14.5">
      <c r="A184" s="325">
        <f t="shared" si="7"/>
        <v>177</v>
      </c>
      <c r="B184" s="316" t="s">
        <v>187</v>
      </c>
      <c r="C184" s="316"/>
      <c r="D184" s="316" t="s">
        <v>188</v>
      </c>
      <c r="E184" s="316"/>
      <c r="F184" s="316"/>
      <c r="G184" s="316"/>
      <c r="H184" s="316"/>
      <c r="I184" s="316"/>
      <c r="J184" s="316"/>
      <c r="K184" s="316" t="s">
        <v>210</v>
      </c>
      <c r="L184" s="1008">
        <v>45891</v>
      </c>
      <c r="M184" s="1008">
        <v>45897</v>
      </c>
      <c r="N184" s="316" t="s">
        <v>1570</v>
      </c>
      <c r="P184" s="1088" t="s">
        <v>211</v>
      </c>
    </row>
    <row r="185" spans="1:1023 1279:2047 2303:3071 3327:4095 4351:5119 5375:6143 6399:7167 7423:8191 8447:9215 9471:10239 10495:11263 11519:12287 12543:13311 13567:14335 14591:15359 15615:16127" ht="14.5">
      <c r="A185" s="325">
        <f t="shared" si="7"/>
        <v>178</v>
      </c>
      <c r="B185" s="1064" t="s">
        <v>1683</v>
      </c>
      <c r="C185" s="843"/>
      <c r="D185" s="843" t="s">
        <v>125</v>
      </c>
      <c r="E185" s="325"/>
      <c r="F185" s="325"/>
      <c r="G185" s="325"/>
      <c r="H185" s="325"/>
      <c r="I185" s="325"/>
      <c r="J185" s="325"/>
      <c r="K185" s="325" t="s">
        <v>210</v>
      </c>
      <c r="L185" s="1007">
        <v>45893</v>
      </c>
      <c r="M185" s="1008">
        <v>45898</v>
      </c>
      <c r="N185" s="1064" t="s">
        <v>1698</v>
      </c>
      <c r="O185" s="433"/>
      <c r="P185" s="1088" t="s">
        <v>211</v>
      </c>
    </row>
    <row r="186" spans="1:1023 1279:2047 2303:3071 3327:4095 4351:5119 5375:6143 6399:7167 7423:8191 8447:9215 9471:10239 10495:11263 11519:12287 12543:13311 13567:14335 14591:15359 15615:16127" ht="14.5">
      <c r="A186" s="325">
        <f t="shared" si="7"/>
        <v>179</v>
      </c>
      <c r="B186" s="316" t="s">
        <v>1357</v>
      </c>
      <c r="C186" s="316"/>
      <c r="D186" s="316" t="s">
        <v>248</v>
      </c>
      <c r="E186" s="316"/>
      <c r="F186" s="316"/>
      <c r="G186" s="316"/>
      <c r="H186" s="316"/>
      <c r="I186" s="316"/>
      <c r="J186" s="316"/>
      <c r="K186" s="316" t="s">
        <v>210</v>
      </c>
      <c r="L186" s="1008">
        <v>45894</v>
      </c>
      <c r="M186" s="1008">
        <v>45898</v>
      </c>
      <c r="N186" s="845" t="s">
        <v>1614</v>
      </c>
      <c r="O186" s="433"/>
      <c r="P186" s="1088" t="s">
        <v>211</v>
      </c>
    </row>
    <row r="187" spans="1:1023 1279:2047 2303:3071 3327:4095 4351:5119 5375:6143 6399:7167 7423:8191 8447:9215 9471:10239 10495:11263 11519:12287 12543:13311 13567:14335 14591:15359 15615:16127" s="1112" customFormat="1" ht="15.5">
      <c r="A187" s="1111">
        <f t="shared" si="7"/>
        <v>180</v>
      </c>
      <c r="B187" s="901" t="s">
        <v>328</v>
      </c>
      <c r="C187" s="316"/>
      <c r="D187" s="901" t="s">
        <v>242</v>
      </c>
      <c r="E187" s="839">
        <v>1.86</v>
      </c>
      <c r="F187" s="839">
        <v>12.47</v>
      </c>
      <c r="G187" s="839">
        <v>134.69999999999999</v>
      </c>
      <c r="H187" s="841">
        <v>1.115</v>
      </c>
      <c r="I187" s="839">
        <v>0.29899999999999999</v>
      </c>
      <c r="J187" s="901"/>
      <c r="K187" s="901" t="s">
        <v>210</v>
      </c>
      <c r="L187" s="1059">
        <v>45895</v>
      </c>
      <c r="M187" s="1059">
        <v>45900</v>
      </c>
      <c r="N187" s="901" t="s">
        <v>1696</v>
      </c>
      <c r="O187" s="433"/>
      <c r="P187" s="324" t="s">
        <v>211</v>
      </c>
      <c r="IU187" s="322"/>
      <c r="SQ187" s="322"/>
      <c r="ACM187" s="322"/>
      <c r="AMI187" s="322"/>
      <c r="AWE187" s="322"/>
      <c r="BGA187" s="322"/>
      <c r="BPW187" s="322"/>
      <c r="BZS187" s="322"/>
      <c r="CJO187" s="322"/>
      <c r="CTK187" s="322"/>
      <c r="DDG187" s="322"/>
      <c r="DNC187" s="322"/>
      <c r="DWY187" s="322"/>
      <c r="EGU187" s="322"/>
      <c r="EQQ187" s="322"/>
      <c r="FAM187" s="322"/>
      <c r="FKI187" s="322"/>
      <c r="FUE187" s="322"/>
      <c r="GEA187" s="322"/>
      <c r="GNW187" s="322"/>
      <c r="GXS187" s="322"/>
      <c r="HHO187" s="322"/>
      <c r="HRK187" s="322"/>
      <c r="IBG187" s="322"/>
      <c r="ILC187" s="322"/>
      <c r="IUY187" s="322"/>
      <c r="JEU187" s="322"/>
      <c r="JOQ187" s="322"/>
      <c r="JYM187" s="322"/>
      <c r="KII187" s="322"/>
      <c r="KSE187" s="322"/>
      <c r="LCA187" s="322"/>
      <c r="LLW187" s="322"/>
      <c r="LVS187" s="322"/>
      <c r="MFO187" s="322"/>
      <c r="MPK187" s="322"/>
      <c r="MZG187" s="322"/>
      <c r="NJC187" s="322"/>
      <c r="NSY187" s="322"/>
      <c r="OCU187" s="322"/>
      <c r="OMQ187" s="322"/>
      <c r="OWM187" s="322"/>
      <c r="PGI187" s="322"/>
      <c r="PQE187" s="322"/>
      <c r="QAA187" s="322"/>
      <c r="QJW187" s="322"/>
      <c r="QTS187" s="322"/>
      <c r="RDO187" s="322"/>
      <c r="RNK187" s="322"/>
      <c r="RXG187" s="322"/>
      <c r="SHC187" s="322"/>
      <c r="SQY187" s="322"/>
      <c r="TAU187" s="322"/>
      <c r="TKQ187" s="322"/>
      <c r="TUM187" s="322"/>
      <c r="UEI187" s="322"/>
      <c r="UOE187" s="322"/>
      <c r="UYA187" s="322"/>
      <c r="VHW187" s="322"/>
      <c r="VRS187" s="322"/>
      <c r="WBO187" s="322"/>
      <c r="WLK187" s="322"/>
      <c r="WVG187" s="322"/>
    </row>
    <row r="188" spans="1:1023 1279:2047 2303:3071 3327:4095 4351:5119 5375:6143 6399:7167 7423:8191 8447:9215 9471:10239 10495:11263 11519:12287 12543:13311 13567:14335 14591:15359 15615:16127" ht="14.5">
      <c r="A188" s="325">
        <f t="shared" si="7"/>
        <v>181</v>
      </c>
      <c r="B188" s="1064" t="s">
        <v>1680</v>
      </c>
      <c r="C188" s="316"/>
      <c r="D188" s="316" t="s">
        <v>188</v>
      </c>
      <c r="E188" s="316"/>
      <c r="F188" s="316"/>
      <c r="G188" s="316"/>
      <c r="H188" s="316"/>
      <c r="I188" s="316"/>
      <c r="J188" s="316"/>
      <c r="K188" s="316" t="s">
        <v>210</v>
      </c>
      <c r="L188" s="1008">
        <v>45527</v>
      </c>
      <c r="M188" s="1008">
        <v>45900</v>
      </c>
      <c r="N188" s="316" t="s">
        <v>1290</v>
      </c>
      <c r="O188" s="433"/>
      <c r="P188" s="1088" t="s">
        <v>211</v>
      </c>
    </row>
    <row r="189" spans="1:1023 1279:2047 2303:3071 3327:4095 4351:5119 5375:6143 6399:7167 7423:8191 8447:9215 9471:10239 10495:11263 11519:12287 12543:13311 13567:14335 14591:15359 15615:16127" ht="14.5">
      <c r="A189" s="325">
        <f t="shared" si="7"/>
        <v>182</v>
      </c>
      <c r="B189" s="845" t="s">
        <v>1305</v>
      </c>
      <c r="C189" s="316"/>
      <c r="D189" s="316" t="s">
        <v>115</v>
      </c>
      <c r="E189" s="316"/>
      <c r="F189" s="316"/>
      <c r="G189" s="316"/>
      <c r="H189" s="316"/>
      <c r="I189" s="316"/>
      <c r="J189" s="316"/>
      <c r="K189" s="316" t="s">
        <v>292</v>
      </c>
      <c r="L189" s="1008">
        <v>45891</v>
      </c>
      <c r="M189" s="1008">
        <v>45900</v>
      </c>
      <c r="N189" s="316" t="s">
        <v>1704</v>
      </c>
      <c r="O189" s="433"/>
      <c r="P189" s="1088" t="s">
        <v>211</v>
      </c>
    </row>
    <row r="190" spans="1:1023 1279:2047 2303:3071 3327:4095 4351:5119 5375:6143 6399:7167 7423:8191 8447:9215 9471:10239 10495:11263 11519:12287 12543:13311 13567:14335 14591:15359 15615:16127" ht="14.5">
      <c r="A190" s="325">
        <f t="shared" si="7"/>
        <v>183</v>
      </c>
      <c r="B190" s="1113" t="s">
        <v>171</v>
      </c>
      <c r="C190" s="1018"/>
      <c r="D190" s="316" t="s">
        <v>167</v>
      </c>
      <c r="E190" s="316"/>
      <c r="F190" s="316"/>
      <c r="G190" s="316"/>
      <c r="H190" s="316"/>
      <c r="I190" s="316"/>
      <c r="J190" s="316"/>
      <c r="K190" s="316" t="s">
        <v>210</v>
      </c>
      <c r="L190" s="1008">
        <v>45892</v>
      </c>
      <c r="M190" s="1008">
        <v>45900</v>
      </c>
      <c r="N190" s="314" t="s">
        <v>254</v>
      </c>
      <c r="O190" s="433"/>
      <c r="P190" s="1088" t="s">
        <v>211</v>
      </c>
    </row>
    <row r="191" spans="1:1023 1279:2047 2303:3071 3327:4095 4351:5119 5375:6143 6399:7167 7423:8191 8447:9215 9471:10239 10495:11263 11519:12287 12543:13311 13567:14335 14591:15359 15615:16127" ht="14.5">
      <c r="A191" s="325">
        <f t="shared" si="7"/>
        <v>184</v>
      </c>
      <c r="B191" s="316" t="s">
        <v>468</v>
      </c>
      <c r="C191" s="1018"/>
      <c r="D191" s="316" t="s">
        <v>182</v>
      </c>
      <c r="E191" s="316"/>
      <c r="F191" s="316"/>
      <c r="G191" s="316"/>
      <c r="H191" s="316"/>
      <c r="I191" s="316"/>
      <c r="J191" s="316"/>
      <c r="K191" s="316" t="s">
        <v>210</v>
      </c>
      <c r="L191" s="1008">
        <v>45891</v>
      </c>
      <c r="M191" s="1008">
        <v>45900</v>
      </c>
      <c r="N191" s="1064" t="s">
        <v>1695</v>
      </c>
      <c r="O191" s="433"/>
      <c r="P191" s="1088" t="s">
        <v>211</v>
      </c>
    </row>
    <row r="192" spans="1:1023 1279:2047 2303:3071 3327:4095 4351:5119 5375:6143 6399:7167 7423:8191 8447:9215 9471:10239 10495:11263 11519:12287 12543:13311 13567:14335 14591:15359 15615:16127" ht="14.5">
      <c r="A192" s="325">
        <f t="shared" si="7"/>
        <v>185</v>
      </c>
      <c r="B192" s="316" t="s">
        <v>782</v>
      </c>
      <c r="C192" s="1037"/>
      <c r="D192" s="845" t="s">
        <v>182</v>
      </c>
      <c r="E192" s="845"/>
      <c r="F192" s="845"/>
      <c r="G192" s="845"/>
      <c r="H192" s="845"/>
      <c r="I192" s="845"/>
      <c r="J192" s="845"/>
      <c r="K192" s="845" t="s">
        <v>210</v>
      </c>
      <c r="L192" s="1017">
        <v>45895</v>
      </c>
      <c r="M192" s="1017">
        <v>45900</v>
      </c>
      <c r="N192" s="845" t="s">
        <v>1570</v>
      </c>
      <c r="O192" s="1108"/>
      <c r="P192" s="1114" t="s">
        <v>211</v>
      </c>
    </row>
    <row r="193" spans="1:1023 1279:2047 2303:3071 3327:4095 4351:5119 5375:6143 6399:7167 7423:8191 8447:9215 9471:10239 10495:11263 11519:12287 12543:13311 13567:14335 14591:15359 15615:16127" ht="14.5">
      <c r="A193" s="325">
        <f t="shared" si="7"/>
        <v>186</v>
      </c>
      <c r="B193" s="316" t="s">
        <v>760</v>
      </c>
      <c r="C193" s="1018"/>
      <c r="D193" s="316" t="s">
        <v>182</v>
      </c>
      <c r="E193" s="316"/>
      <c r="F193" s="316"/>
      <c r="G193" s="316"/>
      <c r="H193" s="316"/>
      <c r="I193" s="316"/>
      <c r="J193" s="316"/>
      <c r="K193" s="316" t="s">
        <v>210</v>
      </c>
      <c r="L193" s="1008">
        <v>45895</v>
      </c>
      <c r="M193" s="1017">
        <v>45900</v>
      </c>
      <c r="N193" s="1064" t="s">
        <v>1575</v>
      </c>
      <c r="O193" s="316"/>
      <c r="P193" s="1114" t="s">
        <v>211</v>
      </c>
    </row>
    <row r="194" spans="1:1023 1279:2047 2303:3071 3327:4095 4351:5119 5375:6143 6399:7167 7423:8191 8447:9215 9471:10239 10495:11263 11519:12287 12543:13311 13567:14335 14591:15359 15615:16127" ht="14.5">
      <c r="A194" s="325">
        <f t="shared" si="7"/>
        <v>187</v>
      </c>
      <c r="B194" s="1064" t="s">
        <v>1682</v>
      </c>
      <c r="C194" s="1018"/>
      <c r="D194" s="316" t="s">
        <v>125</v>
      </c>
      <c r="E194" s="316"/>
      <c r="F194" s="316"/>
      <c r="G194" s="316"/>
      <c r="H194" s="316"/>
      <c r="I194" s="316"/>
      <c r="J194" s="316"/>
      <c r="K194" s="316" t="s">
        <v>210</v>
      </c>
      <c r="L194" s="1092">
        <v>45894</v>
      </c>
      <c r="M194" s="1017">
        <v>45900</v>
      </c>
      <c r="N194" s="1064" t="s">
        <v>1673</v>
      </c>
      <c r="O194" s="316"/>
      <c r="P194" s="1114" t="s">
        <v>211</v>
      </c>
    </row>
    <row r="195" spans="1:1023 1279:2047 2303:3071 3327:4095 4351:5119 5375:6143 6399:7167 7423:8191 8447:9215 9471:10239 10495:11263 11519:12287 12543:13311 13567:14335 14591:15359 15615:16127" ht="14.5">
      <c r="A195" s="325">
        <f t="shared" si="7"/>
        <v>188</v>
      </c>
      <c r="B195" s="1115" t="s">
        <v>178</v>
      </c>
      <c r="C195" s="1018"/>
      <c r="D195" s="316" t="s">
        <v>125</v>
      </c>
      <c r="E195" s="316"/>
      <c r="F195" s="316"/>
      <c r="G195" s="316"/>
      <c r="H195" s="316"/>
      <c r="I195" s="316"/>
      <c r="J195" s="316"/>
      <c r="K195" s="316" t="s">
        <v>210</v>
      </c>
      <c r="L195" s="1008">
        <v>45900</v>
      </c>
      <c r="M195" s="1008">
        <v>45904</v>
      </c>
      <c r="N195" s="1064" t="s">
        <v>1698</v>
      </c>
      <c r="O195" s="433"/>
      <c r="P195" s="1114" t="s">
        <v>211</v>
      </c>
    </row>
    <row r="196" spans="1:1023 1279:2047 2303:3071 3327:4095 4351:5119 5375:6143 6399:7167 7423:8191 8447:9215 9471:10239 10495:11263 11519:12287 12543:13311 13567:14335 14591:15359 15615:16127" ht="14.5">
      <c r="A196" s="325">
        <f t="shared" si="7"/>
        <v>189</v>
      </c>
      <c r="B196" s="316" t="s">
        <v>1705</v>
      </c>
      <c r="C196" s="1037"/>
      <c r="D196" s="845" t="s">
        <v>1708</v>
      </c>
      <c r="E196" s="845"/>
      <c r="F196" s="845"/>
      <c r="G196" s="845"/>
      <c r="H196" s="845"/>
      <c r="I196" s="845"/>
      <c r="J196" s="845"/>
      <c r="K196" s="845" t="s">
        <v>210</v>
      </c>
      <c r="L196" s="1008">
        <v>45898</v>
      </c>
      <c r="M196" s="1008">
        <v>45905</v>
      </c>
      <c r="N196" s="316" t="s">
        <v>1570</v>
      </c>
      <c r="O196" s="433"/>
      <c r="P196" s="1114" t="s">
        <v>211</v>
      </c>
    </row>
    <row r="197" spans="1:1023 1279:2047 2303:3071 3327:4095 4351:5119 5375:6143 6399:7167 7423:8191 8447:9215 9471:10239 10495:11263 11519:12287 12543:13311 13567:14335 14591:15359 15615:16127" ht="14.5">
      <c r="A197" s="325">
        <f t="shared" si="7"/>
        <v>190</v>
      </c>
      <c r="B197" s="1116" t="s">
        <v>815</v>
      </c>
      <c r="C197" s="1037"/>
      <c r="D197" s="845" t="s">
        <v>182</v>
      </c>
      <c r="E197" s="845"/>
      <c r="F197" s="845"/>
      <c r="G197" s="845"/>
      <c r="H197" s="845"/>
      <c r="I197" s="845"/>
      <c r="J197" s="845"/>
      <c r="K197" s="845" t="s">
        <v>210</v>
      </c>
      <c r="L197" s="1017">
        <v>45901</v>
      </c>
      <c r="M197" s="1017">
        <v>45905</v>
      </c>
      <c r="N197" s="845" t="s">
        <v>1499</v>
      </c>
      <c r="O197" s="1108"/>
      <c r="P197" s="1114" t="s">
        <v>211</v>
      </c>
    </row>
    <row r="198" spans="1:1023 1279:2047 2303:3071 3327:4095 4351:5119 5375:6143 6399:7167 7423:8191 8447:9215 9471:10239 10495:11263 11519:12287 12543:13311 13567:14335 14591:15359 15615:16127" s="1112" customFormat="1" ht="14.5">
      <c r="A198" s="1111">
        <f t="shared" si="7"/>
        <v>191</v>
      </c>
      <c r="B198" s="901" t="s">
        <v>1103</v>
      </c>
      <c r="C198" s="316"/>
      <c r="D198" s="901" t="s">
        <v>132</v>
      </c>
      <c r="E198" s="843">
        <v>1.68</v>
      </c>
      <c r="F198" s="843">
        <v>12.41</v>
      </c>
      <c r="G198" s="843">
        <v>143.4</v>
      </c>
      <c r="H198" s="843">
        <v>1.728</v>
      </c>
      <c r="I198" s="843">
        <v>0.41399999999999998</v>
      </c>
      <c r="J198" s="901"/>
      <c r="K198" s="1060" t="s">
        <v>210</v>
      </c>
      <c r="L198" s="1059">
        <v>45903</v>
      </c>
      <c r="M198" s="1059">
        <v>45910</v>
      </c>
      <c r="N198" s="1060" t="s">
        <v>1696</v>
      </c>
      <c r="O198" s="316"/>
      <c r="P198" s="1117" t="s">
        <v>211</v>
      </c>
      <c r="IU198" s="322"/>
      <c r="SQ198" s="322"/>
      <c r="ACM198" s="322"/>
      <c r="AMI198" s="322"/>
      <c r="AWE198" s="322"/>
      <c r="BGA198" s="322"/>
      <c r="BPW198" s="322"/>
      <c r="BZS198" s="322"/>
      <c r="CJO198" s="322"/>
      <c r="CTK198" s="322"/>
      <c r="DDG198" s="322"/>
      <c r="DNC198" s="322"/>
      <c r="DWY198" s="322"/>
      <c r="EGU198" s="322"/>
      <c r="EQQ198" s="322"/>
      <c r="FAM198" s="322"/>
      <c r="FKI198" s="322"/>
      <c r="FUE198" s="322"/>
      <c r="GEA198" s="322"/>
      <c r="GNW198" s="322"/>
      <c r="GXS198" s="322"/>
      <c r="HHO198" s="322"/>
      <c r="HRK198" s="322"/>
      <c r="IBG198" s="322"/>
      <c r="ILC198" s="322"/>
      <c r="IUY198" s="322"/>
      <c r="JEU198" s="322"/>
      <c r="JOQ198" s="322"/>
      <c r="JYM198" s="322"/>
      <c r="KII198" s="322"/>
      <c r="KSE198" s="322"/>
      <c r="LCA198" s="322"/>
      <c r="LLW198" s="322"/>
      <c r="LVS198" s="322"/>
      <c r="MFO198" s="322"/>
      <c r="MPK198" s="322"/>
      <c r="MZG198" s="322"/>
      <c r="NJC198" s="322"/>
      <c r="NSY198" s="322"/>
      <c r="OCU198" s="322"/>
      <c r="OMQ198" s="322"/>
      <c r="OWM198" s="322"/>
      <c r="PGI198" s="322"/>
      <c r="PQE198" s="322"/>
      <c r="QAA198" s="322"/>
      <c r="QJW198" s="322"/>
      <c r="QTS198" s="322"/>
      <c r="RDO198" s="322"/>
      <c r="RNK198" s="322"/>
      <c r="RXG198" s="322"/>
      <c r="SHC198" s="322"/>
      <c r="SQY198" s="322"/>
      <c r="TAU198" s="322"/>
      <c r="TKQ198" s="322"/>
      <c r="TUM198" s="322"/>
      <c r="UEI198" s="322"/>
      <c r="UOE198" s="322"/>
      <c r="UYA198" s="322"/>
      <c r="VHW198" s="322"/>
      <c r="VRS198" s="322"/>
      <c r="WBO198" s="322"/>
      <c r="WLK198" s="322"/>
      <c r="WVG198" s="322"/>
    </row>
    <row r="199" spans="1:1023 1279:2047 2303:3071 3327:4095 4351:5119 5375:6143 6399:7167 7423:8191 8447:9215 9471:10239 10495:11263 11519:12287 12543:13311 13567:14335 14591:15359 15615:16127" ht="14.5">
      <c r="A199" s="325">
        <f t="shared" si="7"/>
        <v>192</v>
      </c>
      <c r="B199" s="316" t="s">
        <v>741</v>
      </c>
      <c r="C199" s="316"/>
      <c r="D199" s="316" t="s">
        <v>182</v>
      </c>
      <c r="E199" s="316"/>
      <c r="F199" s="316"/>
      <c r="G199" s="316"/>
      <c r="H199" s="316"/>
      <c r="I199" s="316"/>
      <c r="J199" s="316"/>
      <c r="K199" s="845" t="s">
        <v>210</v>
      </c>
      <c r="L199" s="1008">
        <v>45905</v>
      </c>
      <c r="M199" s="1008">
        <v>45910</v>
      </c>
      <c r="N199" s="845" t="s">
        <v>1673</v>
      </c>
      <c r="O199" s="316"/>
      <c r="P199" s="1114" t="s">
        <v>211</v>
      </c>
    </row>
    <row r="200" spans="1:1023 1279:2047 2303:3071 3327:4095 4351:5119 5375:6143 6399:7167 7423:8191 8447:9215 9471:10239 10495:11263 11519:12287 12543:13311 13567:14335 14591:15359 15615:16127" ht="14.5">
      <c r="A200" s="325">
        <f t="shared" si="7"/>
        <v>193</v>
      </c>
      <c r="B200" s="325" t="s">
        <v>151</v>
      </c>
      <c r="C200" s="325"/>
      <c r="D200" s="316" t="s">
        <v>123</v>
      </c>
      <c r="E200" s="325"/>
      <c r="F200" s="325"/>
      <c r="G200" s="325"/>
      <c r="H200" s="325"/>
      <c r="I200" s="325"/>
      <c r="J200" s="325"/>
      <c r="K200" s="845" t="s">
        <v>210</v>
      </c>
      <c r="L200" s="1007">
        <v>45905</v>
      </c>
      <c r="M200" s="1008">
        <v>45912</v>
      </c>
      <c r="N200" s="845" t="s">
        <v>1570</v>
      </c>
      <c r="O200" s="316"/>
      <c r="P200" s="1114" t="s">
        <v>211</v>
      </c>
    </row>
    <row r="201" spans="1:1023 1279:2047 2303:3071 3327:4095 4351:5119 5375:6143 6399:7167 7423:8191 8447:9215 9471:10239 10495:11263 11519:12287 12543:13311 13567:14335 14591:15359 15615:16127" ht="14.5">
      <c r="A201" s="325">
        <f t="shared" si="7"/>
        <v>194</v>
      </c>
      <c r="B201" s="325" t="s">
        <v>160</v>
      </c>
      <c r="C201" s="325"/>
      <c r="D201" s="316" t="s">
        <v>132</v>
      </c>
      <c r="E201" s="325"/>
      <c r="F201" s="325"/>
      <c r="G201" s="325"/>
      <c r="H201" s="325"/>
      <c r="I201" s="325"/>
      <c r="J201" s="325"/>
      <c r="K201" s="845" t="s">
        <v>210</v>
      </c>
      <c r="L201" s="1007">
        <v>45904</v>
      </c>
      <c r="M201" s="1008">
        <v>45912</v>
      </c>
      <c r="N201" s="316" t="s">
        <v>1290</v>
      </c>
      <c r="O201" s="843"/>
      <c r="P201" s="1114" t="s">
        <v>211</v>
      </c>
    </row>
    <row r="202" spans="1:1023 1279:2047 2303:3071 3327:4095 4351:5119 5375:6143 6399:7167 7423:8191 8447:9215 9471:10239 10495:11263 11519:12287 12543:13311 13567:14335 14591:15359 15615:16127" ht="14.5">
      <c r="A202" s="325">
        <f t="shared" ref="A202:A234" si="8">A201+1</f>
        <v>195</v>
      </c>
      <c r="B202" s="325" t="s">
        <v>1706</v>
      </c>
      <c r="C202" s="325"/>
      <c r="D202" s="316" t="s">
        <v>1707</v>
      </c>
      <c r="E202" s="325"/>
      <c r="F202" s="325"/>
      <c r="G202" s="325"/>
      <c r="H202" s="325"/>
      <c r="I202" s="325"/>
      <c r="J202" s="325"/>
      <c r="K202" s="845" t="s">
        <v>210</v>
      </c>
      <c r="L202" s="1007">
        <v>45894</v>
      </c>
      <c r="M202" s="1008">
        <v>45914</v>
      </c>
      <c r="N202" s="845" t="s">
        <v>1697</v>
      </c>
      <c r="O202" s="433"/>
      <c r="P202" s="1114" t="s">
        <v>211</v>
      </c>
    </row>
    <row r="203" spans="1:1023 1279:2047 2303:3071 3327:4095 4351:5119 5375:6143 6399:7167 7423:8191 8447:9215 9471:10239 10495:11263 11519:12287 12543:13311 13567:14335 14591:15359 15615:16127" ht="14.5">
      <c r="A203" s="325">
        <f t="shared" si="8"/>
        <v>196</v>
      </c>
      <c r="B203" s="325" t="s">
        <v>1286</v>
      </c>
      <c r="C203" s="325"/>
      <c r="D203" s="316" t="s">
        <v>182</v>
      </c>
      <c r="E203" s="325"/>
      <c r="F203" s="325"/>
      <c r="G203" s="325"/>
      <c r="H203" s="325"/>
      <c r="I203" s="325"/>
      <c r="J203" s="325"/>
      <c r="K203" s="316" t="s">
        <v>210</v>
      </c>
      <c r="L203" s="1007">
        <v>45906</v>
      </c>
      <c r="M203" s="1008">
        <v>45914</v>
      </c>
      <c r="N203" s="325" t="s">
        <v>1499</v>
      </c>
      <c r="O203" s="433"/>
      <c r="P203" s="1114" t="s">
        <v>211</v>
      </c>
    </row>
    <row r="204" spans="1:1023 1279:2047 2303:3071 3327:4095 4351:5119 5375:6143 6399:7167 7423:8191 8447:9215 9471:10239 10495:11263 11519:12287 12543:13311 13567:14335 14591:15359 15615:16127" ht="14.5">
      <c r="A204" s="325">
        <f t="shared" si="8"/>
        <v>197</v>
      </c>
      <c r="B204" s="325" t="s">
        <v>1721</v>
      </c>
      <c r="C204" s="325"/>
      <c r="D204" s="316" t="s">
        <v>132</v>
      </c>
      <c r="E204" s="325"/>
      <c r="F204" s="325"/>
      <c r="G204" s="325"/>
      <c r="H204" s="325"/>
      <c r="I204" s="325"/>
      <c r="J204" s="325"/>
      <c r="K204" s="845" t="s">
        <v>210</v>
      </c>
      <c r="L204" s="1008">
        <v>45912</v>
      </c>
      <c r="M204" s="1007" t="s">
        <v>1725</v>
      </c>
      <c r="N204" s="845" t="s">
        <v>1570</v>
      </c>
      <c r="P204" s="1114" t="s">
        <v>211</v>
      </c>
    </row>
    <row r="205" spans="1:1023 1279:2047 2303:3071 3327:4095 4351:5119 5375:6143 6399:7167 7423:8191 8447:9215 9471:10239 10495:11263 11519:12287 12543:13311 13567:14335 14591:15359 15615:16127" ht="14.5">
      <c r="A205" s="325">
        <f t="shared" si="8"/>
        <v>198</v>
      </c>
      <c r="B205" s="316" t="s">
        <v>740</v>
      </c>
      <c r="C205" s="316"/>
      <c r="D205" s="316" t="s">
        <v>182</v>
      </c>
      <c r="E205" s="316"/>
      <c r="F205" s="316"/>
      <c r="G205" s="316"/>
      <c r="H205" s="316"/>
      <c r="I205" s="316"/>
      <c r="J205" s="316"/>
      <c r="K205" s="845" t="s">
        <v>210</v>
      </c>
      <c r="L205" s="1008">
        <v>45913</v>
      </c>
      <c r="M205" s="1008" t="s">
        <v>1726</v>
      </c>
      <c r="N205" s="316" t="s">
        <v>1673</v>
      </c>
      <c r="O205" s="433"/>
      <c r="P205" s="1114" t="s">
        <v>211</v>
      </c>
    </row>
    <row r="206" spans="1:1023 1279:2047 2303:3071 3327:4095 4351:5119 5375:6143 6399:7167 7423:8191 8447:9215 9471:10239 10495:11263 11519:12287 12543:13311 13567:14335 14591:15359 15615:16127" s="1112" customFormat="1" ht="14.5">
      <c r="A206" s="325">
        <f t="shared" si="8"/>
        <v>199</v>
      </c>
      <c r="B206" s="316" t="s">
        <v>324</v>
      </c>
      <c r="C206" s="316"/>
      <c r="D206" s="316" t="s">
        <v>132</v>
      </c>
      <c r="E206" s="843">
        <v>1.68</v>
      </c>
      <c r="F206" s="843">
        <v>12.41</v>
      </c>
      <c r="G206" s="843">
        <v>143.4</v>
      </c>
      <c r="H206" s="843">
        <v>1.728</v>
      </c>
      <c r="I206" s="843">
        <v>0.41399999999999998</v>
      </c>
      <c r="J206" s="316"/>
      <c r="K206" s="845" t="s">
        <v>210</v>
      </c>
      <c r="L206" s="1008">
        <v>45912</v>
      </c>
      <c r="M206" s="1008">
        <v>45920</v>
      </c>
      <c r="N206" s="845" t="s">
        <v>1696</v>
      </c>
      <c r="O206" s="322"/>
      <c r="P206" s="1114" t="s">
        <v>211</v>
      </c>
      <c r="IU206" s="322"/>
      <c r="SQ206" s="322"/>
      <c r="ACM206" s="322"/>
      <c r="AMI206" s="322"/>
      <c r="AWE206" s="322"/>
      <c r="BGA206" s="322"/>
      <c r="BPW206" s="322"/>
      <c r="BZS206" s="322"/>
      <c r="CJO206" s="322"/>
      <c r="CTK206" s="322"/>
      <c r="DDG206" s="322"/>
      <c r="DNC206" s="322"/>
      <c r="DWY206" s="322"/>
      <c r="EGU206" s="322"/>
      <c r="EQQ206" s="322"/>
      <c r="FAM206" s="322"/>
      <c r="FKI206" s="322"/>
      <c r="FUE206" s="322"/>
      <c r="GEA206" s="322"/>
      <c r="GNW206" s="322"/>
      <c r="GXS206" s="322"/>
      <c r="HHO206" s="322"/>
      <c r="HRK206" s="322"/>
      <c r="IBG206" s="322"/>
      <c r="ILC206" s="322"/>
      <c r="IUY206" s="322"/>
      <c r="JEU206" s="322"/>
      <c r="JOQ206" s="322"/>
      <c r="JYM206" s="322"/>
      <c r="KII206" s="322"/>
      <c r="KSE206" s="322"/>
      <c r="LCA206" s="322"/>
      <c r="LLW206" s="322"/>
      <c r="LVS206" s="322"/>
      <c r="MFO206" s="322"/>
      <c r="MPK206" s="322"/>
      <c r="MZG206" s="322"/>
      <c r="NJC206" s="322"/>
      <c r="NSY206" s="322"/>
      <c r="OCU206" s="322"/>
      <c r="OMQ206" s="322"/>
      <c r="OWM206" s="322"/>
      <c r="PGI206" s="322"/>
      <c r="PQE206" s="322"/>
      <c r="QAA206" s="322"/>
      <c r="QJW206" s="322"/>
      <c r="QTS206" s="322"/>
      <c r="RDO206" s="322"/>
      <c r="RNK206" s="322"/>
      <c r="RXG206" s="322"/>
      <c r="SHC206" s="322"/>
      <c r="SQY206" s="322"/>
      <c r="TAU206" s="322"/>
      <c r="TKQ206" s="322"/>
      <c r="TUM206" s="322"/>
      <c r="UEI206" s="322"/>
      <c r="UOE206" s="322"/>
      <c r="UYA206" s="322"/>
      <c r="VHW206" s="322"/>
      <c r="VRS206" s="322"/>
      <c r="WBO206" s="322"/>
      <c r="WLK206" s="322"/>
      <c r="WVG206" s="322"/>
    </row>
    <row r="207" spans="1:1023 1279:2047 2303:3071 3327:4095 4351:5119 5375:6143 6399:7167 7423:8191 8447:9215 9471:10239 10495:11263 11519:12287 12543:13311 13567:14335 14591:15359 15615:16127" ht="39">
      <c r="A207" s="325">
        <f t="shared" si="8"/>
        <v>200</v>
      </c>
      <c r="B207" s="325" t="s">
        <v>371</v>
      </c>
      <c r="C207" s="325"/>
      <c r="D207" s="904" t="s">
        <v>1674</v>
      </c>
      <c r="E207" s="325"/>
      <c r="F207" s="325"/>
      <c r="G207" s="325"/>
      <c r="H207" s="325"/>
      <c r="I207" s="325"/>
      <c r="J207" s="325"/>
      <c r="K207" s="845" t="s">
        <v>210</v>
      </c>
      <c r="L207" s="1007">
        <v>45881</v>
      </c>
      <c r="M207" s="1008" t="s">
        <v>1728</v>
      </c>
      <c r="N207" s="325" t="s">
        <v>1668</v>
      </c>
      <c r="O207" s="1107"/>
      <c r="P207" s="1114" t="s">
        <v>211</v>
      </c>
    </row>
    <row r="208" spans="1:1023 1279:2047 2303:3071 3327:4095 4351:5119 5375:6143 6399:7167 7423:8191 8447:9215 9471:10239 10495:11263 11519:12287 12543:13311 13567:14335 14591:15359 15615:16127" ht="14.5">
      <c r="A208" s="325">
        <f t="shared" si="8"/>
        <v>201</v>
      </c>
      <c r="B208" s="325" t="s">
        <v>1716</v>
      </c>
      <c r="C208" s="325"/>
      <c r="D208" s="316" t="s">
        <v>125</v>
      </c>
      <c r="E208" s="325"/>
      <c r="F208" s="325"/>
      <c r="G208" s="325"/>
      <c r="H208" s="325"/>
      <c r="I208" s="325"/>
      <c r="J208" s="325"/>
      <c r="K208" s="845" t="s">
        <v>210</v>
      </c>
      <c r="L208" s="1007">
        <v>45903</v>
      </c>
      <c r="M208" s="1008" t="s">
        <v>1729</v>
      </c>
      <c r="N208" s="325" t="s">
        <v>1614</v>
      </c>
      <c r="O208" s="433"/>
      <c r="P208" s="1114" t="s">
        <v>211</v>
      </c>
    </row>
    <row r="209" spans="1:16" ht="14.5">
      <c r="A209" s="325">
        <f t="shared" si="8"/>
        <v>202</v>
      </c>
      <c r="B209" s="316" t="s">
        <v>1727</v>
      </c>
      <c r="C209" s="316"/>
      <c r="D209" s="316" t="s">
        <v>143</v>
      </c>
      <c r="E209" s="316"/>
      <c r="F209" s="316"/>
      <c r="G209" s="316"/>
      <c r="H209" s="316"/>
      <c r="I209" s="316"/>
      <c r="J209" s="316"/>
      <c r="K209" s="316" t="s">
        <v>210</v>
      </c>
      <c r="L209" s="1008">
        <v>45921</v>
      </c>
      <c r="M209" s="1008">
        <v>45925</v>
      </c>
      <c r="N209" s="316" t="s">
        <v>1570</v>
      </c>
      <c r="P209" s="1114" t="s">
        <v>211</v>
      </c>
    </row>
    <row r="210" spans="1:16" ht="14.5">
      <c r="A210" s="325">
        <f t="shared" si="8"/>
        <v>203</v>
      </c>
      <c r="B210" s="325" t="s">
        <v>761</v>
      </c>
      <c r="C210" s="325"/>
      <c r="D210" s="325" t="s">
        <v>182</v>
      </c>
      <c r="E210" s="325"/>
      <c r="F210" s="325"/>
      <c r="G210" s="325"/>
      <c r="H210" s="325"/>
      <c r="I210" s="325"/>
      <c r="J210" s="325"/>
      <c r="K210" s="845" t="s">
        <v>210</v>
      </c>
      <c r="L210" s="1007">
        <v>45904</v>
      </c>
      <c r="M210" s="1008">
        <v>45925</v>
      </c>
      <c r="N210" s="325" t="s">
        <v>1575</v>
      </c>
      <c r="O210" s="433"/>
      <c r="P210" s="1114" t="s">
        <v>211</v>
      </c>
    </row>
    <row r="211" spans="1:16" ht="19.5" customHeight="1">
      <c r="A211" s="325">
        <f t="shared" si="8"/>
        <v>204</v>
      </c>
      <c r="B211" s="1118" t="s">
        <v>197</v>
      </c>
      <c r="C211" s="845"/>
      <c r="D211" s="845" t="s">
        <v>117</v>
      </c>
      <c r="E211" s="845"/>
      <c r="F211" s="845"/>
      <c r="G211" s="845"/>
      <c r="H211" s="845"/>
      <c r="I211" s="845"/>
      <c r="J211" s="845"/>
      <c r="K211" s="845" t="s">
        <v>292</v>
      </c>
      <c r="L211" s="1017">
        <v>45917</v>
      </c>
      <c r="M211" s="1017">
        <v>45930</v>
      </c>
      <c r="N211" s="1098" t="s">
        <v>1698</v>
      </c>
      <c r="O211" s="1108"/>
      <c r="P211" s="1114" t="s">
        <v>211</v>
      </c>
    </row>
    <row r="212" spans="1:16" ht="14.5">
      <c r="A212" s="325">
        <f t="shared" si="8"/>
        <v>205</v>
      </c>
      <c r="B212" s="325" t="s">
        <v>179</v>
      </c>
      <c r="C212" s="325"/>
      <c r="D212" s="316" t="s">
        <v>115</v>
      </c>
      <c r="E212" s="325"/>
      <c r="F212" s="325"/>
      <c r="G212" s="325"/>
      <c r="H212" s="325"/>
      <c r="I212" s="325"/>
      <c r="J212" s="325"/>
      <c r="K212" s="845" t="s">
        <v>210</v>
      </c>
      <c r="L212" s="1007">
        <v>37510</v>
      </c>
      <c r="M212" s="1017">
        <v>45930</v>
      </c>
      <c r="N212" s="325" t="s">
        <v>1575</v>
      </c>
      <c r="O212" s="433"/>
      <c r="P212" s="1114" t="s">
        <v>211</v>
      </c>
    </row>
    <row r="213" spans="1:16" ht="19.5" customHeight="1">
      <c r="A213" s="325">
        <f t="shared" si="8"/>
        <v>206</v>
      </c>
      <c r="B213" s="316" t="s">
        <v>864</v>
      </c>
      <c r="C213" s="316"/>
      <c r="D213" s="316" t="s">
        <v>115</v>
      </c>
      <c r="E213" s="316"/>
      <c r="F213" s="316"/>
      <c r="G213" s="316"/>
      <c r="H213" s="316"/>
      <c r="I213" s="316"/>
      <c r="J213" s="316"/>
      <c r="K213" s="316" t="s">
        <v>210</v>
      </c>
      <c r="L213" s="1008">
        <v>45922</v>
      </c>
      <c r="M213" s="1017">
        <v>45930</v>
      </c>
      <c r="N213" s="316" t="s">
        <v>1673</v>
      </c>
      <c r="O213" s="433"/>
      <c r="P213" s="1114" t="s">
        <v>211</v>
      </c>
    </row>
    <row r="214" spans="1:16" ht="22" customHeight="1">
      <c r="A214" s="325">
        <f t="shared" si="8"/>
        <v>207</v>
      </c>
      <c r="B214" s="325" t="s">
        <v>1731</v>
      </c>
      <c r="C214" s="325"/>
      <c r="D214" s="316" t="s">
        <v>119</v>
      </c>
      <c r="E214" s="325"/>
      <c r="F214" s="325"/>
      <c r="G214" s="325"/>
      <c r="H214" s="325"/>
      <c r="I214" s="325"/>
      <c r="J214" s="325"/>
      <c r="K214" s="316" t="s">
        <v>292</v>
      </c>
      <c r="L214" s="1007">
        <v>45922</v>
      </c>
      <c r="M214" s="1008">
        <v>45930</v>
      </c>
      <c r="N214" s="325" t="s">
        <v>1614</v>
      </c>
      <c r="O214" s="316"/>
      <c r="P214" s="1088" t="s">
        <v>211</v>
      </c>
    </row>
    <row r="215" spans="1:16" ht="14.5">
      <c r="A215" s="325">
        <f t="shared" si="8"/>
        <v>208</v>
      </c>
      <c r="B215" s="325" t="s">
        <v>775</v>
      </c>
      <c r="C215" s="325"/>
      <c r="D215" s="316" t="s">
        <v>182</v>
      </c>
      <c r="E215" s="325"/>
      <c r="F215" s="325"/>
      <c r="G215" s="325"/>
      <c r="H215" s="325"/>
      <c r="I215" s="325"/>
      <c r="J215" s="325"/>
      <c r="K215" s="316" t="s">
        <v>210</v>
      </c>
      <c r="L215" s="1007">
        <v>45931</v>
      </c>
      <c r="M215" s="1008">
        <v>45941</v>
      </c>
      <c r="N215" s="325" t="s">
        <v>1575</v>
      </c>
      <c r="O215" s="316"/>
      <c r="P215" s="1088" t="s">
        <v>211</v>
      </c>
    </row>
    <row r="216" spans="1:16" ht="14.5">
      <c r="A216" s="325">
        <f t="shared" si="8"/>
        <v>209</v>
      </c>
      <c r="B216" s="325" t="s">
        <v>1367</v>
      </c>
      <c r="C216" s="316"/>
      <c r="D216" s="325" t="s">
        <v>132</v>
      </c>
      <c r="E216" s="316"/>
      <c r="F216" s="316"/>
      <c r="G216" s="316"/>
      <c r="H216" s="316"/>
      <c r="I216" s="316"/>
      <c r="J216" s="316"/>
      <c r="K216" s="325" t="s">
        <v>292</v>
      </c>
      <c r="L216" s="1007">
        <v>45931</v>
      </c>
      <c r="M216" s="1007">
        <v>45943</v>
      </c>
      <c r="N216" s="1064" t="s">
        <v>1673</v>
      </c>
      <c r="O216" s="316"/>
      <c r="P216" s="1088" t="s">
        <v>211</v>
      </c>
    </row>
    <row r="217" spans="1:16" ht="13.5" customHeight="1">
      <c r="A217" s="325">
        <f t="shared" si="8"/>
        <v>210</v>
      </c>
      <c r="B217" s="325" t="s">
        <v>776</v>
      </c>
      <c r="C217" s="325"/>
      <c r="D217" s="316" t="s">
        <v>185</v>
      </c>
      <c r="E217" s="325"/>
      <c r="F217" s="325"/>
      <c r="G217" s="325"/>
      <c r="H217" s="325"/>
      <c r="I217" s="325"/>
      <c r="J217" s="325"/>
      <c r="K217" s="316" t="s">
        <v>210</v>
      </c>
      <c r="L217" s="1007">
        <v>45940</v>
      </c>
      <c r="M217" s="1008">
        <v>45946</v>
      </c>
      <c r="N217" s="325" t="s">
        <v>1575</v>
      </c>
      <c r="O217" s="316"/>
      <c r="P217" s="1088" t="s">
        <v>211</v>
      </c>
    </row>
    <row r="218" spans="1:16" ht="14.5">
      <c r="A218" s="325">
        <f t="shared" si="8"/>
        <v>211</v>
      </c>
      <c r="B218" s="325" t="s">
        <v>288</v>
      </c>
      <c r="C218" s="325"/>
      <c r="D218" s="316" t="s">
        <v>182</v>
      </c>
      <c r="E218" s="325"/>
      <c r="F218" s="325"/>
      <c r="G218" s="325"/>
      <c r="H218" s="325"/>
      <c r="I218" s="325"/>
      <c r="J218" s="325"/>
      <c r="K218" s="316" t="s">
        <v>210</v>
      </c>
      <c r="L218" s="1007">
        <v>45934</v>
      </c>
      <c r="M218" s="1008">
        <v>45946</v>
      </c>
      <c r="N218" s="316" t="s">
        <v>1290</v>
      </c>
      <c r="O218" s="843"/>
      <c r="P218" s="1088" t="s">
        <v>211</v>
      </c>
    </row>
    <row r="219" spans="1:16" ht="14.5">
      <c r="A219" s="325">
        <f t="shared" si="8"/>
        <v>212</v>
      </c>
      <c r="B219" s="325" t="s">
        <v>1304</v>
      </c>
      <c r="C219" s="325"/>
      <c r="D219" s="316" t="s">
        <v>128</v>
      </c>
      <c r="E219" s="325"/>
      <c r="F219" s="325"/>
      <c r="G219" s="325"/>
      <c r="H219" s="325"/>
      <c r="I219" s="325"/>
      <c r="J219" s="325"/>
      <c r="K219" s="316" t="s">
        <v>210</v>
      </c>
      <c r="L219" s="1007">
        <v>45940</v>
      </c>
      <c r="M219" s="1008">
        <v>45949</v>
      </c>
      <c r="N219" s="1064" t="s">
        <v>1754</v>
      </c>
      <c r="O219" s="843"/>
      <c r="P219" s="1088" t="s">
        <v>211</v>
      </c>
    </row>
    <row r="220" spans="1:16" ht="14.5">
      <c r="A220" s="325">
        <f t="shared" si="8"/>
        <v>213</v>
      </c>
      <c r="B220" s="316" t="s">
        <v>195</v>
      </c>
      <c r="C220" s="316"/>
      <c r="D220" s="316" t="s">
        <v>147</v>
      </c>
      <c r="E220" s="316"/>
      <c r="F220" s="316"/>
      <c r="G220" s="316"/>
      <c r="H220" s="316"/>
      <c r="I220" s="316"/>
      <c r="J220" s="316"/>
      <c r="K220" s="316" t="s">
        <v>292</v>
      </c>
      <c r="L220" s="1008">
        <v>45944</v>
      </c>
      <c r="M220" s="1008">
        <v>45949</v>
      </c>
      <c r="N220" s="1064" t="s">
        <v>1673</v>
      </c>
      <c r="O220" s="316"/>
      <c r="P220" s="1088" t="s">
        <v>211</v>
      </c>
    </row>
    <row r="221" spans="1:16" ht="14.5">
      <c r="A221" s="325">
        <f t="shared" si="8"/>
        <v>214</v>
      </c>
      <c r="B221" s="325" t="s">
        <v>368</v>
      </c>
      <c r="C221" s="325"/>
      <c r="D221" s="904" t="s">
        <v>182</v>
      </c>
      <c r="E221" s="325"/>
      <c r="F221" s="325"/>
      <c r="G221" s="325"/>
      <c r="H221" s="325"/>
      <c r="I221" s="325"/>
      <c r="J221" s="325"/>
      <c r="K221" s="316" t="s">
        <v>210</v>
      </c>
      <c r="L221" s="1007">
        <v>45946</v>
      </c>
      <c r="M221" s="1008">
        <v>45960</v>
      </c>
      <c r="N221" s="316" t="s">
        <v>1290</v>
      </c>
      <c r="O221" s="843"/>
      <c r="P221" s="1088" t="s">
        <v>211</v>
      </c>
    </row>
    <row r="222" spans="1:16" ht="14.5">
      <c r="A222" s="325">
        <f t="shared" si="8"/>
        <v>215</v>
      </c>
      <c r="B222" s="1064" t="s">
        <v>1758</v>
      </c>
      <c r="C222" s="316"/>
      <c r="D222" s="316" t="s">
        <v>242</v>
      </c>
      <c r="E222" s="316"/>
      <c r="F222" s="316"/>
      <c r="G222" s="316"/>
      <c r="H222" s="316"/>
      <c r="I222" s="316"/>
      <c r="J222" s="316"/>
      <c r="K222" s="316" t="s">
        <v>210</v>
      </c>
      <c r="L222" s="1008">
        <v>45945</v>
      </c>
      <c r="M222" s="316" t="s">
        <v>1813</v>
      </c>
      <c r="N222" s="316" t="s">
        <v>1575</v>
      </c>
      <c r="O222" s="316"/>
      <c r="P222" s="1088" t="s">
        <v>211</v>
      </c>
    </row>
    <row r="223" spans="1:16" ht="14.5">
      <c r="A223" s="325">
        <f t="shared" si="8"/>
        <v>216</v>
      </c>
      <c r="B223" s="1064" t="s">
        <v>1759</v>
      </c>
      <c r="C223" s="316"/>
      <c r="D223" s="316" t="s">
        <v>119</v>
      </c>
      <c r="E223" s="316"/>
      <c r="F223" s="316"/>
      <c r="G223" s="316"/>
      <c r="H223" s="316"/>
      <c r="I223" s="316"/>
      <c r="J223" s="316"/>
      <c r="K223" s="316" t="s">
        <v>292</v>
      </c>
      <c r="L223" s="1008">
        <v>45946</v>
      </c>
      <c r="M223" s="1008">
        <v>45965</v>
      </c>
      <c r="N223" s="316" t="s">
        <v>232</v>
      </c>
      <c r="O223" s="316"/>
      <c r="P223" s="1088" t="s">
        <v>211</v>
      </c>
    </row>
    <row r="224" spans="1:16" ht="14.5">
      <c r="A224" s="325">
        <f t="shared" si="8"/>
        <v>217</v>
      </c>
      <c r="B224" s="316" t="s">
        <v>369</v>
      </c>
      <c r="C224" s="316"/>
      <c r="D224" s="316" t="s">
        <v>182</v>
      </c>
      <c r="E224" s="316"/>
      <c r="F224" s="316"/>
      <c r="G224" s="316"/>
      <c r="H224" s="316"/>
      <c r="I224" s="316"/>
      <c r="J224" s="316"/>
      <c r="K224" s="316" t="s">
        <v>210</v>
      </c>
      <c r="L224" s="1008">
        <v>45959</v>
      </c>
      <c r="M224" s="1008">
        <v>45968</v>
      </c>
      <c r="N224" s="1064" t="s">
        <v>1290</v>
      </c>
      <c r="O224" s="316"/>
      <c r="P224" s="1088" t="s">
        <v>211</v>
      </c>
    </row>
    <row r="225" spans="1:16" ht="14.5">
      <c r="A225" s="325">
        <f t="shared" si="8"/>
        <v>218</v>
      </c>
      <c r="B225" s="325" t="s">
        <v>383</v>
      </c>
      <c r="C225" s="316"/>
      <c r="D225" s="325" t="s">
        <v>185</v>
      </c>
      <c r="E225" s="316"/>
      <c r="F225" s="316"/>
      <c r="G225" s="316"/>
      <c r="H225" s="316"/>
      <c r="I225" s="316"/>
      <c r="J225" s="316"/>
      <c r="K225" s="316" t="s">
        <v>210</v>
      </c>
      <c r="L225" s="1007">
        <v>45957</v>
      </c>
      <c r="M225" s="1008">
        <v>45969</v>
      </c>
      <c r="N225" s="1064" t="s">
        <v>1570</v>
      </c>
      <c r="O225" s="316"/>
      <c r="P225" s="1088" t="s">
        <v>211</v>
      </c>
    </row>
    <row r="226" spans="1:16" ht="14.5">
      <c r="A226" s="325">
        <f t="shared" si="8"/>
        <v>219</v>
      </c>
      <c r="B226" s="316" t="s">
        <v>196</v>
      </c>
      <c r="C226" s="316"/>
      <c r="D226" s="316" t="s">
        <v>147</v>
      </c>
      <c r="E226" s="316"/>
      <c r="F226" s="316"/>
      <c r="G226" s="316"/>
      <c r="H226" s="316"/>
      <c r="I226" s="316"/>
      <c r="J226" s="316"/>
      <c r="K226" s="316" t="s">
        <v>292</v>
      </c>
      <c r="L226" s="1008">
        <v>45959</v>
      </c>
      <c r="M226" s="1008">
        <v>45969</v>
      </c>
      <c r="N226" s="1064" t="s">
        <v>1673</v>
      </c>
      <c r="O226" s="316"/>
      <c r="P226" s="1088" t="s">
        <v>211</v>
      </c>
    </row>
    <row r="227" spans="1:16" ht="39">
      <c r="A227" s="325">
        <f t="shared" si="8"/>
        <v>220</v>
      </c>
      <c r="B227" s="325" t="s">
        <v>1105</v>
      </c>
      <c r="C227" s="325"/>
      <c r="D227" s="1082" t="s">
        <v>125</v>
      </c>
      <c r="E227" s="325"/>
      <c r="F227" s="325"/>
      <c r="G227" s="325"/>
      <c r="H227" s="325"/>
      <c r="I227" s="325"/>
      <c r="J227" s="325"/>
      <c r="K227" s="316" t="s">
        <v>210</v>
      </c>
      <c r="L227" s="1007">
        <v>45926</v>
      </c>
      <c r="M227" s="1008"/>
      <c r="N227" s="325" t="s">
        <v>1668</v>
      </c>
      <c r="O227" s="843"/>
      <c r="P227" s="1368" t="s">
        <v>1881</v>
      </c>
    </row>
    <row r="228" spans="1:16" ht="26">
      <c r="A228" s="325">
        <f t="shared" si="8"/>
        <v>221</v>
      </c>
      <c r="B228" s="316" t="s">
        <v>156</v>
      </c>
      <c r="C228" s="316"/>
      <c r="D228" s="316" t="s">
        <v>182</v>
      </c>
      <c r="E228" s="316"/>
      <c r="F228" s="316"/>
      <c r="G228" s="316"/>
      <c r="H228" s="316"/>
      <c r="I228" s="316"/>
      <c r="J228" s="316"/>
      <c r="K228" s="316" t="s">
        <v>210</v>
      </c>
      <c r="L228" s="1008">
        <v>45969</v>
      </c>
      <c r="M228" s="1008"/>
      <c r="N228" s="1064" t="s">
        <v>1290</v>
      </c>
      <c r="O228" s="316"/>
      <c r="P228" s="1359" t="s">
        <v>1882</v>
      </c>
    </row>
    <row r="229" spans="1:16">
      <c r="A229" s="325">
        <f t="shared" si="8"/>
        <v>222</v>
      </c>
      <c r="B229" s="325" t="s">
        <v>267</v>
      </c>
      <c r="C229" s="316"/>
      <c r="D229" s="325" t="s">
        <v>182</v>
      </c>
      <c r="E229" s="316"/>
      <c r="F229" s="316"/>
      <c r="G229" s="316"/>
      <c r="H229" s="316"/>
      <c r="I229" s="316"/>
      <c r="J229" s="316"/>
      <c r="K229" s="316" t="s">
        <v>210</v>
      </c>
      <c r="L229" s="1007">
        <v>45959</v>
      </c>
      <c r="M229" s="316"/>
      <c r="N229" s="1064" t="s">
        <v>1570</v>
      </c>
      <c r="O229" s="316"/>
      <c r="P229" s="373" t="s">
        <v>1884</v>
      </c>
    </row>
    <row r="230" spans="1:16" ht="26">
      <c r="A230" s="325">
        <f t="shared" si="8"/>
        <v>223</v>
      </c>
      <c r="B230" s="316" t="s">
        <v>1816</v>
      </c>
      <c r="C230" s="316"/>
      <c r="D230" s="316" t="s">
        <v>115</v>
      </c>
      <c r="E230" s="316"/>
      <c r="F230" s="316"/>
      <c r="G230" s="316"/>
      <c r="H230" s="316"/>
      <c r="I230" s="316"/>
      <c r="J230" s="316"/>
      <c r="K230" s="316" t="s">
        <v>210</v>
      </c>
      <c r="L230" s="1008">
        <v>45965</v>
      </c>
      <c r="M230" s="316"/>
      <c r="N230" s="316" t="s">
        <v>254</v>
      </c>
      <c r="O230" s="316"/>
      <c r="P230" s="1359" t="s">
        <v>1885</v>
      </c>
    </row>
    <row r="231" spans="1:16" ht="39">
      <c r="A231" s="325">
        <f t="shared" si="8"/>
        <v>224</v>
      </c>
      <c r="B231" s="316" t="s">
        <v>1814</v>
      </c>
      <c r="C231" s="316"/>
      <c r="D231" s="316" t="s">
        <v>125</v>
      </c>
      <c r="E231" s="316"/>
      <c r="F231" s="316"/>
      <c r="G231" s="316"/>
      <c r="H231" s="316"/>
      <c r="I231" s="316"/>
      <c r="J231" s="316"/>
      <c r="K231" s="316" t="s">
        <v>210</v>
      </c>
      <c r="L231" s="1008">
        <v>45961</v>
      </c>
      <c r="M231" s="1008"/>
      <c r="N231" s="1064" t="s">
        <v>1570</v>
      </c>
      <c r="O231" s="316"/>
      <c r="P231" s="1359" t="s">
        <v>1883</v>
      </c>
    </row>
    <row r="232" spans="1:16" ht="26">
      <c r="A232" s="325">
        <f t="shared" si="8"/>
        <v>225</v>
      </c>
      <c r="B232" s="316" t="s">
        <v>199</v>
      </c>
      <c r="C232" s="316"/>
      <c r="D232" s="316" t="s">
        <v>125</v>
      </c>
      <c r="E232" s="316"/>
      <c r="F232" s="316"/>
      <c r="G232" s="316"/>
      <c r="H232" s="316"/>
      <c r="I232" s="316"/>
      <c r="J232" s="316"/>
      <c r="K232" s="316" t="s">
        <v>292</v>
      </c>
      <c r="L232" s="1008">
        <v>45964</v>
      </c>
      <c r="M232" s="1008"/>
      <c r="N232" s="1064" t="s">
        <v>1673</v>
      </c>
      <c r="O232" s="316"/>
      <c r="P232" s="1359" t="s">
        <v>1877</v>
      </c>
    </row>
    <row r="233" spans="1:16" ht="26">
      <c r="A233" s="325">
        <f t="shared" si="8"/>
        <v>226</v>
      </c>
      <c r="B233" s="316" t="s">
        <v>747</v>
      </c>
      <c r="C233" s="316"/>
      <c r="D233" s="316" t="s">
        <v>248</v>
      </c>
      <c r="E233" s="316"/>
      <c r="F233" s="316"/>
      <c r="G233" s="316"/>
      <c r="H233" s="316"/>
      <c r="I233" s="316"/>
      <c r="J233" s="316"/>
      <c r="K233" s="316" t="s">
        <v>210</v>
      </c>
      <c r="L233" s="1008"/>
      <c r="M233" s="316"/>
      <c r="N233" s="316" t="s">
        <v>1575</v>
      </c>
      <c r="O233" s="316"/>
      <c r="P233" s="904" t="s">
        <v>1815</v>
      </c>
    </row>
    <row r="234" spans="1:16" ht="39">
      <c r="A234" s="325">
        <f t="shared" si="8"/>
        <v>227</v>
      </c>
      <c r="B234" s="316" t="s">
        <v>786</v>
      </c>
      <c r="C234" s="316"/>
      <c r="D234" s="316" t="s">
        <v>185</v>
      </c>
      <c r="E234" s="316"/>
      <c r="F234" s="316"/>
      <c r="G234" s="316"/>
      <c r="H234" s="316"/>
      <c r="I234" s="316"/>
      <c r="J234" s="316"/>
      <c r="K234" s="316" t="s">
        <v>210</v>
      </c>
      <c r="L234" s="1008">
        <v>45967</v>
      </c>
      <c r="M234" s="316"/>
      <c r="N234" s="316" t="s">
        <v>1575</v>
      </c>
      <c r="O234" s="316"/>
      <c r="P234" s="1359" t="s">
        <v>1886</v>
      </c>
    </row>
    <row r="311" spans="29:29">
      <c r="AC311" s="322">
        <v>185</v>
      </c>
    </row>
    <row r="312" spans="29:29">
      <c r="AC312" s="322">
        <v>5</v>
      </c>
    </row>
  </sheetData>
  <autoFilter ref="A8:P234" xr:uid="{00000000-0001-0000-0700-000000000000}"/>
  <mergeCells count="15">
    <mergeCell ref="A1:AH1"/>
    <mergeCell ref="A2:AH2"/>
    <mergeCell ref="A3:AH3"/>
    <mergeCell ref="L6:O6"/>
    <mergeCell ref="A6:A7"/>
    <mergeCell ref="B6:B7"/>
    <mergeCell ref="C6:C7"/>
    <mergeCell ref="D6:D7"/>
    <mergeCell ref="J6:J7"/>
    <mergeCell ref="K6:K7"/>
    <mergeCell ref="E6:E7"/>
    <mergeCell ref="F6:F7"/>
    <mergeCell ref="G6:G7"/>
    <mergeCell ref="H6:H7"/>
    <mergeCell ref="I6:I7"/>
  </mergeCells>
  <phoneticPr fontId="203" type="noConversion"/>
  <conditionalFormatting sqref="B10:B30 B6:B7">
    <cfRule type="duplicateValues" dxfId="3389" priority="229"/>
  </conditionalFormatting>
  <conditionalFormatting sqref="B76">
    <cfRule type="duplicateValues" dxfId="3388" priority="47"/>
    <cfRule type="duplicateValues" dxfId="3387" priority="48"/>
    <cfRule type="duplicateValues" dxfId="3386" priority="49" stopIfTrue="1"/>
  </conditionalFormatting>
  <conditionalFormatting sqref="B121">
    <cfRule type="duplicateValues" dxfId="3385" priority="44"/>
    <cfRule type="duplicateValues" dxfId="3384" priority="43"/>
    <cfRule type="duplicateValues" dxfId="3383" priority="45" stopIfTrue="1"/>
  </conditionalFormatting>
  <conditionalFormatting sqref="B142">
    <cfRule type="duplicateValues" dxfId="3382" priority="36"/>
    <cfRule type="duplicateValues" dxfId="3381" priority="37"/>
    <cfRule type="duplicateValues" dxfId="3380" priority="38" stopIfTrue="1"/>
  </conditionalFormatting>
  <conditionalFormatting sqref="B143">
    <cfRule type="duplicateValues" dxfId="3379" priority="33" stopIfTrue="1"/>
    <cfRule type="duplicateValues" dxfId="3378" priority="34"/>
    <cfRule type="duplicateValues" dxfId="3377" priority="35"/>
  </conditionalFormatting>
  <conditionalFormatting sqref="B162">
    <cfRule type="duplicateValues" dxfId="3376" priority="40"/>
    <cfRule type="duplicateValues" dxfId="3375" priority="41"/>
    <cfRule type="duplicateValues" dxfId="3374" priority="42" stopIfTrue="1"/>
  </conditionalFormatting>
  <conditionalFormatting sqref="B193 B191">
    <cfRule type="duplicateValues" dxfId="3373" priority="5393" stopIfTrue="1"/>
    <cfRule type="duplicateValues" dxfId="3372" priority="5392"/>
    <cfRule type="duplicateValues" dxfId="3371" priority="5391"/>
  </conditionalFormatting>
  <conditionalFormatting sqref="B197 B195">
    <cfRule type="duplicateValues" dxfId="3370" priority="22"/>
    <cfRule type="duplicateValues" dxfId="3369" priority="23"/>
  </conditionalFormatting>
  <conditionalFormatting sqref="B209">
    <cfRule type="duplicateValues" dxfId="3368" priority="7415"/>
    <cfRule type="duplicateValues" dxfId="3367" priority="7414"/>
    <cfRule type="duplicateValues" dxfId="3366" priority="7416" stopIfTrue="1"/>
  </conditionalFormatting>
  <conditionalFormatting sqref="B211">
    <cfRule type="duplicateValues" dxfId="3365" priority="10"/>
    <cfRule type="duplicateValues" dxfId="3364" priority="9"/>
  </conditionalFormatting>
  <conditionalFormatting sqref="B220 N205 B189 B144 B77:B99 B6:B7 B101 B103 B105:B108 B111:B113 B10:B75 B115:B120 B122:B128 B131:B133 B135:B138 B140:B141 B146:B149 B151:B152 B155:B157 B159:B160 B163:B165 B168:B171 B175:B182 B186:B187 B192 B184 B196 M204 N203 B198:C208 E199:J205 N207:N208 N210 B210:C210 E210:J210 J198 E207:J208 J206 N212:N215 N217 B212:C217 E212:J217 B228:B65247 B224:B226">
    <cfRule type="duplicateValues" dxfId="3363" priority="7461" stopIfTrue="1"/>
  </conditionalFormatting>
  <conditionalFormatting sqref="B228:B1048576 B224:B226 B220 N205 B189 B144 B77:B99 B6:B7 B101 B103 B105:B108 B111:B113 B115:B120 B122:B128 B10:B75 B131:B133 B135:B138 B140:B141 B146:B149 B151:B152 B155:B157 B159:B160 B163:B165 B168:B171 B175:B182 B186:B187 B192 B184 B196 M204 N203 B198:C208 E199:J205 N207:N208 N210 B210:C210 E210:J210 J198 E207:J208 J206 N212:N215 N217 B212:C217 E212:J217">
    <cfRule type="duplicateValues" dxfId="3362" priority="7318"/>
  </conditionalFormatting>
  <conditionalFormatting sqref="B228:B1048576 B224:B226 B220 N205 B189 B144 B77:B99 B101 B103 B105:B108 B111:B113 B115:B120 B122:B128 B1:B75 B131:B133 B135:B138 B140:B141 B146:B149 B151:B152 B155:B157 B159:B160 B163:B165 B168:B171 B175:B182 B186:B187 B192 B184 B196 M204 N203 B198:C208 E199:J205 N207:N208 N210 B210:C210 E210:J210 J198 E207:J208 J206 N212:N215 N217 B212:C217 E212:J217">
    <cfRule type="duplicateValues" dxfId="3361" priority="7364"/>
  </conditionalFormatting>
  <conditionalFormatting sqref="B218:C219 E218:J219">
    <cfRule type="duplicateValues" dxfId="3360" priority="11353"/>
    <cfRule type="duplicateValues" dxfId="3359" priority="11351" stopIfTrue="1"/>
    <cfRule type="duplicateValues" dxfId="3358" priority="11352"/>
  </conditionalFormatting>
  <conditionalFormatting sqref="B221:C221 B227:C227 E221:J221 E227:J227 N227">
    <cfRule type="duplicateValues" dxfId="3357" priority="7630" stopIfTrue="1"/>
    <cfRule type="duplicateValues" dxfId="3356" priority="7631"/>
    <cfRule type="duplicateValues" dxfId="3355" priority="7632"/>
  </conditionalFormatting>
  <conditionalFormatting sqref="C8:C9">
    <cfRule type="duplicateValues" dxfId="3354" priority="77"/>
    <cfRule type="duplicateValues" dxfId="3353" priority="78" stopIfTrue="1"/>
    <cfRule type="duplicateValues" dxfId="3352" priority="76"/>
  </conditionalFormatting>
  <conditionalFormatting sqref="C29 J29 O29">
    <cfRule type="duplicateValues" dxfId="3351" priority="60" stopIfTrue="1"/>
    <cfRule type="duplicateValues" dxfId="3350" priority="59"/>
    <cfRule type="duplicateValues" dxfId="3349" priority="58"/>
  </conditionalFormatting>
  <conditionalFormatting sqref="D9 J9:K9">
    <cfRule type="duplicateValues" dxfId="3348" priority="73"/>
    <cfRule type="duplicateValues" dxfId="3347" priority="74"/>
    <cfRule type="duplicateValues" dxfId="3346" priority="75" stopIfTrue="1"/>
  </conditionalFormatting>
  <conditionalFormatting sqref="D14">
    <cfRule type="duplicateValues" dxfId="3345" priority="66" stopIfTrue="1"/>
    <cfRule type="duplicateValues" dxfId="3344" priority="65"/>
    <cfRule type="duplicateValues" dxfId="3343" priority="64"/>
  </conditionalFormatting>
  <conditionalFormatting sqref="D15">
    <cfRule type="duplicateValues" dxfId="3342" priority="63" stopIfTrue="1"/>
    <cfRule type="duplicateValues" dxfId="3341" priority="62"/>
    <cfRule type="duplicateValues" dxfId="3340" priority="61"/>
  </conditionalFormatting>
  <conditionalFormatting sqref="D20">
    <cfRule type="duplicateValues" dxfId="3339" priority="150"/>
    <cfRule type="duplicateValues" dxfId="3338" priority="151"/>
    <cfRule type="duplicateValues" dxfId="3337" priority="152" stopIfTrue="1"/>
  </conditionalFormatting>
  <conditionalFormatting sqref="N227 B220 B211 N205 B1:B197 M204 N203 B198:C208 E199:J205 N207:N208 B209 N210 B210:C210 E210:J210 J198 E207:J208 J206 N212:N215 N217 B212:C219 B221:C221 B227:C227 E212:J219 E221:J221 E227:J227 B228:B1048576 B224:B226">
    <cfRule type="duplicateValues" dxfId="3336" priority="7220"/>
  </conditionalFormatting>
  <conditionalFormatting sqref="N227 B220 N205 B189 B1:B128 B130:B133 B135:B157 B159:B165 B168:B171 B173 B175:B182 B186:B187 B184 B191:B193 B196 M204 N203 B198:C208 E199:J205 N207:N208 B209 N210 B210:C210 E210:J210 J198 E207:J208 J206 N212:N215 N217 B212:C219 B221:C221 B227:C227 E212:J219 E221:J221 E227:J227 B228:B1048576 B224:B226">
    <cfRule type="duplicateValues" dxfId="3335" priority="7246"/>
    <cfRule type="duplicateValues" dxfId="3334" priority="7247"/>
  </conditionalFormatting>
  <dataValidations count="1">
    <dataValidation type="list" allowBlank="1" showInputMessage="1" showErrorMessage="1" sqref="C65304:C65312 C130840:C130848 C196376:C196384 C261912:C261920 C327448:C327456 C392984:C392992 C458520:C458528 C524056:C524064 C589592:C589600 C655128:C655136 C720664:C720672 C786200:C786208 C851736:C851744 C917272:C917280 C982808:C982816 IN65269:IN65277 IN130805:IN130813 IN196341:IN196349 IN261877:IN261885 IN327413:IN327421 IN392949:IN392957 IN458485:IN458493 IN524021:IN524029 IN589557:IN589565 IN655093:IN655101 IN720629:IN720637 IN786165:IN786173 IN851701:IN851709 IN917237:IN917245 IN982773:IN982781 SJ65269:SJ65277 SJ130805:SJ130813 SJ196341:SJ196349 SJ261877:SJ261885 SJ327413:SJ327421 SJ392949:SJ392957 SJ458485:SJ458493 SJ524021:SJ524029 SJ589557:SJ589565 SJ655093:SJ655101 SJ720629:SJ720637 SJ786165:SJ786173 SJ851701:SJ851709 SJ917237:SJ917245 SJ982773:SJ982781 ACF65269:ACF65277 ACF130805:ACF130813 ACF196341:ACF196349 ACF261877:ACF261885 ACF327413:ACF327421 ACF392949:ACF392957 ACF458485:ACF458493 ACF524021:ACF524029 ACF589557:ACF589565 ACF655093:ACF655101 ACF720629:ACF720637 ACF786165:ACF786173 ACF851701:ACF851709 ACF917237:ACF917245 ACF982773:ACF982781 AMB65269:AMB65277 AMB130805:AMB130813 AMB196341:AMB196349 AMB261877:AMB261885 AMB327413:AMB327421 AMB392949:AMB392957 AMB458485:AMB458493 AMB524021:AMB524029 AMB589557:AMB589565 AMB655093:AMB655101 AMB720629:AMB720637 AMB786165:AMB786173 AMB851701:AMB851709 AMB917237:AMB917245 AMB982773:AMB982781 AVX65269:AVX65277 AVX130805:AVX130813 AVX196341:AVX196349 AVX261877:AVX261885 AVX327413:AVX327421 AVX392949:AVX392957 AVX458485:AVX458493 AVX524021:AVX524029 AVX589557:AVX589565 AVX655093:AVX655101 AVX720629:AVX720637 AVX786165:AVX786173 AVX851701:AVX851709 AVX917237:AVX917245 AVX982773:AVX982781 BFT65269:BFT65277 BFT130805:BFT130813 BFT196341:BFT196349 BFT261877:BFT261885 BFT327413:BFT327421 BFT392949:BFT392957 BFT458485:BFT458493 BFT524021:BFT524029 BFT589557:BFT589565 BFT655093:BFT655101 BFT720629:BFT720637 BFT786165:BFT786173 BFT851701:BFT851709 BFT917237:BFT917245 BFT982773:BFT982781 BPP65269:BPP65277 BPP130805:BPP130813 BPP196341:BPP196349 BPP261877:BPP261885 BPP327413:BPP327421 BPP392949:BPP392957 BPP458485:BPP458493 BPP524021:BPP524029 BPP589557:BPP589565 BPP655093:BPP655101 BPP720629:BPP720637 BPP786165:BPP786173 BPP851701:BPP851709 BPP917237:BPP917245 BPP982773:BPP982781 BZL65269:BZL65277 BZL130805:BZL130813 BZL196341:BZL196349 BZL261877:BZL261885 BZL327413:BZL327421 BZL392949:BZL392957 BZL458485:BZL458493 BZL524021:BZL524029 BZL589557:BZL589565 BZL655093:BZL655101 BZL720629:BZL720637 BZL786165:BZL786173 BZL851701:BZL851709 BZL917237:BZL917245 BZL982773:BZL982781 CJH65269:CJH65277 CJH130805:CJH130813 CJH196341:CJH196349 CJH261877:CJH261885 CJH327413:CJH327421 CJH392949:CJH392957 CJH458485:CJH458493 CJH524021:CJH524029 CJH589557:CJH589565 CJH655093:CJH655101 CJH720629:CJH720637 CJH786165:CJH786173 CJH851701:CJH851709 CJH917237:CJH917245 CJH982773:CJH982781 CTD65269:CTD65277 CTD130805:CTD130813 CTD196341:CTD196349 CTD261877:CTD261885 CTD327413:CTD327421 CTD392949:CTD392957 CTD458485:CTD458493 CTD524021:CTD524029 CTD589557:CTD589565 CTD655093:CTD655101 CTD720629:CTD720637 CTD786165:CTD786173 CTD851701:CTD851709 CTD917237:CTD917245 CTD982773:CTD982781 DCZ65269:DCZ65277 DCZ130805:DCZ130813 DCZ196341:DCZ196349 DCZ261877:DCZ261885 DCZ327413:DCZ327421 DCZ392949:DCZ392957 DCZ458485:DCZ458493 DCZ524021:DCZ524029 DCZ589557:DCZ589565 DCZ655093:DCZ655101 DCZ720629:DCZ720637 DCZ786165:DCZ786173 DCZ851701:DCZ851709 DCZ917237:DCZ917245 DCZ982773:DCZ982781 DMV65269:DMV65277 DMV130805:DMV130813 DMV196341:DMV196349 DMV261877:DMV261885 DMV327413:DMV327421 DMV392949:DMV392957 DMV458485:DMV458493 DMV524021:DMV524029 DMV589557:DMV589565 DMV655093:DMV655101 DMV720629:DMV720637 DMV786165:DMV786173 DMV851701:DMV851709 DMV917237:DMV917245 DMV982773:DMV982781 DWR65269:DWR65277 DWR130805:DWR130813 DWR196341:DWR196349 DWR261877:DWR261885 DWR327413:DWR327421 DWR392949:DWR392957 DWR458485:DWR458493 DWR524021:DWR524029 DWR589557:DWR589565 DWR655093:DWR655101 DWR720629:DWR720637 DWR786165:DWR786173 DWR851701:DWR851709 DWR917237:DWR917245 DWR982773:DWR982781 EGN65269:EGN65277 EGN130805:EGN130813 EGN196341:EGN196349 EGN261877:EGN261885 EGN327413:EGN327421 EGN392949:EGN392957 EGN458485:EGN458493 EGN524021:EGN524029 EGN589557:EGN589565 EGN655093:EGN655101 EGN720629:EGN720637 EGN786165:EGN786173 EGN851701:EGN851709 EGN917237:EGN917245 EGN982773:EGN982781 EQJ65269:EQJ65277 EQJ130805:EQJ130813 EQJ196341:EQJ196349 EQJ261877:EQJ261885 EQJ327413:EQJ327421 EQJ392949:EQJ392957 EQJ458485:EQJ458493 EQJ524021:EQJ524029 EQJ589557:EQJ589565 EQJ655093:EQJ655101 EQJ720629:EQJ720637 EQJ786165:EQJ786173 EQJ851701:EQJ851709 EQJ917237:EQJ917245 EQJ982773:EQJ982781 FAF65269:FAF65277 FAF130805:FAF130813 FAF196341:FAF196349 FAF261877:FAF261885 FAF327413:FAF327421 FAF392949:FAF392957 FAF458485:FAF458493 FAF524021:FAF524029 FAF589557:FAF589565 FAF655093:FAF655101 FAF720629:FAF720637 FAF786165:FAF786173 FAF851701:FAF851709 FAF917237:FAF917245 FAF982773:FAF982781 FKB65269:FKB65277 FKB130805:FKB130813 FKB196341:FKB196349 FKB261877:FKB261885 FKB327413:FKB327421 FKB392949:FKB392957 FKB458485:FKB458493 FKB524021:FKB524029 FKB589557:FKB589565 FKB655093:FKB655101 FKB720629:FKB720637 FKB786165:FKB786173 FKB851701:FKB851709 FKB917237:FKB917245 FKB982773:FKB982781 FTX65269:FTX65277 FTX130805:FTX130813 FTX196341:FTX196349 FTX261877:FTX261885 FTX327413:FTX327421 FTX392949:FTX392957 FTX458485:FTX458493 FTX524021:FTX524029 FTX589557:FTX589565 FTX655093:FTX655101 FTX720629:FTX720637 FTX786165:FTX786173 FTX851701:FTX851709 FTX917237:FTX917245 FTX982773:FTX982781 GDT65269:GDT65277 GDT130805:GDT130813 GDT196341:GDT196349 GDT261877:GDT261885 GDT327413:GDT327421 GDT392949:GDT392957 GDT458485:GDT458493 GDT524021:GDT524029 GDT589557:GDT589565 GDT655093:GDT655101 GDT720629:GDT720637 GDT786165:GDT786173 GDT851701:GDT851709 GDT917237:GDT917245 GDT982773:GDT982781 GNP65269:GNP65277 GNP130805:GNP130813 GNP196341:GNP196349 GNP261877:GNP261885 GNP327413:GNP327421 GNP392949:GNP392957 GNP458485:GNP458493 GNP524021:GNP524029 GNP589557:GNP589565 GNP655093:GNP655101 GNP720629:GNP720637 GNP786165:GNP786173 GNP851701:GNP851709 GNP917237:GNP917245 GNP982773:GNP982781 GXL65269:GXL65277 GXL130805:GXL130813 GXL196341:GXL196349 GXL261877:GXL261885 GXL327413:GXL327421 GXL392949:GXL392957 GXL458485:GXL458493 GXL524021:GXL524029 GXL589557:GXL589565 GXL655093:GXL655101 GXL720629:GXL720637 GXL786165:GXL786173 GXL851701:GXL851709 GXL917237:GXL917245 GXL982773:GXL982781 HHH65269:HHH65277 HHH130805:HHH130813 HHH196341:HHH196349 HHH261877:HHH261885 HHH327413:HHH327421 HHH392949:HHH392957 HHH458485:HHH458493 HHH524021:HHH524029 HHH589557:HHH589565 HHH655093:HHH655101 HHH720629:HHH720637 HHH786165:HHH786173 HHH851701:HHH851709 HHH917237:HHH917245 HHH982773:HHH982781 HRD65269:HRD65277 HRD130805:HRD130813 HRD196341:HRD196349 HRD261877:HRD261885 HRD327413:HRD327421 HRD392949:HRD392957 HRD458485:HRD458493 HRD524021:HRD524029 HRD589557:HRD589565 HRD655093:HRD655101 HRD720629:HRD720637 HRD786165:HRD786173 HRD851701:HRD851709 HRD917237:HRD917245 HRD982773:HRD982781 IAZ65269:IAZ65277 IAZ130805:IAZ130813 IAZ196341:IAZ196349 IAZ261877:IAZ261885 IAZ327413:IAZ327421 IAZ392949:IAZ392957 IAZ458485:IAZ458493 IAZ524021:IAZ524029 IAZ589557:IAZ589565 IAZ655093:IAZ655101 IAZ720629:IAZ720637 IAZ786165:IAZ786173 IAZ851701:IAZ851709 IAZ917237:IAZ917245 IAZ982773:IAZ982781 IKV65269:IKV65277 IKV130805:IKV130813 IKV196341:IKV196349 IKV261877:IKV261885 IKV327413:IKV327421 IKV392949:IKV392957 IKV458485:IKV458493 IKV524021:IKV524029 IKV589557:IKV589565 IKV655093:IKV655101 IKV720629:IKV720637 IKV786165:IKV786173 IKV851701:IKV851709 IKV917237:IKV917245 IKV982773:IKV982781 IUR65269:IUR65277 IUR130805:IUR130813 IUR196341:IUR196349 IUR261877:IUR261885 IUR327413:IUR327421 IUR392949:IUR392957 IUR458485:IUR458493 IUR524021:IUR524029 IUR589557:IUR589565 IUR655093:IUR655101 IUR720629:IUR720637 IUR786165:IUR786173 IUR851701:IUR851709 IUR917237:IUR917245 IUR982773:IUR982781 JEN65269:JEN65277 JEN130805:JEN130813 JEN196341:JEN196349 JEN261877:JEN261885 JEN327413:JEN327421 JEN392949:JEN392957 JEN458485:JEN458493 JEN524021:JEN524029 JEN589557:JEN589565 JEN655093:JEN655101 JEN720629:JEN720637 JEN786165:JEN786173 JEN851701:JEN851709 JEN917237:JEN917245 JEN982773:JEN982781 JOJ65269:JOJ65277 JOJ130805:JOJ130813 JOJ196341:JOJ196349 JOJ261877:JOJ261885 JOJ327413:JOJ327421 JOJ392949:JOJ392957 JOJ458485:JOJ458493 JOJ524021:JOJ524029 JOJ589557:JOJ589565 JOJ655093:JOJ655101 JOJ720629:JOJ720637 JOJ786165:JOJ786173 JOJ851701:JOJ851709 JOJ917237:JOJ917245 JOJ982773:JOJ982781 JYF65269:JYF65277 JYF130805:JYF130813 JYF196341:JYF196349 JYF261877:JYF261885 JYF327413:JYF327421 JYF392949:JYF392957 JYF458485:JYF458493 JYF524021:JYF524029 JYF589557:JYF589565 JYF655093:JYF655101 JYF720629:JYF720637 JYF786165:JYF786173 JYF851701:JYF851709 JYF917237:JYF917245 JYF982773:JYF982781 KIB65269:KIB65277 KIB130805:KIB130813 KIB196341:KIB196349 KIB261877:KIB261885 KIB327413:KIB327421 KIB392949:KIB392957 KIB458485:KIB458493 KIB524021:KIB524029 KIB589557:KIB589565 KIB655093:KIB655101 KIB720629:KIB720637 KIB786165:KIB786173 KIB851701:KIB851709 KIB917237:KIB917245 KIB982773:KIB982781 KRX65269:KRX65277 KRX130805:KRX130813 KRX196341:KRX196349 KRX261877:KRX261885 KRX327413:KRX327421 KRX392949:KRX392957 KRX458485:KRX458493 KRX524021:KRX524029 KRX589557:KRX589565 KRX655093:KRX655101 KRX720629:KRX720637 KRX786165:KRX786173 KRX851701:KRX851709 KRX917237:KRX917245 KRX982773:KRX982781 LBT65269:LBT65277 LBT130805:LBT130813 LBT196341:LBT196349 LBT261877:LBT261885 LBT327413:LBT327421 LBT392949:LBT392957 LBT458485:LBT458493 LBT524021:LBT524029 LBT589557:LBT589565 LBT655093:LBT655101 LBT720629:LBT720637 LBT786165:LBT786173 LBT851701:LBT851709 LBT917237:LBT917245 LBT982773:LBT982781 LLP65269:LLP65277 LLP130805:LLP130813 LLP196341:LLP196349 LLP261877:LLP261885 LLP327413:LLP327421 LLP392949:LLP392957 LLP458485:LLP458493 LLP524021:LLP524029 LLP589557:LLP589565 LLP655093:LLP655101 LLP720629:LLP720637 LLP786165:LLP786173 LLP851701:LLP851709 LLP917237:LLP917245 LLP982773:LLP982781 LVL65269:LVL65277 LVL130805:LVL130813 LVL196341:LVL196349 LVL261877:LVL261885 LVL327413:LVL327421 LVL392949:LVL392957 LVL458485:LVL458493 LVL524021:LVL524029 LVL589557:LVL589565 LVL655093:LVL655101 LVL720629:LVL720637 LVL786165:LVL786173 LVL851701:LVL851709 LVL917237:LVL917245 LVL982773:LVL982781 MFH65269:MFH65277 MFH130805:MFH130813 MFH196341:MFH196349 MFH261877:MFH261885 MFH327413:MFH327421 MFH392949:MFH392957 MFH458485:MFH458493 MFH524021:MFH524029 MFH589557:MFH589565 MFH655093:MFH655101 MFH720629:MFH720637 MFH786165:MFH786173 MFH851701:MFH851709 MFH917237:MFH917245 MFH982773:MFH982781 MPD65269:MPD65277 MPD130805:MPD130813 MPD196341:MPD196349 MPD261877:MPD261885 MPD327413:MPD327421 MPD392949:MPD392957 MPD458485:MPD458493 MPD524021:MPD524029 MPD589557:MPD589565 MPD655093:MPD655101 MPD720629:MPD720637 MPD786165:MPD786173 MPD851701:MPD851709 MPD917237:MPD917245 MPD982773:MPD982781 MYZ65269:MYZ65277 MYZ130805:MYZ130813 MYZ196341:MYZ196349 MYZ261877:MYZ261885 MYZ327413:MYZ327421 MYZ392949:MYZ392957 MYZ458485:MYZ458493 MYZ524021:MYZ524029 MYZ589557:MYZ589565 MYZ655093:MYZ655101 MYZ720629:MYZ720637 MYZ786165:MYZ786173 MYZ851701:MYZ851709 MYZ917237:MYZ917245 MYZ982773:MYZ982781 NIV65269:NIV65277 NIV130805:NIV130813 NIV196341:NIV196349 NIV261877:NIV261885 NIV327413:NIV327421 NIV392949:NIV392957 NIV458485:NIV458493 NIV524021:NIV524029 NIV589557:NIV589565 NIV655093:NIV655101 NIV720629:NIV720637 NIV786165:NIV786173 NIV851701:NIV851709 NIV917237:NIV917245 NIV982773:NIV982781 NSR65269:NSR65277 NSR130805:NSR130813 NSR196341:NSR196349 NSR261877:NSR261885 NSR327413:NSR327421 NSR392949:NSR392957 NSR458485:NSR458493 NSR524021:NSR524029 NSR589557:NSR589565 NSR655093:NSR655101 NSR720629:NSR720637 NSR786165:NSR786173 NSR851701:NSR851709 NSR917237:NSR917245 NSR982773:NSR982781 OCN65269:OCN65277 OCN130805:OCN130813 OCN196341:OCN196349 OCN261877:OCN261885 OCN327413:OCN327421 OCN392949:OCN392957 OCN458485:OCN458493 OCN524021:OCN524029 OCN589557:OCN589565 OCN655093:OCN655101 OCN720629:OCN720637 OCN786165:OCN786173 OCN851701:OCN851709 OCN917237:OCN917245 OCN982773:OCN982781 OMJ65269:OMJ65277 OMJ130805:OMJ130813 OMJ196341:OMJ196349 OMJ261877:OMJ261885 OMJ327413:OMJ327421 OMJ392949:OMJ392957 OMJ458485:OMJ458493 OMJ524021:OMJ524029 OMJ589557:OMJ589565 OMJ655093:OMJ655101 OMJ720629:OMJ720637 OMJ786165:OMJ786173 OMJ851701:OMJ851709 OMJ917237:OMJ917245 OMJ982773:OMJ982781 OWF65269:OWF65277 OWF130805:OWF130813 OWF196341:OWF196349 OWF261877:OWF261885 OWF327413:OWF327421 OWF392949:OWF392957 OWF458485:OWF458493 OWF524021:OWF524029 OWF589557:OWF589565 OWF655093:OWF655101 OWF720629:OWF720637 OWF786165:OWF786173 OWF851701:OWF851709 OWF917237:OWF917245 OWF982773:OWF982781 PGB65269:PGB65277 PGB130805:PGB130813 PGB196341:PGB196349 PGB261877:PGB261885 PGB327413:PGB327421 PGB392949:PGB392957 PGB458485:PGB458493 PGB524021:PGB524029 PGB589557:PGB589565 PGB655093:PGB655101 PGB720629:PGB720637 PGB786165:PGB786173 PGB851701:PGB851709 PGB917237:PGB917245 PGB982773:PGB982781 PPX65269:PPX65277 PPX130805:PPX130813 PPX196341:PPX196349 PPX261877:PPX261885 PPX327413:PPX327421 PPX392949:PPX392957 PPX458485:PPX458493 PPX524021:PPX524029 PPX589557:PPX589565 PPX655093:PPX655101 PPX720629:PPX720637 PPX786165:PPX786173 PPX851701:PPX851709 PPX917237:PPX917245 PPX982773:PPX982781 PZT65269:PZT65277 PZT130805:PZT130813 PZT196341:PZT196349 PZT261877:PZT261885 PZT327413:PZT327421 PZT392949:PZT392957 PZT458485:PZT458493 PZT524021:PZT524029 PZT589557:PZT589565 PZT655093:PZT655101 PZT720629:PZT720637 PZT786165:PZT786173 PZT851701:PZT851709 PZT917237:PZT917245 PZT982773:PZT982781 QJP65269:QJP65277 QJP130805:QJP130813 QJP196341:QJP196349 QJP261877:QJP261885 QJP327413:QJP327421 QJP392949:QJP392957 QJP458485:QJP458493 QJP524021:QJP524029 QJP589557:QJP589565 QJP655093:QJP655101 QJP720629:QJP720637 QJP786165:QJP786173 QJP851701:QJP851709 QJP917237:QJP917245 QJP982773:QJP982781 QTL65269:QTL65277 QTL130805:QTL130813 QTL196341:QTL196349 QTL261877:QTL261885 QTL327413:QTL327421 QTL392949:QTL392957 QTL458485:QTL458493 QTL524021:QTL524029 QTL589557:QTL589565 QTL655093:QTL655101 QTL720629:QTL720637 QTL786165:QTL786173 QTL851701:QTL851709 QTL917237:QTL917245 QTL982773:QTL982781 RDH65269:RDH65277 RDH130805:RDH130813 RDH196341:RDH196349 RDH261877:RDH261885 RDH327413:RDH327421 RDH392949:RDH392957 RDH458485:RDH458493 RDH524021:RDH524029 RDH589557:RDH589565 RDH655093:RDH655101 RDH720629:RDH720637 RDH786165:RDH786173 RDH851701:RDH851709 RDH917237:RDH917245 RDH982773:RDH982781 RND65269:RND65277 RND130805:RND130813 RND196341:RND196349 RND261877:RND261885 RND327413:RND327421 RND392949:RND392957 RND458485:RND458493 RND524021:RND524029 RND589557:RND589565 RND655093:RND655101 RND720629:RND720637 RND786165:RND786173 RND851701:RND851709 RND917237:RND917245 RND982773:RND982781 RWZ65269:RWZ65277 RWZ130805:RWZ130813 RWZ196341:RWZ196349 RWZ261877:RWZ261885 RWZ327413:RWZ327421 RWZ392949:RWZ392957 RWZ458485:RWZ458493 RWZ524021:RWZ524029 RWZ589557:RWZ589565 RWZ655093:RWZ655101 RWZ720629:RWZ720637 RWZ786165:RWZ786173 RWZ851701:RWZ851709 RWZ917237:RWZ917245 RWZ982773:RWZ982781 SGV65269:SGV65277 SGV130805:SGV130813 SGV196341:SGV196349 SGV261877:SGV261885 SGV327413:SGV327421 SGV392949:SGV392957 SGV458485:SGV458493 SGV524021:SGV524029 SGV589557:SGV589565 SGV655093:SGV655101 SGV720629:SGV720637 SGV786165:SGV786173 SGV851701:SGV851709 SGV917237:SGV917245 SGV982773:SGV982781 SQR65269:SQR65277 SQR130805:SQR130813 SQR196341:SQR196349 SQR261877:SQR261885 SQR327413:SQR327421 SQR392949:SQR392957 SQR458485:SQR458493 SQR524021:SQR524029 SQR589557:SQR589565 SQR655093:SQR655101 SQR720629:SQR720637 SQR786165:SQR786173 SQR851701:SQR851709 SQR917237:SQR917245 SQR982773:SQR982781 TAN65269:TAN65277 TAN130805:TAN130813 TAN196341:TAN196349 TAN261877:TAN261885 TAN327413:TAN327421 TAN392949:TAN392957 TAN458485:TAN458493 TAN524021:TAN524029 TAN589557:TAN589565 TAN655093:TAN655101 TAN720629:TAN720637 TAN786165:TAN786173 TAN851701:TAN851709 TAN917237:TAN917245 TAN982773:TAN982781 TKJ65269:TKJ65277 TKJ130805:TKJ130813 TKJ196341:TKJ196349 TKJ261877:TKJ261885 TKJ327413:TKJ327421 TKJ392949:TKJ392957 TKJ458485:TKJ458493 TKJ524021:TKJ524029 TKJ589557:TKJ589565 TKJ655093:TKJ655101 TKJ720629:TKJ720637 TKJ786165:TKJ786173 TKJ851701:TKJ851709 TKJ917237:TKJ917245 TKJ982773:TKJ982781 TUF65269:TUF65277 TUF130805:TUF130813 TUF196341:TUF196349 TUF261877:TUF261885 TUF327413:TUF327421 TUF392949:TUF392957 TUF458485:TUF458493 TUF524021:TUF524029 TUF589557:TUF589565 TUF655093:TUF655101 TUF720629:TUF720637 TUF786165:TUF786173 TUF851701:TUF851709 TUF917237:TUF917245 TUF982773:TUF982781 UEB65269:UEB65277 UEB130805:UEB130813 UEB196341:UEB196349 UEB261877:UEB261885 UEB327413:UEB327421 UEB392949:UEB392957 UEB458485:UEB458493 UEB524021:UEB524029 UEB589557:UEB589565 UEB655093:UEB655101 UEB720629:UEB720637 UEB786165:UEB786173 UEB851701:UEB851709 UEB917237:UEB917245 UEB982773:UEB982781 UNX65269:UNX65277 UNX130805:UNX130813 UNX196341:UNX196349 UNX261877:UNX261885 UNX327413:UNX327421 UNX392949:UNX392957 UNX458485:UNX458493 UNX524021:UNX524029 UNX589557:UNX589565 UNX655093:UNX655101 UNX720629:UNX720637 UNX786165:UNX786173 UNX851701:UNX851709 UNX917237:UNX917245 UNX982773:UNX982781 UXT65269:UXT65277 UXT130805:UXT130813 UXT196341:UXT196349 UXT261877:UXT261885 UXT327413:UXT327421 UXT392949:UXT392957 UXT458485:UXT458493 UXT524021:UXT524029 UXT589557:UXT589565 UXT655093:UXT655101 UXT720629:UXT720637 UXT786165:UXT786173 UXT851701:UXT851709 UXT917237:UXT917245 UXT982773:UXT982781 VHP65269:VHP65277 VHP130805:VHP130813 VHP196341:VHP196349 VHP261877:VHP261885 VHP327413:VHP327421 VHP392949:VHP392957 VHP458485:VHP458493 VHP524021:VHP524029 VHP589557:VHP589565 VHP655093:VHP655101 VHP720629:VHP720637 VHP786165:VHP786173 VHP851701:VHP851709 VHP917237:VHP917245 VHP982773:VHP982781 VRL65269:VRL65277 VRL130805:VRL130813 VRL196341:VRL196349 VRL261877:VRL261885 VRL327413:VRL327421 VRL392949:VRL392957 VRL458485:VRL458493 VRL524021:VRL524029 VRL589557:VRL589565 VRL655093:VRL655101 VRL720629:VRL720637 VRL786165:VRL786173 VRL851701:VRL851709 VRL917237:VRL917245 VRL982773:VRL982781 WBH65269:WBH65277 WBH130805:WBH130813 WBH196341:WBH196349 WBH261877:WBH261885 WBH327413:WBH327421 WBH392949:WBH392957 WBH458485:WBH458493 WBH524021:WBH524029 WBH589557:WBH589565 WBH655093:WBH655101 WBH720629:WBH720637 WBH786165:WBH786173 WBH851701:WBH851709 WBH917237:WBH917245 WBH982773:WBH982781 WLD65269:WLD65277 WLD130805:WLD130813 WLD196341:WLD196349 WLD261877:WLD261885 WLD327413:WLD327421 WLD392949:WLD392957 WLD458485:WLD458493 WLD524021:WLD524029 WLD589557:WLD589565 WLD655093:WLD655101 WLD720629:WLD720637 WLD786165:WLD786173 WLD851701:WLD851709 WLD917237:WLD917245 WLD982773:WLD982781 WUZ65269:WUZ65277 WUZ130805:WUZ130813 WUZ196341:WUZ196349 WUZ261877:WUZ261885 WUZ327413:WUZ327421 WUZ392949:WUZ392957 WUZ458485:WUZ458493 WUZ524021:WUZ524029 WUZ589557:WUZ589565 WUZ655093:WUZ655101 WUZ720629:WUZ720637 WUZ786165:WUZ786173 WUZ851701:WUZ851709 WUZ917237:WUZ917245 WUZ982773:WUZ982781" xr:uid="{00000000-0002-0000-0700-000000000000}">
      <formula1>#REF!</formula1>
    </dataValidation>
  </dataValidations>
  <pageMargins left="0.70866141732283472" right="0.70866141732283472" top="0.74803149606299213" bottom="0.74803149606299213" header="0.31496062992125984" footer="0.31496062992125984"/>
  <pageSetup paperSize="9" scale="76" fitToHeight="0" orientation="landscape"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B8DC28-CD36-46ED-94AD-AF81C16D49A1}">
  <dimension ref="C3:U33"/>
  <sheetViews>
    <sheetView topLeftCell="D4" workbookViewId="0">
      <selection activeCell="S14" sqref="S14"/>
    </sheetView>
  </sheetViews>
  <sheetFormatPr defaultRowHeight="14.5"/>
  <sheetData>
    <row r="3" spans="3:19">
      <c r="O3" s="874" t="s">
        <v>1614</v>
      </c>
    </row>
    <row r="4" spans="3:19">
      <c r="C4" s="865" t="s">
        <v>1119</v>
      </c>
      <c r="D4" s="865" t="s">
        <v>1092</v>
      </c>
      <c r="E4" s="865" t="s">
        <v>1605</v>
      </c>
      <c r="F4" s="865" t="s">
        <v>1122</v>
      </c>
    </row>
    <row r="5" spans="3:19">
      <c r="C5" s="632" t="s">
        <v>477</v>
      </c>
      <c r="D5" s="632" t="s">
        <v>242</v>
      </c>
      <c r="E5" s="839">
        <v>1.86</v>
      </c>
      <c r="F5" s="839">
        <v>12.47</v>
      </c>
      <c r="O5" s="632" t="s">
        <v>1368</v>
      </c>
      <c r="P5" s="632" t="s">
        <v>115</v>
      </c>
      <c r="Q5" s="316">
        <v>1.6</v>
      </c>
      <c r="R5" s="316">
        <v>13.129999999999999</v>
      </c>
    </row>
    <row r="6" spans="3:19">
      <c r="C6" s="866" t="s">
        <v>1370</v>
      </c>
      <c r="D6" s="866" t="s">
        <v>143</v>
      </c>
      <c r="E6" s="845">
        <v>2.93</v>
      </c>
      <c r="F6" s="845">
        <v>20.34</v>
      </c>
      <c r="O6" s="632" t="s">
        <v>1371</v>
      </c>
      <c r="P6" s="632" t="s">
        <v>125</v>
      </c>
      <c r="Q6" s="316">
        <v>2.93</v>
      </c>
      <c r="R6" s="316">
        <v>20.34</v>
      </c>
    </row>
    <row r="7" spans="3:19">
      <c r="C7" s="310"/>
      <c r="D7" s="867" t="s">
        <v>1604</v>
      </c>
      <c r="E7" s="310">
        <f>SUM(E5:E6)</f>
        <v>4.79</v>
      </c>
      <c r="F7" s="310">
        <f>SUM(F5:F6)</f>
        <v>32.81</v>
      </c>
      <c r="G7" s="867"/>
      <c r="J7" s="868" t="s">
        <v>1616</v>
      </c>
      <c r="O7" s="632" t="s">
        <v>159</v>
      </c>
      <c r="P7" s="632" t="s">
        <v>115</v>
      </c>
      <c r="Q7" s="316">
        <v>1.6</v>
      </c>
      <c r="R7" s="316">
        <v>13.129999999999999</v>
      </c>
    </row>
    <row r="8" spans="3:19">
      <c r="C8" s="867" t="s">
        <v>1604</v>
      </c>
      <c r="D8" s="867" t="s">
        <v>1606</v>
      </c>
      <c r="E8" s="310">
        <f>E7*1.54*6/10</f>
        <v>4.4259599999999999</v>
      </c>
      <c r="F8" s="310">
        <f>F7*1.54*3/5.5</f>
        <v>27.560400000000005</v>
      </c>
      <c r="G8" s="310">
        <f>SUM(E8:F8)</f>
        <v>31.986360000000005</v>
      </c>
      <c r="J8" s="869" t="s">
        <v>1615</v>
      </c>
      <c r="O8" s="632" t="s">
        <v>157</v>
      </c>
      <c r="P8" s="632" t="s">
        <v>132</v>
      </c>
      <c r="Q8" s="636">
        <v>1.68</v>
      </c>
      <c r="R8" s="636">
        <v>12.41</v>
      </c>
    </row>
    <row r="9" spans="3:19">
      <c r="C9" s="867" t="s">
        <v>1604</v>
      </c>
      <c r="D9" s="867" t="s">
        <v>1607</v>
      </c>
      <c r="E9" s="310">
        <f>E8*1.54*3/10</f>
        <v>2.0447935199999998</v>
      </c>
      <c r="F9" s="310">
        <f>F8*1.54*1.5/5.5</f>
        <v>11.575368000000003</v>
      </c>
      <c r="G9" s="310">
        <f>SUM(E9:F9)</f>
        <v>13.620161520000003</v>
      </c>
      <c r="J9" s="310">
        <v>18.48</v>
      </c>
      <c r="O9" s="646" t="s">
        <v>1496</v>
      </c>
      <c r="P9" s="646" t="s">
        <v>119</v>
      </c>
      <c r="Q9" s="636">
        <v>1.68</v>
      </c>
      <c r="R9" s="636">
        <v>12.41</v>
      </c>
    </row>
    <row r="10" spans="3:19">
      <c r="C10" s="867" t="s">
        <v>1608</v>
      </c>
      <c r="D10" s="867" t="s">
        <v>1606</v>
      </c>
      <c r="E10" s="310"/>
      <c r="F10" s="310"/>
      <c r="G10" s="310">
        <f>G8*1600/1000</f>
        <v>51.178176000000008</v>
      </c>
      <c r="H10" s="865" t="s">
        <v>1609</v>
      </c>
      <c r="J10" s="310">
        <v>14.67</v>
      </c>
      <c r="O10" s="628" t="s">
        <v>372</v>
      </c>
      <c r="P10" s="628" t="s">
        <v>185</v>
      </c>
      <c r="Q10" s="839">
        <v>1.86</v>
      </c>
      <c r="R10" s="839">
        <v>12.47</v>
      </c>
    </row>
    <row r="11" spans="3:19">
      <c r="C11" s="867" t="s">
        <v>1608</v>
      </c>
      <c r="D11" s="867" t="s">
        <v>1607</v>
      </c>
      <c r="E11" s="310"/>
      <c r="F11" s="310"/>
      <c r="G11" s="310">
        <f>G9*1600/1000</f>
        <v>21.792258432000008</v>
      </c>
      <c r="H11" s="865" t="s">
        <v>1609</v>
      </c>
      <c r="J11" s="310">
        <f>SUM(J9:J10)</f>
        <v>33.15</v>
      </c>
      <c r="Q11">
        <f>SUM(Q5:Q10)</f>
        <v>11.35</v>
      </c>
      <c r="R11">
        <f>SUM(R5:R10)</f>
        <v>83.889999999999986</v>
      </c>
    </row>
    <row r="12" spans="3:19">
      <c r="O12" s="867" t="s">
        <v>1604</v>
      </c>
      <c r="P12" s="867" t="s">
        <v>1606</v>
      </c>
      <c r="Q12" s="310">
        <f>Q11*1.54*6/10</f>
        <v>10.487399999999999</v>
      </c>
      <c r="R12" s="310">
        <f>R11*1.54*3/5.5</f>
        <v>70.46759999999999</v>
      </c>
      <c r="S12" s="310">
        <f>SUM(Q12:R12)</f>
        <v>80.954999999999984</v>
      </c>
    </row>
    <row r="13" spans="3:19">
      <c r="O13" s="867" t="s">
        <v>1604</v>
      </c>
      <c r="P13" s="867" t="s">
        <v>1607</v>
      </c>
      <c r="Q13" s="310">
        <f>Q12*1.54*3/10</f>
        <v>4.8451788000000002</v>
      </c>
      <c r="R13" s="310">
        <f>R12*1.54*1.5/5.5</f>
        <v>29.596391999999994</v>
      </c>
      <c r="S13" s="310">
        <f>SUM(Q13:R13)</f>
        <v>34.441570799999994</v>
      </c>
    </row>
    <row r="14" spans="3:19">
      <c r="C14" s="539" t="s">
        <v>215</v>
      </c>
      <c r="D14" s="539" t="s">
        <v>182</v>
      </c>
      <c r="E14" s="839">
        <v>1.57</v>
      </c>
      <c r="F14" s="839">
        <v>11.05</v>
      </c>
      <c r="O14" s="867" t="s">
        <v>1608</v>
      </c>
      <c r="P14" s="867" t="s">
        <v>1606</v>
      </c>
      <c r="Q14" s="310"/>
      <c r="R14" s="310"/>
      <c r="S14" s="310">
        <f>S12*1600/1000</f>
        <v>129.52799999999996</v>
      </c>
    </row>
    <row r="15" spans="3:19">
      <c r="C15" s="539" t="s">
        <v>240</v>
      </c>
      <c r="D15" s="539" t="s">
        <v>185</v>
      </c>
      <c r="E15" s="839">
        <v>1.86</v>
      </c>
      <c r="F15" s="839">
        <v>12.47</v>
      </c>
      <c r="O15" s="867" t="s">
        <v>1608</v>
      </c>
      <c r="P15" s="867" t="s">
        <v>1607</v>
      </c>
      <c r="Q15" s="310"/>
      <c r="R15" s="310"/>
      <c r="S15" s="310">
        <f>S13*1600/1000</f>
        <v>55.106513279999994</v>
      </c>
    </row>
    <row r="16" spans="3:19">
      <c r="C16" s="542" t="s">
        <v>253</v>
      </c>
      <c r="D16" s="539" t="s">
        <v>248</v>
      </c>
      <c r="E16" s="839">
        <v>1.86</v>
      </c>
      <c r="F16" s="839">
        <v>12.47</v>
      </c>
    </row>
    <row r="17" spans="3:21">
      <c r="C17" s="543" t="s">
        <v>263</v>
      </c>
      <c r="D17" s="539" t="s">
        <v>242</v>
      </c>
      <c r="E17" s="839">
        <v>1.86</v>
      </c>
      <c r="F17" s="839">
        <v>12.47</v>
      </c>
    </row>
    <row r="18" spans="3:21">
      <c r="C18" s="327" t="s">
        <v>258</v>
      </c>
      <c r="D18" s="327" t="s">
        <v>182</v>
      </c>
      <c r="E18" s="839">
        <v>1.57</v>
      </c>
      <c r="F18" s="839">
        <v>11.05</v>
      </c>
      <c r="O18" s="877" t="s">
        <v>1575</v>
      </c>
    </row>
    <row r="19" spans="3:21">
      <c r="C19" s="327" t="s">
        <v>277</v>
      </c>
      <c r="D19" s="327" t="s">
        <v>185</v>
      </c>
      <c r="E19" s="839">
        <v>1.86</v>
      </c>
      <c r="F19" s="839">
        <v>12.47</v>
      </c>
      <c r="O19" s="630"/>
      <c r="P19" s="632" t="s">
        <v>811</v>
      </c>
      <c r="Q19" s="632" t="s">
        <v>182</v>
      </c>
      <c r="R19" s="839">
        <v>1.57</v>
      </c>
      <c r="S19" s="839">
        <v>11.05</v>
      </c>
    </row>
    <row r="20" spans="3:21">
      <c r="C20" s="327" t="s">
        <v>280</v>
      </c>
      <c r="D20" s="327" t="s">
        <v>248</v>
      </c>
      <c r="E20" s="839">
        <v>1.86</v>
      </c>
      <c r="F20" s="839">
        <v>12.47</v>
      </c>
      <c r="O20" s="630"/>
      <c r="P20" s="632" t="s">
        <v>193</v>
      </c>
      <c r="Q20" s="632" t="s">
        <v>115</v>
      </c>
      <c r="R20" s="316">
        <v>1.6</v>
      </c>
      <c r="S20" s="316">
        <v>13.129999999999999</v>
      </c>
    </row>
    <row r="21" spans="3:21">
      <c r="C21" s="327" t="s">
        <v>406</v>
      </c>
      <c r="D21" s="327" t="s">
        <v>182</v>
      </c>
      <c r="E21" s="839">
        <v>1.57</v>
      </c>
      <c r="F21" s="839">
        <v>11.05</v>
      </c>
      <c r="O21" s="630"/>
      <c r="P21" s="632" t="s">
        <v>810</v>
      </c>
      <c r="Q21" s="632" t="s">
        <v>182</v>
      </c>
      <c r="R21" s="839">
        <v>1.57</v>
      </c>
      <c r="S21" s="839">
        <v>11.05</v>
      </c>
    </row>
    <row r="22" spans="3:21">
      <c r="C22" s="327" t="s">
        <v>290</v>
      </c>
      <c r="D22" s="327" t="s">
        <v>182</v>
      </c>
      <c r="E22" s="839">
        <v>1.57</v>
      </c>
      <c r="F22" s="839">
        <v>11.05</v>
      </c>
      <c r="O22" s="541"/>
      <c r="P22" s="617" t="s">
        <v>809</v>
      </c>
      <c r="Q22" s="617" t="s">
        <v>182</v>
      </c>
      <c r="R22" s="839">
        <v>1.57</v>
      </c>
      <c r="S22" s="839">
        <v>11.05</v>
      </c>
    </row>
    <row r="23" spans="3:21">
      <c r="C23" s="327" t="s">
        <v>426</v>
      </c>
      <c r="D23" s="327" t="s">
        <v>182</v>
      </c>
      <c r="E23" s="839">
        <v>1.08</v>
      </c>
      <c r="F23" s="839">
        <v>8.68</v>
      </c>
      <c r="O23" s="541"/>
      <c r="P23" s="548" t="s">
        <v>808</v>
      </c>
      <c r="Q23" s="548" t="s">
        <v>185</v>
      </c>
      <c r="R23" s="839">
        <v>1.86</v>
      </c>
      <c r="S23" s="839">
        <v>12.47</v>
      </c>
    </row>
    <row r="24" spans="3:21">
      <c r="C24" s="327" t="s">
        <v>1311</v>
      </c>
      <c r="D24" s="327" t="s">
        <v>115</v>
      </c>
      <c r="E24" s="316">
        <v>1.6</v>
      </c>
      <c r="F24" s="316">
        <v>13.129999999999999</v>
      </c>
      <c r="R24">
        <f>SUM(R19:R23)</f>
        <v>8.17</v>
      </c>
      <c r="S24">
        <f>SUM(S19:S23)</f>
        <v>58.75</v>
      </c>
    </row>
    <row r="25" spans="3:21">
      <c r="C25" s="632" t="s">
        <v>393</v>
      </c>
      <c r="D25" s="632" t="s">
        <v>182</v>
      </c>
      <c r="E25" s="839">
        <v>1.57</v>
      </c>
      <c r="F25" s="839">
        <v>11.05</v>
      </c>
      <c r="O25" s="867"/>
      <c r="P25" s="867" t="s">
        <v>1604</v>
      </c>
      <c r="Q25" s="867" t="s">
        <v>1606</v>
      </c>
      <c r="R25" s="310">
        <f>R24*1.54*6/10</f>
        <v>7.5490799999999991</v>
      </c>
      <c r="S25" s="310">
        <f>S24*1.54*3/5.5</f>
        <v>49.35</v>
      </c>
      <c r="T25" s="310">
        <f>SUM(R25:S25)</f>
        <v>56.899079999999998</v>
      </c>
    </row>
    <row r="26" spans="3:21">
      <c r="C26" s="631" t="s">
        <v>392</v>
      </c>
      <c r="D26" s="631" t="s">
        <v>242</v>
      </c>
      <c r="E26" s="839">
        <v>1.86</v>
      </c>
      <c r="F26" s="839">
        <v>12.47</v>
      </c>
      <c r="O26" s="867"/>
      <c r="P26" s="867" t="s">
        <v>1604</v>
      </c>
      <c r="Q26" s="867" t="s">
        <v>1607</v>
      </c>
      <c r="R26" s="310">
        <f>R25*1.54*3/10</f>
        <v>3.4876749599999997</v>
      </c>
      <c r="S26" s="310">
        <f>S25*1.54*1.5/5.5</f>
        <v>20.727</v>
      </c>
      <c r="T26" s="310">
        <f>SUM(R26:S26)</f>
        <v>24.21467496</v>
      </c>
    </row>
    <row r="27" spans="3:21">
      <c r="C27" s="617" t="s">
        <v>1303</v>
      </c>
      <c r="D27" s="617" t="s">
        <v>125</v>
      </c>
      <c r="E27" s="316">
        <v>2.93</v>
      </c>
      <c r="F27" s="316">
        <v>20.34</v>
      </c>
      <c r="O27" s="867"/>
      <c r="P27" s="867" t="s">
        <v>1608</v>
      </c>
      <c r="Q27" s="867" t="s">
        <v>1606</v>
      </c>
      <c r="R27" s="310"/>
      <c r="S27" s="310"/>
      <c r="T27" s="310">
        <f>T25*1600/1000</f>
        <v>91.038527999999985</v>
      </c>
    </row>
    <row r="28" spans="3:21">
      <c r="C28" s="858" t="s">
        <v>1596</v>
      </c>
      <c r="D28" s="628" t="s">
        <v>115</v>
      </c>
      <c r="E28" s="316">
        <v>1.6</v>
      </c>
      <c r="F28" s="316">
        <v>13.129999999999999</v>
      </c>
      <c r="O28" s="867"/>
      <c r="P28" s="867" t="s">
        <v>1608</v>
      </c>
      <c r="Q28" s="867" t="s">
        <v>1607</v>
      </c>
      <c r="R28" s="310"/>
      <c r="S28" s="310"/>
      <c r="T28" s="310">
        <f>T26*1600/1000</f>
        <v>38.743479936</v>
      </c>
    </row>
    <row r="29" spans="3:21">
      <c r="E29">
        <f>SUM(E14:E28)</f>
        <v>26.220000000000002</v>
      </c>
      <c r="F29">
        <f>SUM(F14:F28)</f>
        <v>185.35</v>
      </c>
      <c r="U29" t="s">
        <v>857</v>
      </c>
    </row>
    <row r="30" spans="3:21">
      <c r="C30" s="867" t="s">
        <v>1604</v>
      </c>
      <c r="D30" s="867" t="s">
        <v>1606</v>
      </c>
      <c r="E30" s="310">
        <f>E29*1.54*6/10</f>
        <v>24.22728</v>
      </c>
      <c r="F30" s="310">
        <f>F29*1.54*3/5.5</f>
        <v>155.69399999999999</v>
      </c>
      <c r="G30" s="310">
        <f>SUM(E30:F30)</f>
        <v>179.92128</v>
      </c>
      <c r="O30" t="s">
        <v>95</v>
      </c>
      <c r="P30" s="867" t="s">
        <v>1608</v>
      </c>
      <c r="Q30" s="867" t="s">
        <v>1606</v>
      </c>
      <c r="T30">
        <f>16.74+14.83+18.51+18.5</f>
        <v>68.58</v>
      </c>
      <c r="U30">
        <f>T27-T30</f>
        <v>22.458527999999987</v>
      </c>
    </row>
    <row r="31" spans="3:21">
      <c r="C31" s="867" t="s">
        <v>1604</v>
      </c>
      <c r="D31" s="867" t="s">
        <v>1607</v>
      </c>
      <c r="E31" s="310">
        <f>E30*1.54*3/10</f>
        <v>11.193003360000001</v>
      </c>
      <c r="F31" s="310">
        <f>F30*1.54*1.5/5.5</f>
        <v>65.391480000000001</v>
      </c>
      <c r="G31" s="310">
        <f>SUM(E31:F31)</f>
        <v>76.584483360000007</v>
      </c>
    </row>
    <row r="32" spans="3:21">
      <c r="C32" s="867" t="s">
        <v>1608</v>
      </c>
      <c r="D32" s="867" t="s">
        <v>1606</v>
      </c>
      <c r="E32" s="310"/>
      <c r="F32" s="310"/>
      <c r="G32" s="310">
        <f>G30*1600/1000</f>
        <v>287.87404800000002</v>
      </c>
    </row>
    <row r="33" spans="3:7">
      <c r="C33" s="867" t="s">
        <v>1608</v>
      </c>
      <c r="D33" s="867" t="s">
        <v>1607</v>
      </c>
      <c r="E33" s="310"/>
      <c r="F33" s="310"/>
      <c r="G33" s="310">
        <f>G31*1600/1000</f>
        <v>122.535173376</v>
      </c>
    </row>
  </sheetData>
  <conditionalFormatting sqref="C5">
    <cfRule type="duplicateValues" dxfId="3333" priority="17"/>
    <cfRule type="duplicateValues" dxfId="3332" priority="18"/>
    <cfRule type="duplicateValues" dxfId="3331" priority="19" stopIfTrue="1"/>
  </conditionalFormatting>
  <conditionalFormatting sqref="C6">
    <cfRule type="duplicateValues" dxfId="3330" priority="14"/>
    <cfRule type="duplicateValues" dxfId="3329" priority="15"/>
    <cfRule type="duplicateValues" dxfId="3328" priority="16" stopIfTrue="1"/>
  </conditionalFormatting>
  <conditionalFormatting sqref="C14:C17">
    <cfRule type="duplicateValues" dxfId="3327" priority="12"/>
  </conditionalFormatting>
  <conditionalFormatting sqref="C14:C27">
    <cfRule type="duplicateValues" dxfId="3326" priority="10"/>
    <cfRule type="duplicateValues" dxfId="3325" priority="11"/>
    <cfRule type="duplicateValues" dxfId="3324" priority="13" stopIfTrue="1"/>
  </conditionalFormatting>
  <conditionalFormatting sqref="C14:C28">
    <cfRule type="duplicateValues" dxfId="3323" priority="9"/>
  </conditionalFormatting>
  <conditionalFormatting sqref="O5:O10">
    <cfRule type="duplicateValues" dxfId="3322" priority="5"/>
    <cfRule type="duplicateValues" dxfId="3321" priority="6"/>
    <cfRule type="duplicateValues" dxfId="3320" priority="7"/>
    <cfRule type="duplicateValues" dxfId="3319" priority="8" stopIfTrue="1"/>
  </conditionalFormatting>
  <conditionalFormatting sqref="P19:P23">
    <cfRule type="duplicateValues" dxfId="3318" priority="1"/>
    <cfRule type="duplicateValues" dxfId="3317" priority="2" stopIfTrue="1"/>
    <cfRule type="duplicateValues" dxfId="3316" priority="3"/>
    <cfRule type="duplicateValues" dxfId="3315" priority="4"/>
  </conditionalFormatting>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00595E-115E-4B75-9955-4406D5809DAD}">
  <dimension ref="A2:I51"/>
  <sheetViews>
    <sheetView view="pageBreakPreview" zoomScale="60" zoomScaleNormal="100" workbookViewId="0">
      <selection activeCell="L19" sqref="L19"/>
    </sheetView>
  </sheetViews>
  <sheetFormatPr defaultRowHeight="14.5"/>
  <cols>
    <col min="6" max="7" width="9.1796875" bestFit="1" customWidth="1"/>
    <col min="8" max="8" width="22.36328125" bestFit="1" customWidth="1"/>
    <col min="9" max="9" width="27" bestFit="1" customWidth="1"/>
  </cols>
  <sheetData>
    <row r="2" spans="1:9">
      <c r="A2" s="541">
        <v>1</v>
      </c>
      <c r="B2" s="628" t="s">
        <v>412</v>
      </c>
      <c r="C2" s="548" t="s">
        <v>119</v>
      </c>
      <c r="D2" s="316"/>
      <c r="E2" s="316" t="s">
        <v>292</v>
      </c>
      <c r="F2" s="544">
        <v>45831</v>
      </c>
      <c r="G2" s="544">
        <v>45842</v>
      </c>
      <c r="H2" s="941" t="s">
        <v>1669</v>
      </c>
      <c r="I2" s="540" t="s">
        <v>211</v>
      </c>
    </row>
    <row r="3" spans="1:9">
      <c r="A3" s="541">
        <f>A2+1</f>
        <v>2</v>
      </c>
      <c r="B3" s="541" t="s">
        <v>820</v>
      </c>
      <c r="C3" s="541" t="s">
        <v>182</v>
      </c>
      <c r="D3" s="541"/>
      <c r="E3" s="325" t="s">
        <v>210</v>
      </c>
      <c r="F3" s="642">
        <v>45835</v>
      </c>
      <c r="G3" s="544">
        <v>45843</v>
      </c>
      <c r="H3" s="541" t="s">
        <v>1499</v>
      </c>
      <c r="I3" s="540" t="s">
        <v>211</v>
      </c>
    </row>
    <row r="4" spans="1:9">
      <c r="A4" s="541">
        <f t="shared" ref="A4:A51" si="0">A3+1</f>
        <v>3</v>
      </c>
      <c r="B4" s="836" t="s">
        <v>727</v>
      </c>
      <c r="C4" s="837" t="s">
        <v>128</v>
      </c>
      <c r="D4" s="845"/>
      <c r="E4" s="845" t="s">
        <v>210</v>
      </c>
      <c r="F4" s="838">
        <v>45833</v>
      </c>
      <c r="G4" s="544">
        <v>45844</v>
      </c>
      <c r="H4" s="327" t="s">
        <v>1290</v>
      </c>
      <c r="I4" s="540" t="s">
        <v>211</v>
      </c>
    </row>
    <row r="5" spans="1:9">
      <c r="A5" s="541">
        <f t="shared" si="0"/>
        <v>4</v>
      </c>
      <c r="B5" s="541" t="s">
        <v>818</v>
      </c>
      <c r="C5" s="541" t="s">
        <v>182</v>
      </c>
      <c r="D5" s="541"/>
      <c r="E5" s="325" t="s">
        <v>210</v>
      </c>
      <c r="F5" s="642">
        <v>45842</v>
      </c>
      <c r="G5" s="642">
        <v>45846</v>
      </c>
      <c r="H5" s="541" t="s">
        <v>1499</v>
      </c>
      <c r="I5" s="540" t="s">
        <v>211</v>
      </c>
    </row>
    <row r="6" spans="1:9">
      <c r="A6" s="541">
        <f t="shared" si="0"/>
        <v>5</v>
      </c>
      <c r="B6" s="327" t="s">
        <v>1571</v>
      </c>
      <c r="C6" s="327" t="s">
        <v>115</v>
      </c>
      <c r="D6" s="327"/>
      <c r="E6" s="316" t="s">
        <v>210</v>
      </c>
      <c r="F6" s="544">
        <v>45841</v>
      </c>
      <c r="G6" s="642">
        <v>45846</v>
      </c>
      <c r="H6" s="327" t="s">
        <v>1575</v>
      </c>
      <c r="I6" s="540" t="s">
        <v>211</v>
      </c>
    </row>
    <row r="7" spans="1:9">
      <c r="A7" s="541">
        <f t="shared" si="0"/>
        <v>6</v>
      </c>
      <c r="B7" s="628" t="s">
        <v>270</v>
      </c>
      <c r="C7" s="628" t="s">
        <v>188</v>
      </c>
      <c r="D7" s="628" t="s">
        <v>454</v>
      </c>
      <c r="E7" s="628" t="s">
        <v>210</v>
      </c>
      <c r="F7" s="834">
        <v>45836</v>
      </c>
      <c r="G7" s="834">
        <v>45848</v>
      </c>
      <c r="H7" s="859" t="s">
        <v>1601</v>
      </c>
      <c r="I7" s="540" t="s">
        <v>211</v>
      </c>
    </row>
    <row r="8" spans="1:9">
      <c r="A8" s="541">
        <f t="shared" si="0"/>
        <v>7</v>
      </c>
      <c r="B8" s="644" t="s">
        <v>463</v>
      </c>
      <c r="C8" s="644" t="s">
        <v>248</v>
      </c>
      <c r="D8" s="327"/>
      <c r="E8" s="316" t="s">
        <v>210</v>
      </c>
      <c r="F8" s="544">
        <v>45842</v>
      </c>
      <c r="G8" s="834">
        <v>45848</v>
      </c>
      <c r="H8" s="373" t="s">
        <v>1603</v>
      </c>
      <c r="I8" s="540" t="s">
        <v>211</v>
      </c>
    </row>
    <row r="9" spans="1:9">
      <c r="A9" s="541">
        <f t="shared" si="0"/>
        <v>8</v>
      </c>
      <c r="B9" s="858" t="s">
        <v>819</v>
      </c>
      <c r="C9" s="628" t="s">
        <v>182</v>
      </c>
      <c r="D9" s="843"/>
      <c r="E9" s="843" t="s">
        <v>210</v>
      </c>
      <c r="F9" s="643">
        <v>45845</v>
      </c>
      <c r="G9" s="834">
        <v>45848</v>
      </c>
      <c r="H9" s="644" t="s">
        <v>1499</v>
      </c>
      <c r="I9" s="540" t="s">
        <v>211</v>
      </c>
    </row>
    <row r="10" spans="1:9">
      <c r="A10" s="541">
        <f t="shared" si="0"/>
        <v>9</v>
      </c>
      <c r="B10" s="628" t="s">
        <v>168</v>
      </c>
      <c r="C10" s="628" t="s">
        <v>167</v>
      </c>
      <c r="D10" s="628"/>
      <c r="E10" s="628" t="s">
        <v>210</v>
      </c>
      <c r="F10" s="834">
        <v>45835</v>
      </c>
      <c r="G10" s="834">
        <v>45849</v>
      </c>
      <c r="H10" s="941" t="s">
        <v>1669</v>
      </c>
      <c r="I10" s="540" t="s">
        <v>211</v>
      </c>
    </row>
    <row r="11" spans="1:9">
      <c r="A11" s="541">
        <f t="shared" si="0"/>
        <v>10</v>
      </c>
      <c r="B11" s="858" t="s">
        <v>790</v>
      </c>
      <c r="C11" s="628" t="s">
        <v>182</v>
      </c>
      <c r="D11" s="843"/>
      <c r="E11" s="843" t="s">
        <v>210</v>
      </c>
      <c r="F11" s="643">
        <v>45845</v>
      </c>
      <c r="G11" s="834">
        <v>45849</v>
      </c>
      <c r="H11" s="858" t="s">
        <v>1570</v>
      </c>
      <c r="I11" s="540" t="s">
        <v>211</v>
      </c>
    </row>
    <row r="12" spans="1:9">
      <c r="A12" s="541">
        <f t="shared" si="0"/>
        <v>11</v>
      </c>
      <c r="B12" s="548" t="s">
        <v>821</v>
      </c>
      <c r="C12" s="548" t="s">
        <v>182</v>
      </c>
      <c r="D12" s="316"/>
      <c r="E12" s="316" t="s">
        <v>210</v>
      </c>
      <c r="F12" s="544">
        <v>45848</v>
      </c>
      <c r="G12" s="544">
        <v>45850</v>
      </c>
      <c r="H12" s="644" t="s">
        <v>1499</v>
      </c>
      <c r="I12" s="540" t="s">
        <v>211</v>
      </c>
    </row>
    <row r="13" spans="1:9">
      <c r="A13" s="541">
        <f t="shared" si="0"/>
        <v>12</v>
      </c>
      <c r="B13" s="858" t="s">
        <v>791</v>
      </c>
      <c r="C13" s="628" t="s">
        <v>242</v>
      </c>
      <c r="D13" s="843"/>
      <c r="E13" s="843" t="s">
        <v>210</v>
      </c>
      <c r="F13" s="643">
        <v>45847</v>
      </c>
      <c r="G13" s="643">
        <v>45851</v>
      </c>
      <c r="H13" s="858" t="s">
        <v>1570</v>
      </c>
      <c r="I13" s="540" t="s">
        <v>211</v>
      </c>
    </row>
    <row r="14" spans="1:9">
      <c r="A14" s="541">
        <f t="shared" si="0"/>
        <v>13</v>
      </c>
      <c r="B14" s="548" t="s">
        <v>806</v>
      </c>
      <c r="C14" s="548" t="s">
        <v>185</v>
      </c>
      <c r="D14" s="548"/>
      <c r="E14" s="316" t="s">
        <v>210</v>
      </c>
      <c r="F14" s="648">
        <v>45847</v>
      </c>
      <c r="G14" s="643">
        <v>45851</v>
      </c>
      <c r="H14" s="548" t="s">
        <v>1575</v>
      </c>
      <c r="I14" s="540" t="s">
        <v>211</v>
      </c>
    </row>
    <row r="15" spans="1:9">
      <c r="A15" s="541">
        <f t="shared" si="0"/>
        <v>14</v>
      </c>
      <c r="B15" s="548" t="s">
        <v>765</v>
      </c>
      <c r="C15" s="548" t="s">
        <v>185</v>
      </c>
      <c r="D15" s="316"/>
      <c r="E15" s="316" t="s">
        <v>210</v>
      </c>
      <c r="F15" s="544">
        <v>45848</v>
      </c>
      <c r="G15" s="643">
        <v>45852</v>
      </c>
      <c r="H15" s="327" t="s">
        <v>1614</v>
      </c>
      <c r="I15" s="540" t="s">
        <v>211</v>
      </c>
    </row>
    <row r="16" spans="1:9">
      <c r="A16" s="541">
        <f t="shared" si="0"/>
        <v>15</v>
      </c>
      <c r="B16" s="644" t="s">
        <v>739</v>
      </c>
      <c r="C16" s="644" t="s">
        <v>182</v>
      </c>
      <c r="D16" s="541"/>
      <c r="E16" s="325" t="s">
        <v>210</v>
      </c>
      <c r="F16" s="642">
        <v>45842</v>
      </c>
      <c r="G16" s="643">
        <v>45852</v>
      </c>
      <c r="H16" s="373" t="s">
        <v>1580</v>
      </c>
      <c r="I16" s="540" t="s">
        <v>211</v>
      </c>
    </row>
    <row r="17" spans="1:9">
      <c r="A17" s="541">
        <f t="shared" si="0"/>
        <v>16</v>
      </c>
      <c r="B17" s="548" t="s">
        <v>822</v>
      </c>
      <c r="C17" s="548" t="s">
        <v>182</v>
      </c>
      <c r="D17" s="316"/>
      <c r="E17" s="316" t="s">
        <v>210</v>
      </c>
      <c r="F17" s="544">
        <v>45851</v>
      </c>
      <c r="G17" s="643">
        <v>45853</v>
      </c>
      <c r="H17" s="644" t="s">
        <v>1499</v>
      </c>
      <c r="I17" s="540" t="s">
        <v>211</v>
      </c>
    </row>
    <row r="18" spans="1:9">
      <c r="A18" s="541">
        <f t="shared" si="0"/>
        <v>17</v>
      </c>
      <c r="B18" s="858" t="s">
        <v>1595</v>
      </c>
      <c r="C18" s="628" t="s">
        <v>167</v>
      </c>
      <c r="D18" s="316"/>
      <c r="E18" s="316" t="s">
        <v>210</v>
      </c>
      <c r="F18" s="544">
        <v>45847</v>
      </c>
      <c r="G18" s="643">
        <v>45854</v>
      </c>
      <c r="H18" s="373" t="s">
        <v>1597</v>
      </c>
      <c r="I18" s="540" t="s">
        <v>211</v>
      </c>
    </row>
    <row r="19" spans="1:9">
      <c r="A19" s="541">
        <f t="shared" si="0"/>
        <v>18</v>
      </c>
      <c r="B19" s="858" t="s">
        <v>1321</v>
      </c>
      <c r="C19" s="628" t="s">
        <v>115</v>
      </c>
      <c r="D19" s="325"/>
      <c r="E19" s="325" t="s">
        <v>210</v>
      </c>
      <c r="F19" s="642">
        <v>45846</v>
      </c>
      <c r="G19" s="643">
        <v>45854</v>
      </c>
      <c r="H19" s="373" t="s">
        <v>1612</v>
      </c>
      <c r="I19" s="540" t="s">
        <v>211</v>
      </c>
    </row>
    <row r="20" spans="1:9">
      <c r="A20" s="541">
        <f t="shared" si="0"/>
        <v>19</v>
      </c>
      <c r="B20" s="548" t="s">
        <v>764</v>
      </c>
      <c r="C20" s="548" t="s">
        <v>182</v>
      </c>
      <c r="D20" s="316"/>
      <c r="E20" s="316" t="s">
        <v>210</v>
      </c>
      <c r="F20" s="544">
        <v>45852</v>
      </c>
      <c r="G20" s="643">
        <v>45854</v>
      </c>
      <c r="H20" s="327" t="s">
        <v>1614</v>
      </c>
      <c r="I20" s="540" t="s">
        <v>211</v>
      </c>
    </row>
    <row r="21" spans="1:9">
      <c r="A21" s="541">
        <f t="shared" si="0"/>
        <v>20</v>
      </c>
      <c r="B21" s="548" t="s">
        <v>804</v>
      </c>
      <c r="C21" s="548" t="s">
        <v>182</v>
      </c>
      <c r="D21" s="548"/>
      <c r="E21" s="316" t="s">
        <v>210</v>
      </c>
      <c r="F21" s="544">
        <v>45852</v>
      </c>
      <c r="G21" s="643">
        <v>45854</v>
      </c>
      <c r="H21" s="548" t="s">
        <v>1575</v>
      </c>
      <c r="I21" s="540" t="s">
        <v>211</v>
      </c>
    </row>
    <row r="22" spans="1:9">
      <c r="A22" s="541">
        <f t="shared" si="0"/>
        <v>21</v>
      </c>
      <c r="B22" s="548" t="s">
        <v>1617</v>
      </c>
      <c r="C22" s="548" t="s">
        <v>137</v>
      </c>
      <c r="D22" s="316"/>
      <c r="E22" s="316" t="s">
        <v>210</v>
      </c>
      <c r="F22" s="544">
        <v>45850</v>
      </c>
      <c r="G22" s="643">
        <v>45855</v>
      </c>
      <c r="H22" s="858" t="s">
        <v>1570</v>
      </c>
      <c r="I22" s="540" t="s">
        <v>211</v>
      </c>
    </row>
    <row r="23" spans="1:9">
      <c r="A23" s="541">
        <f t="shared" si="0"/>
        <v>22</v>
      </c>
      <c r="B23" s="373" t="s">
        <v>1610</v>
      </c>
      <c r="C23" s="316" t="s">
        <v>1611</v>
      </c>
      <c r="D23" s="316"/>
      <c r="E23" s="316" t="s">
        <v>210</v>
      </c>
      <c r="F23" s="544">
        <v>45848</v>
      </c>
      <c r="G23" s="643">
        <v>45856</v>
      </c>
      <c r="H23" s="373" t="s">
        <v>1613</v>
      </c>
      <c r="I23" s="540" t="s">
        <v>211</v>
      </c>
    </row>
    <row r="24" spans="1:9">
      <c r="A24" s="541">
        <f t="shared" si="0"/>
        <v>23</v>
      </c>
      <c r="B24" s="548" t="s">
        <v>823</v>
      </c>
      <c r="C24" s="548" t="s">
        <v>182</v>
      </c>
      <c r="D24" s="316"/>
      <c r="E24" s="316" t="s">
        <v>210</v>
      </c>
      <c r="F24" s="544">
        <v>45853</v>
      </c>
      <c r="G24" s="643">
        <v>45856</v>
      </c>
      <c r="H24" s="644" t="s">
        <v>1499</v>
      </c>
      <c r="I24" s="540" t="s">
        <v>211</v>
      </c>
    </row>
    <row r="25" spans="1:9">
      <c r="A25" s="541">
        <f t="shared" si="0"/>
        <v>24</v>
      </c>
      <c r="B25" s="327" t="s">
        <v>380</v>
      </c>
      <c r="C25" s="327" t="s">
        <v>119</v>
      </c>
      <c r="D25" s="327"/>
      <c r="E25" s="316" t="s">
        <v>210</v>
      </c>
      <c r="F25" s="544">
        <v>45846</v>
      </c>
      <c r="G25" s="643">
        <v>45857</v>
      </c>
      <c r="H25" s="373" t="s">
        <v>1602</v>
      </c>
      <c r="I25" s="540" t="s">
        <v>211</v>
      </c>
    </row>
    <row r="26" spans="1:9">
      <c r="A26" s="541">
        <f t="shared" si="0"/>
        <v>25</v>
      </c>
      <c r="B26" s="548" t="s">
        <v>763</v>
      </c>
      <c r="C26" s="548" t="s">
        <v>182</v>
      </c>
      <c r="D26" s="548"/>
      <c r="E26" s="548" t="s">
        <v>210</v>
      </c>
      <c r="F26" s="648">
        <v>45855</v>
      </c>
      <c r="G26" s="834">
        <v>45859</v>
      </c>
      <c r="H26" s="548" t="s">
        <v>1614</v>
      </c>
      <c r="I26" s="540" t="s">
        <v>211</v>
      </c>
    </row>
    <row r="27" spans="1:9">
      <c r="A27" s="541">
        <f t="shared" si="0"/>
        <v>26</v>
      </c>
      <c r="B27" s="548" t="s">
        <v>1634</v>
      </c>
      <c r="C27" s="548" t="s">
        <v>137</v>
      </c>
      <c r="D27" s="548"/>
      <c r="E27" s="548" t="s">
        <v>210</v>
      </c>
      <c r="F27" s="648">
        <v>45855</v>
      </c>
      <c r="G27" s="834">
        <v>45859</v>
      </c>
      <c r="H27" s="859" t="s">
        <v>1570</v>
      </c>
      <c r="I27" s="540" t="s">
        <v>211</v>
      </c>
    </row>
    <row r="28" spans="1:9">
      <c r="A28" s="541">
        <f t="shared" si="0"/>
        <v>27</v>
      </c>
      <c r="B28" s="548" t="s">
        <v>803</v>
      </c>
      <c r="C28" s="548" t="s">
        <v>185</v>
      </c>
      <c r="D28" s="548"/>
      <c r="E28" s="548" t="s">
        <v>210</v>
      </c>
      <c r="F28" s="648">
        <v>45854</v>
      </c>
      <c r="G28" s="834">
        <v>45859</v>
      </c>
      <c r="H28" s="548" t="s">
        <v>1575</v>
      </c>
      <c r="I28" s="540" t="s">
        <v>211</v>
      </c>
    </row>
    <row r="29" spans="1:9">
      <c r="A29" s="541">
        <f t="shared" si="0"/>
        <v>28</v>
      </c>
      <c r="B29" s="548" t="s">
        <v>824</v>
      </c>
      <c r="C29" s="548" t="s">
        <v>182</v>
      </c>
      <c r="D29" s="316"/>
      <c r="E29" s="548" t="s">
        <v>210</v>
      </c>
      <c r="F29" s="648">
        <v>45857</v>
      </c>
      <c r="G29" s="643">
        <v>45861</v>
      </c>
      <c r="H29" s="644" t="s">
        <v>1499</v>
      </c>
      <c r="I29" s="540" t="s">
        <v>211</v>
      </c>
    </row>
    <row r="30" spans="1:9">
      <c r="A30" s="541">
        <f t="shared" si="0"/>
        <v>29</v>
      </c>
      <c r="B30" s="628" t="s">
        <v>866</v>
      </c>
      <c r="C30" s="628" t="s">
        <v>137</v>
      </c>
      <c r="D30" s="617"/>
      <c r="E30" s="617" t="s">
        <v>210</v>
      </c>
      <c r="F30" s="645">
        <v>45853</v>
      </c>
      <c r="G30" s="643">
        <v>45862</v>
      </c>
      <c r="H30" s="894" t="s">
        <v>1580</v>
      </c>
      <c r="I30" s="540" t="s">
        <v>211</v>
      </c>
    </row>
    <row r="31" spans="1:9">
      <c r="A31" s="541">
        <f t="shared" si="0"/>
        <v>30</v>
      </c>
      <c r="B31" s="548" t="s">
        <v>166</v>
      </c>
      <c r="C31" s="548" t="s">
        <v>167</v>
      </c>
      <c r="D31" s="548"/>
      <c r="E31" s="548" t="s">
        <v>210</v>
      </c>
      <c r="F31" s="648">
        <v>45851</v>
      </c>
      <c r="G31" s="643">
        <v>45862</v>
      </c>
      <c r="H31" s="941" t="s">
        <v>1669</v>
      </c>
      <c r="I31" s="540" t="s">
        <v>211</v>
      </c>
    </row>
    <row r="32" spans="1:9">
      <c r="A32" s="541">
        <f t="shared" si="0"/>
        <v>31</v>
      </c>
      <c r="B32" s="548" t="s">
        <v>183</v>
      </c>
      <c r="C32" s="548" t="s">
        <v>182</v>
      </c>
      <c r="D32" s="548"/>
      <c r="E32" s="548" t="s">
        <v>210</v>
      </c>
      <c r="F32" s="648">
        <v>45860</v>
      </c>
      <c r="G32" s="643">
        <v>45862</v>
      </c>
      <c r="H32" s="548" t="s">
        <v>1614</v>
      </c>
      <c r="I32" s="540" t="s">
        <v>211</v>
      </c>
    </row>
    <row r="33" spans="1:9">
      <c r="A33" s="541">
        <f t="shared" si="0"/>
        <v>32</v>
      </c>
      <c r="B33" s="548" t="s">
        <v>805</v>
      </c>
      <c r="C33" s="548" t="s">
        <v>182</v>
      </c>
      <c r="D33" s="548"/>
      <c r="E33" s="548" t="s">
        <v>210</v>
      </c>
      <c r="F33" s="834">
        <v>45860</v>
      </c>
      <c r="G33" s="643">
        <v>45863</v>
      </c>
      <c r="H33" s="548" t="s">
        <v>1575</v>
      </c>
      <c r="I33" s="540" t="s">
        <v>211</v>
      </c>
    </row>
    <row r="34" spans="1:9">
      <c r="A34" s="541">
        <f t="shared" si="0"/>
        <v>33</v>
      </c>
      <c r="B34" s="548" t="s">
        <v>744</v>
      </c>
      <c r="C34" s="548" t="s">
        <v>185</v>
      </c>
      <c r="D34" s="548"/>
      <c r="E34" s="548" t="s">
        <v>210</v>
      </c>
      <c r="F34" s="648">
        <v>45853</v>
      </c>
      <c r="G34" s="643">
        <v>45864</v>
      </c>
      <c r="H34" s="548" t="s">
        <v>1618</v>
      </c>
      <c r="I34" s="540" t="s">
        <v>211</v>
      </c>
    </row>
    <row r="35" spans="1:9">
      <c r="A35" s="541">
        <f t="shared" si="0"/>
        <v>34</v>
      </c>
      <c r="B35" s="837" t="s">
        <v>796</v>
      </c>
      <c r="C35" s="837" t="s">
        <v>185</v>
      </c>
      <c r="D35" s="837"/>
      <c r="E35" s="837" t="s">
        <v>210</v>
      </c>
      <c r="F35" s="905">
        <v>45860</v>
      </c>
      <c r="G35" s="643">
        <v>45864</v>
      </c>
      <c r="H35" s="906" t="s">
        <v>1570</v>
      </c>
      <c r="I35" s="540" t="s">
        <v>211</v>
      </c>
    </row>
    <row r="36" spans="1:9">
      <c r="A36" s="541">
        <f t="shared" si="0"/>
        <v>35</v>
      </c>
      <c r="B36" s="548" t="s">
        <v>385</v>
      </c>
      <c r="C36" s="548" t="s">
        <v>182</v>
      </c>
      <c r="D36" s="548"/>
      <c r="E36" s="548" t="s">
        <v>210</v>
      </c>
      <c r="F36" s="648">
        <v>45849</v>
      </c>
      <c r="G36" s="643">
        <v>45865</v>
      </c>
      <c r="H36" s="894" t="s">
        <v>1601</v>
      </c>
      <c r="I36" s="540" t="s">
        <v>211</v>
      </c>
    </row>
    <row r="37" spans="1:9">
      <c r="A37" s="541">
        <f t="shared" si="0"/>
        <v>36</v>
      </c>
      <c r="B37" s="548" t="s">
        <v>767</v>
      </c>
      <c r="C37" s="548" t="s">
        <v>242</v>
      </c>
      <c r="D37" s="548"/>
      <c r="E37" s="548" t="s">
        <v>210</v>
      </c>
      <c r="F37" s="648">
        <v>45862</v>
      </c>
      <c r="G37" s="643">
        <v>45865</v>
      </c>
      <c r="H37" s="548" t="s">
        <v>1614</v>
      </c>
      <c r="I37" s="540" t="s">
        <v>211</v>
      </c>
    </row>
    <row r="38" spans="1:9">
      <c r="A38" s="541">
        <f t="shared" si="0"/>
        <v>37</v>
      </c>
      <c r="B38" s="373" t="s">
        <v>1654</v>
      </c>
      <c r="C38" s="548" t="s">
        <v>185</v>
      </c>
      <c r="D38" s="316"/>
      <c r="E38" s="548" t="s">
        <v>210</v>
      </c>
      <c r="F38" s="544">
        <v>45862</v>
      </c>
      <c r="G38" s="643">
        <v>45865</v>
      </c>
      <c r="H38" s="327" t="s">
        <v>1499</v>
      </c>
      <c r="I38" s="540" t="s">
        <v>211</v>
      </c>
    </row>
    <row r="39" spans="1:9">
      <c r="A39" s="541">
        <f t="shared" si="0"/>
        <v>38</v>
      </c>
      <c r="B39" s="859" t="s">
        <v>731</v>
      </c>
      <c r="C39" s="628" t="s">
        <v>115</v>
      </c>
      <c r="D39" s="548"/>
      <c r="E39" s="548" t="s">
        <v>210</v>
      </c>
      <c r="F39" s="648">
        <v>45859</v>
      </c>
      <c r="G39" s="643">
        <v>45866</v>
      </c>
      <c r="H39" s="894" t="s">
        <v>1597</v>
      </c>
      <c r="I39" s="540" t="s">
        <v>211</v>
      </c>
    </row>
    <row r="40" spans="1:9">
      <c r="A40" s="541">
        <f t="shared" si="0"/>
        <v>39</v>
      </c>
      <c r="B40" s="628" t="s">
        <v>427</v>
      </c>
      <c r="C40" s="628" t="s">
        <v>185</v>
      </c>
      <c r="D40" s="628"/>
      <c r="E40" s="628" t="s">
        <v>210</v>
      </c>
      <c r="F40" s="834">
        <v>45851</v>
      </c>
      <c r="G40" s="643">
        <v>45867</v>
      </c>
      <c r="H40" s="628" t="s">
        <v>254</v>
      </c>
      <c r="I40" s="540" t="s">
        <v>211</v>
      </c>
    </row>
    <row r="41" spans="1:9">
      <c r="A41" s="541">
        <f t="shared" si="0"/>
        <v>40</v>
      </c>
      <c r="B41" s="548" t="s">
        <v>794</v>
      </c>
      <c r="C41" s="548" t="s">
        <v>185</v>
      </c>
      <c r="D41" s="548"/>
      <c r="E41" s="548" t="s">
        <v>210</v>
      </c>
      <c r="F41" s="834">
        <v>45863</v>
      </c>
      <c r="G41" s="643">
        <v>45867</v>
      </c>
      <c r="H41" s="859" t="s">
        <v>1570</v>
      </c>
      <c r="I41" s="540" t="s">
        <v>211</v>
      </c>
    </row>
    <row r="42" spans="1:9">
      <c r="A42" s="541">
        <f t="shared" si="0"/>
        <v>41</v>
      </c>
      <c r="B42" s="548" t="s">
        <v>180</v>
      </c>
      <c r="C42" s="548" t="s">
        <v>182</v>
      </c>
      <c r="D42" s="548"/>
      <c r="E42" s="548" t="s">
        <v>210</v>
      </c>
      <c r="F42" s="648">
        <v>45865</v>
      </c>
      <c r="G42" s="643">
        <v>45868</v>
      </c>
      <c r="H42" s="548" t="s">
        <v>1614</v>
      </c>
      <c r="I42" s="540" t="s">
        <v>211</v>
      </c>
    </row>
    <row r="43" spans="1:9">
      <c r="A43" s="541">
        <f t="shared" si="0"/>
        <v>42</v>
      </c>
      <c r="B43" s="373" t="s">
        <v>1366</v>
      </c>
      <c r="C43" s="548" t="s">
        <v>182</v>
      </c>
      <c r="D43" s="316"/>
      <c r="E43" s="548" t="s">
        <v>210</v>
      </c>
      <c r="F43" s="544">
        <v>45865</v>
      </c>
      <c r="G43" s="643">
        <v>45868</v>
      </c>
      <c r="H43" s="327" t="s">
        <v>1499</v>
      </c>
      <c r="I43" s="540" t="s">
        <v>211</v>
      </c>
    </row>
    <row r="44" spans="1:9">
      <c r="A44" s="541">
        <f t="shared" si="0"/>
        <v>43</v>
      </c>
      <c r="B44" s="548" t="s">
        <v>191</v>
      </c>
      <c r="C44" s="548" t="s">
        <v>192</v>
      </c>
      <c r="D44" s="548"/>
      <c r="E44" s="548" t="s">
        <v>210</v>
      </c>
      <c r="F44" s="834">
        <v>45863</v>
      </c>
      <c r="G44" s="643">
        <v>45869</v>
      </c>
      <c r="H44" s="548" t="s">
        <v>1575</v>
      </c>
      <c r="I44" s="540" t="s">
        <v>211</v>
      </c>
    </row>
    <row r="45" spans="1:9">
      <c r="A45" s="541">
        <f t="shared" si="0"/>
        <v>44</v>
      </c>
      <c r="B45" s="548" t="s">
        <v>799</v>
      </c>
      <c r="C45" s="548" t="s">
        <v>182</v>
      </c>
      <c r="D45" s="548"/>
      <c r="E45" s="548" t="s">
        <v>210</v>
      </c>
      <c r="F45" s="834">
        <v>45867</v>
      </c>
      <c r="G45" s="643">
        <v>45869</v>
      </c>
      <c r="H45" s="859" t="s">
        <v>1570</v>
      </c>
      <c r="I45" s="540" t="s">
        <v>211</v>
      </c>
    </row>
    <row r="46" spans="1:9">
      <c r="A46" s="541">
        <f t="shared" si="0"/>
        <v>45</v>
      </c>
      <c r="B46" s="548" t="s">
        <v>766</v>
      </c>
      <c r="C46" s="548" t="s">
        <v>182</v>
      </c>
      <c r="D46" s="548"/>
      <c r="E46" s="548" t="s">
        <v>210</v>
      </c>
      <c r="F46" s="643">
        <v>45868</v>
      </c>
      <c r="G46" s="643">
        <v>45869</v>
      </c>
      <c r="H46" s="548" t="s">
        <v>1614</v>
      </c>
      <c r="I46" s="540" t="s">
        <v>211</v>
      </c>
    </row>
    <row r="47" spans="1:9">
      <c r="A47" s="541">
        <f t="shared" si="0"/>
        <v>46</v>
      </c>
      <c r="B47" s="548" t="s">
        <v>751</v>
      </c>
      <c r="C47" s="548" t="s">
        <v>248</v>
      </c>
      <c r="D47" s="548"/>
      <c r="E47" s="548" t="s">
        <v>210</v>
      </c>
      <c r="F47" s="648">
        <v>45863</v>
      </c>
      <c r="G47" s="643">
        <v>45869</v>
      </c>
      <c r="H47" s="548" t="s">
        <v>1580</v>
      </c>
      <c r="I47" s="540" t="s">
        <v>211</v>
      </c>
    </row>
    <row r="48" spans="1:9">
      <c r="A48" s="541">
        <f t="shared" si="0"/>
        <v>47</v>
      </c>
      <c r="B48" s="959" t="s">
        <v>174</v>
      </c>
      <c r="C48" s="628" t="s">
        <v>1633</v>
      </c>
      <c r="D48" s="548"/>
      <c r="E48" s="548" t="s">
        <v>210</v>
      </c>
      <c r="F48" s="648">
        <v>45855</v>
      </c>
      <c r="G48" s="643">
        <v>45869</v>
      </c>
      <c r="H48" s="894" t="s">
        <v>1612</v>
      </c>
      <c r="I48" s="540" t="s">
        <v>211</v>
      </c>
    </row>
    <row r="49" spans="1:9">
      <c r="A49" s="541">
        <f t="shared" si="0"/>
        <v>48</v>
      </c>
      <c r="B49" s="640" t="s">
        <v>422</v>
      </c>
      <c r="C49" s="628" t="s">
        <v>125</v>
      </c>
      <c r="D49" s="628"/>
      <c r="E49" s="628" t="s">
        <v>292</v>
      </c>
      <c r="F49" s="834">
        <v>45818</v>
      </c>
      <c r="G49" s="643">
        <v>45869</v>
      </c>
      <c r="H49" s="907" t="s">
        <v>1657</v>
      </c>
      <c r="I49" s="540" t="s">
        <v>211</v>
      </c>
    </row>
    <row r="50" spans="1:9">
      <c r="A50" s="541">
        <f t="shared" si="0"/>
        <v>49</v>
      </c>
      <c r="B50" s="960" t="s">
        <v>158</v>
      </c>
      <c r="C50" s="837" t="s">
        <v>115</v>
      </c>
      <c r="D50" s="837"/>
      <c r="E50" s="837" t="s">
        <v>210</v>
      </c>
      <c r="F50" s="940">
        <v>45862</v>
      </c>
      <c r="G50" s="643">
        <v>45869</v>
      </c>
      <c r="H50" s="941" t="s">
        <v>1669</v>
      </c>
      <c r="I50" s="540" t="s">
        <v>211</v>
      </c>
    </row>
    <row r="51" spans="1:9">
      <c r="A51" s="541">
        <f t="shared" si="0"/>
        <v>50</v>
      </c>
      <c r="B51" s="641" t="s">
        <v>1658</v>
      </c>
      <c r="C51" s="548" t="s">
        <v>125</v>
      </c>
      <c r="D51" s="548"/>
      <c r="E51" s="548" t="s">
        <v>210</v>
      </c>
      <c r="F51" s="648">
        <v>45861</v>
      </c>
      <c r="G51" s="643">
        <v>45869</v>
      </c>
      <c r="H51" s="894" t="s">
        <v>1613</v>
      </c>
      <c r="I51" s="540" t="s">
        <v>211</v>
      </c>
    </row>
  </sheetData>
  <conditionalFormatting sqref="B2:B8 B10 B12 B14:B17 B20:B22 B24:B29 B31:B37 B40:B42 B44:B47 B49:B50">
    <cfRule type="duplicateValues" dxfId="3314" priority="9"/>
    <cfRule type="duplicateValues" dxfId="3313" priority="11" stopIfTrue="1"/>
  </conditionalFormatting>
  <conditionalFormatting sqref="B2:B8">
    <cfRule type="duplicateValues" dxfId="3312" priority="10"/>
  </conditionalFormatting>
  <conditionalFormatting sqref="B2:B37 B39:B42 B44:B51">
    <cfRule type="duplicateValues" dxfId="3311" priority="7"/>
    <cfRule type="duplicateValues" dxfId="3310" priority="8"/>
  </conditionalFormatting>
  <conditionalFormatting sqref="B30">
    <cfRule type="duplicateValues" dxfId="3309" priority="4"/>
    <cfRule type="duplicateValues" dxfId="3308" priority="5"/>
    <cfRule type="duplicateValues" dxfId="3307" priority="6" stopIfTrue="1"/>
  </conditionalFormatting>
  <conditionalFormatting sqref="B51">
    <cfRule type="duplicateValues" dxfId="3306" priority="1"/>
    <cfRule type="duplicateValues" dxfId="3305" priority="2"/>
    <cfRule type="duplicateValues" dxfId="3304" priority="3" stopIfTrue="1"/>
  </conditionalFormatting>
  <pageMargins left="0.70866141732283472" right="0.70866141732283472" top="0.74803149606299213" bottom="0.74803149606299213" header="0.31496062992125984" footer="0.31496062992125984"/>
  <pageSetup paperSize="9" scale="70"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5B6F23-3712-46CD-8E3D-0203286D54DC}">
  <dimension ref="D4:J34"/>
  <sheetViews>
    <sheetView workbookViewId="0">
      <selection activeCell="D4" sqref="D4:I34"/>
    </sheetView>
  </sheetViews>
  <sheetFormatPr defaultRowHeight="14.5"/>
  <cols>
    <col min="7" max="7" width="18.08984375" bestFit="1" customWidth="1"/>
    <col min="8" max="8" width="9.1796875" bestFit="1" customWidth="1"/>
    <col min="9" max="9" width="10.453125" bestFit="1" customWidth="1"/>
  </cols>
  <sheetData>
    <row r="4" spans="4:10">
      <c r="D4" s="310" t="s">
        <v>1743</v>
      </c>
      <c r="E4" s="310" t="s">
        <v>1173</v>
      </c>
      <c r="F4" s="310" t="s">
        <v>1092</v>
      </c>
      <c r="G4" s="310" t="s">
        <v>1744</v>
      </c>
      <c r="H4" s="310" t="s">
        <v>207</v>
      </c>
      <c r="I4" s="310" t="s">
        <v>1646</v>
      </c>
    </row>
    <row r="5" spans="4:10">
      <c r="D5" s="310">
        <v>1</v>
      </c>
      <c r="E5" s="310" t="s">
        <v>820</v>
      </c>
      <c r="F5" s="310" t="s">
        <v>182</v>
      </c>
      <c r="G5" s="310" t="s">
        <v>1700</v>
      </c>
      <c r="H5" s="645">
        <v>45898</v>
      </c>
      <c r="I5" s="645">
        <v>45904</v>
      </c>
      <c r="J5" t="s">
        <v>1506</v>
      </c>
    </row>
    <row r="6" spans="4:10">
      <c r="D6" s="310">
        <f>D5+1</f>
        <v>2</v>
      </c>
      <c r="E6" s="310" t="s">
        <v>268</v>
      </c>
      <c r="F6" s="310" t="s">
        <v>185</v>
      </c>
      <c r="G6" s="310" t="s">
        <v>1599</v>
      </c>
      <c r="H6" s="645">
        <v>45901</v>
      </c>
      <c r="I6" s="645">
        <v>45905</v>
      </c>
      <c r="J6" t="s">
        <v>1506</v>
      </c>
    </row>
    <row r="7" spans="4:10">
      <c r="D7" s="310">
        <f t="shared" ref="D7:D34" si="0">D6+1</f>
        <v>3</v>
      </c>
      <c r="E7" s="310" t="s">
        <v>803</v>
      </c>
      <c r="F7" s="310" t="s">
        <v>185</v>
      </c>
      <c r="G7" s="310" t="s">
        <v>1701</v>
      </c>
      <c r="H7" s="645">
        <v>45896</v>
      </c>
      <c r="I7" s="645">
        <v>45909</v>
      </c>
      <c r="J7" t="s">
        <v>1506</v>
      </c>
    </row>
    <row r="8" spans="4:10">
      <c r="D8" s="310">
        <f t="shared" si="0"/>
        <v>4</v>
      </c>
      <c r="E8" s="310" t="s">
        <v>227</v>
      </c>
      <c r="F8" s="310" t="s">
        <v>182</v>
      </c>
      <c r="G8" s="310" t="s">
        <v>1599</v>
      </c>
      <c r="H8" s="645">
        <v>45905</v>
      </c>
      <c r="I8" s="645">
        <v>45909</v>
      </c>
      <c r="J8" t="s">
        <v>1506</v>
      </c>
    </row>
    <row r="9" spans="4:10">
      <c r="D9" s="310">
        <f t="shared" si="0"/>
        <v>5</v>
      </c>
      <c r="E9" s="310" t="s">
        <v>819</v>
      </c>
      <c r="F9" s="310" t="s">
        <v>182</v>
      </c>
      <c r="G9" s="310" t="s">
        <v>1700</v>
      </c>
      <c r="H9" s="645">
        <v>45905</v>
      </c>
      <c r="I9" s="645">
        <v>45910</v>
      </c>
      <c r="J9" t="s">
        <v>1506</v>
      </c>
    </row>
    <row r="10" spans="4:10">
      <c r="D10" s="310">
        <f t="shared" si="0"/>
        <v>6</v>
      </c>
      <c r="E10" s="310" t="s">
        <v>225</v>
      </c>
      <c r="F10" s="310" t="s">
        <v>185</v>
      </c>
      <c r="G10" s="310" t="s">
        <v>1671</v>
      </c>
      <c r="H10" s="645">
        <v>45898</v>
      </c>
      <c r="I10" s="645">
        <v>45911</v>
      </c>
      <c r="J10" t="s">
        <v>1506</v>
      </c>
    </row>
    <row r="11" spans="4:10">
      <c r="D11" s="310">
        <f t="shared" si="0"/>
        <v>7</v>
      </c>
      <c r="E11" s="310" t="s">
        <v>1311</v>
      </c>
      <c r="F11" s="310" t="s">
        <v>115</v>
      </c>
      <c r="G11" s="310" t="s">
        <v>1709</v>
      </c>
      <c r="H11" s="645">
        <v>45901</v>
      </c>
      <c r="I11" s="645">
        <v>45911</v>
      </c>
      <c r="J11" t="s">
        <v>1506</v>
      </c>
    </row>
    <row r="12" spans="4:10">
      <c r="D12" s="310">
        <f t="shared" si="0"/>
        <v>8</v>
      </c>
      <c r="E12" s="310" t="s">
        <v>822</v>
      </c>
      <c r="F12" s="310" t="s">
        <v>182</v>
      </c>
      <c r="G12" s="310" t="s">
        <v>1700</v>
      </c>
      <c r="H12" s="645">
        <v>45911</v>
      </c>
      <c r="I12" s="645">
        <v>45914</v>
      </c>
      <c r="J12" t="s">
        <v>1506</v>
      </c>
    </row>
    <row r="13" spans="4:10">
      <c r="D13" s="310">
        <f t="shared" si="0"/>
        <v>9</v>
      </c>
      <c r="E13" s="310" t="s">
        <v>804</v>
      </c>
      <c r="F13" s="310" t="s">
        <v>182</v>
      </c>
      <c r="G13" s="310" t="s">
        <v>1701</v>
      </c>
      <c r="H13" s="645">
        <v>45909</v>
      </c>
      <c r="I13" s="645">
        <v>45914</v>
      </c>
      <c r="J13" t="s">
        <v>1506</v>
      </c>
    </row>
    <row r="14" spans="4:10">
      <c r="D14" s="310">
        <f t="shared" si="0"/>
        <v>10</v>
      </c>
      <c r="E14" s="310" t="s">
        <v>392</v>
      </c>
      <c r="F14" s="310" t="s">
        <v>242</v>
      </c>
      <c r="G14" s="310" t="s">
        <v>1599</v>
      </c>
      <c r="H14" s="645">
        <v>45909</v>
      </c>
      <c r="I14" s="645">
        <v>45914</v>
      </c>
      <c r="J14" t="s">
        <v>1506</v>
      </c>
    </row>
    <row r="15" spans="4:10">
      <c r="D15" s="310">
        <f t="shared" si="0"/>
        <v>11</v>
      </c>
      <c r="E15" s="310" t="s">
        <v>294</v>
      </c>
      <c r="F15" s="310" t="s">
        <v>182</v>
      </c>
      <c r="G15" s="310" t="s">
        <v>1709</v>
      </c>
      <c r="H15" s="645">
        <v>45901</v>
      </c>
      <c r="I15" s="645">
        <v>45915</v>
      </c>
      <c r="J15" t="s">
        <v>1506</v>
      </c>
    </row>
    <row r="16" spans="4:10">
      <c r="D16" s="310">
        <f t="shared" si="0"/>
        <v>12</v>
      </c>
      <c r="E16" s="310" t="s">
        <v>385</v>
      </c>
      <c r="F16" s="310" t="s">
        <v>182</v>
      </c>
      <c r="G16" s="310" t="s">
        <v>1671</v>
      </c>
      <c r="H16" s="645">
        <v>45911</v>
      </c>
      <c r="I16" s="645">
        <v>45915</v>
      </c>
      <c r="J16" t="s">
        <v>1506</v>
      </c>
    </row>
    <row r="17" spans="4:10">
      <c r="D17" s="310">
        <f t="shared" si="0"/>
        <v>13</v>
      </c>
      <c r="E17" s="310" t="s">
        <v>181</v>
      </c>
      <c r="F17" s="310" t="s">
        <v>182</v>
      </c>
      <c r="G17" s="310" t="s">
        <v>1702</v>
      </c>
      <c r="H17" s="645">
        <v>45897</v>
      </c>
      <c r="I17" s="645">
        <v>45916</v>
      </c>
      <c r="J17" t="s">
        <v>1506</v>
      </c>
    </row>
    <row r="18" spans="4:10">
      <c r="D18" s="310">
        <f t="shared" si="0"/>
        <v>14</v>
      </c>
      <c r="E18" s="310" t="s">
        <v>823</v>
      </c>
      <c r="F18" s="310" t="s">
        <v>182</v>
      </c>
      <c r="G18" s="310" t="s">
        <v>1700</v>
      </c>
      <c r="H18" s="645">
        <v>45914</v>
      </c>
      <c r="I18" s="645">
        <v>45919</v>
      </c>
      <c r="J18" t="s">
        <v>1506</v>
      </c>
    </row>
    <row r="19" spans="4:10">
      <c r="D19" s="310">
        <f t="shared" si="0"/>
        <v>15</v>
      </c>
      <c r="E19" s="310" t="s">
        <v>805</v>
      </c>
      <c r="F19" s="310" t="s">
        <v>182</v>
      </c>
      <c r="G19" s="310" t="s">
        <v>1701</v>
      </c>
      <c r="H19" s="645">
        <v>45914</v>
      </c>
      <c r="I19" s="645">
        <v>45919</v>
      </c>
      <c r="J19" t="s">
        <v>1506</v>
      </c>
    </row>
    <row r="20" spans="4:10">
      <c r="D20" s="310">
        <f t="shared" si="0"/>
        <v>16</v>
      </c>
      <c r="E20" s="310" t="s">
        <v>798</v>
      </c>
      <c r="F20" s="310" t="s">
        <v>185</v>
      </c>
      <c r="G20" s="310" t="s">
        <v>1723</v>
      </c>
      <c r="H20" s="645">
        <v>45911</v>
      </c>
      <c r="I20" s="645">
        <v>45917</v>
      </c>
      <c r="J20" t="s">
        <v>1506</v>
      </c>
    </row>
    <row r="21" spans="4:10">
      <c r="D21" s="310">
        <f t="shared" si="0"/>
        <v>17</v>
      </c>
      <c r="E21" s="310" t="s">
        <v>797</v>
      </c>
      <c r="F21" s="310" t="s">
        <v>185</v>
      </c>
      <c r="G21" s="310" t="s">
        <v>1724</v>
      </c>
      <c r="H21" s="645">
        <v>45911</v>
      </c>
      <c r="I21" s="645">
        <v>45917</v>
      </c>
      <c r="J21" t="s">
        <v>1506</v>
      </c>
    </row>
    <row r="22" spans="4:10">
      <c r="D22" s="310">
        <f t="shared" si="0"/>
        <v>18</v>
      </c>
      <c r="E22" s="310" t="s">
        <v>795</v>
      </c>
      <c r="F22" s="310" t="s">
        <v>182</v>
      </c>
      <c r="G22" s="310" t="s">
        <v>1723</v>
      </c>
      <c r="H22" s="645">
        <v>45918</v>
      </c>
      <c r="I22" s="645">
        <v>45920</v>
      </c>
      <c r="J22" t="s">
        <v>1506</v>
      </c>
    </row>
    <row r="23" spans="4:10">
      <c r="D23" s="310">
        <f t="shared" si="0"/>
        <v>19</v>
      </c>
      <c r="E23" s="310" t="s">
        <v>799</v>
      </c>
      <c r="F23" s="310" t="s">
        <v>182</v>
      </c>
      <c r="G23" s="310" t="s">
        <v>1724</v>
      </c>
      <c r="H23" s="645">
        <v>45918</v>
      </c>
      <c r="I23" s="645">
        <v>45920</v>
      </c>
      <c r="J23" t="s">
        <v>1506</v>
      </c>
    </row>
    <row r="24" spans="4:10">
      <c r="D24" s="310">
        <f t="shared" si="0"/>
        <v>20</v>
      </c>
      <c r="E24" s="310" t="s">
        <v>418</v>
      </c>
      <c r="F24" s="310" t="s">
        <v>185</v>
      </c>
      <c r="G24" s="310" t="s">
        <v>1710</v>
      </c>
      <c r="H24" s="645">
        <v>45911</v>
      </c>
      <c r="I24" s="645">
        <v>45921</v>
      </c>
      <c r="J24" t="s">
        <v>1506</v>
      </c>
    </row>
    <row r="25" spans="4:10">
      <c r="D25" s="310">
        <f t="shared" si="0"/>
        <v>21</v>
      </c>
      <c r="E25" s="310" t="s">
        <v>1321</v>
      </c>
      <c r="F25" s="310" t="s">
        <v>115</v>
      </c>
      <c r="G25" s="310" t="s">
        <v>1599</v>
      </c>
      <c r="H25" s="645">
        <v>45914</v>
      </c>
      <c r="I25" s="645">
        <v>45921</v>
      </c>
      <c r="J25" t="s">
        <v>1506</v>
      </c>
    </row>
    <row r="26" spans="4:10">
      <c r="D26" s="310">
        <f t="shared" si="0"/>
        <v>22</v>
      </c>
      <c r="E26" s="310" t="s">
        <v>183</v>
      </c>
      <c r="F26" s="310" t="s">
        <v>182</v>
      </c>
      <c r="G26" s="310" t="s">
        <v>1702</v>
      </c>
      <c r="H26" s="645">
        <v>45917</v>
      </c>
      <c r="I26" s="645">
        <v>45922</v>
      </c>
      <c r="J26" t="s">
        <v>1506</v>
      </c>
    </row>
    <row r="27" spans="4:10">
      <c r="D27" s="310">
        <f t="shared" si="0"/>
        <v>23</v>
      </c>
      <c r="E27" s="310" t="s">
        <v>796</v>
      </c>
      <c r="F27" s="310" t="s">
        <v>185</v>
      </c>
      <c r="G27" s="310" t="s">
        <v>1723</v>
      </c>
      <c r="H27" s="645">
        <v>45921</v>
      </c>
      <c r="I27" s="645">
        <v>45923</v>
      </c>
      <c r="J27" t="s">
        <v>1506</v>
      </c>
    </row>
    <row r="28" spans="4:10">
      <c r="D28" s="310">
        <f t="shared" si="0"/>
        <v>24</v>
      </c>
      <c r="E28" s="310" t="s">
        <v>800</v>
      </c>
      <c r="F28" s="310" t="s">
        <v>242</v>
      </c>
      <c r="G28" s="310" t="s">
        <v>1724</v>
      </c>
      <c r="H28" s="645">
        <v>45921</v>
      </c>
      <c r="I28" s="645">
        <v>45923</v>
      </c>
      <c r="J28" t="s">
        <v>1506</v>
      </c>
    </row>
    <row r="29" spans="4:10">
      <c r="D29" s="310">
        <f t="shared" si="0"/>
        <v>25</v>
      </c>
      <c r="E29" s="310" t="s">
        <v>824</v>
      </c>
      <c r="F29" s="310" t="s">
        <v>182</v>
      </c>
      <c r="G29" s="310" t="s">
        <v>1700</v>
      </c>
      <c r="H29" s="645">
        <v>45920</v>
      </c>
      <c r="I29" s="645">
        <v>45923</v>
      </c>
      <c r="J29" t="s">
        <v>1506</v>
      </c>
    </row>
    <row r="30" spans="4:10">
      <c r="D30" s="310">
        <f t="shared" si="0"/>
        <v>26</v>
      </c>
      <c r="E30" s="310" t="s">
        <v>169</v>
      </c>
      <c r="F30" s="310" t="s">
        <v>182</v>
      </c>
      <c r="G30" s="310" t="s">
        <v>1709</v>
      </c>
      <c r="H30" s="645">
        <v>45915</v>
      </c>
      <c r="I30" s="645">
        <v>45924</v>
      </c>
      <c r="J30" t="s">
        <v>1506</v>
      </c>
    </row>
    <row r="31" spans="4:10">
      <c r="D31" s="310">
        <f t="shared" si="0"/>
        <v>27</v>
      </c>
      <c r="E31" s="310" t="s">
        <v>463</v>
      </c>
      <c r="F31" s="310" t="s">
        <v>248</v>
      </c>
      <c r="G31" s="310" t="s">
        <v>1599</v>
      </c>
      <c r="H31" s="645">
        <v>45924</v>
      </c>
      <c r="I31" s="645">
        <v>45926</v>
      </c>
      <c r="J31" t="s">
        <v>1506</v>
      </c>
    </row>
    <row r="32" spans="4:10">
      <c r="D32" s="310">
        <f t="shared" si="0"/>
        <v>28</v>
      </c>
      <c r="E32" s="310" t="s">
        <v>794</v>
      </c>
      <c r="F32" s="310" t="s">
        <v>242</v>
      </c>
      <c r="G32" s="310" t="s">
        <v>1724</v>
      </c>
      <c r="H32" s="645">
        <v>45922</v>
      </c>
      <c r="I32" s="645">
        <v>45927</v>
      </c>
      <c r="J32" t="s">
        <v>1506</v>
      </c>
    </row>
    <row r="33" spans="4:10">
      <c r="D33" s="310">
        <f t="shared" si="0"/>
        <v>29</v>
      </c>
      <c r="E33" s="310" t="s">
        <v>791</v>
      </c>
      <c r="F33" s="310" t="s">
        <v>242</v>
      </c>
      <c r="G33" s="310" t="s">
        <v>1723</v>
      </c>
      <c r="H33" s="645">
        <v>45924</v>
      </c>
      <c r="I33" s="645">
        <v>45927</v>
      </c>
      <c r="J33" t="s">
        <v>1506</v>
      </c>
    </row>
    <row r="34" spans="4:10">
      <c r="D34" s="310">
        <f t="shared" si="0"/>
        <v>30</v>
      </c>
      <c r="E34" s="310" t="s">
        <v>1365</v>
      </c>
      <c r="F34" s="310" t="s">
        <v>185</v>
      </c>
      <c r="G34" s="310" t="s">
        <v>1700</v>
      </c>
      <c r="H34" s="645">
        <v>45924</v>
      </c>
      <c r="I34" s="645">
        <v>45927</v>
      </c>
      <c r="J34" t="s">
        <v>1506</v>
      </c>
    </row>
  </sheetData>
  <conditionalFormatting sqref="H5:I34">
    <cfRule type="duplicateValues" dxfId="3303" priority="1" stopIfTrue="1"/>
    <cfRule type="duplicateValues" dxfId="3302" priority="2"/>
    <cfRule type="duplicateValues" dxfId="3301" priority="3"/>
    <cfRule type="duplicateValues" dxfId="3300" priority="4"/>
    <cfRule type="duplicateValues" dxfId="3299" priority="5"/>
    <cfRule type="duplicateValues" dxfId="3298" priority="6"/>
  </conditionalFormatting>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638529-2F5F-4BFF-9FA1-52B2A1D5FEA3}">
  <dimension ref="A1:K13"/>
  <sheetViews>
    <sheetView tabSelected="1" topLeftCell="C1" workbookViewId="0">
      <selection activeCell="K1" sqref="K1"/>
    </sheetView>
  </sheetViews>
  <sheetFormatPr defaultColWidth="8.81640625" defaultRowHeight="14.5"/>
  <cols>
    <col min="1" max="1" width="10.453125" bestFit="1" customWidth="1"/>
    <col min="2" max="2" width="42.1796875" bestFit="1" customWidth="1"/>
    <col min="3" max="3" width="17.08984375" bestFit="1" customWidth="1"/>
    <col min="4" max="4" width="11.90625" bestFit="1" customWidth="1"/>
    <col min="5" max="5" width="11.1796875" bestFit="1" customWidth="1"/>
    <col min="6" max="6" width="14.54296875" bestFit="1" customWidth="1"/>
    <col min="7" max="7" width="12.81640625" bestFit="1" customWidth="1"/>
    <col min="8" max="8" width="14.6328125" bestFit="1" customWidth="1"/>
    <col min="9" max="9" width="14.36328125" bestFit="1" customWidth="1"/>
    <col min="10" max="10" width="15.08984375" bestFit="1" customWidth="1"/>
    <col min="11" max="11" width="17.453125" bestFit="1" customWidth="1"/>
  </cols>
  <sheetData>
    <row r="1" spans="1:11">
      <c r="A1" s="1083" t="s">
        <v>1800</v>
      </c>
      <c r="B1" s="1083" t="s">
        <v>1801</v>
      </c>
      <c r="C1" s="1083" t="s">
        <v>1802</v>
      </c>
      <c r="D1" s="1083" t="s">
        <v>1803</v>
      </c>
      <c r="E1" s="1083" t="s">
        <v>1804</v>
      </c>
      <c r="F1" s="1083" t="s">
        <v>1805</v>
      </c>
      <c r="G1" s="1083" t="s">
        <v>1806</v>
      </c>
      <c r="H1" s="1083" t="s">
        <v>1807</v>
      </c>
      <c r="I1" s="1083" t="s">
        <v>1889</v>
      </c>
      <c r="J1" s="1083" t="s">
        <v>1808</v>
      </c>
      <c r="K1" s="1083" t="s">
        <v>1809</v>
      </c>
    </row>
    <row r="2" spans="1:11">
      <c r="A2" s="1084" t="s">
        <v>1810</v>
      </c>
      <c r="B2" s="1085" t="s">
        <v>1811</v>
      </c>
      <c r="C2" s="1085" t="s">
        <v>1812</v>
      </c>
      <c r="D2" s="1086">
        <v>45632</v>
      </c>
      <c r="E2" s="1086">
        <v>46178</v>
      </c>
      <c r="F2" s="1086" t="s">
        <v>1878</v>
      </c>
      <c r="G2" s="1086" t="s">
        <v>1879</v>
      </c>
      <c r="H2" s="1085"/>
      <c r="I2" s="1085" t="s">
        <v>1880</v>
      </c>
      <c r="J2" s="1360" t="s">
        <v>1887</v>
      </c>
      <c r="K2" s="1085"/>
    </row>
    <row r="3" spans="1:11">
      <c r="A3" s="1084"/>
      <c r="B3" s="1085"/>
      <c r="C3" s="1085"/>
      <c r="D3" s="1086"/>
      <c r="E3" s="1086"/>
      <c r="F3" s="1086"/>
      <c r="G3" s="1086"/>
      <c r="H3" s="1085"/>
      <c r="I3" s="1085"/>
      <c r="J3" s="1085" t="s">
        <v>1888</v>
      </c>
      <c r="K3" s="1085"/>
    </row>
    <row r="4" spans="1:11">
      <c r="A4" s="1085"/>
      <c r="B4" s="1085"/>
      <c r="C4" s="1085"/>
      <c r="D4" s="1085"/>
      <c r="E4" s="1085"/>
      <c r="F4" s="1085"/>
      <c r="G4" s="1085"/>
      <c r="H4" s="1085"/>
      <c r="I4" s="1085"/>
      <c r="J4" s="1085"/>
      <c r="K4" s="1085"/>
    </row>
    <row r="5" spans="1:11">
      <c r="A5" s="1085"/>
      <c r="B5" s="1085"/>
      <c r="C5" s="1085"/>
      <c r="D5" s="1085"/>
      <c r="E5" s="1085"/>
      <c r="F5" s="1085"/>
      <c r="G5" s="1085"/>
      <c r="H5" s="1085"/>
      <c r="I5" s="1085"/>
      <c r="J5" s="1085"/>
      <c r="K5" s="1085"/>
    </row>
    <row r="6" spans="1:11">
      <c r="A6" s="1085"/>
      <c r="B6" s="1085"/>
      <c r="C6" s="1085"/>
      <c r="D6" s="1085"/>
      <c r="E6" s="1085"/>
      <c r="F6" s="1085"/>
      <c r="G6" s="1085"/>
      <c r="H6" s="1085"/>
      <c r="I6" s="1085"/>
      <c r="J6" s="1085"/>
      <c r="K6" s="1085"/>
    </row>
    <row r="7" spans="1:11">
      <c r="A7" s="1085"/>
      <c r="B7" s="1085"/>
      <c r="C7" s="1085"/>
      <c r="D7" s="1085"/>
      <c r="E7" s="1085"/>
      <c r="F7" s="1085"/>
      <c r="G7" s="1085"/>
      <c r="H7" s="1085"/>
      <c r="I7" s="1085"/>
      <c r="J7" s="1085"/>
      <c r="K7" s="1085"/>
    </row>
    <row r="8" spans="1:11">
      <c r="A8" s="1085"/>
      <c r="B8" s="1085"/>
      <c r="C8" s="1085"/>
      <c r="D8" s="1085"/>
      <c r="E8" s="1085"/>
      <c r="F8" s="1085"/>
      <c r="G8" s="1085"/>
      <c r="H8" s="1085"/>
      <c r="I8" s="1085"/>
      <c r="J8" s="1085"/>
      <c r="K8" s="1085"/>
    </row>
    <row r="9" spans="1:11">
      <c r="A9" s="1085"/>
      <c r="B9" s="1085"/>
      <c r="C9" s="1085"/>
      <c r="D9" s="1085"/>
      <c r="E9" s="1085"/>
      <c r="F9" s="1085"/>
      <c r="G9" s="1085"/>
      <c r="H9" s="1085"/>
      <c r="I9" s="1085"/>
      <c r="J9" s="1085"/>
      <c r="K9" s="1085"/>
    </row>
    <row r="10" spans="1:11">
      <c r="A10" s="1085"/>
      <c r="B10" s="1085"/>
      <c r="C10" s="1085"/>
      <c r="D10" s="1085"/>
      <c r="E10" s="1085"/>
      <c r="F10" s="1085"/>
      <c r="G10" s="1085"/>
      <c r="H10" s="1085"/>
      <c r="I10" s="1085"/>
      <c r="J10" s="1085"/>
      <c r="K10" s="1085"/>
    </row>
    <row r="11" spans="1:11">
      <c r="A11" s="1085"/>
      <c r="B11" s="1085"/>
      <c r="C11" s="1085"/>
      <c r="D11" s="1085"/>
      <c r="E11" s="1085"/>
      <c r="F11" s="1085"/>
      <c r="G11" s="1085"/>
      <c r="H11" s="1085"/>
      <c r="I11" s="1085"/>
      <c r="J11" s="1002"/>
      <c r="K11" s="1085"/>
    </row>
    <row r="12" spans="1:11">
      <c r="A12" s="1002"/>
      <c r="B12" s="1002"/>
      <c r="C12" s="1002"/>
      <c r="D12" s="1002"/>
      <c r="E12" s="1002"/>
      <c r="F12" s="1002"/>
      <c r="G12" s="1002"/>
      <c r="H12" s="1002"/>
      <c r="I12" s="1002"/>
      <c r="J12" s="1002"/>
      <c r="K12" s="1085"/>
    </row>
    <row r="13" spans="1:11">
      <c r="A13" s="1002"/>
      <c r="B13" s="1002"/>
      <c r="C13" s="1002"/>
      <c r="D13" s="1002"/>
      <c r="E13" s="1002"/>
      <c r="F13" s="1002"/>
      <c r="G13" s="1002"/>
      <c r="H13" s="1002"/>
      <c r="I13" s="1002"/>
      <c r="J13" s="1002"/>
      <c r="K13" s="1085"/>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39B08-54A5-49D5-95E3-40F71BECF3F7}">
  <dimension ref="A1:AD310"/>
  <sheetViews>
    <sheetView topLeftCell="A5" zoomScale="85" zoomScaleNormal="85" workbookViewId="0">
      <selection activeCell="G5" sqref="G5"/>
    </sheetView>
  </sheetViews>
  <sheetFormatPr defaultColWidth="9" defaultRowHeight="14.5"/>
  <cols>
    <col min="1" max="1" width="10.08984375" style="577" customWidth="1"/>
    <col min="2" max="2" width="9" style="577"/>
    <col min="3" max="3" width="7.90625" style="577" customWidth="1"/>
    <col min="4" max="4" width="11.81640625" style="577" hidden="1" customWidth="1"/>
    <col min="5" max="5" width="17.08984375" style="577" bestFit="1" customWidth="1"/>
    <col min="6" max="6" width="12.81640625" style="577" customWidth="1"/>
    <col min="7" max="7" width="10.54296875" style="577" bestFit="1" customWidth="1"/>
    <col min="8" max="8" width="23.08984375" style="577" bestFit="1" customWidth="1"/>
    <col min="9" max="9" width="0" style="577" hidden="1" customWidth="1"/>
    <col min="10" max="10" width="10.1796875" style="577" hidden="1" customWidth="1"/>
    <col min="11" max="12" width="0" style="577" hidden="1" customWidth="1"/>
    <col min="13" max="13" width="8.36328125" style="577" hidden="1" customWidth="1"/>
    <col min="14" max="14" width="10.81640625" style="577" bestFit="1" customWidth="1"/>
    <col min="15" max="18" width="9" style="577"/>
    <col min="19" max="23" width="0" style="577" hidden="1" customWidth="1"/>
    <col min="24" max="24" width="20.54296875" style="577" hidden="1" customWidth="1"/>
    <col min="25" max="25" width="13.1796875" style="577" hidden="1" customWidth="1"/>
    <col min="26" max="16384" width="9" style="577"/>
  </cols>
  <sheetData>
    <row r="1" spans="1:22" ht="15.5">
      <c r="A1" s="1418" t="s">
        <v>78</v>
      </c>
      <c r="B1" s="1418"/>
      <c r="C1" s="1418"/>
      <c r="D1" s="1418"/>
      <c r="E1" s="1418"/>
      <c r="F1" s="1418"/>
      <c r="G1" s="1418"/>
      <c r="H1" s="1418"/>
      <c r="I1" s="1119"/>
      <c r="J1" s="1119"/>
      <c r="K1" s="1119"/>
      <c r="L1" s="1119"/>
      <c r="M1" s="1119"/>
      <c r="N1" s="1119"/>
      <c r="O1" s="1119"/>
      <c r="P1" s="1119"/>
      <c r="Q1" s="1119"/>
      <c r="R1" s="1119"/>
      <c r="S1" s="1119"/>
      <c r="T1" s="1119"/>
      <c r="U1" s="1119"/>
      <c r="V1" s="1119"/>
    </row>
    <row r="2" spans="1:22" ht="15.5" customHeight="1">
      <c r="A2" s="1419" t="s">
        <v>79</v>
      </c>
      <c r="B2" s="1419"/>
      <c r="C2" s="1419"/>
      <c r="D2" s="1419"/>
      <c r="E2" s="1419"/>
      <c r="F2" s="1419"/>
      <c r="G2" s="1419"/>
      <c r="H2" s="1419"/>
      <c r="I2" s="1120"/>
      <c r="J2" s="1120"/>
      <c r="K2" s="1120"/>
      <c r="L2" s="1120"/>
      <c r="M2" s="1120"/>
      <c r="N2" s="1120"/>
      <c r="O2" s="1120"/>
      <c r="P2" s="1120"/>
      <c r="Q2" s="1120"/>
      <c r="R2" s="1120"/>
      <c r="S2" s="1120"/>
      <c r="T2" s="1120"/>
      <c r="U2" s="1120"/>
      <c r="V2" s="1120"/>
    </row>
    <row r="3" spans="1:22" ht="15.5" customHeight="1">
      <c r="A3" s="1419" t="s">
        <v>80</v>
      </c>
      <c r="B3" s="1419"/>
      <c r="C3" s="1419"/>
      <c r="D3" s="1419"/>
      <c r="E3" s="1419"/>
      <c r="F3" s="1419"/>
      <c r="G3" s="1419"/>
      <c r="H3" s="1419"/>
      <c r="I3" s="1120"/>
      <c r="J3" s="1120"/>
      <c r="K3" s="1120"/>
      <c r="L3" s="1120"/>
      <c r="M3" s="1120"/>
      <c r="N3" s="1120"/>
      <c r="O3" s="1120"/>
      <c r="P3" s="1120"/>
      <c r="Q3" s="1120"/>
      <c r="R3" s="1120"/>
      <c r="S3" s="1120"/>
      <c r="T3" s="1120"/>
      <c r="U3" s="1120"/>
      <c r="V3" s="1120"/>
    </row>
    <row r="5" spans="1:22" ht="39">
      <c r="A5" s="311" t="s">
        <v>203</v>
      </c>
      <c r="B5" s="311" t="s">
        <v>1796</v>
      </c>
      <c r="C5" s="311" t="s">
        <v>205</v>
      </c>
      <c r="D5" s="311" t="s">
        <v>1797</v>
      </c>
      <c r="E5" s="311" t="s">
        <v>1798</v>
      </c>
      <c r="F5" s="311" t="s">
        <v>207</v>
      </c>
      <c r="G5" s="309" t="s">
        <v>1799</v>
      </c>
      <c r="H5" s="353" t="s">
        <v>1890</v>
      </c>
    </row>
    <row r="6" spans="1:22">
      <c r="A6" s="57">
        <v>1</v>
      </c>
      <c r="B6" s="1126" t="s">
        <v>216</v>
      </c>
      <c r="C6" s="314" t="s">
        <v>185</v>
      </c>
      <c r="D6" s="1054">
        <v>11.145</v>
      </c>
      <c r="E6" s="1121" t="s">
        <v>1599</v>
      </c>
      <c r="F6" s="314">
        <v>45831</v>
      </c>
      <c r="G6" s="314">
        <v>45836</v>
      </c>
      <c r="H6" s="833" t="s">
        <v>1506</v>
      </c>
      <c r="M6" s="1122"/>
      <c r="N6" s="1122"/>
      <c r="O6" s="1122"/>
    </row>
    <row r="7" spans="1:22">
      <c r="A7" s="57">
        <f t="shared" ref="A7:A79" si="0">A6+1</f>
        <v>2</v>
      </c>
      <c r="B7" s="1127" t="s">
        <v>240</v>
      </c>
      <c r="C7" s="833" t="s">
        <v>185</v>
      </c>
      <c r="D7" s="309">
        <v>11.997</v>
      </c>
      <c r="E7" s="1121" t="s">
        <v>1599</v>
      </c>
      <c r="F7" s="314">
        <v>45836</v>
      </c>
      <c r="G7" s="314">
        <v>45840</v>
      </c>
      <c r="H7" s="833" t="s">
        <v>1506</v>
      </c>
      <c r="M7" s="1122"/>
      <c r="N7" s="1122"/>
      <c r="O7" s="1122"/>
    </row>
    <row r="8" spans="1:22">
      <c r="A8" s="57">
        <f t="shared" si="0"/>
        <v>3</v>
      </c>
      <c r="B8" s="1127" t="s">
        <v>231</v>
      </c>
      <c r="C8" s="833" t="s">
        <v>182</v>
      </c>
      <c r="D8" s="1054">
        <v>11.145</v>
      </c>
      <c r="E8" s="1121" t="s">
        <v>1600</v>
      </c>
      <c r="F8" s="314">
        <v>45837</v>
      </c>
      <c r="G8" s="314">
        <v>45843</v>
      </c>
      <c r="H8" s="833" t="s">
        <v>1506</v>
      </c>
      <c r="M8" s="1123"/>
      <c r="N8" s="1123"/>
      <c r="O8" s="1123"/>
    </row>
    <row r="9" spans="1:22">
      <c r="A9" s="57">
        <f t="shared" si="0"/>
        <v>4</v>
      </c>
      <c r="B9" s="1099" t="s">
        <v>241</v>
      </c>
      <c r="C9" s="840" t="s">
        <v>242</v>
      </c>
      <c r="D9" s="1054">
        <v>13.071999999999999</v>
      </c>
      <c r="E9" s="1121" t="s">
        <v>1599</v>
      </c>
      <c r="F9" s="314">
        <v>45841</v>
      </c>
      <c r="G9" s="314">
        <v>45843</v>
      </c>
      <c r="H9" s="833" t="s">
        <v>1506</v>
      </c>
      <c r="M9" s="1122"/>
      <c r="N9" s="1122"/>
      <c r="O9" s="1122"/>
    </row>
    <row r="10" spans="1:22">
      <c r="A10" s="57">
        <f t="shared" si="0"/>
        <v>5</v>
      </c>
      <c r="B10" s="1128" t="s">
        <v>239</v>
      </c>
      <c r="C10" s="857" t="s">
        <v>182</v>
      </c>
      <c r="D10" s="1054">
        <v>11.145</v>
      </c>
      <c r="E10" s="1121" t="s">
        <v>1599</v>
      </c>
      <c r="F10" s="314">
        <v>45845</v>
      </c>
      <c r="G10" s="314">
        <v>45848</v>
      </c>
      <c r="H10" s="833" t="s">
        <v>1506</v>
      </c>
      <c r="M10" s="1122"/>
      <c r="N10" s="1122"/>
      <c r="O10" s="1122"/>
    </row>
    <row r="11" spans="1:22">
      <c r="A11" s="57">
        <f t="shared" si="0"/>
        <v>6</v>
      </c>
      <c r="B11" s="1129" t="s">
        <v>215</v>
      </c>
      <c r="C11" s="857" t="s">
        <v>182</v>
      </c>
      <c r="D11" s="1054">
        <v>11.145</v>
      </c>
      <c r="E11" s="1121" t="s">
        <v>1599</v>
      </c>
      <c r="F11" s="314">
        <v>45849</v>
      </c>
      <c r="G11" s="314">
        <v>45852</v>
      </c>
      <c r="H11" s="833" t="s">
        <v>1506</v>
      </c>
      <c r="M11" s="1122">
        <v>185</v>
      </c>
      <c r="N11" s="1122"/>
      <c r="O11" s="1122"/>
    </row>
    <row r="12" spans="1:22">
      <c r="A12" s="57">
        <f t="shared" si="0"/>
        <v>7</v>
      </c>
      <c r="B12" s="1130" t="s">
        <v>209</v>
      </c>
      <c r="C12" s="875" t="s">
        <v>182</v>
      </c>
      <c r="D12" s="1054">
        <v>11.145</v>
      </c>
      <c r="E12" s="875" t="s">
        <v>1599</v>
      </c>
      <c r="F12" s="314">
        <v>45853</v>
      </c>
      <c r="G12" s="314">
        <v>45856</v>
      </c>
      <c r="H12" s="833" t="s">
        <v>1506</v>
      </c>
      <c r="M12" s="1122"/>
      <c r="N12" s="1122"/>
      <c r="O12" s="1122"/>
    </row>
    <row r="13" spans="1:22">
      <c r="A13" s="57">
        <f t="shared" si="0"/>
        <v>8</v>
      </c>
      <c r="B13" s="1131" t="s">
        <v>212</v>
      </c>
      <c r="C13" s="886" t="s">
        <v>182</v>
      </c>
      <c r="D13" s="1054">
        <v>11.145</v>
      </c>
      <c r="E13" s="886" t="s">
        <v>1599</v>
      </c>
      <c r="F13" s="314">
        <v>45857</v>
      </c>
      <c r="G13" s="314">
        <v>45860</v>
      </c>
      <c r="H13" s="833" t="s">
        <v>1506</v>
      </c>
      <c r="K13" s="577">
        <v>90</v>
      </c>
      <c r="M13" s="577">
        <v>24</v>
      </c>
    </row>
    <row r="14" spans="1:22">
      <c r="A14" s="57">
        <f t="shared" si="0"/>
        <v>9</v>
      </c>
      <c r="B14" s="1132" t="s">
        <v>213</v>
      </c>
      <c r="C14" s="903" t="s">
        <v>182</v>
      </c>
      <c r="D14" s="1054">
        <v>11.145</v>
      </c>
      <c r="E14" s="903" t="s">
        <v>1599</v>
      </c>
      <c r="F14" s="314">
        <v>45860</v>
      </c>
      <c r="G14" s="314">
        <v>45863</v>
      </c>
      <c r="H14" s="833" t="s">
        <v>1506</v>
      </c>
    </row>
    <row r="15" spans="1:22">
      <c r="A15" s="57">
        <f t="shared" si="0"/>
        <v>10</v>
      </c>
      <c r="B15" s="1133" t="s">
        <v>214</v>
      </c>
      <c r="C15" s="914" t="s">
        <v>185</v>
      </c>
      <c r="D15" s="309">
        <v>11.997</v>
      </c>
      <c r="E15" s="903" t="s">
        <v>1599</v>
      </c>
      <c r="F15" s="314">
        <v>45863</v>
      </c>
      <c r="G15" s="314">
        <v>45866</v>
      </c>
      <c r="H15" s="833" t="s">
        <v>1506</v>
      </c>
    </row>
    <row r="16" spans="1:22">
      <c r="A16" s="57">
        <f t="shared" si="0"/>
        <v>11</v>
      </c>
      <c r="B16" s="1134" t="s">
        <v>237</v>
      </c>
      <c r="C16" s="939" t="s">
        <v>182</v>
      </c>
      <c r="D16" s="1054">
        <v>11.145</v>
      </c>
      <c r="E16" s="1082" t="s">
        <v>1599</v>
      </c>
      <c r="F16" s="314">
        <v>45867</v>
      </c>
      <c r="G16" s="314">
        <v>45869</v>
      </c>
      <c r="H16" s="833" t="s">
        <v>1506</v>
      </c>
    </row>
    <row r="17" spans="1:12">
      <c r="A17" s="57">
        <f t="shared" si="0"/>
        <v>12</v>
      </c>
      <c r="B17" s="1132" t="s">
        <v>297</v>
      </c>
      <c r="C17" s="325" t="s">
        <v>182</v>
      </c>
      <c r="D17" s="1054">
        <v>11.145</v>
      </c>
      <c r="E17" s="1082" t="s">
        <v>1671</v>
      </c>
      <c r="F17" s="314">
        <v>45862</v>
      </c>
      <c r="G17" s="314">
        <v>45869</v>
      </c>
      <c r="H17" s="833" t="s">
        <v>1506</v>
      </c>
    </row>
    <row r="18" spans="1:12">
      <c r="A18" s="57">
        <f t="shared" si="0"/>
        <v>13</v>
      </c>
      <c r="B18" s="1035" t="s">
        <v>236</v>
      </c>
      <c r="C18" s="1035" t="s">
        <v>182</v>
      </c>
      <c r="D18" s="1054">
        <v>11.145</v>
      </c>
      <c r="E18" s="1082" t="s">
        <v>1599</v>
      </c>
      <c r="F18" s="314">
        <v>45870</v>
      </c>
      <c r="G18" s="314">
        <v>45873</v>
      </c>
      <c r="H18" s="833" t="s">
        <v>1506</v>
      </c>
      <c r="J18" s="577">
        <v>41</v>
      </c>
    </row>
    <row r="19" spans="1:12">
      <c r="A19" s="57">
        <f t="shared" si="0"/>
        <v>14</v>
      </c>
      <c r="B19" s="1135" t="s">
        <v>251</v>
      </c>
      <c r="C19" s="1135" t="s">
        <v>248</v>
      </c>
      <c r="D19" s="1135">
        <v>13.958</v>
      </c>
      <c r="E19" s="1082" t="s">
        <v>1671</v>
      </c>
      <c r="F19" s="314">
        <v>45870</v>
      </c>
      <c r="G19" s="314">
        <v>45877</v>
      </c>
      <c r="H19" s="833" t="s">
        <v>1506</v>
      </c>
    </row>
    <row r="20" spans="1:12">
      <c r="A20" s="57">
        <f t="shared" si="0"/>
        <v>15</v>
      </c>
      <c r="B20" s="1035" t="s">
        <v>1368</v>
      </c>
      <c r="C20" s="1136" t="s">
        <v>115</v>
      </c>
      <c r="D20" s="1136">
        <v>18.727009000000002</v>
      </c>
      <c r="E20" s="1082" t="s">
        <v>1599</v>
      </c>
      <c r="F20" s="314">
        <v>45873</v>
      </c>
      <c r="G20" s="314">
        <v>45878</v>
      </c>
      <c r="H20" s="833" t="s">
        <v>1506</v>
      </c>
    </row>
    <row r="21" spans="1:12">
      <c r="A21" s="57">
        <f t="shared" si="0"/>
        <v>16</v>
      </c>
      <c r="B21" s="1137" t="s">
        <v>259</v>
      </c>
      <c r="C21" s="1135" t="s">
        <v>248</v>
      </c>
      <c r="D21" s="1135">
        <v>13.958</v>
      </c>
      <c r="E21" s="1082" t="s">
        <v>1671</v>
      </c>
      <c r="F21" s="314">
        <v>45877</v>
      </c>
      <c r="G21" s="314">
        <v>45885</v>
      </c>
      <c r="H21" s="1138" t="s">
        <v>1506</v>
      </c>
    </row>
    <row r="22" spans="1:12">
      <c r="A22" s="57">
        <f t="shared" si="0"/>
        <v>17</v>
      </c>
      <c r="B22" s="1035" t="s">
        <v>159</v>
      </c>
      <c r="C22" s="1139" t="s">
        <v>115</v>
      </c>
      <c r="D22" s="1136">
        <v>18.727009000000002</v>
      </c>
      <c r="E22" s="1082" t="s">
        <v>1599</v>
      </c>
      <c r="F22" s="314">
        <v>45879</v>
      </c>
      <c r="G22" s="314">
        <v>45885</v>
      </c>
      <c r="H22" s="1138" t="s">
        <v>1506</v>
      </c>
    </row>
    <row r="23" spans="1:12">
      <c r="A23" s="57">
        <f t="shared" si="0"/>
        <v>18</v>
      </c>
      <c r="B23" s="1138" t="s">
        <v>258</v>
      </c>
      <c r="C23" s="1138" t="s">
        <v>182</v>
      </c>
      <c r="D23" s="1054">
        <v>11.145</v>
      </c>
      <c r="E23" s="1082" t="s">
        <v>1671</v>
      </c>
      <c r="F23" s="1005">
        <v>45886</v>
      </c>
      <c r="G23" s="314">
        <v>45892</v>
      </c>
      <c r="H23" s="1138" t="s">
        <v>1506</v>
      </c>
    </row>
    <row r="24" spans="1:12">
      <c r="A24" s="57">
        <f t="shared" si="0"/>
        <v>19</v>
      </c>
      <c r="B24" s="1035" t="s">
        <v>1675</v>
      </c>
      <c r="C24" s="1138" t="s">
        <v>125</v>
      </c>
      <c r="D24" s="1138">
        <v>21.41</v>
      </c>
      <c r="E24" s="1082" t="s">
        <v>1599</v>
      </c>
      <c r="F24" s="314">
        <v>45886</v>
      </c>
      <c r="G24" s="314">
        <v>45892</v>
      </c>
      <c r="H24" s="1138" t="s">
        <v>1506</v>
      </c>
    </row>
    <row r="25" spans="1:12">
      <c r="A25" s="57">
        <f t="shared" si="0"/>
        <v>20</v>
      </c>
      <c r="B25" s="1011" t="s">
        <v>262</v>
      </c>
      <c r="C25" s="1011" t="s">
        <v>242</v>
      </c>
      <c r="D25" s="1054">
        <v>13.071999999999999</v>
      </c>
      <c r="E25" s="1082" t="s">
        <v>1671</v>
      </c>
      <c r="F25" s="314">
        <v>45892</v>
      </c>
      <c r="G25" s="314">
        <v>45897</v>
      </c>
      <c r="H25" s="1138" t="s">
        <v>1506</v>
      </c>
    </row>
    <row r="26" spans="1:12">
      <c r="A26" s="57">
        <f t="shared" si="0"/>
        <v>21</v>
      </c>
      <c r="B26" s="1035" t="s">
        <v>257</v>
      </c>
      <c r="C26" s="1011" t="s">
        <v>248</v>
      </c>
      <c r="D26" s="1135">
        <v>13.958</v>
      </c>
      <c r="E26" s="1082" t="s">
        <v>1599</v>
      </c>
      <c r="F26" s="314">
        <v>45892</v>
      </c>
      <c r="G26" s="314">
        <v>45897</v>
      </c>
      <c r="H26" s="1138" t="s">
        <v>1506</v>
      </c>
    </row>
    <row r="27" spans="1:12">
      <c r="A27" s="57">
        <f t="shared" si="0"/>
        <v>22</v>
      </c>
      <c r="B27" s="1140" t="s">
        <v>821</v>
      </c>
      <c r="C27" s="1140" t="s">
        <v>182</v>
      </c>
      <c r="D27" s="1054">
        <v>11.145</v>
      </c>
      <c r="E27" s="1124" t="s">
        <v>1700</v>
      </c>
      <c r="F27" s="314">
        <v>45896</v>
      </c>
      <c r="G27" s="314">
        <v>45898</v>
      </c>
      <c r="H27" s="1138" t="s">
        <v>1506</v>
      </c>
    </row>
    <row r="28" spans="1:12">
      <c r="A28" s="57">
        <f t="shared" si="0"/>
        <v>23</v>
      </c>
      <c r="B28" s="1012" t="s">
        <v>217</v>
      </c>
      <c r="C28" s="1012" t="s">
        <v>182</v>
      </c>
      <c r="D28" s="1054">
        <v>11.145</v>
      </c>
      <c r="E28" s="1124" t="s">
        <v>1684</v>
      </c>
      <c r="F28" s="324">
        <v>45892</v>
      </c>
      <c r="G28" s="314">
        <v>45900</v>
      </c>
      <c r="H28" s="1138" t="s">
        <v>1506</v>
      </c>
      <c r="I28" s="1141"/>
      <c r="K28" s="1141"/>
      <c r="L28" s="1141"/>
    </row>
    <row r="29" spans="1:12">
      <c r="A29" s="57">
        <f t="shared" si="0"/>
        <v>24</v>
      </c>
      <c r="B29" s="1035" t="s">
        <v>269</v>
      </c>
      <c r="C29" s="1142" t="s">
        <v>182</v>
      </c>
      <c r="D29" s="1054">
        <v>11.145</v>
      </c>
      <c r="E29" s="1082" t="s">
        <v>1599</v>
      </c>
      <c r="F29" s="314">
        <v>45898</v>
      </c>
      <c r="G29" s="314">
        <v>45900</v>
      </c>
      <c r="H29" s="1138" t="s">
        <v>1506</v>
      </c>
      <c r="I29" s="1141"/>
    </row>
    <row r="30" spans="1:12">
      <c r="A30" s="57">
        <f t="shared" si="0"/>
        <v>25</v>
      </c>
      <c r="B30" s="1142" t="s">
        <v>820</v>
      </c>
      <c r="C30" s="57" t="s">
        <v>182</v>
      </c>
      <c r="D30" s="1054">
        <v>11.145</v>
      </c>
      <c r="E30" s="57" t="s">
        <v>1700</v>
      </c>
      <c r="F30" s="314">
        <v>45898</v>
      </c>
      <c r="G30" s="314">
        <v>45904</v>
      </c>
      <c r="H30" s="1138" t="s">
        <v>1506</v>
      </c>
      <c r="I30" s="1141"/>
    </row>
    <row r="31" spans="1:12">
      <c r="A31" s="57">
        <f t="shared" si="0"/>
        <v>26</v>
      </c>
      <c r="B31" s="1143" t="s">
        <v>268</v>
      </c>
      <c r="C31" s="1143" t="s">
        <v>185</v>
      </c>
      <c r="D31" s="309">
        <v>11.997</v>
      </c>
      <c r="E31" s="1082" t="s">
        <v>1599</v>
      </c>
      <c r="F31" s="314">
        <v>45901</v>
      </c>
      <c r="G31" s="314">
        <v>45905</v>
      </c>
      <c r="H31" s="1138" t="s">
        <v>1506</v>
      </c>
      <c r="I31" s="1141"/>
    </row>
    <row r="32" spans="1:12">
      <c r="A32" s="57">
        <f t="shared" si="0"/>
        <v>27</v>
      </c>
      <c r="B32" s="1140" t="s">
        <v>803</v>
      </c>
      <c r="C32" s="1140" t="s">
        <v>185</v>
      </c>
      <c r="D32" s="309">
        <v>11.997</v>
      </c>
      <c r="E32" s="1124" t="s">
        <v>1701</v>
      </c>
      <c r="F32" s="314">
        <v>45896</v>
      </c>
      <c r="G32" s="314">
        <v>45909</v>
      </c>
      <c r="H32" s="1138" t="s">
        <v>1506</v>
      </c>
      <c r="I32" s="1141"/>
    </row>
    <row r="33" spans="1:10">
      <c r="A33" s="57">
        <f t="shared" si="0"/>
        <v>28</v>
      </c>
      <c r="B33" s="1144" t="s">
        <v>227</v>
      </c>
      <c r="C33" s="1144" t="s">
        <v>182</v>
      </c>
      <c r="D33" s="1054">
        <v>11.145</v>
      </c>
      <c r="E33" s="1082" t="s">
        <v>1599</v>
      </c>
      <c r="F33" s="314">
        <v>45905</v>
      </c>
      <c r="G33" s="314">
        <v>45909</v>
      </c>
      <c r="H33" s="1138" t="s">
        <v>1506</v>
      </c>
      <c r="I33" s="1145" t="s">
        <v>1719</v>
      </c>
      <c r="J33" s="1145" t="s">
        <v>1720</v>
      </c>
    </row>
    <row r="34" spans="1:10">
      <c r="A34" s="57">
        <f t="shared" si="0"/>
        <v>29</v>
      </c>
      <c r="B34" s="1146" t="s">
        <v>819</v>
      </c>
      <c r="C34" s="1144" t="s">
        <v>182</v>
      </c>
      <c r="D34" s="1054">
        <v>11.145</v>
      </c>
      <c r="E34" s="57" t="s">
        <v>1700</v>
      </c>
      <c r="F34" s="314">
        <v>45905</v>
      </c>
      <c r="G34" s="314">
        <v>45910</v>
      </c>
      <c r="H34" s="1138" t="s">
        <v>1506</v>
      </c>
    </row>
    <row r="35" spans="1:10">
      <c r="A35" s="57">
        <f t="shared" si="0"/>
        <v>30</v>
      </c>
      <c r="B35" s="1147" t="s">
        <v>225</v>
      </c>
      <c r="C35" s="1147" t="s">
        <v>185</v>
      </c>
      <c r="D35" s="309">
        <v>11.997</v>
      </c>
      <c r="E35" s="1082" t="s">
        <v>1671</v>
      </c>
      <c r="F35" s="314">
        <v>45898</v>
      </c>
      <c r="G35" s="314">
        <v>45911</v>
      </c>
      <c r="H35" s="1138" t="s">
        <v>1506</v>
      </c>
    </row>
    <row r="36" spans="1:10">
      <c r="A36" s="57">
        <f t="shared" si="0"/>
        <v>31</v>
      </c>
      <c r="B36" s="1143" t="s">
        <v>1311</v>
      </c>
      <c r="C36" s="1143" t="s">
        <v>115</v>
      </c>
      <c r="D36" s="1136">
        <v>18.727009000000002</v>
      </c>
      <c r="E36" s="1143" t="s">
        <v>1709</v>
      </c>
      <c r="F36" s="314">
        <v>45901</v>
      </c>
      <c r="G36" s="314">
        <v>45911</v>
      </c>
      <c r="H36" s="1138" t="s">
        <v>1506</v>
      </c>
    </row>
    <row r="37" spans="1:10">
      <c r="A37" s="57">
        <f t="shared" si="0"/>
        <v>32</v>
      </c>
      <c r="B37" s="1148" t="s">
        <v>822</v>
      </c>
      <c r="C37" s="1146" t="s">
        <v>182</v>
      </c>
      <c r="D37" s="1054">
        <v>11.145</v>
      </c>
      <c r="E37" s="57" t="s">
        <v>1700</v>
      </c>
      <c r="F37" s="314">
        <v>45911</v>
      </c>
      <c r="G37" s="314">
        <v>45914</v>
      </c>
      <c r="H37" s="1138" t="s">
        <v>1506</v>
      </c>
      <c r="I37" s="1149"/>
    </row>
    <row r="38" spans="1:10">
      <c r="A38" s="57">
        <f t="shared" si="0"/>
        <v>33</v>
      </c>
      <c r="B38" s="1150" t="s">
        <v>804</v>
      </c>
      <c r="C38" s="1150" t="s">
        <v>182</v>
      </c>
      <c r="D38" s="1054">
        <v>11.145</v>
      </c>
      <c r="E38" s="1124" t="s">
        <v>1701</v>
      </c>
      <c r="F38" s="314">
        <v>45909</v>
      </c>
      <c r="G38" s="314">
        <v>45914</v>
      </c>
      <c r="H38" s="1138" t="s">
        <v>1506</v>
      </c>
      <c r="I38" s="1149"/>
    </row>
    <row r="39" spans="1:10">
      <c r="A39" s="57">
        <f t="shared" si="0"/>
        <v>34</v>
      </c>
      <c r="B39" s="1150" t="s">
        <v>392</v>
      </c>
      <c r="C39" s="1150" t="s">
        <v>242</v>
      </c>
      <c r="D39" s="1054">
        <v>13.071999999999999</v>
      </c>
      <c r="E39" s="1082" t="s">
        <v>1599</v>
      </c>
      <c r="F39" s="314">
        <v>45909</v>
      </c>
      <c r="G39" s="314">
        <v>45914</v>
      </c>
      <c r="H39" s="1138" t="s">
        <v>1506</v>
      </c>
      <c r="J39" s="1151" t="s">
        <v>1722</v>
      </c>
    </row>
    <row r="40" spans="1:10">
      <c r="A40" s="57">
        <f t="shared" si="0"/>
        <v>35</v>
      </c>
      <c r="B40" s="1152" t="s">
        <v>294</v>
      </c>
      <c r="C40" s="1152" t="s">
        <v>182</v>
      </c>
      <c r="D40" s="1054">
        <v>11.145</v>
      </c>
      <c r="E40" s="1153" t="s">
        <v>1709</v>
      </c>
      <c r="F40" s="314">
        <v>45901</v>
      </c>
      <c r="G40" s="314">
        <v>45915</v>
      </c>
      <c r="H40" s="57" t="s">
        <v>1506</v>
      </c>
      <c r="I40" s="1149"/>
    </row>
    <row r="41" spans="1:10">
      <c r="A41" s="57">
        <f t="shared" si="0"/>
        <v>36</v>
      </c>
      <c r="B41" s="1153" t="s">
        <v>385</v>
      </c>
      <c r="C41" s="1153" t="s">
        <v>182</v>
      </c>
      <c r="D41" s="1054">
        <v>11.145</v>
      </c>
      <c r="E41" s="1082" t="s">
        <v>1671</v>
      </c>
      <c r="F41" s="314">
        <v>45911</v>
      </c>
      <c r="G41" s="314">
        <v>45915</v>
      </c>
      <c r="H41" s="1154" t="s">
        <v>1506</v>
      </c>
      <c r="I41" s="1155" t="s">
        <v>183</v>
      </c>
    </row>
    <row r="42" spans="1:10">
      <c r="A42" s="57">
        <f t="shared" si="0"/>
        <v>37</v>
      </c>
      <c r="B42" s="1156" t="s">
        <v>181</v>
      </c>
      <c r="C42" s="1140" t="s">
        <v>182</v>
      </c>
      <c r="D42" s="1054">
        <v>11.145</v>
      </c>
      <c r="E42" s="1124" t="s">
        <v>1702</v>
      </c>
      <c r="F42" s="314">
        <v>45897</v>
      </c>
      <c r="G42" s="314">
        <v>45916</v>
      </c>
      <c r="H42" s="1154" t="s">
        <v>1506</v>
      </c>
    </row>
    <row r="43" spans="1:10">
      <c r="A43" s="57">
        <f t="shared" si="0"/>
        <v>38</v>
      </c>
      <c r="B43" s="1157" t="s">
        <v>823</v>
      </c>
      <c r="C43" s="1146" t="s">
        <v>182</v>
      </c>
      <c r="D43" s="1054">
        <v>11.145</v>
      </c>
      <c r="E43" s="57" t="s">
        <v>1700</v>
      </c>
      <c r="F43" s="314">
        <v>45914</v>
      </c>
      <c r="G43" s="314">
        <v>45919</v>
      </c>
      <c r="H43" s="1154" t="s">
        <v>1506</v>
      </c>
      <c r="I43" s="1158" t="s">
        <v>824</v>
      </c>
    </row>
    <row r="44" spans="1:10">
      <c r="A44" s="57">
        <f t="shared" si="0"/>
        <v>39</v>
      </c>
      <c r="B44" s="1157" t="s">
        <v>805</v>
      </c>
      <c r="C44" s="1150" t="s">
        <v>182</v>
      </c>
      <c r="D44" s="1054">
        <v>11.145</v>
      </c>
      <c r="E44" s="1124" t="s">
        <v>1701</v>
      </c>
      <c r="F44" s="314">
        <v>45914</v>
      </c>
      <c r="G44" s="314">
        <v>45919</v>
      </c>
      <c r="H44" s="1154" t="s">
        <v>1506</v>
      </c>
      <c r="I44" s="1158" t="s">
        <v>806</v>
      </c>
    </row>
    <row r="45" spans="1:10">
      <c r="A45" s="57">
        <f t="shared" si="0"/>
        <v>40</v>
      </c>
      <c r="B45" s="1157" t="s">
        <v>798</v>
      </c>
      <c r="C45" s="1157" t="s">
        <v>185</v>
      </c>
      <c r="D45" s="309">
        <v>11.997</v>
      </c>
      <c r="E45" s="1157" t="s">
        <v>1723</v>
      </c>
      <c r="F45" s="1159">
        <v>45911</v>
      </c>
      <c r="G45" s="1159">
        <v>45917</v>
      </c>
      <c r="H45" s="1154" t="s">
        <v>1506</v>
      </c>
    </row>
    <row r="46" spans="1:10">
      <c r="A46" s="57">
        <f t="shared" si="0"/>
        <v>41</v>
      </c>
      <c r="B46" s="1157" t="s">
        <v>797</v>
      </c>
      <c r="C46" s="1157" t="s">
        <v>185</v>
      </c>
      <c r="D46" s="309">
        <v>11.997</v>
      </c>
      <c r="E46" s="1157" t="s">
        <v>1724</v>
      </c>
      <c r="F46" s="1159">
        <v>45911</v>
      </c>
      <c r="G46" s="1159">
        <v>45917</v>
      </c>
      <c r="H46" s="1154" t="s">
        <v>1506</v>
      </c>
      <c r="I46" s="1158" t="s">
        <v>795</v>
      </c>
    </row>
    <row r="47" spans="1:10">
      <c r="A47" s="57">
        <f t="shared" si="0"/>
        <v>42</v>
      </c>
      <c r="B47" s="1160" t="s">
        <v>795</v>
      </c>
      <c r="C47" s="1160" t="s">
        <v>182</v>
      </c>
      <c r="D47" s="1054">
        <v>11.145</v>
      </c>
      <c r="E47" s="1157" t="s">
        <v>1723</v>
      </c>
      <c r="F47" s="314">
        <v>45918</v>
      </c>
      <c r="G47" s="1161">
        <v>45920</v>
      </c>
      <c r="H47" s="1154" t="s">
        <v>1506</v>
      </c>
      <c r="I47" s="1162" t="s">
        <v>796</v>
      </c>
      <c r="J47" s="1163" t="s">
        <v>794</v>
      </c>
    </row>
    <row r="48" spans="1:10">
      <c r="A48" s="57">
        <f t="shared" si="0"/>
        <v>43</v>
      </c>
      <c r="B48" s="1160" t="s">
        <v>799</v>
      </c>
      <c r="C48" s="1160" t="s">
        <v>182</v>
      </c>
      <c r="D48" s="1054">
        <v>11.145</v>
      </c>
      <c r="E48" s="1157" t="s">
        <v>1724</v>
      </c>
      <c r="F48" s="314">
        <v>45918</v>
      </c>
      <c r="G48" s="1161">
        <v>45920</v>
      </c>
      <c r="H48" s="1154" t="s">
        <v>1506</v>
      </c>
      <c r="I48" s="1164" t="s">
        <v>800</v>
      </c>
      <c r="J48" s="1163"/>
    </row>
    <row r="49" spans="1:18">
      <c r="A49" s="57">
        <f t="shared" si="0"/>
        <v>44</v>
      </c>
      <c r="B49" s="1148" t="s">
        <v>418</v>
      </c>
      <c r="C49" s="1165" t="s">
        <v>185</v>
      </c>
      <c r="D49" s="309">
        <v>11.997</v>
      </c>
      <c r="E49" s="1153" t="s">
        <v>1710</v>
      </c>
      <c r="F49" s="314">
        <v>45911</v>
      </c>
      <c r="G49" s="314">
        <v>45921</v>
      </c>
      <c r="H49" s="1154" t="s">
        <v>1506</v>
      </c>
      <c r="I49" s="1163" t="s">
        <v>289</v>
      </c>
      <c r="J49" s="1166"/>
    </row>
    <row r="50" spans="1:18">
      <c r="A50" s="57">
        <f t="shared" si="0"/>
        <v>45</v>
      </c>
      <c r="B50" s="1157" t="s">
        <v>1321</v>
      </c>
      <c r="C50" s="1157" t="s">
        <v>115</v>
      </c>
      <c r="D50" s="1136">
        <v>18.727009000000002</v>
      </c>
      <c r="E50" s="1082" t="s">
        <v>1599</v>
      </c>
      <c r="F50" s="314">
        <v>45914</v>
      </c>
      <c r="G50" s="314">
        <v>45921</v>
      </c>
      <c r="H50" s="1154" t="s">
        <v>1506</v>
      </c>
      <c r="I50" s="1163"/>
      <c r="J50" s="1166"/>
    </row>
    <row r="51" spans="1:18">
      <c r="A51" s="57">
        <f t="shared" si="0"/>
        <v>46</v>
      </c>
      <c r="B51" s="1160" t="s">
        <v>183</v>
      </c>
      <c r="C51" s="1160" t="s">
        <v>182</v>
      </c>
      <c r="D51" s="1054">
        <v>11.145</v>
      </c>
      <c r="E51" s="1124" t="s">
        <v>1702</v>
      </c>
      <c r="F51" s="314">
        <v>45917</v>
      </c>
      <c r="G51" s="314">
        <v>45922</v>
      </c>
      <c r="H51" s="1154" t="s">
        <v>1506</v>
      </c>
      <c r="I51" s="1163"/>
      <c r="J51" s="1163"/>
      <c r="L51" s="1167" t="s">
        <v>253</v>
      </c>
      <c r="M51" s="1158" t="s">
        <v>274</v>
      </c>
    </row>
    <row r="52" spans="1:18">
      <c r="A52" s="57">
        <f t="shared" si="0"/>
        <v>47</v>
      </c>
      <c r="B52" s="1168" t="s">
        <v>796</v>
      </c>
      <c r="C52" s="1168" t="s">
        <v>185</v>
      </c>
      <c r="D52" s="309">
        <v>11.997</v>
      </c>
      <c r="E52" s="1157" t="s">
        <v>1723</v>
      </c>
      <c r="F52" s="314">
        <v>45921</v>
      </c>
      <c r="G52" s="1161">
        <v>45923</v>
      </c>
      <c r="H52" s="1154" t="s">
        <v>1506</v>
      </c>
      <c r="I52" s="1167" t="s">
        <v>1336</v>
      </c>
      <c r="J52" s="1169" t="s">
        <v>228</v>
      </c>
      <c r="K52" s="1158" t="s">
        <v>289</v>
      </c>
    </row>
    <row r="53" spans="1:18">
      <c r="A53" s="57">
        <f t="shared" si="0"/>
        <v>48</v>
      </c>
      <c r="B53" s="1168" t="s">
        <v>800</v>
      </c>
      <c r="C53" s="1168" t="s">
        <v>242</v>
      </c>
      <c r="D53" s="1054">
        <v>13.071999999999999</v>
      </c>
      <c r="E53" s="1157" t="s">
        <v>1724</v>
      </c>
      <c r="F53" s="314">
        <v>45921</v>
      </c>
      <c r="G53" s="314">
        <v>45923</v>
      </c>
      <c r="H53" s="1154" t="s">
        <v>1506</v>
      </c>
      <c r="I53" s="1163"/>
    </row>
    <row r="54" spans="1:18">
      <c r="A54" s="57">
        <f t="shared" si="0"/>
        <v>49</v>
      </c>
      <c r="B54" s="1170" t="s">
        <v>824</v>
      </c>
      <c r="C54" s="1146" t="s">
        <v>182</v>
      </c>
      <c r="D54" s="1054">
        <v>11.145</v>
      </c>
      <c r="E54" s="57" t="s">
        <v>1700</v>
      </c>
      <c r="F54" s="314">
        <v>45920</v>
      </c>
      <c r="G54" s="314">
        <v>45923</v>
      </c>
      <c r="H54" s="1154" t="s">
        <v>1506</v>
      </c>
    </row>
    <row r="55" spans="1:18">
      <c r="A55" s="57">
        <f t="shared" si="0"/>
        <v>50</v>
      </c>
      <c r="B55" s="1154" t="s">
        <v>169</v>
      </c>
      <c r="C55" s="1154" t="s">
        <v>182</v>
      </c>
      <c r="D55" s="1054">
        <v>11.145</v>
      </c>
      <c r="E55" s="1153" t="s">
        <v>1709</v>
      </c>
      <c r="F55" s="314">
        <v>45915</v>
      </c>
      <c r="G55" s="314">
        <v>45924</v>
      </c>
      <c r="H55" s="1154" t="s">
        <v>1506</v>
      </c>
      <c r="I55" s="1171" t="s">
        <v>1730</v>
      </c>
      <c r="J55" s="1172"/>
      <c r="K55" s="1173"/>
    </row>
    <row r="56" spans="1:18">
      <c r="A56" s="57">
        <f t="shared" si="0"/>
        <v>51</v>
      </c>
      <c r="B56" s="1170" t="s">
        <v>463</v>
      </c>
      <c r="C56" s="1170" t="s">
        <v>248</v>
      </c>
      <c r="D56" s="1135">
        <v>13.958</v>
      </c>
      <c r="E56" s="1082" t="s">
        <v>1599</v>
      </c>
      <c r="F56" s="314">
        <v>45924</v>
      </c>
      <c r="G56" s="314">
        <v>45926</v>
      </c>
      <c r="H56" s="1174" t="s">
        <v>1506</v>
      </c>
      <c r="I56" s="1149" t="s">
        <v>276</v>
      </c>
      <c r="J56" s="1166">
        <v>45915</v>
      </c>
      <c r="K56" s="1158" t="s">
        <v>158</v>
      </c>
      <c r="L56" s="1164" t="s">
        <v>421</v>
      </c>
    </row>
    <row r="57" spans="1:18">
      <c r="A57" s="57">
        <f t="shared" si="0"/>
        <v>52</v>
      </c>
      <c r="B57" s="1168" t="s">
        <v>794</v>
      </c>
      <c r="C57" s="1168" t="s">
        <v>242</v>
      </c>
      <c r="D57" s="1054">
        <v>13.071999999999999</v>
      </c>
      <c r="E57" s="1157" t="s">
        <v>1724</v>
      </c>
      <c r="F57" s="314">
        <v>45922</v>
      </c>
      <c r="G57" s="314">
        <v>45927</v>
      </c>
      <c r="H57" s="1175" t="s">
        <v>1506</v>
      </c>
    </row>
    <row r="58" spans="1:18">
      <c r="A58" s="57">
        <f t="shared" si="0"/>
        <v>53</v>
      </c>
      <c r="B58" s="1176" t="s">
        <v>791</v>
      </c>
      <c r="C58" s="1176" t="s">
        <v>242</v>
      </c>
      <c r="D58" s="1054">
        <v>13.071999999999999</v>
      </c>
      <c r="E58" s="1176" t="s">
        <v>1723</v>
      </c>
      <c r="F58" s="314">
        <v>45924</v>
      </c>
      <c r="G58" s="314">
        <v>45927</v>
      </c>
      <c r="H58" s="1175" t="s">
        <v>1506</v>
      </c>
    </row>
    <row r="59" spans="1:18">
      <c r="A59" s="57">
        <f t="shared" si="0"/>
        <v>54</v>
      </c>
      <c r="B59" s="1176" t="s">
        <v>1365</v>
      </c>
      <c r="C59" s="1176" t="s">
        <v>185</v>
      </c>
      <c r="D59" s="309">
        <v>11.997</v>
      </c>
      <c r="E59" s="57" t="s">
        <v>1700</v>
      </c>
      <c r="F59" s="314">
        <v>45924</v>
      </c>
      <c r="G59" s="314">
        <v>45927</v>
      </c>
      <c r="H59" s="1175" t="s">
        <v>1506</v>
      </c>
      <c r="I59" s="1149"/>
      <c r="J59" s="1166"/>
      <c r="K59" s="1158"/>
      <c r="L59" s="1164"/>
    </row>
    <row r="60" spans="1:18">
      <c r="A60" s="57">
        <f t="shared" si="0"/>
        <v>55</v>
      </c>
      <c r="B60" s="1160" t="s">
        <v>263</v>
      </c>
      <c r="C60" s="1177" t="s">
        <v>242</v>
      </c>
      <c r="D60" s="1054">
        <v>13.071999999999999</v>
      </c>
      <c r="E60" s="1082" t="s">
        <v>1671</v>
      </c>
      <c r="F60" s="314">
        <v>45919</v>
      </c>
      <c r="G60" s="1178">
        <v>45927</v>
      </c>
      <c r="H60" s="1175" t="s">
        <v>1506</v>
      </c>
      <c r="I60" s="1158"/>
      <c r="J60" s="1172"/>
      <c r="K60" s="1173"/>
    </row>
    <row r="61" spans="1:18">
      <c r="A61" s="57">
        <f t="shared" si="0"/>
        <v>56</v>
      </c>
      <c r="B61" s="1179" t="s">
        <v>468</v>
      </c>
      <c r="C61" s="1174" t="s">
        <v>182</v>
      </c>
      <c r="D61" s="1054">
        <v>11.145</v>
      </c>
      <c r="E61" s="1082" t="s">
        <v>1599</v>
      </c>
      <c r="F61" s="314">
        <v>45927</v>
      </c>
      <c r="G61" s="314">
        <v>45929</v>
      </c>
      <c r="H61" s="1177" t="s">
        <v>1506</v>
      </c>
      <c r="N61" s="1166">
        <v>45929</v>
      </c>
    </row>
    <row r="62" spans="1:18">
      <c r="A62" s="57">
        <f t="shared" si="0"/>
        <v>57</v>
      </c>
      <c r="B62" s="1180" t="s">
        <v>765</v>
      </c>
      <c r="C62" s="1180" t="s">
        <v>185</v>
      </c>
      <c r="D62" s="309">
        <v>11.997</v>
      </c>
      <c r="E62" s="1124" t="s">
        <v>1702</v>
      </c>
      <c r="F62" s="314">
        <v>45923</v>
      </c>
      <c r="G62" s="314">
        <v>45929</v>
      </c>
      <c r="H62" s="1177" t="s">
        <v>1506</v>
      </c>
      <c r="N62" s="1166">
        <v>45930</v>
      </c>
      <c r="O62" s="1181" t="s">
        <v>766</v>
      </c>
    </row>
    <row r="63" spans="1:18">
      <c r="A63" s="57">
        <f t="shared" si="0"/>
        <v>58</v>
      </c>
      <c r="B63" s="1182" t="s">
        <v>1366</v>
      </c>
      <c r="C63" s="1182" t="s">
        <v>182</v>
      </c>
      <c r="D63" s="1054">
        <v>11.145</v>
      </c>
      <c r="E63" s="57" t="s">
        <v>1700</v>
      </c>
      <c r="F63" s="314">
        <v>45927</v>
      </c>
      <c r="G63" s="1183">
        <v>45930</v>
      </c>
      <c r="H63" s="1177" t="s">
        <v>1506</v>
      </c>
      <c r="I63" s="1158"/>
      <c r="J63" s="1172"/>
      <c r="K63" s="1173"/>
      <c r="N63" s="1166">
        <v>45929</v>
      </c>
      <c r="O63" s="1181" t="s">
        <v>816</v>
      </c>
      <c r="P63" s="1184" t="s">
        <v>817</v>
      </c>
      <c r="Q63" s="1181" t="s">
        <v>1679</v>
      </c>
      <c r="R63" s="1181" t="s">
        <v>1363</v>
      </c>
    </row>
    <row r="64" spans="1:18">
      <c r="A64" s="57">
        <f t="shared" si="0"/>
        <v>59</v>
      </c>
      <c r="B64" s="1180" t="s">
        <v>806</v>
      </c>
      <c r="C64" s="1180" t="s">
        <v>185</v>
      </c>
      <c r="D64" s="309">
        <v>11.997</v>
      </c>
      <c r="E64" s="1182" t="s">
        <v>1742</v>
      </c>
      <c r="F64" s="314">
        <v>45920</v>
      </c>
      <c r="G64" s="1183">
        <v>45930</v>
      </c>
      <c r="H64" s="1177" t="s">
        <v>1506</v>
      </c>
      <c r="N64" s="1185">
        <v>45929</v>
      </c>
      <c r="O64" s="1181" t="s">
        <v>808</v>
      </c>
    </row>
    <row r="65" spans="1:26">
      <c r="A65" s="57">
        <f t="shared" si="0"/>
        <v>60</v>
      </c>
      <c r="B65" s="1168" t="s">
        <v>289</v>
      </c>
      <c r="C65" s="1168" t="s">
        <v>182</v>
      </c>
      <c r="D65" s="1054">
        <v>11.145</v>
      </c>
      <c r="E65" s="1153" t="s">
        <v>1710</v>
      </c>
      <c r="F65" s="314">
        <v>45923</v>
      </c>
      <c r="G65" s="1183">
        <v>45930</v>
      </c>
      <c r="H65" s="1177" t="s">
        <v>1506</v>
      </c>
    </row>
    <row r="66" spans="1:26">
      <c r="A66" s="57">
        <f t="shared" si="0"/>
        <v>61</v>
      </c>
      <c r="B66" s="1175" t="s">
        <v>790</v>
      </c>
      <c r="C66" s="1175" t="s">
        <v>182</v>
      </c>
      <c r="D66" s="1054">
        <v>11.145</v>
      </c>
      <c r="E66" s="1176" t="s">
        <v>1723</v>
      </c>
      <c r="F66" s="314">
        <v>45927</v>
      </c>
      <c r="G66" s="1183">
        <v>45930</v>
      </c>
      <c r="H66" s="1177" t="s">
        <v>1506</v>
      </c>
    </row>
    <row r="67" spans="1:26">
      <c r="A67" s="57">
        <f t="shared" si="0"/>
        <v>62</v>
      </c>
      <c r="B67" s="1186" t="s">
        <v>1634</v>
      </c>
      <c r="C67" s="1186" t="s">
        <v>137</v>
      </c>
      <c r="D67" s="309">
        <f>(14703.841+4275.97)/1000</f>
        <v>18.979811000000002</v>
      </c>
      <c r="E67" s="1187" t="s">
        <v>1724</v>
      </c>
      <c r="F67" s="1088">
        <v>45927</v>
      </c>
      <c r="G67" s="1183">
        <v>45930</v>
      </c>
      <c r="H67" s="1177" t="s">
        <v>1506</v>
      </c>
      <c r="N67" s="1166">
        <v>45929</v>
      </c>
      <c r="O67" s="1181" t="s">
        <v>1617</v>
      </c>
    </row>
    <row r="68" spans="1:26">
      <c r="A68" s="57">
        <f t="shared" si="0"/>
        <v>63</v>
      </c>
      <c r="B68" s="1175" t="s">
        <v>808</v>
      </c>
      <c r="C68" s="57" t="s">
        <v>185</v>
      </c>
      <c r="D68" s="309">
        <v>11.997</v>
      </c>
      <c r="E68" s="1182" t="s">
        <v>1742</v>
      </c>
      <c r="F68" s="314">
        <v>45930</v>
      </c>
      <c r="G68" s="1183">
        <v>45933</v>
      </c>
      <c r="H68" s="1177" t="s">
        <v>1506</v>
      </c>
      <c r="N68" s="1166"/>
      <c r="O68" s="1181"/>
    </row>
    <row r="69" spans="1:26">
      <c r="A69" s="57">
        <f t="shared" si="0"/>
        <v>64</v>
      </c>
      <c r="B69" s="1188" t="s">
        <v>816</v>
      </c>
      <c r="C69" s="1182" t="s">
        <v>182</v>
      </c>
      <c r="D69" s="1054">
        <v>11.145</v>
      </c>
      <c r="E69" s="57" t="s">
        <v>1700</v>
      </c>
      <c r="F69" s="314">
        <v>45930</v>
      </c>
      <c r="G69" s="1183">
        <v>45933</v>
      </c>
      <c r="H69" s="1177" t="s">
        <v>1506</v>
      </c>
      <c r="N69" s="1166"/>
      <c r="O69" s="1181"/>
    </row>
    <row r="70" spans="1:26">
      <c r="A70" s="57">
        <f t="shared" si="0"/>
        <v>65</v>
      </c>
      <c r="B70" s="1177" t="s">
        <v>766</v>
      </c>
      <c r="C70" s="1188" t="s">
        <v>182</v>
      </c>
      <c r="D70" s="1054">
        <v>11.145</v>
      </c>
      <c r="E70" s="1124" t="s">
        <v>1702</v>
      </c>
      <c r="F70" s="314">
        <v>45929</v>
      </c>
      <c r="G70" s="1183">
        <v>45935</v>
      </c>
      <c r="H70" s="1177" t="s">
        <v>1506</v>
      </c>
      <c r="N70" s="1166"/>
    </row>
    <row r="71" spans="1:26">
      <c r="A71" s="57">
        <f t="shared" si="0"/>
        <v>66</v>
      </c>
      <c r="B71" s="1189" t="s">
        <v>809</v>
      </c>
      <c r="C71" s="1189" t="s">
        <v>182</v>
      </c>
      <c r="D71" s="1054">
        <v>11.145</v>
      </c>
      <c r="E71" s="1182" t="s">
        <v>1742</v>
      </c>
      <c r="F71" s="1183">
        <v>45933</v>
      </c>
      <c r="G71" s="1183">
        <v>45935</v>
      </c>
      <c r="H71" s="1177" t="s">
        <v>1506</v>
      </c>
      <c r="N71" s="1166"/>
      <c r="O71" s="1181"/>
    </row>
    <row r="72" spans="1:26">
      <c r="A72" s="57">
        <f t="shared" si="0"/>
        <v>67</v>
      </c>
      <c r="B72" s="1188" t="s">
        <v>1658</v>
      </c>
      <c r="C72" s="1188" t="s">
        <v>125</v>
      </c>
      <c r="D72" s="1138">
        <v>21.41</v>
      </c>
      <c r="E72" s="1082" t="s">
        <v>1599</v>
      </c>
      <c r="F72" s="314">
        <v>45930</v>
      </c>
      <c r="G72" s="314">
        <v>45937</v>
      </c>
      <c r="H72" s="1087" t="s">
        <v>1506</v>
      </c>
      <c r="X72" s="1190" t="s">
        <v>1746</v>
      </c>
      <c r="Y72" s="1125" t="e">
        <f>#REF!*0.18</f>
        <v>#REF!</v>
      </c>
    </row>
    <row r="73" spans="1:26" ht="43.5">
      <c r="A73" s="57">
        <f t="shared" si="0"/>
        <v>68</v>
      </c>
      <c r="B73" s="1188" t="s">
        <v>1617</v>
      </c>
      <c r="C73" s="1188" t="s">
        <v>137</v>
      </c>
      <c r="D73" s="309">
        <f>(14703.841+4275.97)/1000</f>
        <v>18.979811000000002</v>
      </c>
      <c r="E73" s="1188" t="s">
        <v>1723</v>
      </c>
      <c r="F73" s="314">
        <v>45931</v>
      </c>
      <c r="G73" s="314">
        <v>45937</v>
      </c>
      <c r="H73" s="1087" t="s">
        <v>1506</v>
      </c>
      <c r="N73" s="1191" t="s">
        <v>1753</v>
      </c>
      <c r="S73" s="1138" t="s">
        <v>258</v>
      </c>
      <c r="T73" s="1138" t="s">
        <v>182</v>
      </c>
      <c r="V73" s="1181" t="s">
        <v>182</v>
      </c>
      <c r="W73" s="577">
        <v>3</v>
      </c>
      <c r="X73" s="577">
        <v>11.15</v>
      </c>
      <c r="Y73" s="577">
        <f>X73*W73</f>
        <v>33.450000000000003</v>
      </c>
      <c r="Z73" s="577">
        <f>511-72</f>
        <v>439</v>
      </c>
    </row>
    <row r="74" spans="1:26">
      <c r="A74" s="57">
        <f t="shared" si="0"/>
        <v>69</v>
      </c>
      <c r="B74" s="1188" t="s">
        <v>190</v>
      </c>
      <c r="C74" s="1188" t="s">
        <v>192</v>
      </c>
      <c r="D74" s="577">
        <f>(16972.938+2884.468+1298.28+5135.312)/1000</f>
        <v>26.290997999999998</v>
      </c>
      <c r="E74" s="1157" t="s">
        <v>1724</v>
      </c>
      <c r="F74" s="314">
        <v>45931</v>
      </c>
      <c r="G74" s="314">
        <v>45938</v>
      </c>
      <c r="H74" s="1087" t="s">
        <v>1506</v>
      </c>
      <c r="Y74" s="577">
        <v>9000</v>
      </c>
    </row>
    <row r="75" spans="1:26">
      <c r="A75" s="57">
        <f t="shared" si="0"/>
        <v>70</v>
      </c>
      <c r="B75" s="1192" t="s">
        <v>1571</v>
      </c>
      <c r="C75" s="1192" t="s">
        <v>115</v>
      </c>
      <c r="D75" s="1136">
        <v>18.727009000000002</v>
      </c>
      <c r="E75" s="1193" t="s">
        <v>1742</v>
      </c>
      <c r="F75" s="314">
        <v>45935</v>
      </c>
      <c r="G75" s="1183">
        <v>45940</v>
      </c>
      <c r="H75" s="1087" t="s">
        <v>1506</v>
      </c>
      <c r="S75" s="1137" t="s">
        <v>259</v>
      </c>
      <c r="T75" s="1135" t="s">
        <v>248</v>
      </c>
    </row>
    <row r="76" spans="1:26">
      <c r="A76" s="57">
        <f t="shared" si="0"/>
        <v>71</v>
      </c>
      <c r="B76" s="1194" t="s">
        <v>787</v>
      </c>
      <c r="C76" s="1194" t="s">
        <v>185</v>
      </c>
      <c r="D76" s="309">
        <v>11.997</v>
      </c>
      <c r="E76" s="1188" t="s">
        <v>1723</v>
      </c>
      <c r="F76" s="314">
        <v>45938</v>
      </c>
      <c r="G76" s="1183">
        <v>45940</v>
      </c>
      <c r="H76" s="1087" t="s">
        <v>1506</v>
      </c>
      <c r="S76" s="1195"/>
      <c r="T76" s="1196"/>
    </row>
    <row r="77" spans="1:26">
      <c r="A77" s="57">
        <f t="shared" si="0"/>
        <v>72</v>
      </c>
      <c r="B77" s="1197" t="s">
        <v>1679</v>
      </c>
      <c r="C77" s="1197" t="s">
        <v>125</v>
      </c>
      <c r="D77" s="1138">
        <v>21.41</v>
      </c>
      <c r="E77" s="57" t="s">
        <v>1700</v>
      </c>
      <c r="F77" s="1183">
        <v>45933</v>
      </c>
      <c r="G77" s="1183">
        <v>45940</v>
      </c>
      <c r="H77" s="1087" t="s">
        <v>1506</v>
      </c>
      <c r="X77" s="1198" t="s">
        <v>1416</v>
      </c>
      <c r="Y77" s="1199" t="e">
        <f>SUM(Y72:Y72)</f>
        <v>#REF!</v>
      </c>
    </row>
    <row r="78" spans="1:26">
      <c r="A78" s="57">
        <f t="shared" si="0"/>
        <v>73</v>
      </c>
      <c r="B78" s="1192" t="s">
        <v>767</v>
      </c>
      <c r="C78" s="1192" t="s">
        <v>242</v>
      </c>
      <c r="D78" s="1054">
        <v>13.071999999999999</v>
      </c>
      <c r="E78" s="1124" t="s">
        <v>1702</v>
      </c>
      <c r="F78" s="1183">
        <v>45935</v>
      </c>
      <c r="G78" s="314">
        <v>45941</v>
      </c>
      <c r="H78" s="1087" t="s">
        <v>1506</v>
      </c>
      <c r="X78" s="1181" t="s">
        <v>1745</v>
      </c>
      <c r="Y78" s="1125" t="e">
        <f>Y77*0.05</f>
        <v>#REF!</v>
      </c>
    </row>
    <row r="79" spans="1:26">
      <c r="A79" s="57">
        <f t="shared" si="0"/>
        <v>74</v>
      </c>
      <c r="B79" s="1193" t="s">
        <v>788</v>
      </c>
      <c r="C79" s="1193" t="s">
        <v>185</v>
      </c>
      <c r="D79" s="309">
        <v>11.997</v>
      </c>
      <c r="E79" s="1188" t="s">
        <v>1723</v>
      </c>
      <c r="F79" s="314">
        <v>45940</v>
      </c>
      <c r="G79" s="314">
        <v>45941</v>
      </c>
      <c r="H79" s="1087" t="s">
        <v>1506</v>
      </c>
      <c r="X79" s="1181" t="s">
        <v>1747</v>
      </c>
      <c r="Y79" s="1125" t="e">
        <f>Y77*0.01</f>
        <v>#REF!</v>
      </c>
    </row>
    <row r="80" spans="1:26">
      <c r="A80" s="57">
        <f t="shared" ref="A80:A127" si="1">A79+1</f>
        <v>75</v>
      </c>
      <c r="B80" s="1193" t="s">
        <v>193</v>
      </c>
      <c r="C80" s="1193" t="s">
        <v>115</v>
      </c>
      <c r="D80" s="1136">
        <v>18.727009000000002</v>
      </c>
      <c r="E80" s="1193" t="s">
        <v>1742</v>
      </c>
      <c r="F80" s="314">
        <v>45940</v>
      </c>
      <c r="G80" s="314">
        <v>45942</v>
      </c>
      <c r="H80" s="1087" t="s">
        <v>1506</v>
      </c>
      <c r="X80" s="1181" t="s">
        <v>1748</v>
      </c>
      <c r="Y80" s="1125" t="e">
        <f>Y77*0.1</f>
        <v>#REF!</v>
      </c>
    </row>
    <row r="81" spans="1:25">
      <c r="A81" s="57">
        <f t="shared" si="1"/>
        <v>76</v>
      </c>
      <c r="B81" s="1194" t="s">
        <v>1610</v>
      </c>
      <c r="C81" s="1194" t="s">
        <v>115</v>
      </c>
      <c r="D81" s="1136">
        <v>18.727009000000002</v>
      </c>
      <c r="E81" s="1194" t="s">
        <v>1599</v>
      </c>
      <c r="F81" s="314">
        <v>45938</v>
      </c>
      <c r="G81" s="314">
        <v>45943</v>
      </c>
      <c r="H81" s="1087" t="s">
        <v>1506</v>
      </c>
      <c r="N81" s="1200"/>
      <c r="X81" s="1181" t="s">
        <v>1749</v>
      </c>
      <c r="Y81" s="1125" t="e">
        <f>Y77*0.2</f>
        <v>#REF!</v>
      </c>
    </row>
    <row r="82" spans="1:25">
      <c r="A82" s="57">
        <f t="shared" si="1"/>
        <v>77</v>
      </c>
      <c r="B82" s="1194" t="s">
        <v>780</v>
      </c>
      <c r="C82" s="1194" t="s">
        <v>182</v>
      </c>
      <c r="D82" s="1054">
        <v>11.145</v>
      </c>
      <c r="E82" s="1157" t="s">
        <v>1724</v>
      </c>
      <c r="F82" s="314">
        <v>45938</v>
      </c>
      <c r="G82" s="314">
        <v>45943</v>
      </c>
      <c r="H82" s="1087" t="s">
        <v>1506</v>
      </c>
      <c r="X82" s="1181" t="s">
        <v>1750</v>
      </c>
      <c r="Y82" s="577">
        <v>600000</v>
      </c>
    </row>
    <row r="83" spans="1:25" ht="20.5" customHeight="1">
      <c r="A83" s="57">
        <f t="shared" si="1"/>
        <v>78</v>
      </c>
      <c r="B83" s="1180" t="s">
        <v>421</v>
      </c>
      <c r="C83" s="1180" t="s">
        <v>115</v>
      </c>
      <c r="D83" s="1136">
        <v>18.727009000000002</v>
      </c>
      <c r="E83" s="1201" t="s">
        <v>1684</v>
      </c>
      <c r="F83" s="314">
        <v>45926</v>
      </c>
      <c r="G83" s="314">
        <v>45945</v>
      </c>
      <c r="H83" s="1087" t="s">
        <v>1506</v>
      </c>
      <c r="X83" s="1202" t="s">
        <v>1752</v>
      </c>
      <c r="Y83" s="1125" t="e">
        <f>Y77*0.1</f>
        <v>#REF!</v>
      </c>
    </row>
    <row r="84" spans="1:25" ht="18.5">
      <c r="A84" s="57">
        <f t="shared" si="1"/>
        <v>79</v>
      </c>
      <c r="B84" s="1193" t="s">
        <v>1363</v>
      </c>
      <c r="C84" s="1193" t="s">
        <v>125</v>
      </c>
      <c r="D84" s="1138">
        <v>21.41</v>
      </c>
      <c r="E84" s="57" t="s">
        <v>1700</v>
      </c>
      <c r="F84" s="314">
        <v>45940</v>
      </c>
      <c r="G84" s="314">
        <v>45945</v>
      </c>
      <c r="H84" s="1087" t="s">
        <v>1506</v>
      </c>
      <c r="X84" s="1203" t="s">
        <v>1751</v>
      </c>
      <c r="Y84" s="1204" t="e">
        <f>Y77-#REF!-Y82</f>
        <v>#REF!</v>
      </c>
    </row>
    <row r="85" spans="1:25">
      <c r="A85" s="57">
        <f t="shared" si="1"/>
        <v>80</v>
      </c>
      <c r="B85" s="1205" t="s">
        <v>763</v>
      </c>
      <c r="C85" s="1205" t="s">
        <v>182</v>
      </c>
      <c r="D85" s="1054">
        <v>11.145</v>
      </c>
      <c r="E85" s="1124" t="s">
        <v>1702</v>
      </c>
      <c r="F85" s="1183">
        <v>45941</v>
      </c>
      <c r="G85" s="314">
        <v>45945</v>
      </c>
      <c r="H85" s="1087" t="s">
        <v>1506</v>
      </c>
    </row>
    <row r="86" spans="1:25">
      <c r="A86" s="57">
        <f t="shared" si="1"/>
        <v>81</v>
      </c>
      <c r="B86" s="1205" t="s">
        <v>189</v>
      </c>
      <c r="C86" s="1205" t="s">
        <v>115</v>
      </c>
      <c r="D86" s="1136">
        <v>18.727009000000002</v>
      </c>
      <c r="E86" s="1188" t="s">
        <v>1723</v>
      </c>
      <c r="F86" s="314">
        <v>45941</v>
      </c>
      <c r="G86" s="314">
        <v>45946</v>
      </c>
      <c r="H86" s="1087" t="s">
        <v>1506</v>
      </c>
    </row>
    <row r="87" spans="1:25">
      <c r="A87" s="57">
        <f t="shared" si="1"/>
        <v>82</v>
      </c>
      <c r="B87" s="1206" t="s">
        <v>812</v>
      </c>
      <c r="C87" s="1206" t="s">
        <v>182</v>
      </c>
      <c r="D87" s="1054">
        <v>11.145</v>
      </c>
      <c r="E87" s="1193" t="s">
        <v>1742</v>
      </c>
      <c r="F87" s="1207">
        <v>45942</v>
      </c>
      <c r="G87" s="314">
        <v>45945</v>
      </c>
      <c r="H87" s="1087" t="s">
        <v>1506</v>
      </c>
    </row>
    <row r="88" spans="1:25">
      <c r="A88" s="57">
        <f t="shared" si="1"/>
        <v>83</v>
      </c>
      <c r="B88" s="1208" t="s">
        <v>781</v>
      </c>
      <c r="C88" s="57" t="s">
        <v>182</v>
      </c>
      <c r="D88" s="1054">
        <v>11.145</v>
      </c>
      <c r="E88" s="1157" t="s">
        <v>1724</v>
      </c>
      <c r="F88" s="314">
        <v>45943</v>
      </c>
      <c r="G88" s="314">
        <v>45946</v>
      </c>
      <c r="H88" s="1087" t="s">
        <v>1506</v>
      </c>
    </row>
    <row r="89" spans="1:25">
      <c r="A89" s="57">
        <f t="shared" si="1"/>
        <v>84</v>
      </c>
      <c r="B89" s="1208" t="s">
        <v>731</v>
      </c>
      <c r="C89" s="57" t="s">
        <v>115</v>
      </c>
      <c r="D89" s="1136">
        <v>18.727009000000002</v>
      </c>
      <c r="E89" s="1194" t="s">
        <v>1599</v>
      </c>
      <c r="F89" s="314">
        <v>45943</v>
      </c>
      <c r="G89" s="314">
        <v>41200</v>
      </c>
      <c r="H89" s="1209" t="s">
        <v>1506</v>
      </c>
    </row>
    <row r="90" spans="1:25">
      <c r="A90" s="57">
        <f t="shared" si="1"/>
        <v>85</v>
      </c>
      <c r="B90" s="1201" t="s">
        <v>180</v>
      </c>
      <c r="C90" s="1201" t="s">
        <v>182</v>
      </c>
      <c r="D90" s="1054">
        <v>11.145</v>
      </c>
      <c r="E90" s="1124" t="s">
        <v>1702</v>
      </c>
      <c r="F90" s="314">
        <v>45945</v>
      </c>
      <c r="G90" s="314">
        <v>45949</v>
      </c>
      <c r="H90" s="1087" t="s">
        <v>1506</v>
      </c>
    </row>
    <row r="91" spans="1:25">
      <c r="A91" s="57">
        <f t="shared" si="1"/>
        <v>86</v>
      </c>
      <c r="B91" s="1201" t="s">
        <v>782</v>
      </c>
      <c r="C91" s="1201" t="s">
        <v>182</v>
      </c>
      <c r="D91" s="1054">
        <v>11.145</v>
      </c>
      <c r="E91" s="1201" t="s">
        <v>1724</v>
      </c>
      <c r="F91" s="314">
        <v>45946</v>
      </c>
      <c r="G91" s="314">
        <v>45949</v>
      </c>
      <c r="H91" s="1087" t="s">
        <v>1506</v>
      </c>
    </row>
    <row r="92" spans="1:25">
      <c r="A92" s="57">
        <f t="shared" si="1"/>
        <v>87</v>
      </c>
      <c r="B92" s="1201" t="s">
        <v>1286</v>
      </c>
      <c r="C92" s="1201" t="s">
        <v>182</v>
      </c>
      <c r="D92" s="1054">
        <v>11.145</v>
      </c>
      <c r="E92" s="1210" t="s">
        <v>1700</v>
      </c>
      <c r="F92" s="314">
        <v>45946</v>
      </c>
      <c r="G92" s="314">
        <v>45949</v>
      </c>
      <c r="H92" s="1211" t="s">
        <v>1506</v>
      </c>
    </row>
    <row r="93" spans="1:25">
      <c r="A93" s="57">
        <f t="shared" si="1"/>
        <v>88</v>
      </c>
      <c r="B93" s="1201" t="s">
        <v>811</v>
      </c>
      <c r="C93" s="1201" t="s">
        <v>182</v>
      </c>
      <c r="D93" s="1054">
        <v>11.145</v>
      </c>
      <c r="E93" s="1201" t="s">
        <v>1742</v>
      </c>
      <c r="F93" s="314">
        <v>45945</v>
      </c>
      <c r="G93" s="314">
        <v>45949</v>
      </c>
      <c r="H93" s="1211" t="s">
        <v>1506</v>
      </c>
    </row>
    <row r="94" spans="1:25">
      <c r="A94" s="57">
        <f t="shared" si="1"/>
        <v>89</v>
      </c>
      <c r="B94" s="1212" t="s">
        <v>810</v>
      </c>
      <c r="C94" s="57" t="s">
        <v>182</v>
      </c>
      <c r="D94" s="1054">
        <v>11.145</v>
      </c>
      <c r="E94" s="1213" t="s">
        <v>1742</v>
      </c>
      <c r="F94" s="314">
        <v>45949</v>
      </c>
      <c r="G94" s="314">
        <v>45952</v>
      </c>
      <c r="H94" s="1087" t="s">
        <v>1506</v>
      </c>
    </row>
    <row r="95" spans="1:25">
      <c r="A95" s="57">
        <f t="shared" si="1"/>
        <v>90</v>
      </c>
      <c r="B95" s="1212" t="s">
        <v>817</v>
      </c>
      <c r="C95" s="57" t="s">
        <v>182</v>
      </c>
      <c r="D95" s="1054">
        <v>11.145</v>
      </c>
      <c r="E95" s="1210" t="s">
        <v>1700</v>
      </c>
      <c r="F95" s="314">
        <v>45949</v>
      </c>
      <c r="G95" s="314">
        <v>45952</v>
      </c>
      <c r="H95" s="1087" t="s">
        <v>1506</v>
      </c>
    </row>
    <row r="96" spans="1:25">
      <c r="A96" s="57">
        <f t="shared" si="1"/>
        <v>91</v>
      </c>
      <c r="B96" s="1201" t="s">
        <v>1361</v>
      </c>
      <c r="C96" s="1201" t="s">
        <v>125</v>
      </c>
      <c r="D96" s="1138">
        <v>21.41</v>
      </c>
      <c r="E96" s="1201" t="s">
        <v>1723</v>
      </c>
      <c r="F96" s="314">
        <v>45946</v>
      </c>
      <c r="G96" s="314">
        <v>45953</v>
      </c>
      <c r="H96" s="1087" t="s">
        <v>1506</v>
      </c>
      <c r="N96" s="1214"/>
    </row>
    <row r="97" spans="1:14">
      <c r="A97" s="57">
        <f t="shared" si="1"/>
        <v>92</v>
      </c>
      <c r="B97" s="57" t="s">
        <v>774</v>
      </c>
      <c r="C97" s="1201" t="s">
        <v>182</v>
      </c>
      <c r="D97" s="1054">
        <v>11.145</v>
      </c>
      <c r="E97" s="1124" t="s">
        <v>1702</v>
      </c>
      <c r="F97" s="324">
        <v>45949</v>
      </c>
      <c r="G97" s="314">
        <v>45954</v>
      </c>
      <c r="H97" s="1087" t="s">
        <v>1506</v>
      </c>
    </row>
    <row r="98" spans="1:14">
      <c r="A98" s="57">
        <f t="shared" si="1"/>
        <v>93</v>
      </c>
      <c r="B98" s="1215" t="s">
        <v>393</v>
      </c>
      <c r="C98" s="1215" t="s">
        <v>182</v>
      </c>
      <c r="D98" s="1054">
        <v>11.145</v>
      </c>
      <c r="E98" s="1215" t="s">
        <v>1763</v>
      </c>
      <c r="F98" s="314">
        <v>45949</v>
      </c>
      <c r="G98" s="314">
        <v>45954</v>
      </c>
      <c r="H98" s="1216" t="s">
        <v>1506</v>
      </c>
      <c r="N98" s="1217"/>
    </row>
    <row r="99" spans="1:14">
      <c r="A99" s="57">
        <f t="shared" si="1"/>
        <v>94</v>
      </c>
      <c r="B99" s="1215" t="s">
        <v>187</v>
      </c>
      <c r="C99" s="1215" t="s">
        <v>188</v>
      </c>
      <c r="D99" s="57">
        <f>(13334+4777.506)/1000</f>
        <v>18.111506000000002</v>
      </c>
      <c r="E99" s="1201" t="s">
        <v>1724</v>
      </c>
      <c r="F99" s="324">
        <v>45949</v>
      </c>
      <c r="G99" s="314">
        <v>45954</v>
      </c>
      <c r="H99" s="1216" t="s">
        <v>1506</v>
      </c>
      <c r="N99" s="1218"/>
    </row>
    <row r="100" spans="1:14">
      <c r="A100" s="57">
        <f t="shared" si="1"/>
        <v>95</v>
      </c>
      <c r="B100" s="1219" t="s">
        <v>1358</v>
      </c>
      <c r="C100" s="1219" t="s">
        <v>185</v>
      </c>
      <c r="D100" s="309">
        <v>11.997</v>
      </c>
      <c r="E100" s="1201" t="s">
        <v>1723</v>
      </c>
      <c r="F100" s="314">
        <v>45954</v>
      </c>
      <c r="G100" s="314">
        <v>45956</v>
      </c>
      <c r="H100" s="1220" t="s">
        <v>1506</v>
      </c>
      <c r="N100" s="1214"/>
    </row>
    <row r="101" spans="1:14">
      <c r="A101" s="57">
        <f t="shared" si="1"/>
        <v>96</v>
      </c>
      <c r="B101" s="1215" t="s">
        <v>1667</v>
      </c>
      <c r="C101" s="57" t="s">
        <v>123</v>
      </c>
      <c r="D101" s="57">
        <f>(14703.841+2903.104+1061.94+ 5513.756)/1000</f>
        <v>24.182641</v>
      </c>
      <c r="E101" s="1194" t="s">
        <v>1599</v>
      </c>
      <c r="F101" s="314">
        <v>45949</v>
      </c>
      <c r="G101" s="314">
        <v>45957</v>
      </c>
      <c r="H101" s="1220" t="s">
        <v>1506</v>
      </c>
      <c r="N101" s="1221"/>
    </row>
    <row r="102" spans="1:14">
      <c r="A102" s="57">
        <f t="shared" si="1"/>
        <v>97</v>
      </c>
      <c r="B102" s="1219" t="s">
        <v>815</v>
      </c>
      <c r="C102" s="1219" t="s">
        <v>182</v>
      </c>
      <c r="D102" s="57"/>
      <c r="E102" s="1193" t="s">
        <v>1742</v>
      </c>
      <c r="F102" s="314">
        <v>45953</v>
      </c>
      <c r="G102" s="314">
        <v>45956</v>
      </c>
      <c r="H102" s="1222" t="s">
        <v>1506</v>
      </c>
    </row>
    <row r="103" spans="1:14">
      <c r="A103" s="57">
        <f t="shared" si="1"/>
        <v>98</v>
      </c>
      <c r="B103" s="1219" t="s">
        <v>818</v>
      </c>
      <c r="C103" s="1219" t="s">
        <v>182</v>
      </c>
      <c r="D103" s="57"/>
      <c r="E103" s="1201" t="s">
        <v>1700</v>
      </c>
      <c r="F103" s="314">
        <v>45953</v>
      </c>
      <c r="G103" s="314">
        <v>45957</v>
      </c>
      <c r="H103" s="1222" t="s">
        <v>1506</v>
      </c>
    </row>
    <row r="104" spans="1:14">
      <c r="A104" s="57">
        <f t="shared" si="1"/>
        <v>99</v>
      </c>
      <c r="B104" s="1223" t="s">
        <v>814</v>
      </c>
      <c r="C104" s="1223" t="s">
        <v>182</v>
      </c>
      <c r="D104" s="57"/>
      <c r="E104" s="1193" t="s">
        <v>1742</v>
      </c>
      <c r="F104" s="314">
        <v>45957</v>
      </c>
      <c r="G104" s="314">
        <v>45958</v>
      </c>
      <c r="H104" s="1222" t="s">
        <v>1506</v>
      </c>
      <c r="N104" s="1224"/>
    </row>
    <row r="105" spans="1:14">
      <c r="A105" s="57">
        <f t="shared" si="1"/>
        <v>100</v>
      </c>
      <c r="B105" s="1223" t="s">
        <v>184</v>
      </c>
      <c r="C105" s="1223" t="s">
        <v>125</v>
      </c>
      <c r="D105" s="57"/>
      <c r="E105" s="1223" t="s">
        <v>1724</v>
      </c>
      <c r="F105" s="314">
        <v>45957</v>
      </c>
      <c r="G105" s="314">
        <v>45959</v>
      </c>
      <c r="H105" s="1225" t="s">
        <v>1506</v>
      </c>
    </row>
    <row r="106" spans="1:14">
      <c r="A106" s="57">
        <f t="shared" si="1"/>
        <v>101</v>
      </c>
      <c r="B106" s="57" t="s">
        <v>158</v>
      </c>
      <c r="C106" s="57" t="s">
        <v>115</v>
      </c>
      <c r="D106" s="1136">
        <v>18.727009000000002</v>
      </c>
      <c r="E106" s="1215" t="s">
        <v>1763</v>
      </c>
      <c r="F106" s="314">
        <v>45954</v>
      </c>
      <c r="G106" s="314">
        <v>45961</v>
      </c>
      <c r="H106" s="1226" t="s">
        <v>1506</v>
      </c>
      <c r="N106" s="1227"/>
    </row>
    <row r="107" spans="1:14">
      <c r="A107" s="57">
        <f t="shared" si="1"/>
        <v>102</v>
      </c>
      <c r="B107" s="1228" t="s">
        <v>179</v>
      </c>
      <c r="C107" s="57" t="s">
        <v>115</v>
      </c>
      <c r="D107" s="1136">
        <v>18.727009000000002</v>
      </c>
      <c r="E107" s="1124" t="s">
        <v>1702</v>
      </c>
      <c r="F107" s="314">
        <v>45954</v>
      </c>
      <c r="G107" s="314">
        <v>45961</v>
      </c>
      <c r="H107" s="1226" t="s">
        <v>1506</v>
      </c>
      <c r="N107" s="1227"/>
    </row>
    <row r="108" spans="1:14">
      <c r="A108" s="57">
        <f t="shared" si="1"/>
        <v>103</v>
      </c>
      <c r="B108" s="1223" t="s">
        <v>813</v>
      </c>
      <c r="C108" s="1223" t="s">
        <v>182</v>
      </c>
      <c r="D108" s="57"/>
      <c r="E108" s="1193" t="s">
        <v>1742</v>
      </c>
      <c r="F108" s="314">
        <v>45958</v>
      </c>
      <c r="G108" s="314">
        <v>45961</v>
      </c>
      <c r="H108" s="1229" t="s">
        <v>1506</v>
      </c>
    </row>
    <row r="109" spans="1:14">
      <c r="A109" s="57">
        <f>A110+1</f>
        <v>105</v>
      </c>
      <c r="B109" s="1229" t="s">
        <v>1705</v>
      </c>
      <c r="C109" s="1229" t="s">
        <v>137</v>
      </c>
      <c r="D109" s="57"/>
      <c r="E109" s="1229" t="s">
        <v>1723</v>
      </c>
      <c r="F109" s="314">
        <v>45956</v>
      </c>
      <c r="G109" s="314">
        <v>45958</v>
      </c>
      <c r="H109" s="1229" t="s">
        <v>1506</v>
      </c>
      <c r="N109" s="1227"/>
    </row>
    <row r="110" spans="1:14">
      <c r="A110" s="57">
        <f>A108+1</f>
        <v>104</v>
      </c>
      <c r="B110" s="1223" t="s">
        <v>1731</v>
      </c>
      <c r="C110" s="1223" t="s">
        <v>119</v>
      </c>
      <c r="D110" s="57"/>
      <c r="E110" s="1201" t="s">
        <v>1700</v>
      </c>
      <c r="F110" s="314">
        <v>45957</v>
      </c>
      <c r="G110" s="314">
        <v>45962</v>
      </c>
      <c r="H110" s="1229" t="s">
        <v>1506</v>
      </c>
    </row>
    <row r="111" spans="1:14">
      <c r="A111" s="57">
        <f>A109+1</f>
        <v>106</v>
      </c>
      <c r="B111" s="1229" t="s">
        <v>465</v>
      </c>
      <c r="C111" s="1229" t="s">
        <v>132</v>
      </c>
      <c r="D111" s="57"/>
      <c r="E111" s="1229" t="s">
        <v>1599</v>
      </c>
      <c r="F111" s="314">
        <v>45957</v>
      </c>
      <c r="G111" s="314">
        <v>45963</v>
      </c>
      <c r="H111" s="1229" t="s">
        <v>1506</v>
      </c>
    </row>
    <row r="112" spans="1:14">
      <c r="A112" s="57">
        <f t="shared" si="1"/>
        <v>107</v>
      </c>
      <c r="B112" s="1229" t="s">
        <v>1678</v>
      </c>
      <c r="C112" s="1229" t="s">
        <v>125</v>
      </c>
      <c r="D112" s="57"/>
      <c r="E112" s="1229" t="s">
        <v>1723</v>
      </c>
      <c r="F112" s="314">
        <v>45959</v>
      </c>
      <c r="G112" s="314">
        <v>45963</v>
      </c>
      <c r="H112" s="1229" t="s">
        <v>1506</v>
      </c>
    </row>
    <row r="113" spans="1:9">
      <c r="A113" s="57">
        <f t="shared" si="1"/>
        <v>108</v>
      </c>
      <c r="B113" s="1229" t="s">
        <v>1357</v>
      </c>
      <c r="C113" s="1229" t="s">
        <v>248</v>
      </c>
      <c r="D113" s="57"/>
      <c r="E113" s="1229" t="s">
        <v>1724</v>
      </c>
      <c r="F113" s="314">
        <v>45959</v>
      </c>
      <c r="G113" s="314">
        <v>45964</v>
      </c>
      <c r="H113" s="1229" t="s">
        <v>1506</v>
      </c>
    </row>
    <row r="114" spans="1:9">
      <c r="A114" s="57">
        <f t="shared" si="1"/>
        <v>109</v>
      </c>
      <c r="B114" s="1229" t="s">
        <v>760</v>
      </c>
      <c r="C114" s="57" t="s">
        <v>182</v>
      </c>
      <c r="D114" s="57"/>
      <c r="E114" s="57" t="s">
        <v>1702</v>
      </c>
      <c r="F114" s="314">
        <v>45962</v>
      </c>
      <c r="G114" s="314">
        <v>45965</v>
      </c>
      <c r="H114" s="57" t="s">
        <v>1506</v>
      </c>
    </row>
    <row r="115" spans="1:9">
      <c r="A115" s="57">
        <f t="shared" si="1"/>
        <v>110</v>
      </c>
      <c r="B115" s="1229" t="s">
        <v>380</v>
      </c>
      <c r="C115" s="1231" t="s">
        <v>119</v>
      </c>
      <c r="D115" s="1231"/>
      <c r="E115" s="1229" t="s">
        <v>1763</v>
      </c>
      <c r="F115" s="1232">
        <v>45962</v>
      </c>
      <c r="G115" s="314">
        <v>45966</v>
      </c>
      <c r="H115" s="1229" t="s">
        <v>1506</v>
      </c>
    </row>
    <row r="116" spans="1:9">
      <c r="A116" s="57">
        <f t="shared" si="1"/>
        <v>111</v>
      </c>
      <c r="B116" s="57" t="s">
        <v>751</v>
      </c>
      <c r="C116" s="57" t="s">
        <v>185</v>
      </c>
      <c r="D116" s="57"/>
      <c r="E116" s="1229" t="s">
        <v>1742</v>
      </c>
      <c r="F116" s="314">
        <v>45962</v>
      </c>
      <c r="G116" s="314">
        <v>45966</v>
      </c>
      <c r="H116" s="57" t="s">
        <v>1506</v>
      </c>
    </row>
    <row r="117" spans="1:9">
      <c r="A117" s="57">
        <f t="shared" si="1"/>
        <v>112</v>
      </c>
      <c r="B117" s="1229" t="s">
        <v>1362</v>
      </c>
      <c r="C117" s="1229" t="s">
        <v>248</v>
      </c>
      <c r="D117" s="57"/>
      <c r="E117" s="1229" t="s">
        <v>1724</v>
      </c>
      <c r="F117" s="314">
        <v>45965</v>
      </c>
      <c r="G117" s="314">
        <v>45967</v>
      </c>
      <c r="H117" s="1229" t="s">
        <v>1506</v>
      </c>
    </row>
    <row r="118" spans="1:9" ht="12.5" customHeight="1">
      <c r="A118" s="57">
        <f t="shared" si="1"/>
        <v>113</v>
      </c>
      <c r="B118" s="57" t="s">
        <v>758</v>
      </c>
      <c r="C118" s="57" t="s">
        <v>182</v>
      </c>
      <c r="D118" s="57"/>
      <c r="E118" s="57" t="s">
        <v>1702</v>
      </c>
      <c r="F118" s="314">
        <v>45966</v>
      </c>
      <c r="G118" s="314">
        <v>45968</v>
      </c>
      <c r="H118" s="57" t="s">
        <v>1506</v>
      </c>
      <c r="I118" s="1230" t="s">
        <v>1764</v>
      </c>
    </row>
    <row r="119" spans="1:9">
      <c r="A119" s="57">
        <f t="shared" si="1"/>
        <v>114</v>
      </c>
      <c r="B119" s="57" t="s">
        <v>1716</v>
      </c>
      <c r="C119" s="57" t="s">
        <v>125</v>
      </c>
      <c r="D119" s="57"/>
      <c r="E119" s="1229" t="s">
        <v>1723</v>
      </c>
      <c r="F119" s="314">
        <v>45964</v>
      </c>
      <c r="G119" s="314">
        <v>45969</v>
      </c>
      <c r="H119" s="57" t="s">
        <v>1506</v>
      </c>
    </row>
    <row r="120" spans="1:9">
      <c r="A120" s="57">
        <f t="shared" si="1"/>
        <v>115</v>
      </c>
      <c r="B120" s="57" t="s">
        <v>755</v>
      </c>
      <c r="C120" s="57" t="s">
        <v>185</v>
      </c>
      <c r="D120" s="57"/>
      <c r="E120" s="57" t="s">
        <v>1742</v>
      </c>
      <c r="F120" s="314">
        <v>45967</v>
      </c>
      <c r="G120" s="314">
        <v>45970</v>
      </c>
      <c r="H120" s="57" t="s">
        <v>1506</v>
      </c>
    </row>
    <row r="121" spans="1:9" ht="87">
      <c r="A121" s="57">
        <f t="shared" si="1"/>
        <v>116</v>
      </c>
      <c r="B121" s="1229" t="s">
        <v>447</v>
      </c>
      <c r="C121" s="1229" t="s">
        <v>182</v>
      </c>
      <c r="E121" s="1229" t="s">
        <v>1763</v>
      </c>
      <c r="F121" s="314">
        <v>45948</v>
      </c>
      <c r="G121" s="314"/>
      <c r="H121" s="1230" t="s">
        <v>1764</v>
      </c>
    </row>
    <row r="122" spans="1:9">
      <c r="A122" s="57">
        <f t="shared" si="1"/>
        <v>117</v>
      </c>
      <c r="B122" s="1201" t="s">
        <v>1336</v>
      </c>
      <c r="C122" s="1201" t="s">
        <v>115</v>
      </c>
      <c r="D122" s="1136">
        <v>18.727009000000002</v>
      </c>
      <c r="E122" s="1229" t="s">
        <v>1763</v>
      </c>
      <c r="F122" s="314">
        <v>45967</v>
      </c>
      <c r="G122" s="57"/>
      <c r="H122" s="1222" t="s">
        <v>278</v>
      </c>
    </row>
    <row r="123" spans="1:9">
      <c r="A123" s="57">
        <f t="shared" si="1"/>
        <v>118</v>
      </c>
      <c r="B123" s="57" t="s">
        <v>174</v>
      </c>
      <c r="C123" s="57" t="s">
        <v>132</v>
      </c>
      <c r="D123" s="57"/>
      <c r="E123" s="1229" t="s">
        <v>1599</v>
      </c>
      <c r="F123" s="314">
        <v>45964</v>
      </c>
      <c r="G123" s="57"/>
      <c r="H123" s="57" t="s">
        <v>278</v>
      </c>
    </row>
    <row r="124" spans="1:9">
      <c r="A124" s="57">
        <f t="shared" si="1"/>
        <v>119</v>
      </c>
      <c r="B124" s="57" t="s">
        <v>197</v>
      </c>
      <c r="C124" s="57" t="s">
        <v>117</v>
      </c>
      <c r="D124" s="57"/>
      <c r="E124" s="1229" t="s">
        <v>1700</v>
      </c>
      <c r="F124" s="314">
        <v>45962</v>
      </c>
      <c r="G124" s="57"/>
      <c r="H124" s="57" t="s">
        <v>278</v>
      </c>
    </row>
    <row r="125" spans="1:9">
      <c r="A125" s="57">
        <f t="shared" si="1"/>
        <v>120</v>
      </c>
      <c r="B125" s="57" t="s">
        <v>186</v>
      </c>
      <c r="C125" s="57" t="s">
        <v>188</v>
      </c>
      <c r="D125" s="57"/>
      <c r="E125" s="1229" t="s">
        <v>1724</v>
      </c>
      <c r="F125" s="314">
        <v>45967</v>
      </c>
      <c r="G125" s="57"/>
      <c r="H125" s="57" t="s">
        <v>278</v>
      </c>
    </row>
    <row r="126" spans="1:9">
      <c r="A126" s="57">
        <f t="shared" si="1"/>
        <v>121</v>
      </c>
      <c r="B126" s="57" t="s">
        <v>761</v>
      </c>
      <c r="C126" s="57" t="s">
        <v>182</v>
      </c>
      <c r="D126" s="57"/>
      <c r="E126" s="57" t="s">
        <v>1702</v>
      </c>
      <c r="F126" s="314">
        <v>45969</v>
      </c>
      <c r="G126" s="314"/>
      <c r="H126" s="57" t="s">
        <v>278</v>
      </c>
    </row>
    <row r="127" spans="1:9">
      <c r="A127" s="57">
        <f t="shared" si="1"/>
        <v>122</v>
      </c>
      <c r="B127" s="1369" t="s">
        <v>869</v>
      </c>
      <c r="C127" s="1369" t="s">
        <v>115</v>
      </c>
      <c r="D127" s="57"/>
      <c r="E127" s="57" t="s">
        <v>1742</v>
      </c>
      <c r="F127" s="314">
        <v>45970</v>
      </c>
      <c r="G127" s="57"/>
      <c r="H127" s="57" t="s">
        <v>278</v>
      </c>
    </row>
    <row r="196" spans="2:2">
      <c r="B196" s="57"/>
    </row>
    <row r="197" spans="2:2">
      <c r="B197" s="57"/>
    </row>
    <row r="198" spans="2:2">
      <c r="B198" s="57"/>
    </row>
    <row r="199" spans="2:2">
      <c r="B199" s="57"/>
    </row>
    <row r="200" spans="2:2">
      <c r="B200" s="57"/>
    </row>
    <row r="201" spans="2:2">
      <c r="B201" s="57"/>
    </row>
    <row r="202" spans="2:2">
      <c r="B202" s="57"/>
    </row>
    <row r="203" spans="2:2">
      <c r="B203" s="57"/>
    </row>
    <row r="204" spans="2:2">
      <c r="B204" s="57"/>
    </row>
    <row r="205" spans="2:2">
      <c r="B205" s="57"/>
    </row>
    <row r="206" spans="2:2">
      <c r="B206" s="57"/>
    </row>
    <row r="309" spans="30:30">
      <c r="AD309" s="577">
        <v>185</v>
      </c>
    </row>
    <row r="310" spans="30:30">
      <c r="AD310" s="577">
        <v>5</v>
      </c>
    </row>
  </sheetData>
  <mergeCells count="3">
    <mergeCell ref="A1:H1"/>
    <mergeCell ref="A2:H2"/>
    <mergeCell ref="A3:H3"/>
  </mergeCells>
  <phoneticPr fontId="196" type="noConversion"/>
  <conditionalFormatting sqref="B1:B1048576">
    <cfRule type="duplicateValues" dxfId="3297" priority="3"/>
  </conditionalFormatting>
  <conditionalFormatting sqref="B5">
    <cfRule type="duplicateValues" dxfId="3296" priority="2191" stopIfTrue="1"/>
    <cfRule type="duplicateValues" dxfId="3295" priority="2190"/>
    <cfRule type="duplicateValues" dxfId="3294" priority="2189"/>
  </conditionalFormatting>
  <conditionalFormatting sqref="B6:B21">
    <cfRule type="duplicateValues" dxfId="3293" priority="2726"/>
  </conditionalFormatting>
  <conditionalFormatting sqref="B23">
    <cfRule type="duplicateValues" dxfId="3292" priority="65"/>
  </conditionalFormatting>
  <conditionalFormatting sqref="B111:B113 B109">
    <cfRule type="duplicateValues" dxfId="3291" priority="11373"/>
    <cfRule type="duplicateValues" dxfId="3290" priority="11372"/>
  </conditionalFormatting>
  <conditionalFormatting sqref="B111:B114 B109">
    <cfRule type="duplicateValues" dxfId="3289" priority="11376"/>
  </conditionalFormatting>
  <conditionalFormatting sqref="B121">
    <cfRule type="duplicateValues" dxfId="3288" priority="4"/>
    <cfRule type="duplicateValues" dxfId="3287" priority="5"/>
    <cfRule type="duplicateValues" dxfId="3286" priority="6"/>
  </conditionalFormatting>
  <conditionalFormatting sqref="B123:B124 B115:B119">
    <cfRule type="duplicateValues" dxfId="3285" priority="11369"/>
  </conditionalFormatting>
  <conditionalFormatting sqref="B126">
    <cfRule type="duplicateValues" dxfId="3284" priority="2"/>
  </conditionalFormatting>
  <conditionalFormatting sqref="B127:B1048576 B125 B120 B110 B1:B107 B122">
    <cfRule type="duplicateValues" dxfId="3283" priority="11381"/>
  </conditionalFormatting>
  <conditionalFormatting sqref="B127:B1048576 B125 B120 B110 B57:C57 B4:B44 B45:C48 B49:B51 B54:B56 E45:G46 B52:C53 B58:B107 B122">
    <cfRule type="duplicateValues" dxfId="3282" priority="11387"/>
  </conditionalFormatting>
  <conditionalFormatting sqref="D7 D15 D31:D32 D35 D45:D46 D49 D52 D59 D62 D64">
    <cfRule type="cellIs" dxfId="3281" priority="53" operator="greaterThan">
      <formula>45839</formula>
    </cfRule>
  </conditionalFormatting>
  <conditionalFormatting sqref="D64 D62 D59 D52 D49 D45:D46 D35 D31:D32 D15 D7">
    <cfRule type="duplicateValues" dxfId="3280" priority="7415"/>
    <cfRule type="duplicateValues" dxfId="3279" priority="7414"/>
    <cfRule type="duplicateValues" dxfId="3278" priority="7413"/>
  </conditionalFormatting>
  <conditionalFormatting sqref="D67">
    <cfRule type="duplicateValues" dxfId="3277" priority="50"/>
    <cfRule type="duplicateValues" dxfId="3276" priority="48"/>
    <cfRule type="duplicateValues" dxfId="3275" priority="47"/>
  </conditionalFormatting>
  <conditionalFormatting sqref="D67:D68">
    <cfRule type="cellIs" dxfId="3274" priority="14" operator="greaterThan">
      <formula>45839</formula>
    </cfRule>
  </conditionalFormatting>
  <conditionalFormatting sqref="D68">
    <cfRule type="duplicateValues" dxfId="3273" priority="16"/>
    <cfRule type="duplicateValues" dxfId="3272" priority="17"/>
    <cfRule type="duplicateValues" dxfId="3271" priority="15"/>
  </conditionalFormatting>
  <conditionalFormatting sqref="D73">
    <cfRule type="duplicateValues" dxfId="3270" priority="28"/>
    <cfRule type="duplicateValues" dxfId="3269" priority="27"/>
    <cfRule type="cellIs" dxfId="3268" priority="26" operator="greaterThan">
      <formula>45839</formula>
    </cfRule>
    <cfRule type="duplicateValues" dxfId="3267" priority="29"/>
  </conditionalFormatting>
  <conditionalFormatting sqref="D76 D79">
    <cfRule type="cellIs" dxfId="3266" priority="22" operator="greaterThan">
      <formula>45839</formula>
    </cfRule>
  </conditionalFormatting>
  <conditionalFormatting sqref="D79 D76">
    <cfRule type="duplicateValues" dxfId="3265" priority="25"/>
    <cfRule type="duplicateValues" dxfId="3264" priority="24"/>
    <cfRule type="duplicateValues" dxfId="3263" priority="23"/>
  </conditionalFormatting>
  <conditionalFormatting sqref="D100">
    <cfRule type="duplicateValues" dxfId="3262" priority="21"/>
    <cfRule type="duplicateValues" dxfId="3261" priority="20"/>
    <cfRule type="duplicateValues" dxfId="3260" priority="19"/>
    <cfRule type="cellIs" dxfId="3259" priority="18" operator="greaterThan">
      <formula>45839</formula>
    </cfRule>
  </conditionalFormatting>
  <conditionalFormatting sqref="E57 E52:E53 E47:E48">
    <cfRule type="duplicateValues" dxfId="3258" priority="6907"/>
  </conditionalFormatting>
  <conditionalFormatting sqref="E58">
    <cfRule type="duplicateValues" dxfId="3257" priority="63"/>
  </conditionalFormatting>
  <conditionalFormatting sqref="E66">
    <cfRule type="duplicateValues" dxfId="3256" priority="61"/>
  </conditionalFormatting>
  <conditionalFormatting sqref="E67">
    <cfRule type="duplicateValues" dxfId="3255" priority="62"/>
  </conditionalFormatting>
  <conditionalFormatting sqref="E73">
    <cfRule type="duplicateValues" dxfId="3254" priority="56"/>
  </conditionalFormatting>
  <conditionalFormatting sqref="E74">
    <cfRule type="duplicateValues" dxfId="3253" priority="55"/>
  </conditionalFormatting>
  <conditionalFormatting sqref="E76">
    <cfRule type="duplicateValues" dxfId="3252" priority="34"/>
  </conditionalFormatting>
  <conditionalFormatting sqref="E79">
    <cfRule type="duplicateValues" dxfId="3251" priority="32"/>
  </conditionalFormatting>
  <conditionalFormatting sqref="E82">
    <cfRule type="duplicateValues" dxfId="3250" priority="33"/>
  </conditionalFormatting>
  <conditionalFormatting sqref="E86">
    <cfRule type="duplicateValues" dxfId="3249" priority="31"/>
  </conditionalFormatting>
  <conditionalFormatting sqref="E88">
    <cfRule type="duplicateValues" dxfId="3248" priority="30"/>
  </conditionalFormatting>
  <conditionalFormatting sqref="S73 S75:S76">
    <cfRule type="duplicateValues" dxfId="3247" priority="7444"/>
  </conditionalFormatting>
  <conditionalFormatting sqref="S73">
    <cfRule type="duplicateValues" dxfId="3246" priority="58"/>
  </conditionalFormatting>
  <conditionalFormatting sqref="S75:S76">
    <cfRule type="duplicateValues" dxfId="3245" priority="7443"/>
  </conditionalFormatting>
  <hyperlinks>
    <hyperlink ref="X72" r:id="rId1" xr:uid="{5B55A7A2-1A7C-46E5-A5E4-F3CF07C36DDA}"/>
  </hyperlink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W198"/>
  <sheetViews>
    <sheetView topLeftCell="A182" zoomScale="115" zoomScaleNormal="115" workbookViewId="0">
      <selection activeCell="H190" sqref="H190"/>
    </sheetView>
  </sheetViews>
  <sheetFormatPr defaultColWidth="9" defaultRowHeight="14.5"/>
  <cols>
    <col min="1" max="1" width="10.08984375" customWidth="1"/>
    <col min="3" max="3" width="10.54296875" bestFit="1" customWidth="1"/>
    <col min="5" max="5" width="10.36328125" customWidth="1"/>
    <col min="6" max="6" width="14.6328125" customWidth="1"/>
  </cols>
  <sheetData>
    <row r="1" spans="1:23" ht="15.5">
      <c r="A1" s="1452" t="s">
        <v>78</v>
      </c>
      <c r="B1" s="1453"/>
      <c r="C1" s="1453"/>
      <c r="D1" s="1453"/>
      <c r="E1" s="1453"/>
      <c r="F1" s="1453"/>
      <c r="G1" s="1453"/>
      <c r="H1" s="1453"/>
      <c r="I1" s="1453"/>
      <c r="J1" s="1453"/>
      <c r="K1" s="1453"/>
      <c r="L1" s="1453"/>
      <c r="M1" s="1453"/>
      <c r="N1" s="1453"/>
      <c r="O1" s="1453"/>
      <c r="P1" s="1453"/>
      <c r="Q1" s="1453"/>
      <c r="R1" s="1453"/>
      <c r="S1" s="1453"/>
      <c r="T1" s="1453"/>
      <c r="U1" s="1453"/>
      <c r="V1" s="1453"/>
      <c r="W1" s="1454"/>
    </row>
    <row r="2" spans="1:23" ht="15.5">
      <c r="A2" s="1455" t="s">
        <v>79</v>
      </c>
      <c r="B2" s="1456"/>
      <c r="C2" s="1456"/>
      <c r="D2" s="1456"/>
      <c r="E2" s="1456"/>
      <c r="F2" s="1456"/>
      <c r="G2" s="1456"/>
      <c r="H2" s="1456"/>
      <c r="I2" s="1456"/>
      <c r="J2" s="1456"/>
      <c r="K2" s="1456"/>
      <c r="L2" s="1456"/>
      <c r="M2" s="1456"/>
      <c r="N2" s="1456"/>
      <c r="O2" s="1456"/>
      <c r="P2" s="1456"/>
      <c r="Q2" s="1456"/>
      <c r="R2" s="1456"/>
      <c r="S2" s="1456"/>
      <c r="T2" s="1456"/>
      <c r="U2" s="1456"/>
      <c r="V2" s="1456"/>
      <c r="W2" s="1457"/>
    </row>
    <row r="3" spans="1:23" ht="15.5">
      <c r="A3" s="1455" t="s">
        <v>80</v>
      </c>
      <c r="B3" s="1456"/>
      <c r="C3" s="1456"/>
      <c r="D3" s="1456"/>
      <c r="E3" s="1456"/>
      <c r="F3" s="1456"/>
      <c r="G3" s="1456"/>
      <c r="H3" s="1456"/>
      <c r="I3" s="1456"/>
      <c r="J3" s="1456"/>
      <c r="K3" s="1456"/>
      <c r="L3" s="1456"/>
      <c r="M3" s="1456"/>
      <c r="N3" s="1456"/>
      <c r="O3" s="1456"/>
      <c r="P3" s="1456"/>
      <c r="Q3" s="1456"/>
      <c r="R3" s="1456"/>
      <c r="S3" s="1456"/>
      <c r="T3" s="1456"/>
      <c r="U3" s="1456"/>
      <c r="V3" s="1456"/>
      <c r="W3" s="1457"/>
    </row>
    <row r="5" spans="1:23">
      <c r="A5" s="1489" t="s">
        <v>203</v>
      </c>
      <c r="B5" s="1489" t="s">
        <v>204</v>
      </c>
      <c r="C5" s="1489" t="s">
        <v>205</v>
      </c>
      <c r="D5" s="1489" t="s">
        <v>221</v>
      </c>
      <c r="E5" s="309"/>
      <c r="F5" s="310"/>
    </row>
    <row r="6" spans="1:23" ht="26">
      <c r="A6" s="1490"/>
      <c r="B6" s="1490"/>
      <c r="C6" s="1490"/>
      <c r="D6" s="1490"/>
      <c r="E6" s="312" t="s">
        <v>208</v>
      </c>
      <c r="F6" s="313" t="s">
        <v>34</v>
      </c>
    </row>
    <row r="7" spans="1:23">
      <c r="A7" s="57">
        <v>1</v>
      </c>
      <c r="B7" s="314" t="s">
        <v>231</v>
      </c>
      <c r="C7" s="314" t="s">
        <v>182</v>
      </c>
      <c r="D7" s="314" t="s">
        <v>210</v>
      </c>
      <c r="E7" s="1066">
        <v>45685</v>
      </c>
      <c r="F7" s="314" t="s">
        <v>103</v>
      </c>
      <c r="G7" s="1045" t="s">
        <v>1732</v>
      </c>
    </row>
    <row r="8" spans="1:23">
      <c r="A8" s="57">
        <f>A7+1</f>
        <v>2</v>
      </c>
      <c r="B8" s="314" t="s">
        <v>209</v>
      </c>
      <c r="C8" s="314" t="s">
        <v>182</v>
      </c>
      <c r="D8" s="314" t="s">
        <v>210</v>
      </c>
      <c r="E8" s="1066">
        <v>45691</v>
      </c>
      <c r="F8" s="314" t="s">
        <v>103</v>
      </c>
      <c r="G8" s="1045" t="s">
        <v>1732</v>
      </c>
      <c r="K8" s="317"/>
      <c r="L8" s="317"/>
      <c r="M8" s="317"/>
      <c r="N8" s="317"/>
      <c r="O8" s="317"/>
      <c r="P8" s="317"/>
    </row>
    <row r="9" spans="1:23">
      <c r="A9" s="57">
        <f t="shared" ref="A9:A72" si="0">A8+1</f>
        <v>3</v>
      </c>
      <c r="B9" s="314" t="s">
        <v>241</v>
      </c>
      <c r="C9" s="314" t="s">
        <v>242</v>
      </c>
      <c r="D9" s="314" t="s">
        <v>210</v>
      </c>
      <c r="E9" s="1066">
        <v>45708</v>
      </c>
      <c r="F9" s="314" t="s">
        <v>103</v>
      </c>
      <c r="G9" s="1045" t="s">
        <v>1732</v>
      </c>
      <c r="K9" s="318"/>
      <c r="L9" s="318"/>
      <c r="M9" s="319"/>
      <c r="N9" s="319"/>
      <c r="O9" s="319"/>
      <c r="P9" s="319"/>
    </row>
    <row r="10" spans="1:23">
      <c r="A10" s="57">
        <f t="shared" si="0"/>
        <v>4</v>
      </c>
      <c r="B10" s="314" t="s">
        <v>214</v>
      </c>
      <c r="C10" s="314" t="s">
        <v>185</v>
      </c>
      <c r="D10" s="314" t="s">
        <v>210</v>
      </c>
      <c r="E10" s="1066">
        <v>45697</v>
      </c>
      <c r="F10" s="314" t="s">
        <v>103</v>
      </c>
      <c r="G10" s="1045" t="s">
        <v>1732</v>
      </c>
      <c r="K10" s="319"/>
      <c r="L10" s="318"/>
      <c r="M10" s="318"/>
      <c r="N10" s="320"/>
      <c r="O10" s="320"/>
      <c r="P10" s="320"/>
    </row>
    <row r="11" spans="1:23">
      <c r="A11" s="57">
        <f t="shared" si="0"/>
        <v>5</v>
      </c>
      <c r="B11" s="314" t="s">
        <v>251</v>
      </c>
      <c r="C11" s="314" t="s">
        <v>295</v>
      </c>
      <c r="D11" s="314" t="s">
        <v>210</v>
      </c>
      <c r="E11" s="1066">
        <v>45710</v>
      </c>
      <c r="F11" s="314" t="s">
        <v>103</v>
      </c>
      <c r="G11" s="1045" t="s">
        <v>1732</v>
      </c>
      <c r="K11" s="319"/>
      <c r="L11" s="318">
        <v>185</v>
      </c>
      <c r="M11" s="318"/>
      <c r="N11" s="320"/>
      <c r="O11" s="320"/>
      <c r="P11" s="320"/>
    </row>
    <row r="12" spans="1:23">
      <c r="A12" s="57">
        <f t="shared" si="0"/>
        <v>6</v>
      </c>
      <c r="B12" s="314" t="s">
        <v>236</v>
      </c>
      <c r="C12" s="314" t="s">
        <v>296</v>
      </c>
      <c r="D12" s="314" t="s">
        <v>210</v>
      </c>
      <c r="E12" s="1066">
        <v>45710</v>
      </c>
      <c r="F12" s="314" t="s">
        <v>103</v>
      </c>
      <c r="G12" s="1045" t="s">
        <v>1732</v>
      </c>
      <c r="K12" s="318"/>
      <c r="L12" s="318"/>
      <c r="M12" s="318"/>
      <c r="N12" s="318"/>
      <c r="O12" s="320"/>
      <c r="P12" s="320"/>
    </row>
    <row r="13" spans="1:23">
      <c r="A13" s="57">
        <f t="shared" si="0"/>
        <v>7</v>
      </c>
      <c r="B13" s="314" t="s">
        <v>237</v>
      </c>
      <c r="C13" s="314" t="s">
        <v>182</v>
      </c>
      <c r="D13" s="314" t="s">
        <v>210</v>
      </c>
      <c r="E13" s="1066">
        <v>45710</v>
      </c>
      <c r="F13" s="314" t="s">
        <v>103</v>
      </c>
      <c r="G13" s="1045" t="s">
        <v>1732</v>
      </c>
      <c r="K13" s="318"/>
      <c r="L13" s="318">
        <v>24</v>
      </c>
      <c r="M13" s="319"/>
      <c r="N13" s="319"/>
      <c r="O13" s="319"/>
      <c r="P13" s="319"/>
    </row>
    <row r="14" spans="1:23">
      <c r="A14" s="57">
        <f t="shared" si="0"/>
        <v>8</v>
      </c>
      <c r="B14" s="315" t="s">
        <v>215</v>
      </c>
      <c r="C14" s="314" t="s">
        <v>182</v>
      </c>
      <c r="D14" s="314" t="s">
        <v>210</v>
      </c>
      <c r="E14" s="1066">
        <v>45712</v>
      </c>
      <c r="F14" s="314" t="s">
        <v>103</v>
      </c>
      <c r="G14" s="1045" t="s">
        <v>1732</v>
      </c>
      <c r="K14" s="318"/>
      <c r="L14" s="318"/>
      <c r="M14" s="318"/>
      <c r="N14" s="320"/>
      <c r="O14" s="318"/>
      <c r="P14" s="320"/>
    </row>
    <row r="15" spans="1:23">
      <c r="A15" s="57">
        <f t="shared" si="0"/>
        <v>9</v>
      </c>
      <c r="B15" s="315" t="s">
        <v>240</v>
      </c>
      <c r="C15" s="314" t="s">
        <v>185</v>
      </c>
      <c r="D15" s="314" t="s">
        <v>210</v>
      </c>
      <c r="E15" s="1066">
        <v>45712</v>
      </c>
      <c r="F15" s="314" t="s">
        <v>103</v>
      </c>
      <c r="G15" s="1045" t="s">
        <v>1732</v>
      </c>
      <c r="K15" s="318"/>
      <c r="L15" s="318"/>
      <c r="M15" s="318"/>
      <c r="N15" s="320"/>
      <c r="O15" s="320"/>
      <c r="P15" s="320"/>
    </row>
    <row r="16" spans="1:23">
      <c r="A16" s="57">
        <f t="shared" si="0"/>
        <v>10</v>
      </c>
      <c r="B16" s="315" t="s">
        <v>253</v>
      </c>
      <c r="C16" s="314" t="s">
        <v>248</v>
      </c>
      <c r="D16" s="314" t="s">
        <v>210</v>
      </c>
      <c r="E16" s="1066">
        <v>45712</v>
      </c>
      <c r="F16" s="314" t="s">
        <v>103</v>
      </c>
      <c r="G16" s="1045" t="s">
        <v>1732</v>
      </c>
      <c r="K16" s="318"/>
      <c r="L16" s="318"/>
      <c r="M16" s="318"/>
      <c r="N16" s="320"/>
      <c r="O16" s="320"/>
      <c r="P16" s="320"/>
    </row>
    <row r="17" spans="1:16">
      <c r="A17" s="57">
        <f t="shared" si="0"/>
        <v>11</v>
      </c>
      <c r="B17" s="315" t="s">
        <v>217</v>
      </c>
      <c r="C17" s="314" t="s">
        <v>182</v>
      </c>
      <c r="D17" s="314" t="s">
        <v>292</v>
      </c>
      <c r="E17" s="1066">
        <v>45713</v>
      </c>
      <c r="F17" s="314" t="s">
        <v>103</v>
      </c>
      <c r="G17" s="1045" t="s">
        <v>1732</v>
      </c>
      <c r="K17" s="318"/>
      <c r="L17" s="318"/>
      <c r="M17" s="319"/>
      <c r="N17" s="319"/>
      <c r="O17" s="319"/>
      <c r="P17" s="319"/>
    </row>
    <row r="18" spans="1:16">
      <c r="A18" s="57">
        <f t="shared" si="0"/>
        <v>12</v>
      </c>
      <c r="B18" s="315" t="s">
        <v>259</v>
      </c>
      <c r="C18" s="314" t="s">
        <v>248</v>
      </c>
      <c r="D18" s="314" t="s">
        <v>210</v>
      </c>
      <c r="E18" s="1066">
        <v>45713</v>
      </c>
      <c r="F18" s="314" t="s">
        <v>103</v>
      </c>
      <c r="G18" s="1045" t="s">
        <v>1732</v>
      </c>
      <c r="K18" s="318"/>
      <c r="L18" s="318"/>
      <c r="M18" s="318"/>
      <c r="N18" s="320"/>
      <c r="O18" s="320"/>
      <c r="P18" s="320"/>
    </row>
    <row r="19" spans="1:16">
      <c r="A19" s="57">
        <f t="shared" si="0"/>
        <v>13</v>
      </c>
      <c r="B19" s="315" t="s">
        <v>257</v>
      </c>
      <c r="C19" s="314" t="s">
        <v>248</v>
      </c>
      <c r="D19" s="314" t="s">
        <v>210</v>
      </c>
      <c r="E19" s="1066">
        <v>45716</v>
      </c>
      <c r="F19" s="314" t="s">
        <v>103</v>
      </c>
      <c r="G19" s="1045" t="s">
        <v>1732</v>
      </c>
      <c r="K19" s="318"/>
      <c r="L19" s="318"/>
      <c r="M19" s="318"/>
      <c r="N19" s="320"/>
      <c r="O19" s="320"/>
      <c r="P19" s="320"/>
    </row>
    <row r="20" spans="1:16">
      <c r="A20" s="57">
        <f t="shared" si="0"/>
        <v>14</v>
      </c>
      <c r="B20" s="315" t="s">
        <v>239</v>
      </c>
      <c r="C20" s="314" t="s">
        <v>182</v>
      </c>
      <c r="D20" s="314" t="s">
        <v>210</v>
      </c>
      <c r="E20" s="1066">
        <v>45717</v>
      </c>
      <c r="F20" s="314" t="s">
        <v>103</v>
      </c>
      <c r="G20" s="1045" t="s">
        <v>1733</v>
      </c>
      <c r="K20" s="318"/>
      <c r="L20" s="318"/>
      <c r="M20" s="318"/>
      <c r="N20" s="320"/>
      <c r="O20" s="320"/>
      <c r="P20" s="320"/>
    </row>
    <row r="21" spans="1:16">
      <c r="A21" s="57">
        <f t="shared" si="0"/>
        <v>15</v>
      </c>
      <c r="B21" s="315" t="s">
        <v>216</v>
      </c>
      <c r="C21" s="314" t="s">
        <v>185</v>
      </c>
      <c r="D21" s="314" t="s">
        <v>210</v>
      </c>
      <c r="E21" s="1066">
        <v>45724</v>
      </c>
      <c r="F21" s="314" t="s">
        <v>103</v>
      </c>
      <c r="G21" s="1045" t="s">
        <v>1733</v>
      </c>
      <c r="K21" s="318"/>
      <c r="L21" s="318"/>
      <c r="M21" s="318"/>
      <c r="N21" s="320"/>
      <c r="O21" s="320"/>
      <c r="P21" s="320"/>
    </row>
    <row r="22" spans="1:16">
      <c r="A22" s="57">
        <f t="shared" si="0"/>
        <v>16</v>
      </c>
      <c r="B22" s="315" t="s">
        <v>263</v>
      </c>
      <c r="C22" s="314" t="s">
        <v>242</v>
      </c>
      <c r="D22" s="314" t="s">
        <v>210</v>
      </c>
      <c r="E22" s="1066">
        <v>45724</v>
      </c>
      <c r="F22" s="314" t="s">
        <v>103</v>
      </c>
      <c r="G22" s="1045" t="s">
        <v>1733</v>
      </c>
    </row>
    <row r="23" spans="1:16">
      <c r="A23" s="57">
        <f t="shared" si="0"/>
        <v>17</v>
      </c>
      <c r="B23" s="315" t="s">
        <v>297</v>
      </c>
      <c r="C23" s="314" t="s">
        <v>182</v>
      </c>
      <c r="D23" s="314" t="s">
        <v>210</v>
      </c>
      <c r="E23" s="1066">
        <v>45719</v>
      </c>
      <c r="F23" s="314" t="s">
        <v>103</v>
      </c>
      <c r="G23" s="1045" t="s">
        <v>1733</v>
      </c>
    </row>
    <row r="24" spans="1:16">
      <c r="A24" s="57">
        <f t="shared" si="0"/>
        <v>18</v>
      </c>
      <c r="B24" s="315" t="s">
        <v>294</v>
      </c>
      <c r="C24" s="316" t="s">
        <v>182</v>
      </c>
      <c r="D24" s="314" t="s">
        <v>210</v>
      </c>
      <c r="E24" s="1066">
        <v>45724</v>
      </c>
      <c r="F24" s="314" t="s">
        <v>103</v>
      </c>
      <c r="G24" s="1045" t="s">
        <v>1733</v>
      </c>
    </row>
    <row r="25" spans="1:16">
      <c r="A25" s="57">
        <f t="shared" si="0"/>
        <v>19</v>
      </c>
      <c r="B25" s="315" t="s">
        <v>276</v>
      </c>
      <c r="C25" s="316" t="s">
        <v>182</v>
      </c>
      <c r="D25" s="314" t="s">
        <v>210</v>
      </c>
      <c r="E25" s="1066">
        <v>45724</v>
      </c>
      <c r="F25" s="314" t="s">
        <v>103</v>
      </c>
      <c r="G25" s="1045" t="s">
        <v>1733</v>
      </c>
    </row>
    <row r="26" spans="1:16">
      <c r="A26" s="57">
        <f t="shared" si="0"/>
        <v>20</v>
      </c>
      <c r="B26" s="315" t="s">
        <v>213</v>
      </c>
      <c r="C26" s="314" t="s">
        <v>182</v>
      </c>
      <c r="D26" s="314" t="s">
        <v>210</v>
      </c>
      <c r="E26" s="1066">
        <v>45724</v>
      </c>
      <c r="F26" s="314" t="s">
        <v>103</v>
      </c>
      <c r="G26" s="1045" t="s">
        <v>1733</v>
      </c>
    </row>
    <row r="27" spans="1:16">
      <c r="A27" s="57">
        <f t="shared" si="0"/>
        <v>21</v>
      </c>
      <c r="B27" s="315" t="s">
        <v>268</v>
      </c>
      <c r="C27" s="316" t="s">
        <v>185</v>
      </c>
      <c r="D27" s="314" t="s">
        <v>210</v>
      </c>
      <c r="E27" s="1066">
        <v>45724</v>
      </c>
      <c r="F27" s="314" t="s">
        <v>103</v>
      </c>
      <c r="G27" s="1045" t="s">
        <v>1734</v>
      </c>
    </row>
    <row r="28" spans="1:16">
      <c r="A28" s="57">
        <f t="shared" si="0"/>
        <v>22</v>
      </c>
      <c r="B28" s="428" t="s">
        <v>274</v>
      </c>
      <c r="C28" s="428" t="s">
        <v>248</v>
      </c>
      <c r="D28" s="314" t="s">
        <v>210</v>
      </c>
      <c r="E28" s="1067">
        <v>45744</v>
      </c>
      <c r="F28" s="428" t="s">
        <v>103</v>
      </c>
      <c r="G28" s="1045" t="s">
        <v>1734</v>
      </c>
    </row>
    <row r="29" spans="1:16">
      <c r="A29" s="57">
        <f t="shared" si="0"/>
        <v>23</v>
      </c>
      <c r="B29" s="315" t="s">
        <v>258</v>
      </c>
      <c r="C29" s="315" t="s">
        <v>182</v>
      </c>
      <c r="D29" s="315" t="s">
        <v>210</v>
      </c>
      <c r="E29" s="1068">
        <v>45727</v>
      </c>
      <c r="F29" s="440" t="s">
        <v>103</v>
      </c>
      <c r="G29" s="1045" t="s">
        <v>1733</v>
      </c>
    </row>
    <row r="30" spans="1:16">
      <c r="A30" s="57">
        <f t="shared" si="0"/>
        <v>24</v>
      </c>
      <c r="B30" s="315" t="s">
        <v>169</v>
      </c>
      <c r="C30" s="316" t="s">
        <v>182</v>
      </c>
      <c r="D30" s="314" t="s">
        <v>292</v>
      </c>
      <c r="E30" s="1068">
        <v>45753</v>
      </c>
      <c r="F30" s="314" t="s">
        <v>103</v>
      </c>
      <c r="G30" s="1045" t="s">
        <v>1734</v>
      </c>
    </row>
    <row r="31" spans="1:16">
      <c r="A31" s="57">
        <f t="shared" si="0"/>
        <v>25</v>
      </c>
      <c r="B31" s="315" t="s">
        <v>355</v>
      </c>
      <c r="C31" s="315" t="s">
        <v>248</v>
      </c>
      <c r="D31" s="315" t="s">
        <v>210</v>
      </c>
      <c r="E31" s="1067">
        <v>45752</v>
      </c>
      <c r="F31" s="315" t="s">
        <v>103</v>
      </c>
      <c r="G31" s="1045" t="s">
        <v>1734</v>
      </c>
    </row>
    <row r="32" spans="1:16">
      <c r="A32" s="57">
        <f t="shared" si="0"/>
        <v>26</v>
      </c>
      <c r="B32" s="440" t="s">
        <v>289</v>
      </c>
      <c r="C32" s="316" t="s">
        <v>182</v>
      </c>
      <c r="D32" s="440" t="s">
        <v>292</v>
      </c>
      <c r="E32" s="1068">
        <v>45753</v>
      </c>
      <c r="F32" s="440" t="s">
        <v>103</v>
      </c>
      <c r="G32" s="1045" t="s">
        <v>1734</v>
      </c>
    </row>
    <row r="33" spans="1:7">
      <c r="A33" s="57">
        <f t="shared" si="0"/>
        <v>27</v>
      </c>
      <c r="B33" s="315" t="s">
        <v>275</v>
      </c>
      <c r="C33" s="315" t="s">
        <v>248</v>
      </c>
      <c r="D33" s="315" t="s">
        <v>210</v>
      </c>
      <c r="E33" s="1068">
        <v>45755</v>
      </c>
      <c r="F33" s="440" t="s">
        <v>103</v>
      </c>
      <c r="G33" s="1045" t="s">
        <v>1734</v>
      </c>
    </row>
    <row r="34" spans="1:7">
      <c r="A34" s="57">
        <f t="shared" si="0"/>
        <v>28</v>
      </c>
      <c r="B34" s="315" t="s">
        <v>284</v>
      </c>
      <c r="C34" s="315" t="s">
        <v>185</v>
      </c>
      <c r="D34" s="315" t="s">
        <v>210</v>
      </c>
      <c r="E34" s="1068">
        <v>45755</v>
      </c>
      <c r="F34" s="440" t="s">
        <v>103</v>
      </c>
      <c r="G34" s="1045" t="s">
        <v>1734</v>
      </c>
    </row>
    <row r="35" spans="1:7">
      <c r="A35" s="57">
        <f t="shared" si="0"/>
        <v>29</v>
      </c>
      <c r="B35" s="315" t="s">
        <v>285</v>
      </c>
      <c r="C35" s="315" t="s">
        <v>185</v>
      </c>
      <c r="D35" s="315" t="s">
        <v>210</v>
      </c>
      <c r="E35" s="1068">
        <v>45755</v>
      </c>
      <c r="F35" s="440" t="s">
        <v>103</v>
      </c>
      <c r="G35" s="1045" t="s">
        <v>1734</v>
      </c>
    </row>
    <row r="36" spans="1:7">
      <c r="A36" s="57">
        <f t="shared" si="0"/>
        <v>30</v>
      </c>
      <c r="B36" s="315" t="s">
        <v>287</v>
      </c>
      <c r="C36" s="315" t="s">
        <v>248</v>
      </c>
      <c r="D36" s="315" t="s">
        <v>210</v>
      </c>
      <c r="E36" s="1068">
        <v>45757</v>
      </c>
      <c r="F36" s="440" t="s">
        <v>103</v>
      </c>
      <c r="G36" s="1045" t="s">
        <v>1734</v>
      </c>
    </row>
    <row r="37" spans="1:7">
      <c r="A37" s="57">
        <f t="shared" si="0"/>
        <v>31</v>
      </c>
      <c r="B37" s="315" t="s">
        <v>1292</v>
      </c>
      <c r="C37" s="315" t="s">
        <v>182</v>
      </c>
      <c r="D37" s="315" t="s">
        <v>210</v>
      </c>
      <c r="E37" s="1068">
        <v>45764</v>
      </c>
      <c r="F37" s="521" t="s">
        <v>103</v>
      </c>
      <c r="G37" s="1045" t="s">
        <v>1734</v>
      </c>
    </row>
    <row r="38" spans="1:7">
      <c r="A38" s="57">
        <f t="shared" si="0"/>
        <v>32</v>
      </c>
      <c r="B38" s="315" t="s">
        <v>280</v>
      </c>
      <c r="C38" s="315" t="s">
        <v>248</v>
      </c>
      <c r="D38" s="315" t="s">
        <v>210</v>
      </c>
      <c r="E38" s="1068">
        <v>45764</v>
      </c>
      <c r="F38" s="521" t="s">
        <v>103</v>
      </c>
      <c r="G38" s="1045" t="s">
        <v>1734</v>
      </c>
    </row>
    <row r="39" spans="1:7">
      <c r="A39" s="57">
        <f t="shared" si="0"/>
        <v>33</v>
      </c>
      <c r="B39" s="315" t="s">
        <v>290</v>
      </c>
      <c r="C39" s="315" t="s">
        <v>182</v>
      </c>
      <c r="D39" s="315" t="s">
        <v>210</v>
      </c>
      <c r="E39" s="1067">
        <v>45764</v>
      </c>
      <c r="F39" s="521" t="s">
        <v>103</v>
      </c>
      <c r="G39" s="1045" t="s">
        <v>1734</v>
      </c>
    </row>
    <row r="40" spans="1:7">
      <c r="A40" s="57">
        <f t="shared" si="0"/>
        <v>34</v>
      </c>
      <c r="B40" s="315" t="s">
        <v>277</v>
      </c>
      <c r="C40" s="315" t="s">
        <v>185</v>
      </c>
      <c r="D40" s="315" t="s">
        <v>210</v>
      </c>
      <c r="E40" s="1067">
        <v>45764</v>
      </c>
      <c r="F40" s="521" t="s">
        <v>103</v>
      </c>
      <c r="G40" s="1045" t="s">
        <v>1734</v>
      </c>
    </row>
    <row r="41" spans="1:7">
      <c r="A41" s="57">
        <f t="shared" si="0"/>
        <v>35</v>
      </c>
      <c r="B41" s="315" t="s">
        <v>273</v>
      </c>
      <c r="C41" s="315" t="s">
        <v>182</v>
      </c>
      <c r="D41" s="315" t="s">
        <v>210</v>
      </c>
      <c r="E41" s="1067">
        <v>45765</v>
      </c>
      <c r="F41" s="521" t="s">
        <v>103</v>
      </c>
      <c r="G41" s="1045" t="s">
        <v>1734</v>
      </c>
    </row>
    <row r="42" spans="1:7">
      <c r="A42" s="57">
        <f t="shared" si="0"/>
        <v>36</v>
      </c>
      <c r="B42" s="315" t="s">
        <v>475</v>
      </c>
      <c r="C42" s="315" t="s">
        <v>185</v>
      </c>
      <c r="D42" s="315" t="s">
        <v>210</v>
      </c>
      <c r="E42" s="1067">
        <v>45768</v>
      </c>
      <c r="F42" s="521" t="s">
        <v>103</v>
      </c>
      <c r="G42" s="1045" t="s">
        <v>1734</v>
      </c>
    </row>
    <row r="43" spans="1:7">
      <c r="A43" s="57">
        <f t="shared" si="0"/>
        <v>37</v>
      </c>
      <c r="B43" s="315" t="s">
        <v>414</v>
      </c>
      <c r="C43" s="315" t="s">
        <v>248</v>
      </c>
      <c r="D43" s="315" t="s">
        <v>210</v>
      </c>
      <c r="E43" s="1067">
        <v>45768</v>
      </c>
      <c r="F43" s="315" t="s">
        <v>103</v>
      </c>
      <c r="G43" s="1045" t="s">
        <v>1734</v>
      </c>
    </row>
    <row r="44" spans="1:7">
      <c r="A44" s="57">
        <f t="shared" si="0"/>
        <v>38</v>
      </c>
      <c r="B44" s="523" t="s">
        <v>311</v>
      </c>
      <c r="C44" s="315" t="s">
        <v>185</v>
      </c>
      <c r="D44" s="315" t="s">
        <v>210</v>
      </c>
      <c r="E44" s="1067">
        <v>45771</v>
      </c>
      <c r="F44" s="315" t="s">
        <v>103</v>
      </c>
      <c r="G44" s="1045" t="s">
        <v>1734</v>
      </c>
    </row>
    <row r="45" spans="1:7">
      <c r="A45" s="57">
        <f t="shared" si="0"/>
        <v>39</v>
      </c>
      <c r="B45" s="523" t="s">
        <v>426</v>
      </c>
      <c r="C45" s="523" t="s">
        <v>182</v>
      </c>
      <c r="D45" s="523" t="s">
        <v>292</v>
      </c>
      <c r="E45" s="1067">
        <v>45772</v>
      </c>
      <c r="F45" s="523" t="s">
        <v>103</v>
      </c>
      <c r="G45" s="1045" t="s">
        <v>1734</v>
      </c>
    </row>
    <row r="46" spans="1:7">
      <c r="A46" s="57">
        <f t="shared" si="0"/>
        <v>40</v>
      </c>
      <c r="B46" s="526" t="s">
        <v>474</v>
      </c>
      <c r="C46" s="526" t="s">
        <v>185</v>
      </c>
      <c r="D46" s="315" t="s">
        <v>210</v>
      </c>
      <c r="E46" s="1067">
        <v>45767</v>
      </c>
      <c r="F46" s="523" t="s">
        <v>103</v>
      </c>
      <c r="G46" s="1045" t="s">
        <v>1734</v>
      </c>
    </row>
    <row r="47" spans="1:7">
      <c r="A47" s="57">
        <f t="shared" si="0"/>
        <v>41</v>
      </c>
      <c r="B47" s="315" t="s">
        <v>227</v>
      </c>
      <c r="C47" s="315" t="s">
        <v>182</v>
      </c>
      <c r="D47" s="315" t="s">
        <v>210</v>
      </c>
      <c r="E47" s="1068">
        <v>45779</v>
      </c>
      <c r="F47" s="315" t="s">
        <v>103</v>
      </c>
      <c r="G47" s="1045" t="s">
        <v>1735</v>
      </c>
    </row>
    <row r="48" spans="1:7">
      <c r="A48" s="57">
        <f t="shared" si="0"/>
        <v>42</v>
      </c>
      <c r="B48" s="1063" t="s">
        <v>282</v>
      </c>
      <c r="C48" s="315" t="s">
        <v>242</v>
      </c>
      <c r="D48" s="310" t="s">
        <v>210</v>
      </c>
      <c r="E48" s="1068">
        <v>45783</v>
      </c>
      <c r="F48" s="315" t="s">
        <v>103</v>
      </c>
      <c r="G48" s="1045" t="s">
        <v>1735</v>
      </c>
    </row>
    <row r="49" spans="1:7">
      <c r="A49" s="57">
        <f t="shared" si="0"/>
        <v>43</v>
      </c>
      <c r="B49" s="1063" t="s">
        <v>1310</v>
      </c>
      <c r="C49" s="315" t="s">
        <v>182</v>
      </c>
      <c r="D49" s="310" t="s">
        <v>210</v>
      </c>
      <c r="E49" s="1068">
        <v>45784</v>
      </c>
      <c r="F49" s="315" t="s">
        <v>103</v>
      </c>
      <c r="G49" s="1045" t="s">
        <v>1735</v>
      </c>
    </row>
    <row r="50" spans="1:7">
      <c r="A50" s="57">
        <f t="shared" si="0"/>
        <v>44</v>
      </c>
      <c r="B50" s="1063" t="s">
        <v>447</v>
      </c>
      <c r="C50" s="315" t="s">
        <v>182</v>
      </c>
      <c r="D50" s="310" t="s">
        <v>210</v>
      </c>
      <c r="E50" s="1068">
        <v>45784</v>
      </c>
      <c r="F50" s="315" t="s">
        <v>103</v>
      </c>
      <c r="G50" s="1045" t="s">
        <v>1735</v>
      </c>
    </row>
    <row r="51" spans="1:7">
      <c r="A51" s="57">
        <f t="shared" si="0"/>
        <v>45</v>
      </c>
      <c r="B51" s="315" t="s">
        <v>449</v>
      </c>
      <c r="C51" s="315" t="s">
        <v>185</v>
      </c>
      <c r="D51" s="310" t="s">
        <v>210</v>
      </c>
      <c r="E51" s="1067">
        <v>45792</v>
      </c>
      <c r="F51" s="315" t="s">
        <v>103</v>
      </c>
      <c r="G51" s="1045" t="s">
        <v>1735</v>
      </c>
    </row>
    <row r="52" spans="1:7">
      <c r="A52" s="57">
        <f t="shared" si="0"/>
        <v>46</v>
      </c>
      <c r="B52" s="538" t="s">
        <v>435</v>
      </c>
      <c r="C52" s="538" t="s">
        <v>242</v>
      </c>
      <c r="D52" s="310" t="s">
        <v>210</v>
      </c>
      <c r="E52" s="1067">
        <v>45796</v>
      </c>
      <c r="F52" s="315" t="s">
        <v>103</v>
      </c>
      <c r="G52" s="1045" t="s">
        <v>1735</v>
      </c>
    </row>
    <row r="53" spans="1:7">
      <c r="A53" s="57">
        <f t="shared" si="0"/>
        <v>47</v>
      </c>
      <c r="B53" s="315" t="s">
        <v>271</v>
      </c>
      <c r="C53" s="315" t="s">
        <v>242</v>
      </c>
      <c r="D53" s="310" t="s">
        <v>210</v>
      </c>
      <c r="E53" s="1068">
        <v>45798</v>
      </c>
      <c r="F53" s="315" t="s">
        <v>103</v>
      </c>
      <c r="G53" s="1045" t="s">
        <v>1735</v>
      </c>
    </row>
    <row r="54" spans="1:7">
      <c r="A54" s="57">
        <f t="shared" si="0"/>
        <v>48</v>
      </c>
      <c r="B54" s="547" t="s">
        <v>1331</v>
      </c>
      <c r="C54" s="547" t="s">
        <v>242</v>
      </c>
      <c r="D54" s="547" t="s">
        <v>210</v>
      </c>
      <c r="E54" s="1067">
        <v>45803</v>
      </c>
      <c r="F54" s="315" t="s">
        <v>103</v>
      </c>
      <c r="G54" s="1045" t="s">
        <v>1735</v>
      </c>
    </row>
    <row r="55" spans="1:7">
      <c r="A55" s="57">
        <f t="shared" si="0"/>
        <v>49</v>
      </c>
      <c r="B55" s="547" t="s">
        <v>726</v>
      </c>
      <c r="C55" s="547" t="s">
        <v>125</v>
      </c>
      <c r="D55" s="547" t="s">
        <v>210</v>
      </c>
      <c r="E55" s="1067">
        <v>45805</v>
      </c>
      <c r="F55" s="315" t="s">
        <v>103</v>
      </c>
      <c r="G55" s="1045" t="s">
        <v>1735</v>
      </c>
    </row>
    <row r="56" spans="1:7">
      <c r="A56" s="57">
        <f t="shared" si="0"/>
        <v>50</v>
      </c>
      <c r="B56" s="315" t="s">
        <v>283</v>
      </c>
      <c r="C56" s="315" t="s">
        <v>242</v>
      </c>
      <c r="D56" s="315" t="s">
        <v>210</v>
      </c>
      <c r="E56" s="1067">
        <v>45807</v>
      </c>
      <c r="F56" s="315" t="s">
        <v>103</v>
      </c>
      <c r="G56" s="1045" t="s">
        <v>1735</v>
      </c>
    </row>
    <row r="57" spans="1:7">
      <c r="A57" s="57">
        <f t="shared" si="0"/>
        <v>51</v>
      </c>
      <c r="B57" s="315" t="s">
        <v>421</v>
      </c>
      <c r="C57" s="315" t="s">
        <v>115</v>
      </c>
      <c r="D57" s="315" t="s">
        <v>292</v>
      </c>
      <c r="E57" s="1067">
        <v>45807</v>
      </c>
      <c r="F57" s="315" t="s">
        <v>103</v>
      </c>
      <c r="G57" s="1045" t="s">
        <v>1736</v>
      </c>
    </row>
    <row r="58" spans="1:7">
      <c r="A58" s="57">
        <f t="shared" si="0"/>
        <v>52</v>
      </c>
      <c r="B58" s="561" t="s">
        <v>269</v>
      </c>
      <c r="C58" s="561" t="s">
        <v>182</v>
      </c>
      <c r="D58" s="561" t="s">
        <v>210</v>
      </c>
      <c r="E58" s="1067">
        <v>45813</v>
      </c>
      <c r="F58" s="561" t="s">
        <v>103</v>
      </c>
      <c r="G58" s="1045" t="s">
        <v>1736</v>
      </c>
    </row>
    <row r="59" spans="1:7">
      <c r="A59" s="57">
        <f t="shared" si="0"/>
        <v>53</v>
      </c>
      <c r="B59" s="566" t="s">
        <v>477</v>
      </c>
      <c r="C59" s="566" t="s">
        <v>242</v>
      </c>
      <c r="D59" s="566" t="s">
        <v>210</v>
      </c>
      <c r="E59" s="1067">
        <v>45814</v>
      </c>
      <c r="F59" s="566" t="s">
        <v>103</v>
      </c>
    </row>
    <row r="60" spans="1:7">
      <c r="A60" s="57">
        <f t="shared" si="0"/>
        <v>54</v>
      </c>
      <c r="B60" s="563" t="s">
        <v>1311</v>
      </c>
      <c r="C60" s="563" t="s">
        <v>1374</v>
      </c>
      <c r="D60" s="563" t="s">
        <v>210</v>
      </c>
      <c r="E60" s="1067">
        <v>45818</v>
      </c>
      <c r="F60" s="563" t="s">
        <v>103</v>
      </c>
      <c r="G60" s="1045" t="s">
        <v>1736</v>
      </c>
    </row>
    <row r="61" spans="1:7">
      <c r="A61" s="57">
        <f t="shared" si="0"/>
        <v>55</v>
      </c>
      <c r="B61" s="564" t="s">
        <v>393</v>
      </c>
      <c r="C61" s="564" t="s">
        <v>182</v>
      </c>
      <c r="D61" s="564" t="s">
        <v>210</v>
      </c>
      <c r="E61" s="1067">
        <v>45818</v>
      </c>
      <c r="F61" s="315" t="s">
        <v>103</v>
      </c>
      <c r="G61" s="1045" t="s">
        <v>1736</v>
      </c>
    </row>
    <row r="62" spans="1:7">
      <c r="A62" s="57">
        <f t="shared" si="0"/>
        <v>56</v>
      </c>
      <c r="B62" s="566" t="s">
        <v>1334</v>
      </c>
      <c r="C62" s="566" t="s">
        <v>115</v>
      </c>
      <c r="D62" s="566" t="s">
        <v>210</v>
      </c>
      <c r="E62" s="1067">
        <v>45815</v>
      </c>
      <c r="F62" s="566" t="s">
        <v>103</v>
      </c>
      <c r="G62" s="1045" t="s">
        <v>1736</v>
      </c>
    </row>
    <row r="63" spans="1:7">
      <c r="A63" s="57">
        <f t="shared" si="0"/>
        <v>57</v>
      </c>
      <c r="B63" s="316" t="s">
        <v>1370</v>
      </c>
      <c r="C63" s="636" t="s">
        <v>143</v>
      </c>
      <c r="D63" s="872" t="s">
        <v>210</v>
      </c>
      <c r="E63" s="1068">
        <v>45823</v>
      </c>
      <c r="F63" s="872" t="s">
        <v>103</v>
      </c>
    </row>
    <row r="64" spans="1:7">
      <c r="A64" s="57">
        <f t="shared" si="0"/>
        <v>58</v>
      </c>
      <c r="B64" s="316" t="s">
        <v>813</v>
      </c>
      <c r="C64" s="636" t="s">
        <v>182</v>
      </c>
      <c r="D64" s="872" t="s">
        <v>210</v>
      </c>
      <c r="E64" s="1068">
        <v>45824</v>
      </c>
      <c r="F64" s="872" t="s">
        <v>103</v>
      </c>
    </row>
    <row r="65" spans="1:11">
      <c r="A65" s="57">
        <f t="shared" si="0"/>
        <v>59</v>
      </c>
      <c r="B65" s="567" t="s">
        <v>1375</v>
      </c>
      <c r="C65" s="567" t="s">
        <v>182</v>
      </c>
      <c r="D65" s="567" t="s">
        <v>210</v>
      </c>
      <c r="E65" s="1068">
        <v>45821</v>
      </c>
      <c r="F65" s="567" t="s">
        <v>103</v>
      </c>
    </row>
    <row r="66" spans="1:11">
      <c r="A66" s="57">
        <f t="shared" si="0"/>
        <v>60</v>
      </c>
      <c r="B66" s="896" t="s">
        <v>1371</v>
      </c>
      <c r="C66" s="896" t="s">
        <v>125</v>
      </c>
      <c r="D66" s="896" t="s">
        <v>210</v>
      </c>
      <c r="E66" s="1067">
        <v>45822</v>
      </c>
      <c r="F66" s="896" t="s">
        <v>103</v>
      </c>
    </row>
    <row r="67" spans="1:11">
      <c r="A67" s="57">
        <f t="shared" si="0"/>
        <v>61</v>
      </c>
      <c r="B67" s="896" t="s">
        <v>159</v>
      </c>
      <c r="C67" s="896" t="s">
        <v>115</v>
      </c>
      <c r="D67" s="896" t="s">
        <v>210</v>
      </c>
      <c r="E67" s="1067">
        <v>45824</v>
      </c>
      <c r="F67" s="896" t="s">
        <v>103</v>
      </c>
    </row>
    <row r="68" spans="1:11">
      <c r="A68" s="57">
        <f t="shared" si="0"/>
        <v>62</v>
      </c>
      <c r="B68" s="583" t="s">
        <v>392</v>
      </c>
      <c r="C68" s="583" t="s">
        <v>242</v>
      </c>
      <c r="D68" s="583" t="s">
        <v>210</v>
      </c>
      <c r="E68" s="1067">
        <v>45824</v>
      </c>
      <c r="F68" s="583" t="s">
        <v>103</v>
      </c>
    </row>
    <row r="69" spans="1:11">
      <c r="A69" s="57">
        <f t="shared" si="0"/>
        <v>63</v>
      </c>
      <c r="B69" s="616" t="s">
        <v>157</v>
      </c>
      <c r="C69" s="616" t="s">
        <v>132</v>
      </c>
      <c r="D69" s="616" t="s">
        <v>210</v>
      </c>
      <c r="E69" s="1067">
        <v>45828</v>
      </c>
      <c r="F69" s="616" t="s">
        <v>103</v>
      </c>
    </row>
    <row r="70" spans="1:11">
      <c r="A70" s="57">
        <f t="shared" si="0"/>
        <v>64</v>
      </c>
      <c r="B70" s="629" t="s">
        <v>810</v>
      </c>
      <c r="C70" s="629" t="s">
        <v>1498</v>
      </c>
      <c r="D70" s="629" t="s">
        <v>210</v>
      </c>
      <c r="E70" s="1067">
        <v>45830</v>
      </c>
      <c r="F70" s="629" t="s">
        <v>103</v>
      </c>
    </row>
    <row r="71" spans="1:11">
      <c r="A71" s="57">
        <f t="shared" si="0"/>
        <v>65</v>
      </c>
      <c r="B71" s="315" t="s">
        <v>415</v>
      </c>
      <c r="C71" s="315" t="s">
        <v>119</v>
      </c>
      <c r="D71" s="315" t="s">
        <v>210</v>
      </c>
      <c r="E71" s="1067">
        <v>45832</v>
      </c>
      <c r="F71" s="315" t="s">
        <v>103</v>
      </c>
    </row>
    <row r="72" spans="1:11">
      <c r="A72" s="57">
        <f t="shared" si="0"/>
        <v>66</v>
      </c>
      <c r="B72" s="794" t="s">
        <v>193</v>
      </c>
      <c r="C72" s="794" t="s">
        <v>115</v>
      </c>
      <c r="D72" s="794" t="s">
        <v>210</v>
      </c>
      <c r="E72" s="1067">
        <v>45835</v>
      </c>
      <c r="F72" s="794" t="s">
        <v>103</v>
      </c>
    </row>
    <row r="73" spans="1:11">
      <c r="A73" s="57">
        <f t="shared" ref="A73:A136" si="1">A72+1</f>
        <v>67</v>
      </c>
      <c r="B73" s="831" t="s">
        <v>1496</v>
      </c>
      <c r="C73" s="831" t="s">
        <v>119</v>
      </c>
      <c r="D73" s="831" t="s">
        <v>210</v>
      </c>
      <c r="E73" s="1067">
        <v>45836</v>
      </c>
      <c r="F73" s="831" t="s">
        <v>103</v>
      </c>
      <c r="G73" s="856"/>
      <c r="H73" s="856"/>
      <c r="I73" s="856"/>
      <c r="J73" s="322"/>
      <c r="K73" s="322"/>
    </row>
    <row r="74" spans="1:11">
      <c r="A74" s="57">
        <f t="shared" si="1"/>
        <v>68</v>
      </c>
      <c r="B74" s="832" t="s">
        <v>816</v>
      </c>
      <c r="C74" s="832" t="s">
        <v>182</v>
      </c>
      <c r="D74" s="832" t="s">
        <v>210</v>
      </c>
      <c r="E74" s="1067">
        <v>45837</v>
      </c>
      <c r="F74" s="831" t="s">
        <v>103</v>
      </c>
    </row>
    <row r="75" spans="1:11">
      <c r="A75" s="57">
        <f t="shared" si="1"/>
        <v>69</v>
      </c>
      <c r="B75" s="832" t="s">
        <v>812</v>
      </c>
      <c r="C75" s="832" t="s">
        <v>182</v>
      </c>
      <c r="D75" s="832" t="s">
        <v>210</v>
      </c>
      <c r="E75" s="1067">
        <v>45837</v>
      </c>
      <c r="F75" s="831" t="s">
        <v>103</v>
      </c>
    </row>
    <row r="76" spans="1:11">
      <c r="A76" s="57">
        <f t="shared" si="1"/>
        <v>70</v>
      </c>
      <c r="B76" s="832" t="s">
        <v>1303</v>
      </c>
      <c r="C76" s="832" t="s">
        <v>125</v>
      </c>
      <c r="D76" s="832" t="s">
        <v>210</v>
      </c>
      <c r="E76" s="1067">
        <v>45837</v>
      </c>
      <c r="F76" s="831" t="s">
        <v>103</v>
      </c>
      <c r="G76" s="1045" t="s">
        <v>1736</v>
      </c>
    </row>
    <row r="77" spans="1:11">
      <c r="A77" s="57">
        <f t="shared" si="1"/>
        <v>71</v>
      </c>
      <c r="B77" s="896" t="s">
        <v>372</v>
      </c>
      <c r="C77" s="896" t="s">
        <v>185</v>
      </c>
      <c r="D77" s="896" t="s">
        <v>292</v>
      </c>
      <c r="E77" s="1067">
        <v>45839</v>
      </c>
      <c r="F77" s="896" t="s">
        <v>103</v>
      </c>
    </row>
    <row r="78" spans="1:11">
      <c r="A78" s="57">
        <f t="shared" si="1"/>
        <v>72</v>
      </c>
      <c r="B78" s="855" t="s">
        <v>817</v>
      </c>
      <c r="C78" s="855" t="s">
        <v>182</v>
      </c>
      <c r="D78" s="855" t="s">
        <v>210</v>
      </c>
      <c r="E78" s="1069">
        <v>45839</v>
      </c>
      <c r="F78" s="855" t="s">
        <v>103</v>
      </c>
    </row>
    <row r="79" spans="1:11">
      <c r="A79" s="57">
        <f t="shared" si="1"/>
        <v>73</v>
      </c>
      <c r="B79" s="835" t="s">
        <v>412</v>
      </c>
      <c r="C79" s="835" t="s">
        <v>119</v>
      </c>
      <c r="D79" s="835" t="s">
        <v>292</v>
      </c>
      <c r="E79" s="1067">
        <v>45844</v>
      </c>
      <c r="F79" s="835" t="s">
        <v>103</v>
      </c>
    </row>
    <row r="80" spans="1:11">
      <c r="A80" s="57">
        <f t="shared" si="1"/>
        <v>74</v>
      </c>
      <c r="B80" s="861" t="s">
        <v>1372</v>
      </c>
      <c r="C80" s="861" t="s">
        <v>115</v>
      </c>
      <c r="D80" s="861" t="s">
        <v>210</v>
      </c>
      <c r="E80" s="1067">
        <v>45845</v>
      </c>
      <c r="F80" s="861" t="s">
        <v>103</v>
      </c>
    </row>
    <row r="81" spans="1:6">
      <c r="A81" s="57">
        <f t="shared" si="1"/>
        <v>75</v>
      </c>
      <c r="B81" s="994" t="s">
        <v>727</v>
      </c>
      <c r="C81" s="994" t="s">
        <v>128</v>
      </c>
      <c r="D81" s="994" t="s">
        <v>210</v>
      </c>
      <c r="E81" s="1067">
        <v>45845</v>
      </c>
      <c r="F81" s="994" t="s">
        <v>103</v>
      </c>
    </row>
    <row r="82" spans="1:6">
      <c r="A82" s="57">
        <f t="shared" si="1"/>
        <v>76</v>
      </c>
      <c r="B82" s="864" t="s">
        <v>808</v>
      </c>
      <c r="C82" s="864" t="s">
        <v>185</v>
      </c>
      <c r="D82" s="864" t="s">
        <v>210</v>
      </c>
      <c r="E82" s="1067">
        <v>45846</v>
      </c>
      <c r="F82" s="861" t="s">
        <v>103</v>
      </c>
    </row>
    <row r="83" spans="1:6">
      <c r="A83" s="57">
        <f t="shared" si="1"/>
        <v>77</v>
      </c>
      <c r="B83" s="864" t="s">
        <v>1571</v>
      </c>
      <c r="C83" s="864" t="s">
        <v>115</v>
      </c>
      <c r="D83" s="864" t="s">
        <v>210</v>
      </c>
      <c r="E83" s="1067">
        <v>45846</v>
      </c>
      <c r="F83" s="861" t="s">
        <v>103</v>
      </c>
    </row>
    <row r="84" spans="1:6">
      <c r="A84" s="57">
        <f t="shared" si="1"/>
        <v>78</v>
      </c>
      <c r="B84" s="994" t="s">
        <v>270</v>
      </c>
      <c r="C84" s="994" t="s">
        <v>1666</v>
      </c>
      <c r="D84" s="994" t="s">
        <v>210</v>
      </c>
      <c r="E84" s="1067">
        <v>45848</v>
      </c>
      <c r="F84" s="994" t="s">
        <v>103</v>
      </c>
    </row>
    <row r="85" spans="1:6">
      <c r="A85" s="57">
        <f t="shared" si="1"/>
        <v>79</v>
      </c>
      <c r="B85" s="315" t="s">
        <v>463</v>
      </c>
      <c r="C85" s="315" t="s">
        <v>248</v>
      </c>
      <c r="D85" s="942" t="s">
        <v>210</v>
      </c>
      <c r="E85" s="1067">
        <v>45848</v>
      </c>
      <c r="F85" s="942" t="s">
        <v>103</v>
      </c>
    </row>
    <row r="86" spans="1:6">
      <c r="A86" s="57">
        <f t="shared" si="1"/>
        <v>80</v>
      </c>
      <c r="B86" s="872" t="s">
        <v>806</v>
      </c>
      <c r="C86" s="872" t="s">
        <v>182</v>
      </c>
      <c r="D86" s="872" t="s">
        <v>210</v>
      </c>
      <c r="E86" s="1068">
        <v>45850</v>
      </c>
      <c r="F86" s="872" t="s">
        <v>103</v>
      </c>
    </row>
    <row r="87" spans="1:6">
      <c r="A87" s="57">
        <f t="shared" si="1"/>
        <v>81</v>
      </c>
      <c r="B87" s="885" t="s">
        <v>765</v>
      </c>
      <c r="C87" s="885" t="s">
        <v>185</v>
      </c>
      <c r="D87" s="885" t="s">
        <v>210</v>
      </c>
      <c r="E87" s="1067">
        <v>45854</v>
      </c>
      <c r="F87" s="885" t="s">
        <v>103</v>
      </c>
    </row>
    <row r="88" spans="1:6">
      <c r="A88" s="57">
        <f t="shared" si="1"/>
        <v>82</v>
      </c>
      <c r="B88" s="885" t="s">
        <v>168</v>
      </c>
      <c r="C88" s="885" t="s">
        <v>132</v>
      </c>
      <c r="D88" s="885" t="s">
        <v>292</v>
      </c>
      <c r="E88" s="1067">
        <v>45854</v>
      </c>
      <c r="F88" s="885" t="s">
        <v>103</v>
      </c>
    </row>
    <row r="89" spans="1:6">
      <c r="A89" s="57">
        <f t="shared" si="1"/>
        <v>83</v>
      </c>
      <c r="B89" s="994" t="s">
        <v>819</v>
      </c>
      <c r="C89" s="994" t="s">
        <v>182</v>
      </c>
      <c r="D89" s="994" t="s">
        <v>210</v>
      </c>
      <c r="E89" s="1068">
        <v>45855</v>
      </c>
      <c r="F89" s="994" t="s">
        <v>103</v>
      </c>
    </row>
    <row r="90" spans="1:6">
      <c r="A90" s="57">
        <f t="shared" si="1"/>
        <v>84</v>
      </c>
      <c r="B90" s="994" t="s">
        <v>820</v>
      </c>
      <c r="C90" s="994" t="s">
        <v>182</v>
      </c>
      <c r="D90" s="994" t="s">
        <v>210</v>
      </c>
      <c r="E90" s="1068">
        <v>45855</v>
      </c>
      <c r="F90" s="994" t="s">
        <v>103</v>
      </c>
    </row>
    <row r="91" spans="1:6">
      <c r="A91" s="57">
        <f t="shared" si="1"/>
        <v>85</v>
      </c>
      <c r="B91" s="994" t="s">
        <v>818</v>
      </c>
      <c r="C91" s="994" t="s">
        <v>182</v>
      </c>
      <c r="D91" s="994" t="s">
        <v>210</v>
      </c>
      <c r="E91" s="1068">
        <v>45855</v>
      </c>
      <c r="F91" s="994" t="s">
        <v>103</v>
      </c>
    </row>
    <row r="92" spans="1:6">
      <c r="A92" s="57">
        <f t="shared" si="1"/>
        <v>86</v>
      </c>
      <c r="B92" s="896" t="s">
        <v>1321</v>
      </c>
      <c r="C92" s="896" t="s">
        <v>115</v>
      </c>
      <c r="D92" s="896" t="s">
        <v>210</v>
      </c>
      <c r="E92" s="1067">
        <v>45858</v>
      </c>
      <c r="F92" s="896" t="s">
        <v>103</v>
      </c>
    </row>
    <row r="93" spans="1:6">
      <c r="A93" s="57">
        <f t="shared" si="1"/>
        <v>87</v>
      </c>
      <c r="B93" s="896" t="s">
        <v>1595</v>
      </c>
      <c r="C93" s="896" t="s">
        <v>167</v>
      </c>
      <c r="D93" s="896" t="s">
        <v>210</v>
      </c>
      <c r="E93" s="1067">
        <v>45858</v>
      </c>
      <c r="F93" s="896" t="s">
        <v>103</v>
      </c>
    </row>
    <row r="94" spans="1:6">
      <c r="A94" s="57">
        <f t="shared" si="1"/>
        <v>88</v>
      </c>
      <c r="B94" s="896" t="s">
        <v>763</v>
      </c>
      <c r="C94" s="896" t="s">
        <v>182</v>
      </c>
      <c r="D94" s="896" t="s">
        <v>210</v>
      </c>
      <c r="E94" s="1067">
        <v>45858</v>
      </c>
      <c r="F94" s="896" t="s">
        <v>103</v>
      </c>
    </row>
    <row r="95" spans="1:6">
      <c r="A95" s="57">
        <f t="shared" si="1"/>
        <v>89</v>
      </c>
      <c r="B95" s="897" t="s">
        <v>380</v>
      </c>
      <c r="C95" s="897" t="s">
        <v>119</v>
      </c>
      <c r="D95" s="897" t="s">
        <v>210</v>
      </c>
      <c r="E95" s="1070">
        <v>45859</v>
      </c>
      <c r="F95" s="897" t="s">
        <v>103</v>
      </c>
    </row>
    <row r="96" spans="1:6">
      <c r="A96" s="57">
        <f t="shared" si="1"/>
        <v>90</v>
      </c>
      <c r="B96" s="897" t="s">
        <v>823</v>
      </c>
      <c r="C96" s="897" t="s">
        <v>182</v>
      </c>
      <c r="D96" s="897" t="s">
        <v>210</v>
      </c>
      <c r="E96" s="1067">
        <v>45859</v>
      </c>
      <c r="F96" s="897" t="s">
        <v>103</v>
      </c>
    </row>
    <row r="97" spans="1:6">
      <c r="A97" s="57">
        <f t="shared" si="1"/>
        <v>91</v>
      </c>
      <c r="B97" s="902" t="s">
        <v>1610</v>
      </c>
      <c r="C97" s="902" t="s">
        <v>115</v>
      </c>
      <c r="D97" s="902" t="s">
        <v>210</v>
      </c>
      <c r="E97" s="1067">
        <v>45860</v>
      </c>
      <c r="F97" s="902" t="s">
        <v>103</v>
      </c>
    </row>
    <row r="98" spans="1:6">
      <c r="A98" s="57">
        <f t="shared" si="1"/>
        <v>92</v>
      </c>
      <c r="B98" s="913" t="s">
        <v>183</v>
      </c>
      <c r="C98" s="913" t="s">
        <v>182</v>
      </c>
      <c r="D98" s="913" t="s">
        <v>210</v>
      </c>
      <c r="E98" s="1067">
        <v>45863</v>
      </c>
      <c r="F98" s="913" t="s">
        <v>103</v>
      </c>
    </row>
    <row r="99" spans="1:6">
      <c r="A99" s="57">
        <f t="shared" si="1"/>
        <v>93</v>
      </c>
      <c r="B99" s="913" t="s">
        <v>166</v>
      </c>
      <c r="C99" s="913" t="s">
        <v>167</v>
      </c>
      <c r="D99" s="913" t="s">
        <v>210</v>
      </c>
      <c r="E99" s="1067">
        <v>45863</v>
      </c>
      <c r="F99" s="913" t="s">
        <v>103</v>
      </c>
    </row>
    <row r="100" spans="1:6">
      <c r="A100" s="57">
        <f t="shared" si="1"/>
        <v>94</v>
      </c>
      <c r="B100" s="915" t="s">
        <v>767</v>
      </c>
      <c r="C100" s="915" t="s">
        <v>242</v>
      </c>
      <c r="D100" s="913" t="s">
        <v>210</v>
      </c>
      <c r="E100" s="1068">
        <v>45864</v>
      </c>
      <c r="F100" s="915" t="s">
        <v>103</v>
      </c>
    </row>
    <row r="101" spans="1:6">
      <c r="A101" s="57">
        <f t="shared" si="1"/>
        <v>95</v>
      </c>
      <c r="B101" s="994" t="s">
        <v>824</v>
      </c>
      <c r="C101" s="994" t="s">
        <v>182</v>
      </c>
      <c r="D101" s="994" t="s">
        <v>210</v>
      </c>
      <c r="E101" s="1068">
        <v>45865</v>
      </c>
      <c r="F101" s="994" t="s">
        <v>103</v>
      </c>
    </row>
    <row r="102" spans="1:6">
      <c r="A102" s="57">
        <f t="shared" si="1"/>
        <v>96</v>
      </c>
      <c r="B102" s="938" t="s">
        <v>385</v>
      </c>
      <c r="C102" s="938" t="s">
        <v>182</v>
      </c>
      <c r="D102" s="938" t="s">
        <v>210</v>
      </c>
      <c r="E102" s="1067">
        <v>45866</v>
      </c>
      <c r="F102" s="915" t="s">
        <v>103</v>
      </c>
    </row>
    <row r="103" spans="1:6">
      <c r="A103" s="57">
        <f t="shared" si="1"/>
        <v>97</v>
      </c>
      <c r="B103" s="942" t="s">
        <v>427</v>
      </c>
      <c r="C103" s="942" t="s">
        <v>185</v>
      </c>
      <c r="D103" s="942" t="s">
        <v>210</v>
      </c>
      <c r="E103" s="1067">
        <v>45867</v>
      </c>
      <c r="F103" s="942" t="s">
        <v>103</v>
      </c>
    </row>
    <row r="104" spans="1:6">
      <c r="A104" s="57">
        <f t="shared" si="1"/>
        <v>98</v>
      </c>
      <c r="B104" s="315" t="s">
        <v>731</v>
      </c>
      <c r="C104" s="315" t="s">
        <v>115</v>
      </c>
      <c r="D104" s="942" t="s">
        <v>210</v>
      </c>
      <c r="E104" s="1067">
        <v>45868</v>
      </c>
      <c r="F104" s="942" t="s">
        <v>103</v>
      </c>
    </row>
    <row r="105" spans="1:6">
      <c r="A105" s="57">
        <f t="shared" si="1"/>
        <v>99</v>
      </c>
      <c r="B105" s="961" t="s">
        <v>1365</v>
      </c>
      <c r="C105" s="961" t="s">
        <v>185</v>
      </c>
      <c r="D105" s="942" t="s">
        <v>210</v>
      </c>
      <c r="E105" s="1067">
        <v>45869</v>
      </c>
      <c r="F105" s="942" t="s">
        <v>103</v>
      </c>
    </row>
    <row r="106" spans="1:6">
      <c r="A106" s="57">
        <f t="shared" si="1"/>
        <v>100</v>
      </c>
      <c r="B106" s="961" t="s">
        <v>1366</v>
      </c>
      <c r="C106" s="961" t="s">
        <v>182</v>
      </c>
      <c r="D106" s="942" t="s">
        <v>210</v>
      </c>
      <c r="E106" s="1067">
        <v>45869</v>
      </c>
      <c r="F106" s="942" t="s">
        <v>103</v>
      </c>
    </row>
    <row r="107" spans="1:6">
      <c r="A107" s="57">
        <f t="shared" si="1"/>
        <v>101</v>
      </c>
      <c r="B107" s="994" t="s">
        <v>174</v>
      </c>
      <c r="C107" s="994" t="s">
        <v>1633</v>
      </c>
      <c r="D107" s="994" t="s">
        <v>210</v>
      </c>
      <c r="E107" s="1068">
        <v>45870</v>
      </c>
      <c r="F107" s="994" t="s">
        <v>103</v>
      </c>
    </row>
    <row r="108" spans="1:6">
      <c r="A108" s="57">
        <f t="shared" si="1"/>
        <v>102</v>
      </c>
      <c r="B108" s="994" t="s">
        <v>180</v>
      </c>
      <c r="C108" s="994" t="s">
        <v>182</v>
      </c>
      <c r="D108" s="994" t="s">
        <v>210</v>
      </c>
      <c r="E108" s="1068">
        <v>45870</v>
      </c>
      <c r="F108" s="994" t="s">
        <v>103</v>
      </c>
    </row>
    <row r="109" spans="1:6">
      <c r="A109" s="57">
        <f t="shared" si="1"/>
        <v>103</v>
      </c>
      <c r="B109" s="995" t="s">
        <v>422</v>
      </c>
      <c r="C109" s="995" t="s">
        <v>125</v>
      </c>
      <c r="D109" s="995" t="s">
        <v>292</v>
      </c>
      <c r="E109" s="1067">
        <v>45871</v>
      </c>
      <c r="F109" s="995" t="s">
        <v>103</v>
      </c>
    </row>
    <row r="110" spans="1:6">
      <c r="A110" s="57">
        <f t="shared" si="1"/>
        <v>104</v>
      </c>
      <c r="B110" s="996" t="s">
        <v>158</v>
      </c>
      <c r="C110" s="996" t="s">
        <v>115</v>
      </c>
      <c r="D110" s="996" t="s">
        <v>210</v>
      </c>
      <c r="E110" s="1067">
        <v>45872</v>
      </c>
      <c r="F110" s="996" t="s">
        <v>103</v>
      </c>
    </row>
    <row r="111" spans="1:6">
      <c r="A111" s="57">
        <f t="shared" si="1"/>
        <v>105</v>
      </c>
      <c r="B111" s="996" t="s">
        <v>1658</v>
      </c>
      <c r="C111" s="996" t="s">
        <v>125</v>
      </c>
      <c r="D111" s="996" t="s">
        <v>210</v>
      </c>
      <c r="E111" s="1067">
        <v>45872</v>
      </c>
      <c r="F111" s="996" t="s">
        <v>103</v>
      </c>
    </row>
    <row r="112" spans="1:6">
      <c r="A112" s="57">
        <f t="shared" si="1"/>
        <v>106</v>
      </c>
      <c r="B112" s="997" t="s">
        <v>161</v>
      </c>
      <c r="C112" s="997" t="s">
        <v>115</v>
      </c>
      <c r="D112" s="997" t="s">
        <v>210</v>
      </c>
      <c r="E112" s="1067">
        <v>45874</v>
      </c>
      <c r="F112" s="997" t="s">
        <v>103</v>
      </c>
    </row>
    <row r="113" spans="1:6">
      <c r="A113" s="57">
        <f t="shared" si="1"/>
        <v>107</v>
      </c>
      <c r="B113" s="997" t="s">
        <v>418</v>
      </c>
      <c r="C113" s="997" t="s">
        <v>185</v>
      </c>
      <c r="D113" s="997" t="s">
        <v>210</v>
      </c>
      <c r="E113" s="1067">
        <v>45875</v>
      </c>
      <c r="F113" s="997" t="s">
        <v>103</v>
      </c>
    </row>
    <row r="114" spans="1:6">
      <c r="A114" s="57">
        <f t="shared" si="1"/>
        <v>108</v>
      </c>
      <c r="B114" s="1000" t="s">
        <v>1336</v>
      </c>
      <c r="C114" s="999" t="s">
        <v>1611</v>
      </c>
      <c r="D114" s="1000" t="s">
        <v>210</v>
      </c>
      <c r="E114" s="1067">
        <v>45876</v>
      </c>
      <c r="F114" s="1000" t="s">
        <v>103</v>
      </c>
    </row>
    <row r="115" spans="1:6">
      <c r="A115" s="57">
        <f t="shared" si="1"/>
        <v>109</v>
      </c>
      <c r="B115" s="1000" t="s">
        <v>181</v>
      </c>
      <c r="C115" s="1001" t="s">
        <v>182</v>
      </c>
      <c r="D115" s="1001" t="s">
        <v>210</v>
      </c>
      <c r="E115" s="1067">
        <v>45877</v>
      </c>
      <c r="F115" s="1001" t="s">
        <v>103</v>
      </c>
    </row>
    <row r="116" spans="1:6">
      <c r="A116" s="57">
        <f t="shared" si="1"/>
        <v>110</v>
      </c>
      <c r="B116" s="1001" t="s">
        <v>439</v>
      </c>
      <c r="C116" s="1001" t="s">
        <v>182</v>
      </c>
      <c r="D116" s="1001" t="s">
        <v>210</v>
      </c>
      <c r="E116" s="1067">
        <v>45877</v>
      </c>
      <c r="F116" s="1001" t="s">
        <v>103</v>
      </c>
    </row>
    <row r="117" spans="1:6">
      <c r="A117" s="57">
        <f t="shared" si="1"/>
        <v>111</v>
      </c>
      <c r="B117" s="1001" t="s">
        <v>869</v>
      </c>
      <c r="C117" s="1001" t="s">
        <v>115</v>
      </c>
      <c r="D117" s="1001" t="s">
        <v>210</v>
      </c>
      <c r="E117" s="1067">
        <v>45877</v>
      </c>
      <c r="F117" s="1001" t="s">
        <v>103</v>
      </c>
    </row>
    <row r="118" spans="1:6">
      <c r="A118" s="57">
        <f t="shared" si="1"/>
        <v>112</v>
      </c>
      <c r="B118" s="1003" t="s">
        <v>190</v>
      </c>
      <c r="C118" s="1003" t="s">
        <v>192</v>
      </c>
      <c r="D118" s="1003" t="s">
        <v>210</v>
      </c>
      <c r="E118" s="1068">
        <v>45875</v>
      </c>
      <c r="F118" s="1001" t="s">
        <v>103</v>
      </c>
    </row>
    <row r="119" spans="1:6">
      <c r="A119" s="57">
        <f t="shared" si="1"/>
        <v>113</v>
      </c>
      <c r="B119" s="1003" t="s">
        <v>799</v>
      </c>
      <c r="C119" s="1003" t="s">
        <v>182</v>
      </c>
      <c r="D119" s="1003" t="s">
        <v>210</v>
      </c>
      <c r="E119" s="1068">
        <v>45875</v>
      </c>
      <c r="F119" s="1001" t="s">
        <v>103</v>
      </c>
    </row>
    <row r="120" spans="1:6">
      <c r="A120" s="57">
        <f t="shared" si="1"/>
        <v>114</v>
      </c>
      <c r="B120" s="1003" t="s">
        <v>798</v>
      </c>
      <c r="C120" s="1003" t="s">
        <v>185</v>
      </c>
      <c r="D120" s="1003" t="s">
        <v>210</v>
      </c>
      <c r="E120" s="1068">
        <v>45875</v>
      </c>
      <c r="F120" s="1001" t="s">
        <v>103</v>
      </c>
    </row>
    <row r="121" spans="1:6">
      <c r="A121" s="57">
        <f t="shared" si="1"/>
        <v>115</v>
      </c>
      <c r="B121" s="1003" t="s">
        <v>805</v>
      </c>
      <c r="C121" s="1003" t="s">
        <v>182</v>
      </c>
      <c r="D121" s="1003" t="s">
        <v>210</v>
      </c>
      <c r="E121" s="1068">
        <v>45875</v>
      </c>
      <c r="F121" s="1001" t="s">
        <v>103</v>
      </c>
    </row>
    <row r="122" spans="1:6">
      <c r="A122" s="57">
        <f t="shared" si="1"/>
        <v>116</v>
      </c>
      <c r="B122" s="1003" t="s">
        <v>800</v>
      </c>
      <c r="C122" s="1003" t="s">
        <v>185</v>
      </c>
      <c r="D122" s="1003" t="s">
        <v>210</v>
      </c>
      <c r="E122" s="1068">
        <v>45875</v>
      </c>
      <c r="F122" s="1001" t="s">
        <v>103</v>
      </c>
    </row>
    <row r="123" spans="1:6">
      <c r="A123" s="57">
        <f t="shared" si="1"/>
        <v>117</v>
      </c>
      <c r="B123" s="1003" t="s">
        <v>191</v>
      </c>
      <c r="C123" s="1003" t="s">
        <v>192</v>
      </c>
      <c r="D123" s="1003" t="s">
        <v>210</v>
      </c>
      <c r="E123" s="1068">
        <v>45876</v>
      </c>
      <c r="F123" s="1003" t="s">
        <v>103</v>
      </c>
    </row>
    <row r="124" spans="1:6">
      <c r="A124" s="57">
        <f t="shared" si="1"/>
        <v>118</v>
      </c>
      <c r="B124" s="1006" t="s">
        <v>425</v>
      </c>
      <c r="C124" s="1006" t="s">
        <v>1374</v>
      </c>
      <c r="D124" s="1006" t="s">
        <v>210</v>
      </c>
      <c r="E124" s="1068">
        <v>45881</v>
      </c>
      <c r="F124" s="1003" t="s">
        <v>103</v>
      </c>
    </row>
    <row r="125" spans="1:6">
      <c r="A125" s="57">
        <f t="shared" si="1"/>
        <v>119</v>
      </c>
      <c r="B125" s="1006" t="s">
        <v>794</v>
      </c>
      <c r="C125" s="1006" t="s">
        <v>242</v>
      </c>
      <c r="D125" s="1006" t="s">
        <v>210</v>
      </c>
      <c r="E125" s="1068">
        <v>45881</v>
      </c>
      <c r="F125" s="1003" t="s">
        <v>103</v>
      </c>
    </row>
    <row r="126" spans="1:6">
      <c r="A126" s="57">
        <f t="shared" si="1"/>
        <v>120</v>
      </c>
      <c r="B126" s="1004" t="s">
        <v>465</v>
      </c>
      <c r="C126" s="1004" t="s">
        <v>132</v>
      </c>
      <c r="D126" s="1004" t="s">
        <v>210</v>
      </c>
      <c r="E126" s="1068">
        <v>45885</v>
      </c>
      <c r="F126" s="1003" t="s">
        <v>103</v>
      </c>
    </row>
    <row r="127" spans="1:6">
      <c r="A127" s="57">
        <f t="shared" si="1"/>
        <v>121</v>
      </c>
      <c r="B127" s="1004" t="s">
        <v>438</v>
      </c>
      <c r="C127" s="1004" t="s">
        <v>182</v>
      </c>
      <c r="D127" s="1004" t="s">
        <v>210</v>
      </c>
      <c r="E127" s="1068">
        <v>45885</v>
      </c>
      <c r="F127" s="1003" t="s">
        <v>103</v>
      </c>
    </row>
    <row r="128" spans="1:6">
      <c r="A128" s="57">
        <f t="shared" si="1"/>
        <v>122</v>
      </c>
      <c r="B128" s="1009" t="s">
        <v>790</v>
      </c>
      <c r="C128" s="1009" t="s">
        <v>182</v>
      </c>
      <c r="D128" s="1009" t="s">
        <v>210</v>
      </c>
      <c r="E128" s="1068">
        <v>45888</v>
      </c>
      <c r="F128" s="1003" t="s">
        <v>103</v>
      </c>
    </row>
    <row r="129" spans="1:6">
      <c r="A129" s="57">
        <f t="shared" si="1"/>
        <v>123</v>
      </c>
      <c r="B129" s="1009" t="s">
        <v>795</v>
      </c>
      <c r="C129" s="1009" t="s">
        <v>182</v>
      </c>
      <c r="D129" s="1009" t="s">
        <v>210</v>
      </c>
      <c r="E129" s="1068">
        <v>45888</v>
      </c>
      <c r="F129" s="1003" t="s">
        <v>103</v>
      </c>
    </row>
    <row r="130" spans="1:6">
      <c r="A130" s="57">
        <f t="shared" si="1"/>
        <v>124</v>
      </c>
      <c r="B130" s="1009" t="s">
        <v>1362</v>
      </c>
      <c r="C130" s="1009" t="s">
        <v>125</v>
      </c>
      <c r="D130" s="1009" t="s">
        <v>210</v>
      </c>
      <c r="E130" s="1068">
        <v>45888</v>
      </c>
      <c r="F130" s="1003" t="s">
        <v>103</v>
      </c>
    </row>
    <row r="131" spans="1:6">
      <c r="A131" s="57">
        <f t="shared" si="1"/>
        <v>125</v>
      </c>
      <c r="B131" s="1010" t="s">
        <v>755</v>
      </c>
      <c r="C131" s="315" t="s">
        <v>185</v>
      </c>
      <c r="D131" s="315" t="s">
        <v>210</v>
      </c>
      <c r="E131" s="1068">
        <v>45890</v>
      </c>
      <c r="F131" s="315" t="s">
        <v>103</v>
      </c>
    </row>
    <row r="132" spans="1:6">
      <c r="A132" s="57">
        <f t="shared" si="1"/>
        <v>126</v>
      </c>
      <c r="B132" s="315" t="s">
        <v>756</v>
      </c>
      <c r="C132" s="315" t="s">
        <v>185</v>
      </c>
      <c r="D132" s="315" t="s">
        <v>210</v>
      </c>
      <c r="E132" s="1068">
        <v>45890</v>
      </c>
      <c r="F132" s="315" t="s">
        <v>103</v>
      </c>
    </row>
    <row r="133" spans="1:6">
      <c r="A133" s="57">
        <f t="shared" si="1"/>
        <v>127</v>
      </c>
      <c r="B133" s="1010" t="s">
        <v>189</v>
      </c>
      <c r="C133" s="1010" t="s">
        <v>115</v>
      </c>
      <c r="D133" s="1010" t="s">
        <v>210</v>
      </c>
      <c r="E133" s="1068">
        <v>45890</v>
      </c>
      <c r="F133" s="315" t="s">
        <v>103</v>
      </c>
    </row>
    <row r="134" spans="1:6">
      <c r="A134" s="57">
        <f t="shared" si="1"/>
        <v>128</v>
      </c>
      <c r="B134" s="315" t="s">
        <v>739</v>
      </c>
      <c r="C134" s="315" t="s">
        <v>182</v>
      </c>
      <c r="D134" s="315" t="s">
        <v>210</v>
      </c>
      <c r="E134" s="1068">
        <v>45895</v>
      </c>
      <c r="F134" s="315" t="s">
        <v>103</v>
      </c>
    </row>
    <row r="135" spans="1:6">
      <c r="A135" s="57">
        <f t="shared" si="1"/>
        <v>129</v>
      </c>
      <c r="B135" s="315" t="s">
        <v>866</v>
      </c>
      <c r="C135" s="315" t="s">
        <v>137</v>
      </c>
      <c r="D135" s="315" t="s">
        <v>210</v>
      </c>
      <c r="E135" s="1068">
        <v>45895</v>
      </c>
      <c r="F135" s="315" t="s">
        <v>103</v>
      </c>
    </row>
    <row r="136" spans="1:6">
      <c r="A136" s="57">
        <f t="shared" si="1"/>
        <v>130</v>
      </c>
      <c r="B136" s="315" t="s">
        <v>751</v>
      </c>
      <c r="C136" s="315" t="s">
        <v>185</v>
      </c>
      <c r="D136" s="315" t="s">
        <v>210</v>
      </c>
      <c r="E136" s="1068">
        <v>45895</v>
      </c>
      <c r="F136" s="315" t="s">
        <v>103</v>
      </c>
    </row>
    <row r="137" spans="1:6">
      <c r="A137" s="57">
        <f t="shared" ref="A137:A143" si="2">A136+1</f>
        <v>131</v>
      </c>
      <c r="B137" s="315" t="s">
        <v>868</v>
      </c>
      <c r="C137" s="315" t="s">
        <v>137</v>
      </c>
      <c r="D137" s="315" t="s">
        <v>210</v>
      </c>
      <c r="E137" s="1068">
        <v>45895</v>
      </c>
      <c r="F137" s="315" t="s">
        <v>103</v>
      </c>
    </row>
    <row r="138" spans="1:6">
      <c r="A138" s="57">
        <f t="shared" si="2"/>
        <v>132</v>
      </c>
      <c r="B138" s="315" t="s">
        <v>177</v>
      </c>
      <c r="C138" s="315" t="s">
        <v>128</v>
      </c>
      <c r="D138" s="315" t="s">
        <v>210</v>
      </c>
      <c r="E138" s="1068">
        <v>45895</v>
      </c>
      <c r="F138" s="315" t="s">
        <v>103</v>
      </c>
    </row>
    <row r="139" spans="1:6">
      <c r="A139" s="57">
        <f t="shared" si="2"/>
        <v>133</v>
      </c>
      <c r="B139" s="315" t="s">
        <v>743</v>
      </c>
      <c r="C139" s="315" t="s">
        <v>242</v>
      </c>
      <c r="D139" s="315" t="s">
        <v>210</v>
      </c>
      <c r="E139" s="1068">
        <v>45895</v>
      </c>
      <c r="F139" s="315" t="s">
        <v>103</v>
      </c>
    </row>
    <row r="140" spans="1:6">
      <c r="A140" s="57">
        <f t="shared" si="2"/>
        <v>134</v>
      </c>
      <c r="B140" s="315" t="s">
        <v>744</v>
      </c>
      <c r="C140" s="315" t="s">
        <v>185</v>
      </c>
      <c r="D140" s="315" t="s">
        <v>210</v>
      </c>
      <c r="E140" s="1068">
        <v>45895</v>
      </c>
      <c r="F140" s="315" t="s">
        <v>103</v>
      </c>
    </row>
    <row r="141" spans="1:6">
      <c r="A141" s="57">
        <f t="shared" si="2"/>
        <v>135</v>
      </c>
      <c r="B141" s="315" t="s">
        <v>821</v>
      </c>
      <c r="C141" s="315" t="s">
        <v>182</v>
      </c>
      <c r="D141" s="315" t="s">
        <v>210</v>
      </c>
      <c r="E141" s="1068">
        <v>45895</v>
      </c>
      <c r="F141" s="315" t="s">
        <v>103</v>
      </c>
    </row>
    <row r="142" spans="1:6">
      <c r="A142" s="57">
        <f t="shared" si="2"/>
        <v>136</v>
      </c>
      <c r="B142" s="315" t="s">
        <v>822</v>
      </c>
      <c r="C142" s="315" t="s">
        <v>182</v>
      </c>
      <c r="D142" s="315" t="s">
        <v>210</v>
      </c>
      <c r="E142" s="1068">
        <v>45895</v>
      </c>
      <c r="F142" s="315" t="s">
        <v>103</v>
      </c>
    </row>
    <row r="143" spans="1:6">
      <c r="A143" s="57">
        <f t="shared" si="2"/>
        <v>137</v>
      </c>
      <c r="B143" s="1016" t="s">
        <v>1672</v>
      </c>
      <c r="C143" s="1016" t="s">
        <v>188</v>
      </c>
      <c r="D143" s="1016" t="s">
        <v>210</v>
      </c>
      <c r="E143" s="1068">
        <v>45897</v>
      </c>
      <c r="F143" s="1016" t="s">
        <v>103</v>
      </c>
    </row>
    <row r="144" spans="1:6">
      <c r="A144" s="57">
        <f>A143+1</f>
        <v>138</v>
      </c>
      <c r="B144" s="1016" t="s">
        <v>1679</v>
      </c>
      <c r="C144" s="1016" t="s">
        <v>125</v>
      </c>
      <c r="D144" s="1016" t="s">
        <v>210</v>
      </c>
      <c r="E144" s="1068">
        <v>45897</v>
      </c>
      <c r="F144" s="1016" t="s">
        <v>103</v>
      </c>
    </row>
    <row r="145" spans="1:6">
      <c r="A145" s="57">
        <f t="shared" ref="A145:A196" si="3">A144+1</f>
        <v>139</v>
      </c>
      <c r="B145" s="1020" t="s">
        <v>1680</v>
      </c>
      <c r="C145" s="1020" t="s">
        <v>188</v>
      </c>
      <c r="D145" s="1016" t="s">
        <v>210</v>
      </c>
      <c r="E145" s="1071">
        <v>45901</v>
      </c>
      <c r="F145" s="1016" t="s">
        <v>103</v>
      </c>
    </row>
    <row r="146" spans="1:6">
      <c r="A146" s="57">
        <f t="shared" si="3"/>
        <v>140</v>
      </c>
      <c r="B146" s="1064" t="s">
        <v>1654</v>
      </c>
      <c r="C146" s="1020" t="s">
        <v>185</v>
      </c>
      <c r="D146" s="1016" t="s">
        <v>210</v>
      </c>
      <c r="E146" s="1068">
        <v>45867</v>
      </c>
      <c r="F146" s="1016" t="s">
        <v>103</v>
      </c>
    </row>
    <row r="147" spans="1:6">
      <c r="A147" s="57">
        <f t="shared" si="3"/>
        <v>141</v>
      </c>
      <c r="B147" s="316" t="s">
        <v>804</v>
      </c>
      <c r="C147" s="1020" t="s">
        <v>182</v>
      </c>
      <c r="D147" s="1016" t="s">
        <v>210</v>
      </c>
      <c r="E147" s="1068">
        <v>45855</v>
      </c>
      <c r="F147" s="1016" t="s">
        <v>103</v>
      </c>
    </row>
    <row r="148" spans="1:6">
      <c r="A148" s="57">
        <f t="shared" si="3"/>
        <v>142</v>
      </c>
      <c r="B148" s="316" t="s">
        <v>803</v>
      </c>
      <c r="C148" s="1020" t="s">
        <v>185</v>
      </c>
      <c r="D148" s="1016" t="s">
        <v>210</v>
      </c>
      <c r="E148" s="1068">
        <v>45855</v>
      </c>
      <c r="F148" s="1016" t="s">
        <v>103</v>
      </c>
    </row>
    <row r="149" spans="1:6">
      <c r="A149" s="57">
        <f t="shared" si="3"/>
        <v>143</v>
      </c>
      <c r="B149" s="316" t="s">
        <v>797</v>
      </c>
      <c r="C149" s="1020" t="s">
        <v>185</v>
      </c>
      <c r="D149" s="1016" t="s">
        <v>210</v>
      </c>
      <c r="E149" s="1068">
        <v>45888</v>
      </c>
      <c r="F149" s="1016" t="s">
        <v>103</v>
      </c>
    </row>
    <row r="150" spans="1:6">
      <c r="A150" s="57">
        <f t="shared" si="3"/>
        <v>144</v>
      </c>
      <c r="B150" s="316" t="s">
        <v>788</v>
      </c>
      <c r="C150" s="1020" t="s">
        <v>185</v>
      </c>
      <c r="D150" s="1016" t="s">
        <v>210</v>
      </c>
      <c r="E150" s="1068">
        <v>45888</v>
      </c>
      <c r="F150" s="1016" t="s">
        <v>103</v>
      </c>
    </row>
    <row r="151" spans="1:6">
      <c r="A151" s="57">
        <f t="shared" si="3"/>
        <v>145</v>
      </c>
      <c r="B151" s="316" t="s">
        <v>787</v>
      </c>
      <c r="C151" s="1020" t="s">
        <v>185</v>
      </c>
      <c r="D151" s="1016" t="s">
        <v>210</v>
      </c>
      <c r="E151" s="1068">
        <v>45888</v>
      </c>
      <c r="F151" s="1016" t="s">
        <v>103</v>
      </c>
    </row>
    <row r="152" spans="1:6">
      <c r="A152" s="57">
        <f t="shared" si="3"/>
        <v>146</v>
      </c>
      <c r="B152" s="316" t="s">
        <v>764</v>
      </c>
      <c r="C152" s="1020" t="s">
        <v>182</v>
      </c>
      <c r="D152" s="1016" t="s">
        <v>210</v>
      </c>
      <c r="E152" s="1068">
        <v>45855</v>
      </c>
      <c r="F152" s="1016" t="s">
        <v>103</v>
      </c>
    </row>
    <row r="153" spans="1:6">
      <c r="A153" s="57">
        <f t="shared" si="3"/>
        <v>147</v>
      </c>
      <c r="B153" s="316" t="s">
        <v>766</v>
      </c>
      <c r="C153" s="1020" t="s">
        <v>182</v>
      </c>
      <c r="D153" s="1016" t="s">
        <v>210</v>
      </c>
      <c r="E153" s="1068">
        <v>45870</v>
      </c>
      <c r="F153" s="1016" t="s">
        <v>103</v>
      </c>
    </row>
    <row r="154" spans="1:6">
      <c r="A154" s="57">
        <f t="shared" si="3"/>
        <v>148</v>
      </c>
      <c r="B154" s="1064" t="s">
        <v>1678</v>
      </c>
      <c r="C154" s="1020" t="s">
        <v>115</v>
      </c>
      <c r="D154" s="1016" t="s">
        <v>210</v>
      </c>
      <c r="E154" s="1068">
        <v>45890</v>
      </c>
      <c r="F154" s="1016" t="s">
        <v>103</v>
      </c>
    </row>
    <row r="155" spans="1:6">
      <c r="A155" s="57">
        <f t="shared" si="3"/>
        <v>149</v>
      </c>
      <c r="B155" s="1064" t="s">
        <v>774</v>
      </c>
      <c r="C155" s="1020" t="s">
        <v>182</v>
      </c>
      <c r="D155" s="1016" t="s">
        <v>210</v>
      </c>
      <c r="E155" s="1068">
        <v>45892</v>
      </c>
      <c r="F155" s="1016" t="s">
        <v>103</v>
      </c>
    </row>
    <row r="156" spans="1:6">
      <c r="A156" s="57">
        <f t="shared" si="3"/>
        <v>150</v>
      </c>
      <c r="B156" s="1021" t="s">
        <v>752</v>
      </c>
      <c r="C156" s="1020" t="s">
        <v>1670</v>
      </c>
      <c r="D156" s="1016" t="s">
        <v>210</v>
      </c>
      <c r="E156" s="1068">
        <v>45893</v>
      </c>
      <c r="F156" s="1016" t="s">
        <v>103</v>
      </c>
    </row>
    <row r="157" spans="1:6">
      <c r="A157" s="57">
        <f t="shared" si="3"/>
        <v>151</v>
      </c>
      <c r="B157" s="1021" t="s">
        <v>468</v>
      </c>
      <c r="C157" s="1036" t="s">
        <v>182</v>
      </c>
      <c r="D157" s="1036" t="s">
        <v>210</v>
      </c>
      <c r="E157" s="1067">
        <v>45903</v>
      </c>
      <c r="F157" s="1016" t="s">
        <v>103</v>
      </c>
    </row>
    <row r="158" spans="1:6">
      <c r="A158" s="57">
        <f t="shared" si="3"/>
        <v>152</v>
      </c>
      <c r="B158" s="1021" t="s">
        <v>171</v>
      </c>
      <c r="C158" s="1036" t="s">
        <v>167</v>
      </c>
      <c r="D158" s="1036" t="s">
        <v>210</v>
      </c>
      <c r="E158" s="1067">
        <v>45903</v>
      </c>
      <c r="F158" s="1016" t="s">
        <v>103</v>
      </c>
    </row>
    <row r="159" spans="1:6">
      <c r="A159" s="57">
        <f t="shared" si="3"/>
        <v>153</v>
      </c>
      <c r="B159" s="1038" t="s">
        <v>1358</v>
      </c>
      <c r="C159" s="315" t="s">
        <v>185</v>
      </c>
      <c r="D159" s="315" t="s">
        <v>210</v>
      </c>
      <c r="E159" s="1067">
        <v>45896</v>
      </c>
      <c r="F159" s="315" t="s">
        <v>103</v>
      </c>
    </row>
    <row r="160" spans="1:6">
      <c r="A160" s="57">
        <f t="shared" si="3"/>
        <v>154</v>
      </c>
      <c r="B160" s="1038" t="s">
        <v>1357</v>
      </c>
      <c r="C160" s="315" t="s">
        <v>248</v>
      </c>
      <c r="D160" s="315" t="s">
        <v>210</v>
      </c>
      <c r="E160" s="1067">
        <v>45898</v>
      </c>
      <c r="F160" s="315" t="s">
        <v>103</v>
      </c>
    </row>
    <row r="161" spans="1:6">
      <c r="A161" s="57">
        <f t="shared" si="3"/>
        <v>155</v>
      </c>
      <c r="B161" s="1021" t="s">
        <v>350</v>
      </c>
      <c r="C161" s="1039" t="s">
        <v>182</v>
      </c>
      <c r="D161" s="1039" t="s">
        <v>210</v>
      </c>
      <c r="E161" s="1068">
        <v>45911</v>
      </c>
      <c r="F161" s="1039" t="s">
        <v>103</v>
      </c>
    </row>
    <row r="162" spans="1:6">
      <c r="A162" s="57">
        <f t="shared" si="3"/>
        <v>156</v>
      </c>
      <c r="B162" s="1040" t="s">
        <v>1103</v>
      </c>
      <c r="C162" s="1040" t="s">
        <v>132</v>
      </c>
      <c r="D162" s="1040" t="s">
        <v>210</v>
      </c>
      <c r="E162" s="1068">
        <v>45913</v>
      </c>
      <c r="F162" s="1039" t="s">
        <v>103</v>
      </c>
    </row>
    <row r="163" spans="1:6">
      <c r="A163" s="57">
        <f t="shared" si="3"/>
        <v>157</v>
      </c>
      <c r="B163" s="1041" t="s">
        <v>160</v>
      </c>
      <c r="C163" s="315" t="s">
        <v>132</v>
      </c>
      <c r="D163" s="1040" t="s">
        <v>210</v>
      </c>
      <c r="E163" s="1068">
        <v>45915</v>
      </c>
      <c r="F163" s="1039" t="s">
        <v>103</v>
      </c>
    </row>
    <row r="164" spans="1:6">
      <c r="A164" s="57">
        <f t="shared" si="3"/>
        <v>158</v>
      </c>
      <c r="B164" s="1041" t="s">
        <v>153</v>
      </c>
      <c r="C164" s="315" t="s">
        <v>123</v>
      </c>
      <c r="D164" s="1040" t="s">
        <v>210</v>
      </c>
      <c r="E164" s="1068">
        <v>45915</v>
      </c>
      <c r="F164" s="1039" t="s">
        <v>103</v>
      </c>
    </row>
    <row r="165" spans="1:6">
      <c r="A165" s="57">
        <f t="shared" si="3"/>
        <v>159</v>
      </c>
      <c r="B165" s="315" t="s">
        <v>325</v>
      </c>
      <c r="C165" s="315" t="s">
        <v>182</v>
      </c>
      <c r="D165" s="1040" t="s">
        <v>210</v>
      </c>
      <c r="E165" s="1068">
        <v>45916</v>
      </c>
      <c r="F165" s="1039" t="s">
        <v>103</v>
      </c>
    </row>
    <row r="166" spans="1:6">
      <c r="A166" s="57">
        <f t="shared" si="3"/>
        <v>160</v>
      </c>
      <c r="B166" s="315" t="s">
        <v>327</v>
      </c>
      <c r="C166" s="315" t="s">
        <v>242</v>
      </c>
      <c r="D166" s="1040" t="s">
        <v>210</v>
      </c>
      <c r="E166" s="1068">
        <v>45916</v>
      </c>
      <c r="F166" s="1039" t="s">
        <v>103</v>
      </c>
    </row>
    <row r="167" spans="1:6">
      <c r="A167" s="57">
        <f t="shared" si="3"/>
        <v>161</v>
      </c>
      <c r="B167" s="315" t="s">
        <v>328</v>
      </c>
      <c r="C167" s="315" t="s">
        <v>242</v>
      </c>
      <c r="D167" s="1040" t="s">
        <v>210</v>
      </c>
      <c r="E167" s="1068">
        <v>45916</v>
      </c>
      <c r="F167" s="1039" t="s">
        <v>103</v>
      </c>
    </row>
    <row r="168" spans="1:6">
      <c r="A168" s="57">
        <f t="shared" si="3"/>
        <v>162</v>
      </c>
      <c r="B168" s="315" t="s">
        <v>187</v>
      </c>
      <c r="C168" s="315" t="s">
        <v>188</v>
      </c>
      <c r="D168" s="1040" t="s">
        <v>210</v>
      </c>
      <c r="E168" s="1068">
        <v>45898</v>
      </c>
      <c r="F168" s="1039" t="s">
        <v>103</v>
      </c>
    </row>
    <row r="169" spans="1:6">
      <c r="A169" s="57">
        <f t="shared" si="3"/>
        <v>163</v>
      </c>
      <c r="B169" s="315" t="s">
        <v>780</v>
      </c>
      <c r="C169" s="315" t="s">
        <v>182</v>
      </c>
      <c r="D169" s="1040" t="s">
        <v>210</v>
      </c>
      <c r="E169" s="1068">
        <v>45893</v>
      </c>
      <c r="F169" s="1039" t="s">
        <v>103</v>
      </c>
    </row>
    <row r="170" spans="1:6">
      <c r="A170" s="57">
        <f t="shared" si="3"/>
        <v>164</v>
      </c>
      <c r="B170" s="315" t="s">
        <v>781</v>
      </c>
      <c r="C170" s="315" t="s">
        <v>182</v>
      </c>
      <c r="D170" s="1040" t="s">
        <v>210</v>
      </c>
      <c r="E170" s="1068">
        <v>45895</v>
      </c>
      <c r="F170" s="1039" t="s">
        <v>103</v>
      </c>
    </row>
    <row r="171" spans="1:6">
      <c r="A171" s="57">
        <f t="shared" si="3"/>
        <v>165</v>
      </c>
      <c r="B171" s="315" t="s">
        <v>782</v>
      </c>
      <c r="C171" s="315" t="s">
        <v>182</v>
      </c>
      <c r="D171" s="1040" t="s">
        <v>210</v>
      </c>
      <c r="E171" s="1068">
        <v>45919</v>
      </c>
      <c r="F171" s="1039" t="s">
        <v>103</v>
      </c>
    </row>
    <row r="172" spans="1:6">
      <c r="A172" s="57">
        <f t="shared" si="3"/>
        <v>166</v>
      </c>
      <c r="B172" s="315" t="s">
        <v>324</v>
      </c>
      <c r="C172" s="315" t="s">
        <v>132</v>
      </c>
      <c r="D172" s="1040" t="s">
        <v>210</v>
      </c>
      <c r="E172" s="1068">
        <v>45919</v>
      </c>
      <c r="F172" s="1039" t="s">
        <v>103</v>
      </c>
    </row>
    <row r="173" spans="1:6">
      <c r="A173" s="57">
        <f t="shared" si="3"/>
        <v>167</v>
      </c>
      <c r="B173" s="315" t="s">
        <v>151</v>
      </c>
      <c r="C173" s="315" t="s">
        <v>123</v>
      </c>
      <c r="D173" s="1040" t="s">
        <v>210</v>
      </c>
      <c r="E173" s="1068">
        <v>45919</v>
      </c>
      <c r="F173" s="1039" t="s">
        <v>103</v>
      </c>
    </row>
    <row r="174" spans="1:6">
      <c r="A174" s="57">
        <f t="shared" si="3"/>
        <v>168</v>
      </c>
      <c r="B174" s="315" t="s">
        <v>1721</v>
      </c>
      <c r="C174" s="315" t="s">
        <v>132</v>
      </c>
      <c r="D174" s="1040" t="s">
        <v>210</v>
      </c>
      <c r="E174" s="1068">
        <v>45919</v>
      </c>
      <c r="F174" s="1039" t="s">
        <v>103</v>
      </c>
    </row>
    <row r="175" spans="1:6">
      <c r="A175" s="57">
        <f t="shared" si="3"/>
        <v>169</v>
      </c>
      <c r="B175" s="1044" t="s">
        <v>371</v>
      </c>
      <c r="C175" s="1044" t="s">
        <v>185</v>
      </c>
      <c r="D175" s="1040" t="s">
        <v>210</v>
      </c>
      <c r="E175" s="1067">
        <v>45922</v>
      </c>
      <c r="F175" s="1039" t="s">
        <v>103</v>
      </c>
    </row>
    <row r="176" spans="1:6">
      <c r="A176" s="57">
        <f t="shared" si="3"/>
        <v>170</v>
      </c>
      <c r="B176" s="1044" t="s">
        <v>428</v>
      </c>
      <c r="C176" s="1055" t="s">
        <v>185</v>
      </c>
      <c r="D176" s="1040" t="s">
        <v>210</v>
      </c>
      <c r="E176" s="1067">
        <v>45893</v>
      </c>
      <c r="F176" s="1039" t="s">
        <v>103</v>
      </c>
    </row>
    <row r="177" spans="1:6">
      <c r="A177" s="57">
        <f t="shared" si="3"/>
        <v>171</v>
      </c>
      <c r="B177" s="1055" t="s">
        <v>1731</v>
      </c>
      <c r="C177" s="1055" t="s">
        <v>119</v>
      </c>
      <c r="D177" s="1055" t="s">
        <v>292</v>
      </c>
      <c r="E177" s="1067">
        <v>45929</v>
      </c>
      <c r="F177" s="1055" t="s">
        <v>103</v>
      </c>
    </row>
    <row r="178" spans="1:6">
      <c r="A178" s="57">
        <f t="shared" si="3"/>
        <v>172</v>
      </c>
      <c r="B178" s="1065" t="s">
        <v>1667</v>
      </c>
      <c r="C178" s="315" t="s">
        <v>123</v>
      </c>
      <c r="D178" s="315" t="s">
        <v>210</v>
      </c>
      <c r="E178" s="1067">
        <v>45879</v>
      </c>
      <c r="F178" s="1058" t="s">
        <v>103</v>
      </c>
    </row>
    <row r="179" spans="1:6">
      <c r="A179" s="57">
        <f t="shared" si="3"/>
        <v>173</v>
      </c>
      <c r="B179" s="1044" t="s">
        <v>740</v>
      </c>
      <c r="C179" s="636" t="s">
        <v>182</v>
      </c>
      <c r="D179" s="636" t="s">
        <v>210</v>
      </c>
      <c r="E179" s="1072">
        <v>45916</v>
      </c>
      <c r="F179" s="1058" t="s">
        <v>103</v>
      </c>
    </row>
    <row r="180" spans="1:6">
      <c r="A180" s="57">
        <f t="shared" si="3"/>
        <v>174</v>
      </c>
      <c r="B180" s="1044" t="s">
        <v>741</v>
      </c>
      <c r="C180" s="636" t="s">
        <v>182</v>
      </c>
      <c r="D180" s="636" t="s">
        <v>210</v>
      </c>
      <c r="E180" s="1072">
        <v>45910</v>
      </c>
      <c r="F180" s="1058" t="s">
        <v>103</v>
      </c>
    </row>
    <row r="181" spans="1:6">
      <c r="A181" s="57">
        <f t="shared" si="3"/>
        <v>175</v>
      </c>
      <c r="B181" s="1044" t="s">
        <v>1598</v>
      </c>
      <c r="C181" s="1062" t="s">
        <v>128</v>
      </c>
      <c r="D181" s="637" t="s">
        <v>210</v>
      </c>
      <c r="E181" s="1072">
        <v>45892</v>
      </c>
      <c r="F181" s="1058" t="s">
        <v>103</v>
      </c>
    </row>
    <row r="182" spans="1:6">
      <c r="A182" s="57">
        <f t="shared" si="3"/>
        <v>176</v>
      </c>
      <c r="B182" s="1044" t="s">
        <v>178</v>
      </c>
      <c r="C182" s="636" t="s">
        <v>125</v>
      </c>
      <c r="D182" s="636" t="s">
        <v>210</v>
      </c>
      <c r="E182" s="1072">
        <v>45905</v>
      </c>
      <c r="F182" s="1058" t="s">
        <v>103</v>
      </c>
    </row>
    <row r="183" spans="1:6">
      <c r="A183" s="57">
        <f t="shared" si="3"/>
        <v>177</v>
      </c>
      <c r="B183" s="1044" t="s">
        <v>758</v>
      </c>
      <c r="C183" s="636" t="s">
        <v>182</v>
      </c>
      <c r="D183" s="636" t="s">
        <v>210</v>
      </c>
      <c r="E183" s="1072">
        <v>45931</v>
      </c>
      <c r="F183" s="1058" t="s">
        <v>103</v>
      </c>
    </row>
    <row r="184" spans="1:6">
      <c r="A184" s="57">
        <f t="shared" si="3"/>
        <v>178</v>
      </c>
      <c r="B184" s="1044" t="s">
        <v>760</v>
      </c>
      <c r="C184" s="636" t="s">
        <v>182</v>
      </c>
      <c r="D184" s="636" t="s">
        <v>210</v>
      </c>
      <c r="E184" s="1072">
        <v>45931</v>
      </c>
      <c r="F184" s="1058" t="s">
        <v>103</v>
      </c>
    </row>
    <row r="185" spans="1:6">
      <c r="A185" s="57">
        <f t="shared" si="3"/>
        <v>179</v>
      </c>
      <c r="B185" s="1044" t="s">
        <v>1683</v>
      </c>
      <c r="C185" s="1062" t="s">
        <v>125</v>
      </c>
      <c r="D185" s="637" t="s">
        <v>210</v>
      </c>
      <c r="E185" s="1072">
        <v>45899</v>
      </c>
      <c r="F185" s="1058" t="s">
        <v>103</v>
      </c>
    </row>
    <row r="186" spans="1:6">
      <c r="A186" s="57">
        <f t="shared" si="3"/>
        <v>180</v>
      </c>
      <c r="B186" s="1044" t="s">
        <v>1682</v>
      </c>
      <c r="C186" s="636" t="s">
        <v>125</v>
      </c>
      <c r="D186" s="636" t="s">
        <v>210</v>
      </c>
      <c r="E186" s="1072">
        <v>45902</v>
      </c>
      <c r="F186" s="1058" t="s">
        <v>103</v>
      </c>
    </row>
    <row r="187" spans="1:6">
      <c r="A187" s="57">
        <f t="shared" si="3"/>
        <v>181</v>
      </c>
      <c r="B187" s="1044" t="s">
        <v>1716</v>
      </c>
      <c r="C187" s="636" t="s">
        <v>125</v>
      </c>
      <c r="D187" s="636" t="s">
        <v>210</v>
      </c>
      <c r="E187" s="1072">
        <v>45922</v>
      </c>
      <c r="F187" s="1058" t="s">
        <v>103</v>
      </c>
    </row>
    <row r="188" spans="1:6">
      <c r="A188" s="57">
        <f t="shared" si="3"/>
        <v>182</v>
      </c>
      <c r="B188" s="1044" t="s">
        <v>186</v>
      </c>
      <c r="C188" s="636" t="s">
        <v>188</v>
      </c>
      <c r="D188" s="636" t="s">
        <v>210</v>
      </c>
      <c r="E188" s="1072">
        <v>45897</v>
      </c>
      <c r="F188" s="1058" t="s">
        <v>103</v>
      </c>
    </row>
    <row r="189" spans="1:6">
      <c r="A189" s="57">
        <f t="shared" si="3"/>
        <v>183</v>
      </c>
      <c r="B189" s="1044" t="s">
        <v>1705</v>
      </c>
      <c r="C189" s="636" t="s">
        <v>1708</v>
      </c>
      <c r="D189" s="636" t="s">
        <v>210</v>
      </c>
      <c r="E189" s="1072">
        <v>45907</v>
      </c>
      <c r="F189" s="1058" t="s">
        <v>103</v>
      </c>
    </row>
    <row r="190" spans="1:6">
      <c r="A190" s="57">
        <f t="shared" si="3"/>
        <v>184</v>
      </c>
      <c r="B190" s="1044" t="s">
        <v>791</v>
      </c>
      <c r="C190" s="1062" t="s">
        <v>242</v>
      </c>
      <c r="D190" s="1062" t="s">
        <v>210</v>
      </c>
      <c r="E190" s="1072">
        <v>45862</v>
      </c>
      <c r="F190" s="1058" t="s">
        <v>103</v>
      </c>
    </row>
    <row r="191" spans="1:6">
      <c r="A191" s="57">
        <f t="shared" si="3"/>
        <v>185</v>
      </c>
      <c r="B191" s="1044" t="s">
        <v>1617</v>
      </c>
      <c r="C191" s="636" t="s">
        <v>137</v>
      </c>
      <c r="D191" s="636" t="s">
        <v>210</v>
      </c>
      <c r="E191" s="1072">
        <v>45882</v>
      </c>
      <c r="F191" s="1058" t="s">
        <v>103</v>
      </c>
    </row>
    <row r="192" spans="1:6">
      <c r="A192" s="57">
        <f t="shared" si="3"/>
        <v>186</v>
      </c>
      <c r="B192" s="1044" t="s">
        <v>1634</v>
      </c>
      <c r="C192" s="636" t="s">
        <v>137</v>
      </c>
      <c r="D192" s="636" t="s">
        <v>210</v>
      </c>
      <c r="E192" s="1072">
        <v>45862</v>
      </c>
      <c r="F192" s="1058" t="s">
        <v>103</v>
      </c>
    </row>
    <row r="193" spans="1:6">
      <c r="A193" s="57">
        <f t="shared" si="3"/>
        <v>187</v>
      </c>
      <c r="B193" s="1044" t="s">
        <v>796</v>
      </c>
      <c r="C193" s="636" t="s">
        <v>185</v>
      </c>
      <c r="D193" s="636" t="s">
        <v>210</v>
      </c>
      <c r="E193" s="1072">
        <v>45882</v>
      </c>
      <c r="F193" s="1058" t="s">
        <v>103</v>
      </c>
    </row>
    <row r="194" spans="1:6">
      <c r="A194" s="57">
        <f t="shared" si="3"/>
        <v>188</v>
      </c>
      <c r="B194" s="1044" t="s">
        <v>815</v>
      </c>
      <c r="C194" s="636" t="s">
        <v>182</v>
      </c>
      <c r="D194" s="636" t="s">
        <v>210</v>
      </c>
      <c r="E194" s="1072">
        <v>45908</v>
      </c>
      <c r="F194" s="1058" t="s">
        <v>103</v>
      </c>
    </row>
    <row r="195" spans="1:6">
      <c r="A195" s="57">
        <f t="shared" si="3"/>
        <v>189</v>
      </c>
      <c r="B195" s="1044" t="s">
        <v>1286</v>
      </c>
      <c r="C195" s="636" t="s">
        <v>182</v>
      </c>
      <c r="D195" s="636" t="s">
        <v>210</v>
      </c>
      <c r="E195" s="1072">
        <v>45917</v>
      </c>
      <c r="F195" s="1058" t="s">
        <v>103</v>
      </c>
    </row>
    <row r="196" spans="1:6">
      <c r="A196" s="57">
        <f t="shared" si="3"/>
        <v>190</v>
      </c>
      <c r="B196" s="1044" t="s">
        <v>1363</v>
      </c>
      <c r="C196" s="636" t="s">
        <v>125</v>
      </c>
      <c r="D196" s="636" t="s">
        <v>210</v>
      </c>
      <c r="E196" s="1072">
        <v>45926</v>
      </c>
      <c r="F196" s="1058" t="s">
        <v>103</v>
      </c>
    </row>
    <row r="197" spans="1:6">
      <c r="A197" s="57">
        <v>191</v>
      </c>
      <c r="B197" s="57" t="s">
        <v>368</v>
      </c>
      <c r="C197" s="57" t="s">
        <v>182</v>
      </c>
      <c r="D197" s="57" t="s">
        <v>210</v>
      </c>
      <c r="E197" s="1233">
        <v>45961</v>
      </c>
      <c r="F197" s="57" t="s">
        <v>103</v>
      </c>
    </row>
    <row r="198" spans="1:6">
      <c r="A198" s="57">
        <v>192</v>
      </c>
      <c r="B198" s="57" t="s">
        <v>369</v>
      </c>
      <c r="C198" s="57" t="s">
        <v>182</v>
      </c>
      <c r="D198" s="57" t="s">
        <v>210</v>
      </c>
      <c r="E198" s="1233">
        <v>45969</v>
      </c>
      <c r="F198" s="57" t="s">
        <v>103</v>
      </c>
    </row>
  </sheetData>
  <autoFilter ref="A5:F6" xr:uid="{00000000-0001-0000-0800-000000000000}"/>
  <mergeCells count="7">
    <mergeCell ref="A1:W1"/>
    <mergeCell ref="A2:W2"/>
    <mergeCell ref="A3:W3"/>
    <mergeCell ref="A5:A6"/>
    <mergeCell ref="B5:B6"/>
    <mergeCell ref="C5:C6"/>
    <mergeCell ref="D5:D6"/>
  </mergeCells>
  <phoneticPr fontId="202" type="noConversion"/>
  <conditionalFormatting sqref="B1:B62 B65:B78 B80:B146 B157:B196 B199:B1048576">
    <cfRule type="duplicateValues" dxfId="3244" priority="6970"/>
  </conditionalFormatting>
  <conditionalFormatting sqref="B1:B62 B65:B146 B157:B196 B199:B1048576">
    <cfRule type="duplicateValues" dxfId="3243" priority="6976"/>
  </conditionalFormatting>
  <conditionalFormatting sqref="B1:B146 B157:B196 B199:B1048576">
    <cfRule type="duplicateValues" dxfId="3242" priority="6984"/>
    <cfRule type="duplicateValues" dxfId="3241" priority="6983"/>
    <cfRule type="duplicateValues" dxfId="3240" priority="6982"/>
    <cfRule type="duplicateValues" dxfId="3239" priority="6981"/>
  </conditionalFormatting>
  <conditionalFormatting sqref="B1:B196 B199:B1048576">
    <cfRule type="duplicateValues" dxfId="3238" priority="7018"/>
    <cfRule type="duplicateValues" dxfId="3237" priority="7001"/>
    <cfRule type="duplicateValues" dxfId="3236" priority="7015"/>
    <cfRule type="duplicateValues" dxfId="3235" priority="7002"/>
    <cfRule type="duplicateValues" dxfId="3234" priority="7000"/>
    <cfRule type="duplicateValues" dxfId="3233" priority="6999"/>
    <cfRule type="duplicateValues" dxfId="3232" priority="6998"/>
    <cfRule type="duplicateValues" dxfId="3231" priority="6997"/>
    <cfRule type="duplicateValues" dxfId="3230" priority="22"/>
    <cfRule type="duplicateValues" dxfId="3229" priority="23"/>
    <cfRule type="duplicateValues" dxfId="3228" priority="24"/>
    <cfRule type="duplicateValues" dxfId="3227" priority="25"/>
    <cfRule type="duplicateValues" dxfId="3226" priority="26"/>
    <cfRule type="duplicateValues" dxfId="3225" priority="71"/>
    <cfRule type="duplicateValues" dxfId="3224" priority="117"/>
  </conditionalFormatting>
  <conditionalFormatting sqref="B5:B6">
    <cfRule type="duplicateValues" dxfId="3223" priority="316" stopIfTrue="1"/>
    <cfRule type="duplicateValues" dxfId="3222" priority="314"/>
    <cfRule type="duplicateValues" dxfId="3221" priority="300"/>
  </conditionalFormatting>
  <conditionalFormatting sqref="B7:B45">
    <cfRule type="duplicateValues" dxfId="3220" priority="269"/>
  </conditionalFormatting>
  <conditionalFormatting sqref="B63">
    <cfRule type="duplicateValues" dxfId="3219" priority="2730"/>
    <cfRule type="duplicateValues" dxfId="3218" priority="259" stopIfTrue="1"/>
    <cfRule type="duplicateValues" dxfId="3217" priority="258"/>
    <cfRule type="duplicateValues" dxfId="3216" priority="257"/>
  </conditionalFormatting>
  <conditionalFormatting sqref="B64">
    <cfRule type="duplicateValues" dxfId="3215" priority="253"/>
    <cfRule type="duplicateValues" dxfId="3214" priority="254"/>
    <cfRule type="duplicateValues" dxfId="3213" priority="255"/>
    <cfRule type="duplicateValues" dxfId="3212" priority="256" stopIfTrue="1"/>
  </conditionalFormatting>
  <conditionalFormatting sqref="B77 B66:B67">
    <cfRule type="duplicateValues" dxfId="3211" priority="2764"/>
    <cfRule type="duplicateValues" dxfId="3210" priority="2765"/>
    <cfRule type="duplicateValues" dxfId="3209" priority="2766" stopIfTrue="1"/>
  </conditionalFormatting>
  <conditionalFormatting sqref="B146:B155">
    <cfRule type="duplicateValues" dxfId="3208" priority="6562"/>
    <cfRule type="duplicateValues" dxfId="3207" priority="6560" stopIfTrue="1"/>
  </conditionalFormatting>
  <conditionalFormatting sqref="B146:B158">
    <cfRule type="duplicateValues" dxfId="3206" priority="6564"/>
    <cfRule type="duplicateValues" dxfId="3205" priority="6568"/>
    <cfRule type="duplicateValues" dxfId="3204" priority="6565"/>
  </conditionalFormatting>
  <conditionalFormatting sqref="B148">
    <cfRule type="duplicateValues" dxfId="3203" priority="153"/>
    <cfRule type="duplicateValues" dxfId="3202" priority="155" stopIfTrue="1"/>
    <cfRule type="duplicateValues" dxfId="3201" priority="154"/>
  </conditionalFormatting>
  <conditionalFormatting sqref="B155">
    <cfRule type="duplicateValues" dxfId="3200" priority="158" stopIfTrue="1"/>
    <cfRule type="duplicateValues" dxfId="3199" priority="157"/>
    <cfRule type="duplicateValues" dxfId="3198" priority="156"/>
  </conditionalFormatting>
  <conditionalFormatting sqref="B156:B158">
    <cfRule type="duplicateValues" dxfId="3197" priority="167"/>
    <cfRule type="duplicateValues" dxfId="3196" priority="169" stopIfTrue="1"/>
    <cfRule type="duplicateValues" dxfId="3195" priority="168"/>
  </conditionalFormatting>
  <conditionalFormatting sqref="B179:B196">
    <cfRule type="duplicateValues" dxfId="3194" priority="10729"/>
    <cfRule type="duplicateValues" dxfId="3193" priority="10728"/>
    <cfRule type="duplicateValues" dxfId="3192" priority="10732"/>
  </conditionalFormatting>
  <conditionalFormatting sqref="B190:B193">
    <cfRule type="duplicateValues" dxfId="3191" priority="10725"/>
  </conditionalFormatting>
  <conditionalFormatting sqref="B195 B179:B193">
    <cfRule type="duplicateValues" dxfId="3190" priority="10345"/>
    <cfRule type="duplicateValues" dxfId="3189" priority="10343" stopIfTrue="1"/>
  </conditionalFormatting>
  <conditionalFormatting sqref="B197:B198">
    <cfRule type="duplicateValues" dxfId="3188" priority="2"/>
    <cfRule type="duplicateValues" dxfId="3187" priority="6"/>
    <cfRule type="duplicateValues" dxfId="3186" priority="8"/>
    <cfRule type="duplicateValues" dxfId="3185" priority="21"/>
    <cfRule type="duplicateValues" dxfId="3184" priority="20"/>
    <cfRule type="duplicateValues" dxfId="3183" priority="19"/>
    <cfRule type="duplicateValues" dxfId="3182" priority="18"/>
    <cfRule type="duplicateValues" dxfId="3181" priority="17"/>
    <cfRule type="duplicateValues" dxfId="3180" priority="16"/>
    <cfRule type="duplicateValues" dxfId="3179" priority="15"/>
    <cfRule type="duplicateValues" dxfId="3178" priority="14"/>
    <cfRule type="duplicateValues" dxfId="3177" priority="7"/>
    <cfRule type="duplicateValues" dxfId="3176" priority="10"/>
    <cfRule type="duplicateValues" dxfId="3175" priority="12"/>
    <cfRule type="duplicateValues" dxfId="3174" priority="11"/>
    <cfRule type="duplicateValues" dxfId="3173" priority="9"/>
    <cfRule type="duplicateValues" dxfId="3172" priority="1"/>
    <cfRule type="duplicateValues" dxfId="3171" priority="5"/>
    <cfRule type="duplicateValues" dxfId="3170" priority="4"/>
    <cfRule type="duplicateValues" dxfId="3169" priority="3"/>
    <cfRule type="duplicateValues" dxfId="3168" priority="13"/>
  </conditionalFormatting>
  <conditionalFormatting sqref="B79:D79 F79">
    <cfRule type="duplicateValues" dxfId="3167" priority="265"/>
  </conditionalFormatting>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79"/>
  <sheetViews>
    <sheetView topLeftCell="A61" workbookViewId="0">
      <selection activeCell="K11" sqref="K11:M11"/>
    </sheetView>
  </sheetViews>
  <sheetFormatPr defaultColWidth="9" defaultRowHeight="14.5"/>
  <cols>
    <col min="1" max="6" width="15.1796875" customWidth="1"/>
  </cols>
  <sheetData>
    <row r="1" spans="1:19" ht="15.5">
      <c r="A1" s="1452" t="s">
        <v>78</v>
      </c>
      <c r="B1" s="1453"/>
      <c r="C1" s="1453"/>
      <c r="D1" s="1453"/>
      <c r="E1" s="1453"/>
      <c r="F1" s="1453"/>
      <c r="G1" s="1453"/>
      <c r="H1" s="1453"/>
      <c r="I1" s="1453"/>
      <c r="J1" s="1453"/>
      <c r="K1" s="1453"/>
      <c r="L1" s="1453"/>
      <c r="M1" s="1453"/>
      <c r="N1" s="1453"/>
      <c r="O1" s="1453"/>
      <c r="P1" s="1453"/>
      <c r="Q1" s="1453"/>
      <c r="R1" s="1453"/>
      <c r="S1" s="1454"/>
    </row>
    <row r="2" spans="1:19" ht="15.5">
      <c r="A2" s="1455" t="s">
        <v>79</v>
      </c>
      <c r="B2" s="1456"/>
      <c r="C2" s="1456"/>
      <c r="D2" s="1456"/>
      <c r="E2" s="1456"/>
      <c r="F2" s="1456"/>
      <c r="G2" s="1456"/>
      <c r="H2" s="1456"/>
      <c r="I2" s="1456"/>
      <c r="J2" s="1456"/>
      <c r="K2" s="1456"/>
      <c r="L2" s="1456"/>
      <c r="M2" s="1456"/>
      <c r="N2" s="1456"/>
      <c r="O2" s="1456"/>
      <c r="P2" s="1456"/>
      <c r="Q2" s="1456"/>
      <c r="R2" s="1456"/>
      <c r="S2" s="1457"/>
    </row>
    <row r="3" spans="1:19" ht="15.5">
      <c r="A3" s="1455" t="s">
        <v>80</v>
      </c>
      <c r="B3" s="1456"/>
      <c r="C3" s="1456"/>
      <c r="D3" s="1456"/>
      <c r="E3" s="1456"/>
      <c r="F3" s="1456"/>
      <c r="G3" s="1456"/>
      <c r="H3" s="1456"/>
      <c r="I3" s="1456"/>
      <c r="J3" s="1456"/>
      <c r="K3" s="1456"/>
      <c r="L3" s="1456"/>
      <c r="M3" s="1456"/>
      <c r="N3" s="1456"/>
      <c r="O3" s="1456"/>
      <c r="P3" s="1456"/>
      <c r="Q3" s="1456"/>
      <c r="R3" s="1456"/>
      <c r="S3" s="1457"/>
    </row>
    <row r="4" spans="1:19" ht="18.5">
      <c r="A4" s="1538" t="s">
        <v>106</v>
      </c>
      <c r="B4" s="1539"/>
      <c r="C4" s="1539"/>
      <c r="D4" s="1539"/>
      <c r="E4" s="350"/>
      <c r="F4" s="350"/>
    </row>
    <row r="5" spans="1:19" ht="43.5">
      <c r="A5" s="351" t="s">
        <v>107</v>
      </c>
      <c r="B5" s="351" t="s">
        <v>108</v>
      </c>
      <c r="C5" s="351" t="s">
        <v>109</v>
      </c>
      <c r="D5" s="352" t="s">
        <v>110</v>
      </c>
      <c r="E5" s="352" t="s">
        <v>111</v>
      </c>
      <c r="F5" s="352" t="s">
        <v>34</v>
      </c>
    </row>
    <row r="6" spans="1:19">
      <c r="A6" s="520">
        <v>1</v>
      </c>
      <c r="B6" s="57" t="s">
        <v>112</v>
      </c>
      <c r="C6" s="354" t="s">
        <v>113</v>
      </c>
      <c r="D6" s="355">
        <v>45689</v>
      </c>
      <c r="E6" s="356"/>
      <c r="F6" s="356"/>
    </row>
    <row r="7" spans="1:19">
      <c r="A7" s="520">
        <v>2</v>
      </c>
      <c r="B7" s="57" t="s">
        <v>114</v>
      </c>
      <c r="C7" s="354" t="s">
        <v>115</v>
      </c>
      <c r="D7" s="355">
        <v>45689</v>
      </c>
      <c r="E7" s="356"/>
      <c r="F7" s="356"/>
    </row>
    <row r="8" spans="1:19">
      <c r="A8" s="520">
        <v>3</v>
      </c>
      <c r="B8" s="57" t="s">
        <v>116</v>
      </c>
      <c r="C8" s="354" t="s">
        <v>117</v>
      </c>
      <c r="D8" s="357">
        <v>45688</v>
      </c>
      <c r="E8" s="356"/>
      <c r="F8" s="356"/>
    </row>
    <row r="9" spans="1:19">
      <c r="A9" s="520">
        <v>4</v>
      </c>
      <c r="B9" s="57" t="s">
        <v>118</v>
      </c>
      <c r="C9" s="354" t="s">
        <v>119</v>
      </c>
      <c r="D9" s="357">
        <v>45688</v>
      </c>
      <c r="E9" s="356"/>
      <c r="F9" s="356"/>
    </row>
    <row r="10" spans="1:19">
      <c r="A10" s="520">
        <v>5</v>
      </c>
      <c r="B10" s="57" t="s">
        <v>120</v>
      </c>
      <c r="C10" s="354" t="s">
        <v>119</v>
      </c>
      <c r="D10" s="357">
        <v>45688</v>
      </c>
      <c r="E10" s="356"/>
      <c r="F10" s="356"/>
    </row>
    <row r="11" spans="1:19">
      <c r="A11" s="520">
        <v>6</v>
      </c>
      <c r="B11" s="57" t="s">
        <v>121</v>
      </c>
      <c r="C11" s="354" t="s">
        <v>119</v>
      </c>
      <c r="D11" s="357">
        <v>45688</v>
      </c>
      <c r="E11" s="356"/>
      <c r="F11" s="356"/>
    </row>
    <row r="12" spans="1:19">
      <c r="A12" s="520">
        <v>7</v>
      </c>
      <c r="B12" s="57" t="s">
        <v>122</v>
      </c>
      <c r="C12" s="354" t="s">
        <v>123</v>
      </c>
      <c r="D12" s="357">
        <v>45687</v>
      </c>
      <c r="E12" s="356"/>
      <c r="F12" s="356"/>
    </row>
    <row r="13" spans="1:19">
      <c r="A13" s="520">
        <v>8</v>
      </c>
      <c r="B13" s="57" t="s">
        <v>124</v>
      </c>
      <c r="C13" s="358" t="s">
        <v>125</v>
      </c>
      <c r="D13" s="314">
        <v>45687</v>
      </c>
      <c r="E13" s="356"/>
      <c r="F13" s="356"/>
      <c r="K13">
        <v>90</v>
      </c>
    </row>
    <row r="14" spans="1:19">
      <c r="A14" s="520">
        <v>9</v>
      </c>
      <c r="B14" s="57" t="s">
        <v>126</v>
      </c>
      <c r="C14" s="358" t="s">
        <v>115</v>
      </c>
      <c r="D14" s="314">
        <v>45687</v>
      </c>
      <c r="E14" s="356"/>
      <c r="F14" s="356"/>
    </row>
    <row r="15" spans="1:19">
      <c r="A15" s="520">
        <v>10</v>
      </c>
      <c r="B15" s="57" t="s">
        <v>127</v>
      </c>
      <c r="C15" s="358" t="s">
        <v>128</v>
      </c>
      <c r="D15" s="314">
        <v>45686</v>
      </c>
      <c r="E15" s="356"/>
      <c r="F15" s="356"/>
    </row>
    <row r="16" spans="1:19">
      <c r="A16" s="520">
        <v>11</v>
      </c>
      <c r="B16" s="57" t="s">
        <v>129</v>
      </c>
      <c r="C16" s="358" t="s">
        <v>115</v>
      </c>
      <c r="D16" s="314">
        <v>45686</v>
      </c>
      <c r="E16" s="356"/>
      <c r="F16" s="356"/>
    </row>
    <row r="17" spans="1:6">
      <c r="A17" s="520">
        <v>12</v>
      </c>
      <c r="B17" s="57" t="s">
        <v>130</v>
      </c>
      <c r="C17" s="358" t="s">
        <v>119</v>
      </c>
      <c r="D17" s="314">
        <v>45686</v>
      </c>
      <c r="E17" s="356"/>
      <c r="F17" s="356"/>
    </row>
    <row r="18" spans="1:6">
      <c r="A18" s="520">
        <v>13</v>
      </c>
      <c r="B18" s="57" t="s">
        <v>131</v>
      </c>
      <c r="C18" s="358" t="s">
        <v>132</v>
      </c>
      <c r="D18" s="314">
        <v>45686</v>
      </c>
      <c r="E18" s="356"/>
      <c r="F18" s="356"/>
    </row>
    <row r="19" spans="1:6">
      <c r="A19" s="520">
        <v>14</v>
      </c>
      <c r="B19" s="57" t="s">
        <v>133</v>
      </c>
      <c r="C19" s="358" t="s">
        <v>123</v>
      </c>
      <c r="D19" s="314">
        <v>45685</v>
      </c>
      <c r="E19" s="356"/>
      <c r="F19" s="356"/>
    </row>
    <row r="20" spans="1:6">
      <c r="A20" s="520">
        <v>15</v>
      </c>
      <c r="B20" s="57" t="s">
        <v>134</v>
      </c>
      <c r="C20" s="358" t="s">
        <v>117</v>
      </c>
      <c r="D20" s="314">
        <v>45685</v>
      </c>
      <c r="E20" s="356"/>
      <c r="F20" s="356"/>
    </row>
    <row r="21" spans="1:6">
      <c r="A21" s="520">
        <v>16</v>
      </c>
      <c r="B21" s="57" t="s">
        <v>135</v>
      </c>
      <c r="C21" s="358" t="s">
        <v>113</v>
      </c>
      <c r="D21" s="314">
        <v>45685</v>
      </c>
      <c r="E21" s="356"/>
      <c r="F21" s="356"/>
    </row>
    <row r="22" spans="1:6">
      <c r="A22" s="520">
        <v>17</v>
      </c>
      <c r="B22" s="57" t="s">
        <v>136</v>
      </c>
      <c r="C22" s="358" t="s">
        <v>137</v>
      </c>
      <c r="D22" s="314">
        <v>45684</v>
      </c>
      <c r="E22" s="356"/>
      <c r="F22" s="356"/>
    </row>
    <row r="23" spans="1:6">
      <c r="A23" s="520">
        <v>18</v>
      </c>
      <c r="B23" s="57" t="s">
        <v>138</v>
      </c>
      <c r="C23" s="358" t="s">
        <v>137</v>
      </c>
      <c r="D23" s="314">
        <v>45684</v>
      </c>
      <c r="E23" s="356"/>
      <c r="F23" s="356"/>
    </row>
    <row r="24" spans="1:6">
      <c r="A24" s="520">
        <v>19</v>
      </c>
      <c r="B24" s="57" t="s">
        <v>139</v>
      </c>
      <c r="C24" s="358" t="s">
        <v>123</v>
      </c>
      <c r="D24" s="314">
        <v>45684</v>
      </c>
      <c r="E24" s="356"/>
      <c r="F24" s="356"/>
    </row>
    <row r="25" spans="1:6">
      <c r="A25" s="520">
        <v>20</v>
      </c>
      <c r="B25" s="57" t="s">
        <v>140</v>
      </c>
      <c r="C25" s="358" t="s">
        <v>123</v>
      </c>
      <c r="D25" s="314">
        <v>45683</v>
      </c>
      <c r="E25" s="356"/>
      <c r="F25" s="356"/>
    </row>
    <row r="26" spans="1:6">
      <c r="A26" s="520">
        <v>21</v>
      </c>
      <c r="B26" s="57" t="s">
        <v>141</v>
      </c>
      <c r="C26" s="358" t="s">
        <v>119</v>
      </c>
      <c r="D26" s="314">
        <v>45683</v>
      </c>
      <c r="E26" s="356"/>
      <c r="F26" s="356"/>
    </row>
    <row r="27" spans="1:6">
      <c r="A27" s="520">
        <v>22</v>
      </c>
      <c r="B27" s="57" t="s">
        <v>142</v>
      </c>
      <c r="C27" s="358" t="s">
        <v>143</v>
      </c>
      <c r="D27" s="314">
        <v>45683</v>
      </c>
      <c r="E27" s="356"/>
      <c r="F27" s="356"/>
    </row>
    <row r="28" spans="1:6">
      <c r="A28" s="520">
        <v>23</v>
      </c>
      <c r="B28" s="57" t="s">
        <v>144</v>
      </c>
      <c r="C28" s="358" t="s">
        <v>128</v>
      </c>
      <c r="D28" s="314">
        <v>45682</v>
      </c>
      <c r="E28" s="57"/>
      <c r="F28" s="57"/>
    </row>
    <row r="29" spans="1:6">
      <c r="A29" s="520">
        <v>24</v>
      </c>
      <c r="B29" s="57" t="s">
        <v>145</v>
      </c>
      <c r="C29" s="358" t="s">
        <v>132</v>
      </c>
      <c r="D29" s="314">
        <v>45682</v>
      </c>
      <c r="E29" s="57"/>
      <c r="F29" s="57"/>
    </row>
    <row r="30" spans="1:6">
      <c r="A30" s="520">
        <v>25</v>
      </c>
      <c r="B30" s="57" t="s">
        <v>146</v>
      </c>
      <c r="C30" s="358" t="s">
        <v>147</v>
      </c>
      <c r="D30" s="314">
        <v>45682</v>
      </c>
      <c r="E30" s="57"/>
      <c r="F30" s="57"/>
    </row>
    <row r="31" spans="1:6">
      <c r="A31" s="520">
        <v>26</v>
      </c>
      <c r="B31" s="57" t="s">
        <v>148</v>
      </c>
      <c r="C31" s="358" t="s">
        <v>147</v>
      </c>
      <c r="D31" s="314">
        <v>45681</v>
      </c>
      <c r="E31" s="57"/>
      <c r="F31" s="57"/>
    </row>
    <row r="32" spans="1:6">
      <c r="A32" s="520">
        <v>27</v>
      </c>
      <c r="B32" s="57" t="s">
        <v>149</v>
      </c>
      <c r="C32" s="358" t="s">
        <v>117</v>
      </c>
      <c r="D32" s="314">
        <v>45681</v>
      </c>
      <c r="E32" s="57"/>
      <c r="F32" s="57"/>
    </row>
    <row r="33" spans="1:6">
      <c r="A33" s="520">
        <v>28</v>
      </c>
      <c r="B33" s="57" t="s">
        <v>150</v>
      </c>
      <c r="C33" s="359" t="s">
        <v>132</v>
      </c>
      <c r="D33" s="314">
        <v>45673</v>
      </c>
      <c r="E33" s="57"/>
      <c r="F33" s="57"/>
    </row>
    <row r="34" spans="1:6">
      <c r="A34" s="520">
        <v>29</v>
      </c>
      <c r="B34" s="57" t="s">
        <v>151</v>
      </c>
      <c r="C34" s="359" t="s">
        <v>147</v>
      </c>
      <c r="D34" s="314">
        <v>45673</v>
      </c>
      <c r="E34" s="57"/>
      <c r="F34" s="57"/>
    </row>
    <row r="35" spans="1:6">
      <c r="A35" s="520">
        <v>30</v>
      </c>
      <c r="B35" s="57" t="s">
        <v>152</v>
      </c>
      <c r="C35" s="359" t="s">
        <v>119</v>
      </c>
      <c r="D35" s="314">
        <v>45673</v>
      </c>
      <c r="E35" s="57"/>
      <c r="F35" s="57"/>
    </row>
    <row r="36" spans="1:6">
      <c r="A36" s="520">
        <v>31</v>
      </c>
      <c r="B36" s="57" t="s">
        <v>153</v>
      </c>
      <c r="C36" s="359" t="s">
        <v>132</v>
      </c>
      <c r="D36" s="314">
        <v>45672</v>
      </c>
      <c r="E36" s="57"/>
      <c r="F36" s="57"/>
    </row>
    <row r="37" spans="1:6">
      <c r="A37" s="520">
        <v>32</v>
      </c>
      <c r="B37" s="57" t="s">
        <v>154</v>
      </c>
      <c r="C37" s="359" t="s">
        <v>143</v>
      </c>
      <c r="D37" s="314">
        <v>45672</v>
      </c>
      <c r="E37" s="57"/>
      <c r="F37" s="57"/>
    </row>
    <row r="38" spans="1:6">
      <c r="A38" s="520">
        <v>33</v>
      </c>
      <c r="B38" s="57" t="s">
        <v>155</v>
      </c>
      <c r="C38" s="359" t="s">
        <v>132</v>
      </c>
      <c r="D38" s="314">
        <v>45672</v>
      </c>
      <c r="E38" s="57"/>
      <c r="F38" s="57"/>
    </row>
    <row r="39" spans="1:6">
      <c r="A39" s="520">
        <v>34</v>
      </c>
      <c r="B39" s="57" t="s">
        <v>156</v>
      </c>
      <c r="C39" s="359" t="s">
        <v>119</v>
      </c>
      <c r="D39" s="314">
        <v>45671</v>
      </c>
      <c r="E39" s="57"/>
      <c r="F39" s="57"/>
    </row>
    <row r="40" spans="1:6">
      <c r="A40" s="520">
        <v>35</v>
      </c>
      <c r="B40" s="57" t="s">
        <v>157</v>
      </c>
      <c r="C40" s="359" t="s">
        <v>132</v>
      </c>
      <c r="D40" s="314">
        <v>45671</v>
      </c>
      <c r="E40" s="57"/>
      <c r="F40" s="57"/>
    </row>
    <row r="41" spans="1:6">
      <c r="A41" s="520">
        <v>36</v>
      </c>
      <c r="B41" s="57" t="s">
        <v>158</v>
      </c>
      <c r="C41" s="359" t="s">
        <v>115</v>
      </c>
      <c r="D41" s="314">
        <v>45664</v>
      </c>
      <c r="E41" s="57"/>
      <c r="F41" s="57"/>
    </row>
    <row r="42" spans="1:6">
      <c r="A42" s="520">
        <v>37</v>
      </c>
      <c r="B42" s="57" t="s">
        <v>159</v>
      </c>
      <c r="C42" s="359" t="s">
        <v>115</v>
      </c>
      <c r="D42" s="314">
        <v>45664</v>
      </c>
      <c r="E42" s="57"/>
      <c r="F42" s="57"/>
    </row>
    <row r="43" spans="1:6">
      <c r="A43" s="520">
        <v>38</v>
      </c>
      <c r="B43" s="57" t="s">
        <v>160</v>
      </c>
      <c r="C43" s="359" t="s">
        <v>132</v>
      </c>
      <c r="D43" s="314">
        <v>45665</v>
      </c>
      <c r="E43" s="57"/>
      <c r="F43" s="57"/>
    </row>
    <row r="44" spans="1:6">
      <c r="A44" s="520">
        <v>39</v>
      </c>
      <c r="B44" s="57" t="s">
        <v>161</v>
      </c>
      <c r="C44" s="359" t="s">
        <v>119</v>
      </c>
      <c r="D44" s="314">
        <v>45666</v>
      </c>
      <c r="E44" s="57"/>
      <c r="F44" s="57"/>
    </row>
    <row r="45" spans="1:6">
      <c r="A45" s="520">
        <v>40</v>
      </c>
      <c r="B45" s="57" t="s">
        <v>162</v>
      </c>
      <c r="C45" s="359" t="s">
        <v>115</v>
      </c>
      <c r="D45" s="314">
        <v>45666</v>
      </c>
      <c r="E45" s="57"/>
      <c r="F45" s="57"/>
    </row>
    <row r="46" spans="1:6">
      <c r="A46" s="520">
        <v>41</v>
      </c>
      <c r="B46" s="57" t="s">
        <v>163</v>
      </c>
      <c r="C46" s="359" t="s">
        <v>125</v>
      </c>
      <c r="D46" s="314">
        <v>45666</v>
      </c>
      <c r="E46" s="57"/>
      <c r="F46" s="57"/>
    </row>
    <row r="47" spans="1:6">
      <c r="A47" s="520">
        <v>42</v>
      </c>
      <c r="B47" s="57" t="s">
        <v>164</v>
      </c>
      <c r="C47" s="359" t="s">
        <v>115</v>
      </c>
      <c r="D47" s="314">
        <v>45667</v>
      </c>
      <c r="E47" s="57"/>
      <c r="F47" s="57"/>
    </row>
    <row r="48" spans="1:6">
      <c r="A48" s="520">
        <v>43</v>
      </c>
      <c r="B48" s="57" t="s">
        <v>165</v>
      </c>
      <c r="C48" s="359" t="s">
        <v>115</v>
      </c>
      <c r="D48" s="314">
        <v>45667</v>
      </c>
      <c r="E48" s="57"/>
      <c r="F48" s="57"/>
    </row>
    <row r="49" spans="1:6">
      <c r="A49" s="520">
        <v>44</v>
      </c>
      <c r="B49" s="57" t="s">
        <v>166</v>
      </c>
      <c r="C49" s="359" t="s">
        <v>167</v>
      </c>
      <c r="D49" s="314">
        <v>45668</v>
      </c>
      <c r="E49" s="57"/>
      <c r="F49" s="57"/>
    </row>
    <row r="50" spans="1:6">
      <c r="A50" s="520">
        <v>45</v>
      </c>
      <c r="B50" s="57" t="s">
        <v>168</v>
      </c>
      <c r="C50" s="359" t="s">
        <v>167</v>
      </c>
      <c r="D50" s="314">
        <v>45668</v>
      </c>
      <c r="E50" s="57"/>
      <c r="F50" s="57"/>
    </row>
    <row r="51" spans="1:6">
      <c r="A51" s="520">
        <v>46</v>
      </c>
      <c r="B51" s="383" t="s">
        <v>169</v>
      </c>
      <c r="C51" s="359" t="s">
        <v>170</v>
      </c>
      <c r="D51" s="314">
        <v>45668</v>
      </c>
      <c r="E51" s="57"/>
      <c r="F51" s="57"/>
    </row>
    <row r="52" spans="1:6">
      <c r="A52" s="520">
        <v>47</v>
      </c>
      <c r="B52" s="383" t="s">
        <v>171</v>
      </c>
      <c r="C52" s="359" t="s">
        <v>119</v>
      </c>
      <c r="D52" s="314">
        <v>45669</v>
      </c>
      <c r="E52" s="57"/>
      <c r="F52" s="57"/>
    </row>
    <row r="53" spans="1:6">
      <c r="A53" s="520">
        <v>48</v>
      </c>
      <c r="B53" s="383" t="s">
        <v>172</v>
      </c>
      <c r="C53" s="359" t="s">
        <v>115</v>
      </c>
      <c r="D53" s="314">
        <v>45669</v>
      </c>
      <c r="E53" s="57"/>
      <c r="F53" s="57"/>
    </row>
    <row r="54" spans="1:6">
      <c r="A54" s="520">
        <v>49</v>
      </c>
      <c r="B54" s="383" t="s">
        <v>173</v>
      </c>
      <c r="C54" s="359" t="s">
        <v>143</v>
      </c>
      <c r="D54" s="314">
        <v>45669</v>
      </c>
      <c r="E54" s="57"/>
      <c r="F54" s="57"/>
    </row>
    <row r="55" spans="1:6">
      <c r="A55" s="520">
        <v>50</v>
      </c>
      <c r="B55" s="383" t="s">
        <v>174</v>
      </c>
      <c r="C55" s="359" t="s">
        <v>147</v>
      </c>
      <c r="D55" s="314">
        <v>45670</v>
      </c>
      <c r="E55" s="57"/>
      <c r="F55" s="57"/>
    </row>
    <row r="56" spans="1:6">
      <c r="A56" s="520">
        <v>51</v>
      </c>
      <c r="B56" s="383" t="s">
        <v>175</v>
      </c>
      <c r="C56" s="359" t="s">
        <v>115</v>
      </c>
      <c r="D56" s="314">
        <v>45670</v>
      </c>
      <c r="E56" s="57"/>
      <c r="F56" s="57"/>
    </row>
    <row r="57" spans="1:6">
      <c r="A57" s="520">
        <v>52</v>
      </c>
      <c r="B57" s="383" t="s">
        <v>176</v>
      </c>
      <c r="C57" s="359" t="s">
        <v>125</v>
      </c>
      <c r="D57" s="314">
        <v>45670</v>
      </c>
      <c r="E57" s="57"/>
      <c r="F57" s="57"/>
    </row>
    <row r="58" spans="1:6">
      <c r="A58" s="520">
        <v>53</v>
      </c>
      <c r="B58" s="383" t="s">
        <v>177</v>
      </c>
      <c r="C58" s="359" t="s">
        <v>137</v>
      </c>
      <c r="D58" s="314">
        <v>45674</v>
      </c>
      <c r="E58" s="57"/>
      <c r="F58" s="57"/>
    </row>
    <row r="59" spans="1:6">
      <c r="A59" s="520">
        <v>54</v>
      </c>
      <c r="B59" s="383" t="s">
        <v>178</v>
      </c>
      <c r="C59" s="359" t="s">
        <v>115</v>
      </c>
      <c r="D59" s="314">
        <v>45674</v>
      </c>
      <c r="E59" s="57"/>
      <c r="F59" s="57"/>
    </row>
    <row r="60" spans="1:6">
      <c r="A60" s="520">
        <v>55</v>
      </c>
      <c r="B60" s="383" t="s">
        <v>179</v>
      </c>
      <c r="C60" s="359" t="s">
        <v>125</v>
      </c>
      <c r="D60" s="314">
        <v>45675</v>
      </c>
      <c r="E60" s="57"/>
      <c r="F60" s="57"/>
    </row>
    <row r="61" spans="1:6">
      <c r="A61" s="520">
        <v>56</v>
      </c>
      <c r="B61" s="383" t="s">
        <v>180</v>
      </c>
      <c r="C61" s="359" t="s">
        <v>115</v>
      </c>
      <c r="D61" s="314">
        <v>45675</v>
      </c>
      <c r="E61" s="57"/>
      <c r="F61" s="57" t="s">
        <v>64</v>
      </c>
    </row>
    <row r="62" spans="1:6">
      <c r="A62" s="520">
        <v>57</v>
      </c>
      <c r="B62" s="383" t="s">
        <v>181</v>
      </c>
      <c r="C62" s="359" t="s">
        <v>182</v>
      </c>
      <c r="D62" s="314">
        <v>45675</v>
      </c>
      <c r="E62" s="57"/>
      <c r="F62" s="57" t="s">
        <v>64</v>
      </c>
    </row>
    <row r="63" spans="1:6">
      <c r="A63" s="520">
        <v>58</v>
      </c>
      <c r="B63" s="383" t="s">
        <v>183</v>
      </c>
      <c r="C63" s="359" t="s">
        <v>182</v>
      </c>
      <c r="D63" s="314">
        <v>45675</v>
      </c>
      <c r="E63" s="57"/>
      <c r="F63" s="57"/>
    </row>
    <row r="64" spans="1:6">
      <c r="A64" s="520">
        <v>59</v>
      </c>
      <c r="B64" s="383" t="s">
        <v>184</v>
      </c>
      <c r="C64" s="359" t="s">
        <v>185</v>
      </c>
      <c r="D64" s="314">
        <v>45676</v>
      </c>
      <c r="E64" s="57"/>
      <c r="F64" s="57"/>
    </row>
    <row r="65" spans="1:6">
      <c r="A65" s="520">
        <v>60</v>
      </c>
      <c r="B65" s="383" t="s">
        <v>186</v>
      </c>
      <c r="C65" s="359" t="s">
        <v>119</v>
      </c>
      <c r="D65" s="314">
        <v>45676</v>
      </c>
      <c r="E65" s="57"/>
      <c r="F65" s="57"/>
    </row>
    <row r="66" spans="1:6">
      <c r="A66" s="520">
        <v>61</v>
      </c>
      <c r="B66" s="383" t="s">
        <v>187</v>
      </c>
      <c r="C66" s="359" t="s">
        <v>188</v>
      </c>
      <c r="D66" s="314">
        <v>45677</v>
      </c>
      <c r="E66" s="57"/>
      <c r="F66" s="57"/>
    </row>
    <row r="67" spans="1:6">
      <c r="A67" s="520">
        <v>62</v>
      </c>
      <c r="B67" s="383" t="s">
        <v>189</v>
      </c>
      <c r="C67" s="359" t="s">
        <v>188</v>
      </c>
      <c r="D67" s="314">
        <v>45677</v>
      </c>
      <c r="E67" s="57"/>
      <c r="F67" s="57"/>
    </row>
    <row r="68" spans="1:6">
      <c r="A68" s="520">
        <v>63</v>
      </c>
      <c r="B68" s="383" t="s">
        <v>190</v>
      </c>
      <c r="C68" s="359" t="s">
        <v>115</v>
      </c>
      <c r="D68" s="314">
        <v>45677</v>
      </c>
      <c r="E68" s="57"/>
      <c r="F68" s="57"/>
    </row>
    <row r="69" spans="1:6">
      <c r="A69" s="520">
        <v>64</v>
      </c>
      <c r="B69" s="383" t="s">
        <v>191</v>
      </c>
      <c r="C69" s="359" t="s">
        <v>192</v>
      </c>
      <c r="D69" s="314">
        <v>45678</v>
      </c>
      <c r="E69" s="57"/>
      <c r="F69" s="57"/>
    </row>
    <row r="70" spans="1:6">
      <c r="A70" s="520">
        <v>65</v>
      </c>
      <c r="B70" s="383" t="s">
        <v>193</v>
      </c>
      <c r="C70" s="359" t="s">
        <v>192</v>
      </c>
      <c r="D70" s="314">
        <v>45678</v>
      </c>
      <c r="E70" s="57"/>
      <c r="F70" s="57"/>
    </row>
    <row r="71" spans="1:6">
      <c r="A71" s="520">
        <v>66</v>
      </c>
      <c r="B71" s="383" t="s">
        <v>194</v>
      </c>
      <c r="C71" s="359" t="s">
        <v>115</v>
      </c>
      <c r="D71" s="314">
        <v>45679</v>
      </c>
      <c r="E71" s="57"/>
      <c r="F71" s="57"/>
    </row>
    <row r="72" spans="1:6">
      <c r="A72" s="520">
        <v>67</v>
      </c>
      <c r="B72" s="383" t="s">
        <v>195</v>
      </c>
      <c r="C72" s="359" t="s">
        <v>119</v>
      </c>
      <c r="D72" s="314">
        <v>45678</v>
      </c>
      <c r="E72" s="57"/>
      <c r="F72" s="57"/>
    </row>
    <row r="73" spans="1:6">
      <c r="A73" s="520">
        <v>68</v>
      </c>
      <c r="B73" s="383" t="s">
        <v>196</v>
      </c>
      <c r="C73" s="359" t="s">
        <v>147</v>
      </c>
      <c r="D73" s="314">
        <v>45679</v>
      </c>
      <c r="E73" s="57"/>
      <c r="F73" s="57"/>
    </row>
    <row r="74" spans="1:6">
      <c r="A74" s="520">
        <v>69</v>
      </c>
      <c r="B74" s="383" t="s">
        <v>197</v>
      </c>
      <c r="C74" s="359" t="s">
        <v>147</v>
      </c>
      <c r="D74" s="314">
        <v>45679</v>
      </c>
      <c r="E74" s="57"/>
      <c r="F74" s="57"/>
    </row>
    <row r="75" spans="1:6">
      <c r="A75" s="520">
        <v>70</v>
      </c>
      <c r="B75" s="383" t="s">
        <v>198</v>
      </c>
      <c r="C75" s="359" t="s">
        <v>117</v>
      </c>
      <c r="D75" s="314">
        <v>45679</v>
      </c>
      <c r="E75" s="57"/>
      <c r="F75" s="57"/>
    </row>
    <row r="76" spans="1:6">
      <c r="A76" s="520">
        <v>71</v>
      </c>
      <c r="B76" s="383" t="s">
        <v>199</v>
      </c>
      <c r="C76" s="359" t="s">
        <v>117</v>
      </c>
      <c r="D76" s="314">
        <v>45680</v>
      </c>
      <c r="E76" s="57"/>
      <c r="F76" s="57"/>
    </row>
    <row r="77" spans="1:6">
      <c r="A77" s="520">
        <v>72</v>
      </c>
      <c r="B77" s="383" t="s">
        <v>200</v>
      </c>
      <c r="C77" s="359" t="s">
        <v>201</v>
      </c>
      <c r="D77" s="314">
        <v>45680</v>
      </c>
      <c r="E77" s="57"/>
      <c r="F77" s="57"/>
    </row>
    <row r="78" spans="1:6">
      <c r="A78" s="520">
        <v>73</v>
      </c>
      <c r="B78" s="525" t="s">
        <v>1289</v>
      </c>
      <c r="C78" s="358" t="s">
        <v>113</v>
      </c>
      <c r="D78" s="314">
        <v>45744</v>
      </c>
      <c r="E78" s="57"/>
      <c r="F78" s="57"/>
    </row>
    <row r="79" spans="1:6">
      <c r="A79" s="1540" t="s">
        <v>202</v>
      </c>
      <c r="B79" s="1540"/>
      <c r="C79" s="1540"/>
      <c r="D79" s="360">
        <v>73</v>
      </c>
      <c r="E79" s="360"/>
      <c r="F79" s="360"/>
    </row>
  </sheetData>
  <autoFilter ref="A5:F79" xr:uid="{00000000-0009-0000-0000-000003000000}"/>
  <mergeCells count="5">
    <mergeCell ref="A1:S1"/>
    <mergeCell ref="A2:S2"/>
    <mergeCell ref="A3:S3"/>
    <mergeCell ref="A4:D4"/>
    <mergeCell ref="A79:C79"/>
  </mergeCell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097925-8230-425E-81FB-27F96B80A98C}">
  <dimension ref="A1:AS319"/>
  <sheetViews>
    <sheetView topLeftCell="A213" zoomScale="40" zoomScaleNormal="40" workbookViewId="0">
      <selection activeCell="N226" sqref="N226"/>
    </sheetView>
  </sheetViews>
  <sheetFormatPr defaultColWidth="8.81640625" defaultRowHeight="12"/>
  <cols>
    <col min="1" max="1" width="11.1796875" style="455" customWidth="1"/>
    <col min="2" max="2" width="17.6328125" style="455" customWidth="1"/>
    <col min="3" max="3" width="11.1796875" style="455" customWidth="1"/>
    <col min="4" max="4" width="17.6328125" style="455" customWidth="1"/>
    <col min="5" max="5" width="13" style="455" customWidth="1"/>
    <col min="6" max="6" width="17.6328125" style="455" customWidth="1"/>
    <col min="7" max="7" width="11.1796875" style="455" customWidth="1"/>
    <col min="8" max="8" width="17.6328125" style="455" customWidth="1"/>
    <col min="9" max="9" width="15.81640625" style="455" customWidth="1"/>
    <col min="10" max="10" width="17.6328125" style="455" customWidth="1"/>
    <col min="11" max="11" width="11.1796875" style="455" customWidth="1"/>
    <col min="12" max="12" width="17.6328125" style="455" customWidth="1"/>
    <col min="13" max="13" width="11.1796875" style="455" customWidth="1"/>
    <col min="14" max="14" width="17.6328125" style="455" customWidth="1"/>
    <col min="15" max="15" width="11.1796875" style="455" customWidth="1"/>
    <col min="16" max="16" width="17.6328125" style="455" customWidth="1"/>
    <col min="17" max="17" width="16.90625" style="455" customWidth="1"/>
    <col min="18" max="18" width="17.6328125" style="455" customWidth="1"/>
    <col min="19" max="19" width="14.1796875" style="455" customWidth="1"/>
    <col min="20" max="20" width="17.6328125" style="455" customWidth="1"/>
    <col min="21" max="21" width="19.36328125" style="455" customWidth="1"/>
    <col min="22" max="22" width="23.08984375" style="455" customWidth="1"/>
    <col min="23" max="23" width="19.08984375" style="455" customWidth="1"/>
    <col min="24" max="24" width="17.6328125" style="455" customWidth="1"/>
    <col min="25" max="25" width="13" style="455" customWidth="1"/>
    <col min="26" max="26" width="17.6328125" style="455" customWidth="1"/>
    <col min="27" max="27" width="11.1796875" style="455" customWidth="1"/>
    <col min="28" max="28" width="17.6328125" style="455" customWidth="1"/>
    <col min="29" max="29" width="13.453125" style="455" customWidth="1"/>
    <col min="30" max="30" width="14.81640625" style="455" customWidth="1"/>
    <col min="31" max="31" width="14.36328125" style="455" customWidth="1"/>
    <col min="32" max="32" width="15.453125" style="455" customWidth="1"/>
    <col min="33" max="33" width="8.453125" style="455" customWidth="1"/>
    <col min="34" max="38" width="11" style="455" hidden="1" customWidth="1"/>
    <col min="39" max="39" width="28.81640625" style="455" customWidth="1"/>
    <col min="40" max="40" width="12.1796875" style="455" bestFit="1" customWidth="1"/>
    <col min="41" max="41" width="32" style="455" bestFit="1" customWidth="1"/>
    <col min="42" max="16384" width="8.81640625" style="455"/>
  </cols>
  <sheetData>
    <row r="1" spans="1:41" ht="46" customHeight="1" thickBot="1">
      <c r="A1" s="1541" t="s">
        <v>1504</v>
      </c>
      <c r="B1" s="1542"/>
      <c r="C1" s="1542"/>
      <c r="D1" s="1542"/>
      <c r="E1" s="1542"/>
      <c r="F1" s="1542"/>
      <c r="G1" s="1542"/>
      <c r="H1" s="1542"/>
      <c r="I1" s="1542"/>
      <c r="J1" s="1542"/>
      <c r="K1" s="1542"/>
      <c r="L1" s="1542"/>
      <c r="M1" s="1542"/>
      <c r="N1" s="1542"/>
      <c r="O1" s="1542"/>
      <c r="P1" s="1542"/>
      <c r="Q1" s="1542"/>
      <c r="R1" s="1542"/>
      <c r="S1" s="1542"/>
      <c r="T1" s="1542"/>
      <c r="U1" s="1542"/>
      <c r="V1" s="1542"/>
      <c r="W1" s="1542"/>
      <c r="X1" s="1542"/>
      <c r="Y1" s="1542"/>
      <c r="Z1" s="1543"/>
      <c r="AA1" s="1543"/>
      <c r="AB1" s="1543"/>
      <c r="AC1" s="1543"/>
      <c r="AD1" s="1543"/>
      <c r="AE1" s="453"/>
      <c r="AF1" s="453"/>
      <c r="AG1" s="453"/>
    </row>
    <row r="2" spans="1:41" ht="48.5" customHeight="1" thickBot="1">
      <c r="A2" s="1544" t="s">
        <v>1163</v>
      </c>
      <c r="B2" s="1545"/>
      <c r="C2" s="1545"/>
      <c r="D2" s="1545"/>
      <c r="E2" s="1545"/>
      <c r="F2" s="1545"/>
      <c r="G2" s="1545"/>
      <c r="H2" s="1545"/>
      <c r="I2" s="1545"/>
      <c r="J2" s="1545"/>
      <c r="K2" s="1545"/>
      <c r="L2" s="1545"/>
      <c r="M2" s="1545"/>
      <c r="N2" s="1545"/>
      <c r="O2" s="1545"/>
      <c r="P2" s="1545"/>
      <c r="Q2" s="1545"/>
      <c r="R2" s="1545"/>
      <c r="S2" s="1545"/>
      <c r="T2" s="1545"/>
      <c r="U2" s="1545"/>
      <c r="V2" s="1545"/>
      <c r="W2" s="1545"/>
      <c r="X2" s="1545"/>
      <c r="Y2" s="1545"/>
      <c r="Z2" s="1546" t="s">
        <v>1505</v>
      </c>
      <c r="AA2" s="1546"/>
      <c r="AB2" s="1546">
        <f ca="1">NOW()-1</f>
        <v>45972.461192939816</v>
      </c>
      <c r="AC2" s="1546"/>
      <c r="AD2" s="1546"/>
    </row>
    <row r="3" spans="1:41" ht="14.5">
      <c r="A3" s="1547" t="s">
        <v>1164</v>
      </c>
      <c r="B3" s="1548"/>
      <c r="C3" s="1548"/>
      <c r="D3" s="1548"/>
      <c r="E3" s="1548"/>
      <c r="F3" s="1548"/>
      <c r="G3" s="1548"/>
      <c r="H3" s="1548"/>
      <c r="I3" s="1548"/>
      <c r="J3" s="1548"/>
      <c r="K3" s="1548"/>
      <c r="L3" s="1548"/>
      <c r="M3" s="1548"/>
      <c r="N3" s="1548"/>
      <c r="O3" s="1548"/>
      <c r="P3" s="1549"/>
      <c r="Q3" s="649"/>
      <c r="R3" s="649"/>
      <c r="S3" s="1553"/>
      <c r="T3" s="1553"/>
      <c r="U3" s="1553"/>
      <c r="V3" s="650"/>
      <c r="W3" s="1554"/>
      <c r="X3" s="1554"/>
      <c r="Y3" s="1554"/>
      <c r="Z3" s="1555"/>
      <c r="AA3" s="650"/>
      <c r="AB3" s="650"/>
      <c r="AC3" s="651"/>
      <c r="AD3" s="651"/>
    </row>
    <row r="4" spans="1:41" ht="24.5">
      <c r="A4" s="1550"/>
      <c r="B4" s="1551"/>
      <c r="C4" s="1551"/>
      <c r="D4" s="1551"/>
      <c r="E4" s="1551"/>
      <c r="F4" s="1551"/>
      <c r="G4" s="1551"/>
      <c r="H4" s="1551"/>
      <c r="I4" s="1551"/>
      <c r="J4" s="1551"/>
      <c r="K4" s="1551"/>
      <c r="L4" s="1551"/>
      <c r="M4" s="1551"/>
      <c r="N4" s="1551"/>
      <c r="O4" s="1551"/>
      <c r="P4" s="1552"/>
      <c r="Q4" s="649"/>
      <c r="R4" s="649"/>
      <c r="S4" s="1556" t="s">
        <v>1165</v>
      </c>
      <c r="T4" s="1556"/>
      <c r="U4" s="1556"/>
      <c r="V4" s="652"/>
      <c r="W4" s="1557" t="s">
        <v>1166</v>
      </c>
      <c r="X4" s="1557"/>
      <c r="Y4" s="1557"/>
      <c r="Z4" s="1557"/>
      <c r="AA4" s="652"/>
      <c r="AB4" s="652"/>
      <c r="AC4" s="652"/>
      <c r="AD4" s="652"/>
    </row>
    <row r="5" spans="1:41" ht="30.5">
      <c r="A5" s="1559" t="s">
        <v>1012</v>
      </c>
      <c r="B5" s="1560"/>
      <c r="C5" s="1560" t="s">
        <v>27</v>
      </c>
      <c r="D5" s="1560"/>
      <c r="E5" s="1560"/>
      <c r="F5" s="1560" t="s">
        <v>1167</v>
      </c>
      <c r="G5" s="1560"/>
      <c r="H5" s="1560" t="s">
        <v>1168</v>
      </c>
      <c r="I5" s="1560"/>
      <c r="J5" s="1560"/>
      <c r="K5" s="1560" t="s">
        <v>1506</v>
      </c>
      <c r="L5" s="1560"/>
      <c r="M5" s="1560"/>
      <c r="N5" s="1560" t="s">
        <v>857</v>
      </c>
      <c r="O5" s="1560"/>
      <c r="P5" s="1566"/>
      <c r="Q5" s="649"/>
      <c r="R5" s="649"/>
      <c r="S5" s="654"/>
      <c r="T5" s="652"/>
      <c r="U5" s="652"/>
      <c r="V5" s="652"/>
      <c r="W5" s="652"/>
      <c r="X5" s="652"/>
      <c r="Y5" s="652"/>
      <c r="Z5" s="652"/>
      <c r="AA5" s="1558" t="s">
        <v>64</v>
      </c>
      <c r="AB5" s="1558"/>
      <c r="AC5" s="1558"/>
      <c r="AD5" s="655"/>
    </row>
    <row r="6" spans="1:41" ht="17">
      <c r="A6" s="1559"/>
      <c r="B6" s="1560"/>
      <c r="C6" s="1560"/>
      <c r="D6" s="1560"/>
      <c r="E6" s="1560"/>
      <c r="F6" s="1560"/>
      <c r="G6" s="1560"/>
      <c r="H6" s="1560"/>
      <c r="I6" s="1560"/>
      <c r="J6" s="1560"/>
      <c r="K6" s="1560"/>
      <c r="L6" s="1560"/>
      <c r="M6" s="1560"/>
      <c r="N6" s="1560"/>
      <c r="O6" s="1560"/>
      <c r="P6" s="1566"/>
      <c r="Q6" s="649"/>
      <c r="R6" s="649"/>
      <c r="S6" s="654"/>
      <c r="T6" s="652"/>
      <c r="U6" s="652"/>
      <c r="V6" s="652"/>
      <c r="W6" s="652"/>
      <c r="X6" s="652"/>
      <c r="Y6" s="652"/>
      <c r="Z6" s="652"/>
      <c r="AA6" s="656"/>
      <c r="AB6" s="656"/>
      <c r="AC6" s="656"/>
      <c r="AD6" s="656"/>
    </row>
    <row r="7" spans="1:41" ht="40" customHeight="1">
      <c r="A7" s="1559">
        <v>1</v>
      </c>
      <c r="B7" s="1560"/>
      <c r="C7" s="1551" t="s">
        <v>1170</v>
      </c>
      <c r="D7" s="1551"/>
      <c r="E7" s="1551"/>
      <c r="F7" s="1560" t="s">
        <v>1065</v>
      </c>
      <c r="G7" s="1560"/>
      <c r="H7" s="1561">
        <v>188.44399999999999</v>
      </c>
      <c r="I7" s="1561"/>
      <c r="J7" s="1561"/>
      <c r="K7" s="1562">
        <v>188.44399999999999</v>
      </c>
      <c r="L7" s="1563"/>
      <c r="M7" s="1564"/>
      <c r="N7" s="1561">
        <f>H7-K7</f>
        <v>0</v>
      </c>
      <c r="O7" s="1561"/>
      <c r="P7" s="1565"/>
      <c r="Q7" s="649"/>
      <c r="R7" s="649"/>
      <c r="S7" s="654"/>
      <c r="T7" s="652"/>
      <c r="U7" s="652"/>
      <c r="V7" s="652"/>
      <c r="W7" s="652"/>
      <c r="X7" s="652"/>
      <c r="Y7" s="652"/>
      <c r="Z7" s="652"/>
      <c r="AA7" s="656"/>
      <c r="AB7" s="656"/>
      <c r="AC7" s="656"/>
      <c r="AD7" s="656"/>
    </row>
    <row r="8" spans="1:41" ht="40" customHeight="1">
      <c r="A8" s="1559">
        <f>A7+1</f>
        <v>2</v>
      </c>
      <c r="B8" s="1560"/>
      <c r="C8" s="1551" t="s">
        <v>1171</v>
      </c>
      <c r="D8" s="1551"/>
      <c r="E8" s="1551"/>
      <c r="F8" s="1560" t="s">
        <v>1065</v>
      </c>
      <c r="G8" s="1560"/>
      <c r="H8" s="1561">
        <v>188.44399999999999</v>
      </c>
      <c r="I8" s="1561"/>
      <c r="J8" s="1561"/>
      <c r="K8" s="1561">
        <v>178.07499999999999</v>
      </c>
      <c r="L8" s="1561"/>
      <c r="M8" s="1561"/>
      <c r="N8" s="1561">
        <f>H8-K8</f>
        <v>10.369</v>
      </c>
      <c r="O8" s="1561"/>
      <c r="P8" s="1565"/>
      <c r="Q8" s="649"/>
      <c r="R8" s="649"/>
      <c r="S8" s="649"/>
      <c r="T8" s="651"/>
      <c r="U8" s="651"/>
      <c r="V8" s="651"/>
      <c r="W8" s="651"/>
      <c r="X8" s="651"/>
      <c r="Y8" s="651"/>
      <c r="Z8" s="651"/>
      <c r="AA8" s="657"/>
      <c r="AB8" s="657"/>
      <c r="AC8" s="657"/>
      <c r="AD8" s="657"/>
    </row>
    <row r="9" spans="1:41" ht="40" customHeight="1">
      <c r="A9" s="1559">
        <f>A8+1</f>
        <v>3</v>
      </c>
      <c r="B9" s="1560"/>
      <c r="C9" s="1551" t="s">
        <v>1507</v>
      </c>
      <c r="D9" s="1551"/>
      <c r="E9" s="1551"/>
      <c r="F9" s="1560" t="s">
        <v>1065</v>
      </c>
      <c r="G9" s="1560"/>
      <c r="H9" s="1561">
        <v>188.44399999999999</v>
      </c>
      <c r="I9" s="1561"/>
      <c r="J9" s="1561"/>
      <c r="K9" s="1562">
        <v>178.07499999999999</v>
      </c>
      <c r="L9" s="1563"/>
      <c r="M9" s="1564"/>
      <c r="N9" s="1561">
        <f>H9-K9</f>
        <v>10.369</v>
      </c>
      <c r="O9" s="1561"/>
      <c r="P9" s="1565"/>
      <c r="Q9" s="649"/>
      <c r="R9" s="649"/>
      <c r="S9" s="649"/>
      <c r="T9" s="651"/>
      <c r="U9" s="651"/>
      <c r="V9" s="651"/>
      <c r="W9" s="651"/>
      <c r="X9" s="651"/>
      <c r="Y9" s="651"/>
      <c r="Z9" s="651"/>
      <c r="AA9" s="657"/>
      <c r="AB9" s="657"/>
      <c r="AC9" s="657"/>
      <c r="AD9" s="657"/>
    </row>
    <row r="10" spans="1:41" ht="40" customHeight="1">
      <c r="A10" s="1559">
        <f>A9+1</f>
        <v>4</v>
      </c>
      <c r="B10" s="1560"/>
      <c r="C10" s="1551" t="s">
        <v>1172</v>
      </c>
      <c r="D10" s="1551"/>
      <c r="E10" s="1551"/>
      <c r="F10" s="1567" t="s">
        <v>1173</v>
      </c>
      <c r="G10" s="1568"/>
      <c r="H10" s="1569">
        <v>73</v>
      </c>
      <c r="I10" s="1570"/>
      <c r="J10" s="1571"/>
      <c r="K10" s="1569">
        <v>73</v>
      </c>
      <c r="L10" s="1570"/>
      <c r="M10" s="1571"/>
      <c r="N10" s="1573">
        <f t="shared" ref="N10:N14" si="0">H10-K10</f>
        <v>0</v>
      </c>
      <c r="O10" s="1573"/>
      <c r="P10" s="1574"/>
      <c r="Q10" s="649"/>
      <c r="R10" s="649"/>
      <c r="S10" s="649"/>
      <c r="T10" s="651"/>
      <c r="U10" s="651"/>
      <c r="V10" s="651"/>
      <c r="W10" s="651"/>
      <c r="X10" s="651"/>
      <c r="Y10" s="651"/>
      <c r="Z10" s="651"/>
      <c r="AA10" s="657"/>
      <c r="AB10" s="657"/>
      <c r="AC10" s="657"/>
      <c r="AD10" s="657"/>
    </row>
    <row r="11" spans="1:41" ht="40" customHeight="1">
      <c r="A11" s="1559">
        <f>A10+1</f>
        <v>5</v>
      </c>
      <c r="B11" s="1560"/>
      <c r="C11" s="1551" t="s">
        <v>304</v>
      </c>
      <c r="D11" s="1551"/>
      <c r="E11" s="1551"/>
      <c r="F11" s="1567" t="s">
        <v>1173</v>
      </c>
      <c r="G11" s="1568"/>
      <c r="H11" s="1569">
        <v>512</v>
      </c>
      <c r="I11" s="1570"/>
      <c r="J11" s="1571"/>
      <c r="K11" s="1572">
        <v>208</v>
      </c>
      <c r="L11" s="1572"/>
      <c r="M11" s="1572"/>
      <c r="N11" s="1573">
        <f t="shared" si="0"/>
        <v>304</v>
      </c>
      <c r="O11" s="1573"/>
      <c r="P11" s="1574"/>
      <c r="Q11" s="649"/>
      <c r="R11" s="649"/>
      <c r="S11" s="651"/>
      <c r="T11" s="651"/>
      <c r="U11" s="651"/>
      <c r="V11" s="651"/>
      <c r="W11" s="651"/>
      <c r="X11" s="651"/>
      <c r="Y11" s="651"/>
      <c r="Z11" s="651"/>
      <c r="AA11" s="658" t="s">
        <v>1174</v>
      </c>
      <c r="AB11" s="659"/>
      <c r="AC11" s="657"/>
      <c r="AD11" s="657"/>
    </row>
    <row r="12" spans="1:41" ht="40" customHeight="1">
      <c r="A12" s="1559">
        <f t="shared" ref="A12:A16" si="1">A11+1</f>
        <v>6</v>
      </c>
      <c r="B12" s="1560"/>
      <c r="C12" s="1551" t="s">
        <v>305</v>
      </c>
      <c r="D12" s="1551"/>
      <c r="E12" s="1551"/>
      <c r="F12" s="1567" t="s">
        <v>1175</v>
      </c>
      <c r="G12" s="1568"/>
      <c r="H12" s="1569">
        <v>514</v>
      </c>
      <c r="I12" s="1570"/>
      <c r="J12" s="1571"/>
      <c r="K12" s="1572">
        <v>190</v>
      </c>
      <c r="L12" s="1572"/>
      <c r="M12" s="1572"/>
      <c r="N12" s="1573">
        <f t="shared" si="0"/>
        <v>324</v>
      </c>
      <c r="O12" s="1573"/>
      <c r="P12" s="1574"/>
      <c r="Q12" s="649"/>
      <c r="R12" s="660"/>
      <c r="S12" s="661" t="s">
        <v>1176</v>
      </c>
      <c r="T12" s="653"/>
      <c r="U12" s="651"/>
      <c r="V12" s="1575" t="s">
        <v>219</v>
      </c>
      <c r="W12" s="1575"/>
      <c r="X12" s="1575"/>
      <c r="Y12" s="651"/>
      <c r="Z12" s="651"/>
      <c r="AA12" s="657"/>
      <c r="AB12" s="662"/>
      <c r="AC12" s="658" t="s">
        <v>1508</v>
      </c>
      <c r="AD12" s="659"/>
    </row>
    <row r="13" spans="1:41" ht="40" customHeight="1">
      <c r="A13" s="1559">
        <f t="shared" si="1"/>
        <v>7</v>
      </c>
      <c r="B13" s="1560"/>
      <c r="C13" s="1551" t="s">
        <v>1178</v>
      </c>
      <c r="D13" s="1551"/>
      <c r="E13" s="1551"/>
      <c r="F13" s="1567" t="s">
        <v>1173</v>
      </c>
      <c r="G13" s="1568"/>
      <c r="H13" s="1569">
        <v>512</v>
      </c>
      <c r="I13" s="1570"/>
      <c r="J13" s="1571"/>
      <c r="K13" s="1572">
        <v>75</v>
      </c>
      <c r="L13" s="1572"/>
      <c r="M13" s="1572"/>
      <c r="N13" s="1573">
        <f t="shared" si="0"/>
        <v>437</v>
      </c>
      <c r="O13" s="1573"/>
      <c r="P13" s="1574"/>
      <c r="Q13" s="649"/>
      <c r="R13" s="660"/>
      <c r="S13" s="653" t="s">
        <v>305</v>
      </c>
      <c r="T13" s="653"/>
      <c r="U13" s="651"/>
      <c r="V13" s="1576"/>
      <c r="W13" s="1576"/>
      <c r="X13" s="1576"/>
      <c r="Y13" s="651"/>
      <c r="Z13" s="651"/>
      <c r="AA13" s="663"/>
      <c r="AB13" s="657"/>
      <c r="AC13" s="657"/>
      <c r="AD13" s="657"/>
    </row>
    <row r="14" spans="1:41" ht="40" customHeight="1">
      <c r="A14" s="1559">
        <f t="shared" si="1"/>
        <v>8</v>
      </c>
      <c r="B14" s="1560"/>
      <c r="C14" s="1551" t="s">
        <v>517</v>
      </c>
      <c r="D14" s="1551"/>
      <c r="E14" s="1551"/>
      <c r="F14" s="1567" t="s">
        <v>1175</v>
      </c>
      <c r="G14" s="1568"/>
      <c r="H14" s="1569">
        <v>512</v>
      </c>
      <c r="I14" s="1570"/>
      <c r="J14" s="1571"/>
      <c r="K14" s="1572"/>
      <c r="L14" s="1572"/>
      <c r="M14" s="1572"/>
      <c r="N14" s="1573">
        <f t="shared" si="0"/>
        <v>512</v>
      </c>
      <c r="O14" s="1573"/>
      <c r="P14" s="1574"/>
      <c r="Q14" s="649"/>
      <c r="R14" s="649"/>
      <c r="S14" s="649"/>
      <c r="T14" s="651"/>
      <c r="U14" s="651"/>
      <c r="V14" s="651"/>
      <c r="W14" s="651"/>
      <c r="X14" s="651"/>
      <c r="Y14" s="651"/>
      <c r="Z14" s="651"/>
      <c r="AA14" s="657"/>
      <c r="AB14" s="657"/>
      <c r="AC14" s="657"/>
      <c r="AD14" s="657"/>
    </row>
    <row r="15" spans="1:41" ht="40" customHeight="1">
      <c r="A15" s="1559">
        <f t="shared" si="1"/>
        <v>9</v>
      </c>
      <c r="B15" s="1560"/>
      <c r="C15" s="1578" t="s">
        <v>1509</v>
      </c>
      <c r="D15" s="1578"/>
      <c r="E15" s="1578"/>
      <c r="F15" s="1560" t="s">
        <v>1065</v>
      </c>
      <c r="G15" s="1560"/>
      <c r="H15" s="1561">
        <v>188.44399999999999</v>
      </c>
      <c r="I15" s="1561"/>
      <c r="J15" s="1561"/>
      <c r="K15" s="1560"/>
      <c r="L15" s="1560"/>
      <c r="M15" s="1560"/>
      <c r="N15" s="1561">
        <v>188.44399999999999</v>
      </c>
      <c r="O15" s="1561"/>
      <c r="P15" s="1565"/>
      <c r="Q15" s="649"/>
      <c r="R15" s="649"/>
      <c r="S15" s="1577" t="s">
        <v>1510</v>
      </c>
      <c r="T15" s="1577"/>
      <c r="U15" s="651"/>
      <c r="V15" s="651"/>
      <c r="W15" s="652"/>
      <c r="X15" s="661" t="s">
        <v>1180</v>
      </c>
      <c r="Y15" s="652"/>
      <c r="Z15" s="652"/>
      <c r="AA15" s="652"/>
      <c r="AB15" s="652"/>
      <c r="AC15" s="652"/>
      <c r="AD15" s="652"/>
      <c r="AO15" s="664"/>
    </row>
    <row r="16" spans="1:41" ht="40" customHeight="1">
      <c r="A16" s="1559">
        <f t="shared" si="1"/>
        <v>10</v>
      </c>
      <c r="B16" s="1560"/>
      <c r="C16" s="1578" t="s">
        <v>1511</v>
      </c>
      <c r="D16" s="1578"/>
      <c r="E16" s="1578"/>
      <c r="F16" s="1560" t="s">
        <v>1065</v>
      </c>
      <c r="G16" s="1560"/>
      <c r="H16" s="1561">
        <v>188.44399999999999</v>
      </c>
      <c r="I16" s="1561"/>
      <c r="J16" s="1561"/>
      <c r="K16" s="1560"/>
      <c r="L16" s="1560"/>
      <c r="M16" s="1560"/>
      <c r="N16" s="1561">
        <v>188.44399999999999</v>
      </c>
      <c r="O16" s="1561"/>
      <c r="P16" s="1565"/>
      <c r="Q16" s="665"/>
      <c r="R16" s="665"/>
      <c r="S16" s="665"/>
      <c r="T16" s="666"/>
      <c r="U16" s="666"/>
      <c r="V16" s="666"/>
      <c r="W16" s="667"/>
      <c r="X16" s="667"/>
      <c r="Y16" s="667"/>
      <c r="Z16" s="668" t="s">
        <v>1512</v>
      </c>
      <c r="AA16" s="669" t="s">
        <v>1513</v>
      </c>
      <c r="AB16" s="1582" t="s">
        <v>1514</v>
      </c>
      <c r="AC16" s="1582"/>
      <c r="AD16" s="1582"/>
    </row>
    <row r="17" spans="1:41" ht="67" customHeight="1">
      <c r="A17" s="1583" t="s">
        <v>1515</v>
      </c>
      <c r="B17" s="1584"/>
      <c r="C17" s="671"/>
      <c r="D17" s="670" t="s">
        <v>520</v>
      </c>
      <c r="E17" s="671"/>
      <c r="F17" s="1585" t="s">
        <v>1516</v>
      </c>
      <c r="G17" s="1585"/>
      <c r="H17" s="672" t="s">
        <v>521</v>
      </c>
      <c r="I17" s="671"/>
      <c r="J17" s="672" t="s">
        <v>522</v>
      </c>
      <c r="K17" s="671"/>
      <c r="L17" s="672" t="s">
        <v>1186</v>
      </c>
      <c r="M17" s="671"/>
      <c r="N17" s="672" t="s">
        <v>524</v>
      </c>
      <c r="O17" s="671"/>
      <c r="P17" s="672" t="s">
        <v>525</v>
      </c>
      <c r="Q17" s="671"/>
      <c r="R17" s="672" t="s">
        <v>532</v>
      </c>
      <c r="S17" s="671"/>
      <c r="T17" s="672" t="s">
        <v>533</v>
      </c>
      <c r="U17" s="671"/>
      <c r="V17" s="672" t="s">
        <v>1187</v>
      </c>
      <c r="W17" s="671"/>
      <c r="X17" s="672" t="s">
        <v>1188</v>
      </c>
      <c r="Y17" s="671"/>
      <c r="Z17" s="672" t="s">
        <v>1189</v>
      </c>
      <c r="AA17" s="671"/>
      <c r="AB17" s="672" t="s">
        <v>1190</v>
      </c>
      <c r="AC17" s="673" t="s">
        <v>1513</v>
      </c>
      <c r="AD17" s="674"/>
      <c r="AE17" s="475"/>
      <c r="AF17" s="475"/>
      <c r="AG17" s="475"/>
    </row>
    <row r="18" spans="1:41" ht="33.5">
      <c r="A18" s="467"/>
      <c r="B18" s="379"/>
      <c r="C18" s="674"/>
      <c r="D18" s="379"/>
      <c r="E18" s="674"/>
      <c r="F18" s="379"/>
      <c r="G18" s="674"/>
      <c r="H18" s="379"/>
      <c r="I18" s="674"/>
      <c r="J18" s="379"/>
      <c r="K18" s="674"/>
      <c r="L18" s="379"/>
      <c r="M18" s="674"/>
      <c r="N18" s="379"/>
      <c r="O18" s="675"/>
      <c r="P18" s="379"/>
      <c r="Q18" s="674"/>
      <c r="R18" s="379"/>
      <c r="S18" s="674"/>
      <c r="T18" s="379"/>
      <c r="U18" s="674"/>
      <c r="V18" s="379"/>
      <c r="W18" s="674"/>
      <c r="X18" s="379"/>
      <c r="Y18" s="674"/>
      <c r="Z18" s="379"/>
      <c r="AA18" s="674"/>
      <c r="AB18" s="379"/>
      <c r="AC18" s="674"/>
      <c r="AD18" s="379"/>
      <c r="AE18" s="475"/>
      <c r="AF18" s="475"/>
      <c r="AG18" s="475"/>
      <c r="AM18" s="672" t="s">
        <v>390</v>
      </c>
      <c r="AN18" s="672" t="s">
        <v>228</v>
      </c>
      <c r="AO18" s="672" t="s">
        <v>375</v>
      </c>
    </row>
    <row r="19" spans="1:41" ht="15" thickBot="1">
      <c r="A19" s="467"/>
      <c r="B19" s="676"/>
      <c r="C19" s="674"/>
      <c r="D19" s="676"/>
      <c r="E19" s="674"/>
      <c r="F19" s="676"/>
      <c r="G19" s="674"/>
      <c r="H19" s="676"/>
      <c r="I19" s="674"/>
      <c r="J19" s="676"/>
      <c r="K19" s="674"/>
      <c r="L19" s="676"/>
      <c r="M19" s="674"/>
      <c r="N19" s="676"/>
      <c r="O19" s="675"/>
      <c r="P19" s="676"/>
      <c r="Q19" s="674"/>
      <c r="R19" s="676"/>
      <c r="S19" s="674"/>
      <c r="T19" s="676"/>
      <c r="U19" s="674"/>
      <c r="V19" s="676"/>
      <c r="W19" s="674"/>
      <c r="X19" s="676"/>
      <c r="Y19" s="674"/>
      <c r="Z19" s="676"/>
      <c r="AA19" s="674"/>
      <c r="AB19" s="676"/>
      <c r="AC19" s="674"/>
      <c r="AD19" s="674"/>
      <c r="AE19" s="475"/>
      <c r="AF19" s="475"/>
      <c r="AG19" s="475"/>
    </row>
    <row r="20" spans="1:41" ht="101.5" customHeight="1" thickBot="1">
      <c r="A20" s="467"/>
      <c r="B20" s="677"/>
      <c r="C20" s="678">
        <v>89</v>
      </c>
      <c r="D20" s="679"/>
      <c r="E20" s="678">
        <v>113</v>
      </c>
      <c r="F20" s="679"/>
      <c r="G20" s="678">
        <v>264</v>
      </c>
      <c r="H20" s="679"/>
      <c r="I20" s="678">
        <v>244</v>
      </c>
      <c r="J20" s="679"/>
      <c r="K20" s="678">
        <v>657</v>
      </c>
      <c r="L20" s="679"/>
      <c r="M20" s="678">
        <v>419.226</v>
      </c>
      <c r="N20" s="679"/>
      <c r="O20" s="678">
        <v>420.01</v>
      </c>
      <c r="P20" s="679"/>
      <c r="Q20" s="678">
        <v>416.53100000000001</v>
      </c>
      <c r="R20" s="679"/>
      <c r="S20" s="678">
        <v>356.262</v>
      </c>
      <c r="T20" s="679"/>
      <c r="U20" s="678">
        <v>343.07400000000001</v>
      </c>
      <c r="V20" s="679"/>
      <c r="W20" s="678">
        <v>381.32900000000001</v>
      </c>
      <c r="X20" s="679"/>
      <c r="Y20" s="678">
        <v>373.32299999999998</v>
      </c>
      <c r="Z20" s="679"/>
      <c r="AA20" s="678">
        <v>246.012</v>
      </c>
      <c r="AB20" s="679"/>
      <c r="AC20" s="680">
        <v>249.42400000000001</v>
      </c>
      <c r="AD20" s="674"/>
      <c r="AE20" s="684"/>
      <c r="AF20" s="684"/>
      <c r="AG20" s="684"/>
      <c r="AM20" s="871">
        <f>COUNTIF(B20:AB20,"U/P")</f>
        <v>0</v>
      </c>
      <c r="AN20" s="871">
        <f>COUNTIF(C20:AC20,"ROW")</f>
        <v>0</v>
      </c>
      <c r="AO20" s="871">
        <f>COUNTIF(D20:AD20,"C")</f>
        <v>0</v>
      </c>
    </row>
    <row r="21" spans="1:41" ht="15" thickBot="1">
      <c r="A21" s="467"/>
      <c r="B21" s="681"/>
      <c r="C21" s="675"/>
      <c r="D21" s="682"/>
      <c r="E21" s="675"/>
      <c r="F21" s="682"/>
      <c r="G21" s="675"/>
      <c r="H21" s="682"/>
      <c r="I21" s="675"/>
      <c r="J21" s="682"/>
      <c r="K21" s="675"/>
      <c r="L21" s="682"/>
      <c r="M21" s="675"/>
      <c r="N21" s="682"/>
      <c r="O21" s="675"/>
      <c r="P21" s="682"/>
      <c r="Q21" s="675"/>
      <c r="R21" s="682"/>
      <c r="S21" s="675"/>
      <c r="T21" s="682"/>
      <c r="U21" s="675"/>
      <c r="V21" s="682"/>
      <c r="W21" s="675"/>
      <c r="X21" s="682"/>
      <c r="Y21" s="675"/>
      <c r="Z21" s="682"/>
      <c r="AA21" s="675"/>
      <c r="AB21" s="682"/>
      <c r="AC21" s="675"/>
      <c r="AD21" s="674"/>
      <c r="AE21" s="683"/>
      <c r="AF21" s="684"/>
      <c r="AG21" s="684"/>
    </row>
    <row r="22" spans="1:41" ht="33.5">
      <c r="A22" s="685"/>
      <c r="B22" s="686"/>
      <c r="C22" s="686"/>
      <c r="D22" s="687" t="s">
        <v>125</v>
      </c>
      <c r="E22" s="688"/>
      <c r="F22" s="687" t="s">
        <v>143</v>
      </c>
      <c r="G22" s="688"/>
      <c r="H22" s="687" t="s">
        <v>113</v>
      </c>
      <c r="I22" s="689"/>
      <c r="J22" s="687" t="s">
        <v>113</v>
      </c>
      <c r="K22" s="689"/>
      <c r="L22" s="687" t="s">
        <v>167</v>
      </c>
      <c r="M22" s="686"/>
      <c r="N22" s="686" t="s">
        <v>182</v>
      </c>
      <c r="O22" s="686"/>
      <c r="P22" s="686" t="s">
        <v>248</v>
      </c>
      <c r="Q22" s="686"/>
      <c r="R22" s="687" t="s">
        <v>115</v>
      </c>
      <c r="S22" s="686"/>
      <c r="T22" s="686" t="s">
        <v>182</v>
      </c>
      <c r="U22" s="686"/>
      <c r="V22" s="686" t="s">
        <v>182</v>
      </c>
      <c r="W22" s="686"/>
      <c r="X22" s="686" t="s">
        <v>242</v>
      </c>
      <c r="Y22" s="686"/>
      <c r="Z22" s="686" t="s">
        <v>185</v>
      </c>
      <c r="AA22" s="686"/>
      <c r="AB22" s="687" t="s">
        <v>119</v>
      </c>
      <c r="AC22" s="690"/>
      <c r="AD22" s="674"/>
      <c r="AE22" s="683"/>
      <c r="AF22" s="684"/>
      <c r="AG22" s="684"/>
      <c r="AM22" s="871"/>
      <c r="AN22" s="871"/>
      <c r="AO22" s="871"/>
    </row>
    <row r="23" spans="1:41" ht="29" customHeight="1">
      <c r="A23" s="1586" t="s">
        <v>1711</v>
      </c>
      <c r="B23" s="1587"/>
      <c r="C23" s="1587"/>
      <c r="D23" s="1587"/>
      <c r="E23" s="1587"/>
      <c r="F23" s="1587"/>
      <c r="G23" s="1587"/>
      <c r="H23" s="1587"/>
      <c r="I23" s="1587"/>
      <c r="J23" s="1587"/>
      <c r="K23" s="1587"/>
      <c r="L23" s="1587"/>
      <c r="M23" s="1587"/>
      <c r="N23" s="1587"/>
      <c r="O23" s="1587"/>
      <c r="P23" s="1587"/>
      <c r="Q23" s="1587"/>
      <c r="R23" s="1587"/>
      <c r="S23" s="1587"/>
      <c r="T23" s="1587"/>
      <c r="U23" s="1587"/>
      <c r="V23" s="1587"/>
      <c r="W23" s="1587"/>
      <c r="X23" s="1587"/>
      <c r="Y23" s="1587"/>
      <c r="Z23" s="1587"/>
      <c r="AA23" s="1587"/>
      <c r="AB23" s="1587"/>
      <c r="AC23" s="1587"/>
      <c r="AD23" s="1587"/>
      <c r="AE23" s="1587"/>
      <c r="AF23" s="1587"/>
      <c r="AG23" s="1587"/>
      <c r="AH23" s="1587"/>
      <c r="AI23" s="884"/>
      <c r="AJ23" s="884"/>
      <c r="AK23" s="884"/>
      <c r="AL23" s="884"/>
      <c r="AM23" s="871"/>
      <c r="AN23" s="871"/>
      <c r="AO23" s="871"/>
    </row>
    <row r="24" spans="1:41" ht="29.5" customHeight="1">
      <c r="A24" s="685"/>
      <c r="B24" s="672" t="s">
        <v>1195</v>
      </c>
      <c r="C24" s="671"/>
      <c r="D24" s="672" t="s">
        <v>1196</v>
      </c>
      <c r="E24" s="671"/>
      <c r="F24" s="672" t="s">
        <v>1197</v>
      </c>
      <c r="G24" s="671"/>
      <c r="H24" s="672" t="s">
        <v>1198</v>
      </c>
      <c r="I24" s="671"/>
      <c r="J24" s="672" t="s">
        <v>534</v>
      </c>
      <c r="K24" s="671"/>
      <c r="L24" s="672" t="s">
        <v>537</v>
      </c>
      <c r="M24" s="671"/>
      <c r="N24" s="672" t="s">
        <v>1199</v>
      </c>
      <c r="O24" s="671"/>
      <c r="P24" s="672" t="s">
        <v>1200</v>
      </c>
      <c r="Q24" s="671"/>
      <c r="R24" s="672" t="s">
        <v>1201</v>
      </c>
      <c r="S24" s="671"/>
      <c r="T24" s="672" t="s">
        <v>1202</v>
      </c>
      <c r="U24" s="671"/>
      <c r="V24" s="672" t="s">
        <v>1203</v>
      </c>
      <c r="W24" s="671"/>
      <c r="X24" s="672" t="s">
        <v>1204</v>
      </c>
      <c r="Y24" s="671"/>
      <c r="Z24" s="672" t="s">
        <v>1205</v>
      </c>
      <c r="AA24" s="671"/>
      <c r="AB24" s="672" t="s">
        <v>538</v>
      </c>
      <c r="AC24" s="690"/>
      <c r="AD24" s="691"/>
      <c r="AE24" s="684"/>
      <c r="AF24" s="684"/>
      <c r="AG24" s="684"/>
      <c r="AM24" s="871"/>
      <c r="AN24" s="871"/>
      <c r="AO24" s="871"/>
    </row>
    <row r="25" spans="1:41" ht="31">
      <c r="A25" s="467"/>
      <c r="B25" s="692"/>
      <c r="C25" s="693"/>
      <c r="D25" s="692"/>
      <c r="E25" s="693"/>
      <c r="F25" s="692"/>
      <c r="G25" s="693"/>
      <c r="H25" s="692"/>
      <c r="I25" s="693"/>
      <c r="J25" s="692"/>
      <c r="K25" s="693"/>
      <c r="L25" s="692"/>
      <c r="M25" s="693"/>
      <c r="N25" s="692"/>
      <c r="O25" s="693"/>
      <c r="P25" s="692"/>
      <c r="Q25" s="693"/>
      <c r="R25" s="692"/>
      <c r="S25" s="693"/>
      <c r="T25" s="692"/>
      <c r="U25" s="693"/>
      <c r="V25" s="692"/>
      <c r="W25" s="693"/>
      <c r="X25" s="692"/>
      <c r="Y25" s="693"/>
      <c r="Z25" s="692"/>
      <c r="AA25" s="693"/>
      <c r="AB25" s="692"/>
      <c r="AC25" s="693"/>
      <c r="AD25" s="691"/>
      <c r="AE25" s="684"/>
      <c r="AF25" s="684"/>
      <c r="AG25" s="684"/>
      <c r="AM25" s="871"/>
      <c r="AN25" s="871"/>
      <c r="AO25" s="871"/>
    </row>
    <row r="26" spans="1:41" ht="16.5" customHeight="1" thickBot="1">
      <c r="A26" s="467"/>
      <c r="B26" s="694"/>
      <c r="C26" s="693"/>
      <c r="D26" s="694"/>
      <c r="E26" s="693"/>
      <c r="F26" s="694"/>
      <c r="G26" s="693"/>
      <c r="H26" s="694"/>
      <c r="I26" s="693"/>
      <c r="J26" s="694"/>
      <c r="K26" s="693"/>
      <c r="L26" s="694"/>
      <c r="M26" s="693"/>
      <c r="N26" s="694"/>
      <c r="O26" s="693"/>
      <c r="P26" s="694"/>
      <c r="Q26" s="693"/>
      <c r="R26" s="694"/>
      <c r="S26" s="693"/>
      <c r="T26" s="694"/>
      <c r="U26" s="693"/>
      <c r="V26" s="694"/>
      <c r="W26" s="693"/>
      <c r="X26" s="694"/>
      <c r="Y26" s="693"/>
      <c r="Z26" s="694"/>
      <c r="AA26" s="693"/>
      <c r="AB26" s="694"/>
      <c r="AC26" s="693"/>
      <c r="AD26" s="691"/>
      <c r="AE26" s="684"/>
      <c r="AF26" s="684"/>
      <c r="AG26" s="684"/>
      <c r="AM26" s="871"/>
      <c r="AN26" s="871"/>
      <c r="AO26" s="871"/>
    </row>
    <row r="27" spans="1:41" ht="100" customHeight="1" thickBot="1">
      <c r="A27" s="467"/>
      <c r="B27" s="560"/>
      <c r="C27" s="695">
        <v>399.70699999999999</v>
      </c>
      <c r="D27" s="679"/>
      <c r="E27" s="695">
        <v>438.61599999999999</v>
      </c>
      <c r="F27" s="679"/>
      <c r="G27" s="695">
        <v>400.60399999999998</v>
      </c>
      <c r="H27" s="679"/>
      <c r="I27" s="695">
        <v>438.76499999999999</v>
      </c>
      <c r="J27" s="679"/>
      <c r="K27" s="695">
        <v>226.315</v>
      </c>
      <c r="L27" s="679"/>
      <c r="M27" s="695">
        <v>442.553</v>
      </c>
      <c r="N27" s="679"/>
      <c r="O27" s="695">
        <v>389.32900000000001</v>
      </c>
      <c r="P27" s="679"/>
      <c r="Q27" s="695">
        <v>359.36099999999999</v>
      </c>
      <c r="R27" s="679"/>
      <c r="S27" s="695">
        <v>405.00599999999997</v>
      </c>
      <c r="T27" s="679"/>
      <c r="U27" s="695">
        <v>426.51799999999997</v>
      </c>
      <c r="V27" s="679"/>
      <c r="W27" s="695">
        <v>356.05500000000001</v>
      </c>
      <c r="X27" s="679"/>
      <c r="Y27" s="695">
        <v>369.29500000000002</v>
      </c>
      <c r="Z27" s="679"/>
      <c r="AA27" s="695">
        <v>374.99299999999999</v>
      </c>
      <c r="AB27" s="679"/>
      <c r="AC27" s="696">
        <v>383.76799999999997</v>
      </c>
      <c r="AD27" s="691"/>
      <c r="AE27" s="684"/>
      <c r="AF27" s="684"/>
      <c r="AG27" s="684"/>
      <c r="AM27" s="871">
        <f>COUNTIF(B27:AB27,"U/P")</f>
        <v>0</v>
      </c>
      <c r="AN27" s="871">
        <f>COUNTIF(C27:AC27,"ROW")</f>
        <v>0</v>
      </c>
      <c r="AO27" s="871">
        <f>COUNTIF(D27:AD27,"C")</f>
        <v>0</v>
      </c>
    </row>
    <row r="28" spans="1:41" ht="34" thickBot="1">
      <c r="A28" s="467"/>
      <c r="B28" s="697"/>
      <c r="C28" s="690"/>
      <c r="D28" s="698"/>
      <c r="E28" s="690"/>
      <c r="F28" s="698"/>
      <c r="G28" s="690"/>
      <c r="H28" s="698"/>
      <c r="I28" s="690"/>
      <c r="J28" s="698"/>
      <c r="K28" s="690"/>
      <c r="L28" s="698"/>
      <c r="M28" s="690"/>
      <c r="N28" s="698"/>
      <c r="O28" s="690"/>
      <c r="P28" s="698"/>
      <c r="Q28" s="690"/>
      <c r="R28" s="698"/>
      <c r="S28" s="690"/>
      <c r="T28" s="698"/>
      <c r="U28" s="690"/>
      <c r="V28" s="698"/>
      <c r="W28" s="690"/>
      <c r="X28" s="698"/>
      <c r="Y28" s="690"/>
      <c r="Z28" s="698"/>
      <c r="AA28" s="690"/>
      <c r="AB28" s="698"/>
      <c r="AC28" s="693"/>
      <c r="AD28" s="691"/>
      <c r="AE28" s="684"/>
      <c r="AF28" s="684"/>
      <c r="AG28" s="684"/>
      <c r="AM28" s="871"/>
      <c r="AN28" s="871"/>
      <c r="AO28" s="871"/>
    </row>
    <row r="29" spans="1:41" ht="33.5">
      <c r="A29" s="467"/>
      <c r="B29" s="686" t="s">
        <v>182</v>
      </c>
      <c r="C29" s="686"/>
      <c r="D29" s="686" t="s">
        <v>242</v>
      </c>
      <c r="E29" s="686"/>
      <c r="F29" s="686" t="s">
        <v>242</v>
      </c>
      <c r="G29" s="686"/>
      <c r="H29" s="686" t="s">
        <v>185</v>
      </c>
      <c r="I29" s="686"/>
      <c r="J29" s="687" t="s">
        <v>117</v>
      </c>
      <c r="K29" s="686"/>
      <c r="L29" s="687" t="s">
        <v>117</v>
      </c>
      <c r="M29" s="686"/>
      <c r="N29" s="686" t="s">
        <v>185</v>
      </c>
      <c r="O29" s="686"/>
      <c r="P29" s="686" t="s">
        <v>182</v>
      </c>
      <c r="Q29" s="686"/>
      <c r="R29" s="686" t="s">
        <v>182</v>
      </c>
      <c r="S29" s="686"/>
      <c r="T29" s="686" t="s">
        <v>182</v>
      </c>
      <c r="U29" s="686"/>
      <c r="V29" s="686" t="s">
        <v>182</v>
      </c>
      <c r="W29" s="686"/>
      <c r="X29" s="686" t="s">
        <v>182</v>
      </c>
      <c r="Y29" s="686"/>
      <c r="Z29" s="686" t="s">
        <v>182</v>
      </c>
      <c r="AA29" s="686"/>
      <c r="AB29" s="687" t="s">
        <v>119</v>
      </c>
      <c r="AC29" s="693"/>
      <c r="AD29" s="691"/>
      <c r="AE29" s="683"/>
      <c r="AF29" s="684"/>
      <c r="AG29" s="684"/>
      <c r="AM29" s="871"/>
      <c r="AN29" s="871"/>
      <c r="AO29" s="871"/>
    </row>
    <row r="30" spans="1:41" ht="28.5" customHeight="1">
      <c r="A30" s="1586" t="s">
        <v>1711</v>
      </c>
      <c r="B30" s="1587"/>
      <c r="C30" s="1587"/>
      <c r="D30" s="1587"/>
      <c r="E30" s="1587"/>
      <c r="F30" s="1587"/>
      <c r="G30" s="1587"/>
      <c r="H30" s="1587"/>
      <c r="I30" s="1587"/>
      <c r="J30" s="1587"/>
      <c r="K30" s="1587"/>
      <c r="L30" s="1587"/>
      <c r="M30" s="1587"/>
      <c r="N30" s="1587"/>
      <c r="O30" s="1587"/>
      <c r="P30" s="1587"/>
      <c r="Q30" s="1587"/>
      <c r="R30" s="1587"/>
      <c r="S30" s="1587"/>
      <c r="T30" s="1587"/>
      <c r="U30" s="1587"/>
      <c r="V30" s="1587"/>
      <c r="W30" s="1587"/>
      <c r="X30" s="1587"/>
      <c r="Y30" s="1587"/>
      <c r="Z30" s="1587"/>
      <c r="AA30" s="1587"/>
      <c r="AB30" s="1587"/>
      <c r="AC30" s="1587"/>
      <c r="AD30" s="1587"/>
      <c r="AE30" s="1587"/>
      <c r="AF30" s="1587"/>
      <c r="AG30" s="1587"/>
      <c r="AH30" s="1587"/>
      <c r="AI30" s="884"/>
      <c r="AJ30" s="884"/>
      <c r="AK30" s="884"/>
      <c r="AL30" s="884"/>
    </row>
    <row r="31" spans="1:41" ht="21" customHeight="1">
      <c r="A31" s="467"/>
      <c r="B31" s="672" t="s">
        <v>539</v>
      </c>
      <c r="C31" s="671"/>
      <c r="D31" s="672"/>
      <c r="E31" s="671"/>
      <c r="F31" s="672" t="s">
        <v>542</v>
      </c>
      <c r="G31" s="671"/>
      <c r="H31" s="672" t="s">
        <v>543</v>
      </c>
      <c r="I31" s="671"/>
      <c r="J31" s="672" t="s">
        <v>544</v>
      </c>
      <c r="K31" s="671"/>
      <c r="L31" s="672" t="s">
        <v>545</v>
      </c>
      <c r="M31" s="671"/>
      <c r="N31" s="672" t="s">
        <v>546</v>
      </c>
      <c r="O31" s="671"/>
      <c r="P31" s="672" t="s">
        <v>1206</v>
      </c>
      <c r="Q31" s="671"/>
      <c r="R31" s="672" t="s">
        <v>1207</v>
      </c>
      <c r="S31" s="671"/>
      <c r="T31" s="672" t="s">
        <v>1208</v>
      </c>
      <c r="U31" s="671"/>
      <c r="V31" s="672" t="s">
        <v>1209</v>
      </c>
      <c r="W31" s="671"/>
      <c r="X31" s="672" t="s">
        <v>548</v>
      </c>
      <c r="Y31" s="671"/>
      <c r="Z31" s="699" t="s">
        <v>1210</v>
      </c>
      <c r="AA31" s="671"/>
      <c r="AB31" s="672" t="s">
        <v>1211</v>
      </c>
      <c r="AC31" s="690"/>
      <c r="AD31" s="691"/>
      <c r="AE31" s="684"/>
      <c r="AF31" s="684"/>
      <c r="AG31" s="684"/>
    </row>
    <row r="32" spans="1:41" ht="33.5">
      <c r="A32" s="467"/>
      <c r="B32" s="700"/>
      <c r="C32" s="690"/>
      <c r="D32" s="700"/>
      <c r="E32" s="686"/>
      <c r="F32" s="700"/>
      <c r="G32" s="701"/>
      <c r="H32" s="700"/>
      <c r="I32" s="690"/>
      <c r="J32" s="700"/>
      <c r="K32" s="690"/>
      <c r="L32" s="700"/>
      <c r="M32" s="690"/>
      <c r="N32" s="700"/>
      <c r="O32" s="690"/>
      <c r="P32" s="700"/>
      <c r="Q32" s="690"/>
      <c r="R32" s="700"/>
      <c r="S32" s="690"/>
      <c r="T32" s="700"/>
      <c r="U32" s="690"/>
      <c r="V32" s="700"/>
      <c r="W32" s="686"/>
      <c r="X32" s="700"/>
      <c r="Y32" s="686"/>
      <c r="Z32" s="700"/>
      <c r="AA32" s="690"/>
      <c r="AB32" s="700"/>
      <c r="AC32" s="690"/>
      <c r="AD32" s="691"/>
      <c r="AE32" s="684"/>
      <c r="AF32" s="684"/>
      <c r="AG32" s="684"/>
    </row>
    <row r="33" spans="1:41" ht="15" customHeight="1" thickBot="1">
      <c r="A33" s="467"/>
      <c r="B33" s="702"/>
      <c r="C33" s="690"/>
      <c r="D33" s="702"/>
      <c r="E33" s="690"/>
      <c r="F33" s="702"/>
      <c r="G33" s="690"/>
      <c r="H33" s="702"/>
      <c r="I33" s="690"/>
      <c r="J33" s="702"/>
      <c r="K33" s="690"/>
      <c r="L33" s="702"/>
      <c r="M33" s="690"/>
      <c r="N33" s="702"/>
      <c r="O33" s="690"/>
      <c r="P33" s="702"/>
      <c r="Q33" s="690"/>
      <c r="R33" s="702"/>
      <c r="S33" s="690"/>
      <c r="T33" s="702"/>
      <c r="U33" s="690"/>
      <c r="V33" s="702"/>
      <c r="W33" s="690"/>
      <c r="X33" s="702"/>
      <c r="Y33" s="690"/>
      <c r="Z33" s="702"/>
      <c r="AA33" s="690"/>
      <c r="AB33" s="702"/>
      <c r="AC33" s="690"/>
      <c r="AD33" s="691"/>
      <c r="AE33" s="684"/>
      <c r="AF33" s="684"/>
      <c r="AG33" s="684"/>
    </row>
    <row r="34" spans="1:41" ht="100" customHeight="1" thickBot="1">
      <c r="A34" s="467"/>
      <c r="B34" s="679"/>
      <c r="C34" s="695"/>
      <c r="D34" s="695">
        <v>396.38</v>
      </c>
      <c r="E34" s="695"/>
      <c r="F34" s="679"/>
      <c r="G34" s="695">
        <v>392.53399999999999</v>
      </c>
      <c r="H34" s="679"/>
      <c r="I34" s="695">
        <v>332.16199999999998</v>
      </c>
      <c r="J34" s="679"/>
      <c r="K34" s="695">
        <v>352.11200000000002</v>
      </c>
      <c r="L34" s="679"/>
      <c r="M34" s="695">
        <v>389.39299999999997</v>
      </c>
      <c r="N34" s="679"/>
      <c r="O34" s="695">
        <v>374.47699999999998</v>
      </c>
      <c r="P34" s="679"/>
      <c r="Q34" s="695">
        <v>419.97699999999998</v>
      </c>
      <c r="R34" s="679"/>
      <c r="S34" s="695">
        <v>387.899</v>
      </c>
      <c r="T34" s="679"/>
      <c r="U34" s="695">
        <v>407.654</v>
      </c>
      <c r="V34" s="679"/>
      <c r="W34" s="695">
        <v>402.35700000000003</v>
      </c>
      <c r="X34" s="679"/>
      <c r="Y34" s="678">
        <v>372.25900000000001</v>
      </c>
      <c r="Z34" s="679"/>
      <c r="AA34" s="695">
        <v>410.94900000000001</v>
      </c>
      <c r="AB34" s="679"/>
      <c r="AC34" s="695">
        <v>379.07499999999999</v>
      </c>
      <c r="AD34" s="691"/>
      <c r="AE34" s="684"/>
      <c r="AF34" s="684"/>
      <c r="AG34" s="684"/>
      <c r="AM34" s="871">
        <f>COUNTIF(B34:AB34,"U/P")</f>
        <v>0</v>
      </c>
      <c r="AN34" s="871">
        <f>COUNTIF(C34:AC34,"ROW")</f>
        <v>0</v>
      </c>
      <c r="AO34" s="871">
        <f>COUNTIF(D34:AD34,"C")</f>
        <v>0</v>
      </c>
    </row>
    <row r="35" spans="1:41" ht="34" thickBot="1">
      <c r="A35" s="467"/>
      <c r="B35" s="698"/>
      <c r="C35" s="690"/>
      <c r="D35" s="700"/>
      <c r="E35" s="690"/>
      <c r="F35" s="698"/>
      <c r="G35" s="690"/>
      <c r="H35" s="698"/>
      <c r="I35" s="690"/>
      <c r="J35" s="698"/>
      <c r="K35" s="690"/>
      <c r="L35" s="698"/>
      <c r="M35" s="690"/>
      <c r="N35" s="698"/>
      <c r="O35" s="690"/>
      <c r="P35" s="698"/>
      <c r="Q35" s="690"/>
      <c r="R35" s="698"/>
      <c r="S35" s="690"/>
      <c r="T35" s="878" t="s">
        <v>454</v>
      </c>
      <c r="U35" s="690"/>
      <c r="V35" s="698"/>
      <c r="W35" s="690"/>
      <c r="X35" s="698"/>
      <c r="Y35" s="690"/>
      <c r="Z35" s="698"/>
      <c r="AA35" s="690"/>
      <c r="AB35" s="698"/>
      <c r="AC35" s="690"/>
      <c r="AD35" s="691"/>
      <c r="AE35" s="684"/>
      <c r="AF35" s="684"/>
      <c r="AG35" s="684"/>
    </row>
    <row r="36" spans="1:41" ht="33.5">
      <c r="A36" s="467"/>
      <c r="B36" s="703" t="s">
        <v>182</v>
      </c>
      <c r="C36" s="686"/>
      <c r="D36" s="703"/>
      <c r="E36" s="686"/>
      <c r="F36" s="703" t="s">
        <v>182</v>
      </c>
      <c r="G36" s="686"/>
      <c r="H36" s="703" t="s">
        <v>182</v>
      </c>
      <c r="I36" s="686"/>
      <c r="J36" s="703" t="s">
        <v>182</v>
      </c>
      <c r="K36" s="686"/>
      <c r="L36" s="703" t="s">
        <v>182</v>
      </c>
      <c r="M36" s="686"/>
      <c r="N36" s="703" t="s">
        <v>182</v>
      </c>
      <c r="O36" s="686"/>
      <c r="P36" s="703" t="s">
        <v>182</v>
      </c>
      <c r="Q36" s="686"/>
      <c r="R36" s="703" t="s">
        <v>185</v>
      </c>
      <c r="S36" s="686"/>
      <c r="T36" s="703" t="s">
        <v>182</v>
      </c>
      <c r="U36" s="686"/>
      <c r="V36" s="703" t="s">
        <v>185</v>
      </c>
      <c r="W36" s="686"/>
      <c r="X36" s="687" t="s">
        <v>119</v>
      </c>
      <c r="Y36" s="686"/>
      <c r="Z36" s="703" t="s">
        <v>182</v>
      </c>
      <c r="AA36" s="686"/>
      <c r="AB36" s="703" t="s">
        <v>182</v>
      </c>
      <c r="AC36" s="693"/>
      <c r="AD36" s="691"/>
      <c r="AE36" s="683"/>
      <c r="AF36" s="684"/>
      <c r="AG36" s="684"/>
    </row>
    <row r="37" spans="1:41" ht="30.5" customHeight="1">
      <c r="A37" s="1588" t="s">
        <v>1712</v>
      </c>
      <c r="B37" s="1589"/>
      <c r="C37" s="1589"/>
      <c r="D37" s="1589"/>
      <c r="E37" s="1589"/>
      <c r="F37" s="1589"/>
      <c r="G37" s="1589"/>
      <c r="H37" s="1589"/>
      <c r="I37" s="1589"/>
      <c r="J37" s="1589"/>
      <c r="K37" s="1589"/>
      <c r="L37" s="1589"/>
      <c r="M37" s="1589"/>
      <c r="N37" s="1589"/>
      <c r="O37" s="1589"/>
      <c r="P37" s="1589"/>
      <c r="Q37" s="1589"/>
      <c r="R37" s="1589"/>
      <c r="S37" s="1589"/>
      <c r="T37" s="1589"/>
      <c r="U37" s="1589"/>
      <c r="V37" s="1589"/>
      <c r="W37" s="1589"/>
      <c r="X37" s="1589"/>
      <c r="Y37" s="1589"/>
      <c r="Z37" s="1589"/>
      <c r="AA37" s="1589"/>
      <c r="AB37" s="1589"/>
      <c r="AC37" s="1589"/>
      <c r="AD37" s="1589"/>
      <c r="AE37" s="1589"/>
      <c r="AF37" s="1589"/>
      <c r="AG37" s="1589"/>
      <c r="AH37" s="1589"/>
      <c r="AI37" s="884"/>
      <c r="AJ37" s="884"/>
      <c r="AK37" s="884"/>
      <c r="AL37" s="884"/>
    </row>
    <row r="38" spans="1:41" ht="25" customHeight="1">
      <c r="A38" s="467"/>
      <c r="B38" s="672" t="s">
        <v>1212</v>
      </c>
      <c r="C38" s="671"/>
      <c r="D38" s="672" t="s">
        <v>1213</v>
      </c>
      <c r="E38" s="671"/>
      <c r="F38" s="672" t="s">
        <v>556</v>
      </c>
      <c r="G38" s="671"/>
      <c r="H38" s="672" t="s">
        <v>1214</v>
      </c>
      <c r="I38" s="671"/>
      <c r="J38" s="672" t="s">
        <v>1215</v>
      </c>
      <c r="K38" s="671"/>
      <c r="L38" s="672" t="s">
        <v>1216</v>
      </c>
      <c r="M38" s="671"/>
      <c r="N38" s="672" t="s">
        <v>1217</v>
      </c>
      <c r="O38" s="671"/>
      <c r="P38" s="672" t="s">
        <v>1218</v>
      </c>
      <c r="Q38" s="671"/>
      <c r="R38" s="672" t="s">
        <v>1517</v>
      </c>
      <c r="S38" s="671"/>
      <c r="T38" s="672" t="s">
        <v>1219</v>
      </c>
      <c r="U38" s="671"/>
      <c r="V38" s="672" t="s">
        <v>1220</v>
      </c>
      <c r="W38" s="671"/>
      <c r="X38" s="672" t="s">
        <v>1221</v>
      </c>
      <c r="Y38" s="671"/>
      <c r="Z38" s="672" t="s">
        <v>1222</v>
      </c>
      <c r="AA38" s="671"/>
      <c r="AB38" s="672" t="s">
        <v>1223</v>
      </c>
      <c r="AC38" s="690"/>
      <c r="AD38" s="691"/>
      <c r="AE38" s="684"/>
      <c r="AF38" s="684"/>
      <c r="AG38" s="684"/>
    </row>
    <row r="39" spans="1:41" ht="33.5">
      <c r="A39" s="467"/>
      <c r="B39" s="700"/>
      <c r="C39" s="690"/>
      <c r="D39" s="700"/>
      <c r="E39" s="690"/>
      <c r="F39" s="700"/>
      <c r="G39" s="690"/>
      <c r="H39" s="700"/>
      <c r="I39" s="690"/>
      <c r="J39" s="700"/>
      <c r="K39" s="690"/>
      <c r="L39" s="700"/>
      <c r="M39" s="690"/>
      <c r="N39" s="700"/>
      <c r="O39" s="690"/>
      <c r="P39" s="700"/>
      <c r="Q39" s="690"/>
      <c r="R39" s="700"/>
      <c r="S39" s="690"/>
      <c r="T39" s="700"/>
      <c r="U39" s="690"/>
      <c r="V39" s="700"/>
      <c r="W39" s="690"/>
      <c r="X39" s="700"/>
      <c r="Y39" s="690"/>
      <c r="Z39" s="700"/>
      <c r="AA39" s="690"/>
      <c r="AB39" s="700"/>
      <c r="AC39" s="690"/>
      <c r="AD39" s="691"/>
      <c r="AE39" s="684"/>
      <c r="AF39" s="684"/>
      <c r="AG39" s="684"/>
    </row>
    <row r="40" spans="1:41" ht="15" customHeight="1" thickBot="1">
      <c r="A40" s="467"/>
      <c r="B40" s="702"/>
      <c r="C40" s="690"/>
      <c r="D40" s="702"/>
      <c r="E40" s="690"/>
      <c r="F40" s="702"/>
      <c r="G40" s="690"/>
      <c r="H40" s="702"/>
      <c r="I40" s="690"/>
      <c r="J40" s="702"/>
      <c r="K40" s="690"/>
      <c r="L40" s="702"/>
      <c r="M40" s="690"/>
      <c r="N40" s="702"/>
      <c r="O40" s="690"/>
      <c r="P40" s="702"/>
      <c r="Q40" s="690"/>
      <c r="R40" s="702"/>
      <c r="S40" s="690"/>
      <c r="T40" s="702"/>
      <c r="U40" s="690"/>
      <c r="V40" s="702"/>
      <c r="W40" s="690"/>
      <c r="X40" s="702"/>
      <c r="Y40" s="690"/>
      <c r="Z40" s="702"/>
      <c r="AA40" s="690"/>
      <c r="AB40" s="702"/>
      <c r="AC40" s="690"/>
      <c r="AD40" s="691"/>
      <c r="AE40" s="684"/>
      <c r="AF40" s="684"/>
      <c r="AG40" s="684"/>
    </row>
    <row r="41" spans="1:41" ht="100" customHeight="1" thickBot="1">
      <c r="A41" s="467"/>
      <c r="B41" s="679"/>
      <c r="C41" s="695">
        <v>412.596</v>
      </c>
      <c r="D41" s="679"/>
      <c r="E41" s="695">
        <v>340.11200000000002</v>
      </c>
      <c r="F41" s="679"/>
      <c r="G41" s="695">
        <v>410.76</v>
      </c>
      <c r="H41" s="679"/>
      <c r="I41" s="695">
        <v>427.9</v>
      </c>
      <c r="J41" s="679"/>
      <c r="K41" s="695">
        <v>404.21</v>
      </c>
      <c r="L41" s="679"/>
      <c r="M41" s="695">
        <v>398.44600000000003</v>
      </c>
      <c r="N41" s="679"/>
      <c r="O41" s="695">
        <v>431.93900000000002</v>
      </c>
      <c r="P41" s="679"/>
      <c r="Q41" s="695">
        <v>486.19600000000003</v>
      </c>
      <c r="R41" s="679"/>
      <c r="S41" s="695">
        <v>369.71699999999998</v>
      </c>
      <c r="T41" s="679"/>
      <c r="U41" s="695">
        <v>389.34399999999999</v>
      </c>
      <c r="V41" s="679"/>
      <c r="W41" s="695">
        <v>395.60199999999998</v>
      </c>
      <c r="X41" s="679"/>
      <c r="Y41" s="695">
        <v>375</v>
      </c>
      <c r="Z41" s="679"/>
      <c r="AA41" s="695">
        <v>462</v>
      </c>
      <c r="AB41" s="679"/>
      <c r="AC41" s="695">
        <v>382</v>
      </c>
      <c r="AD41" s="691"/>
      <c r="AE41" s="684"/>
      <c r="AF41" s="684"/>
      <c r="AG41" s="684"/>
      <c r="AM41" s="871">
        <f>COUNTIF(B41:AB41,"U/P")</f>
        <v>0</v>
      </c>
      <c r="AN41" s="871">
        <f>COUNTIF(C41:AC41,"ROW")</f>
        <v>0</v>
      </c>
      <c r="AO41" s="871">
        <f>COUNTIF(D41:AD41,"C")</f>
        <v>0</v>
      </c>
    </row>
    <row r="42" spans="1:41" ht="34" thickBot="1">
      <c r="A42" s="467"/>
      <c r="B42" s="698"/>
      <c r="C42" s="690"/>
      <c r="D42" s="698"/>
      <c r="E42" s="690"/>
      <c r="F42" s="698"/>
      <c r="G42" s="690"/>
      <c r="H42" s="698"/>
      <c r="I42" s="690"/>
      <c r="J42" s="698"/>
      <c r="K42" s="690"/>
      <c r="L42" s="698"/>
      <c r="M42" s="690"/>
      <c r="N42" s="698"/>
      <c r="O42" s="690"/>
      <c r="P42" s="698"/>
      <c r="Q42" s="690"/>
      <c r="R42" s="698"/>
      <c r="S42" s="690"/>
      <c r="T42" s="698"/>
      <c r="U42" s="690"/>
      <c r="V42" s="698"/>
      <c r="W42" s="690"/>
      <c r="X42" s="698"/>
      <c r="Y42" s="690"/>
      <c r="Z42" s="698"/>
      <c r="AA42" s="690"/>
      <c r="AB42" s="698"/>
      <c r="AC42" s="690"/>
      <c r="AD42" s="691"/>
      <c r="AE42" s="684"/>
      <c r="AF42" s="684"/>
      <c r="AG42" s="684"/>
    </row>
    <row r="43" spans="1:41" ht="33.5">
      <c r="A43" s="467"/>
      <c r="B43" s="686" t="s">
        <v>182</v>
      </c>
      <c r="C43" s="686"/>
      <c r="D43" s="686" t="s">
        <v>185</v>
      </c>
      <c r="E43" s="686"/>
      <c r="F43" s="687" t="s">
        <v>119</v>
      </c>
      <c r="G43" s="686"/>
      <c r="H43" s="686" t="s">
        <v>185</v>
      </c>
      <c r="I43" s="686"/>
      <c r="J43" s="686" t="s">
        <v>242</v>
      </c>
      <c r="K43" s="686"/>
      <c r="L43" s="686" t="s">
        <v>182</v>
      </c>
      <c r="M43" s="686"/>
      <c r="N43" s="686" t="s">
        <v>185</v>
      </c>
      <c r="O43" s="686"/>
      <c r="P43" s="687" t="s">
        <v>132</v>
      </c>
      <c r="Q43" s="686"/>
      <c r="R43" s="687" t="s">
        <v>137</v>
      </c>
      <c r="S43" s="686"/>
      <c r="T43" s="686" t="s">
        <v>185</v>
      </c>
      <c r="U43" s="686"/>
      <c r="V43" s="686" t="s">
        <v>182</v>
      </c>
      <c r="W43" s="686"/>
      <c r="X43" s="686" t="s">
        <v>185</v>
      </c>
      <c r="Y43" s="686"/>
      <c r="Z43" s="686" t="s">
        <v>242</v>
      </c>
      <c r="AA43" s="686"/>
      <c r="AB43" s="686" t="s">
        <v>182</v>
      </c>
      <c r="AC43" s="690"/>
      <c r="AD43" s="691"/>
      <c r="AE43" s="684"/>
      <c r="AF43" s="684"/>
      <c r="AG43" s="684"/>
    </row>
    <row r="44" spans="1:41" ht="30.5" customHeight="1">
      <c r="A44" s="1579" t="s">
        <v>1518</v>
      </c>
      <c r="B44" s="1580"/>
      <c r="C44" s="1580"/>
      <c r="D44" s="1580"/>
      <c r="E44" s="1580"/>
      <c r="F44" s="1580"/>
      <c r="G44" s="1580"/>
      <c r="H44" s="1580"/>
      <c r="I44" s="1580"/>
      <c r="J44" s="1580"/>
      <c r="K44" s="1580"/>
      <c r="L44" s="1580"/>
      <c r="M44" s="1580"/>
      <c r="N44" s="1580"/>
      <c r="O44" s="1580"/>
      <c r="P44" s="1580"/>
      <c r="Q44" s="1580"/>
      <c r="R44" s="1580"/>
      <c r="S44" s="1580"/>
      <c r="T44" s="1580"/>
      <c r="U44" s="1580"/>
      <c r="V44" s="1580"/>
      <c r="W44" s="1580"/>
      <c r="X44" s="1580"/>
      <c r="Y44" s="1580"/>
      <c r="Z44" s="1580"/>
      <c r="AA44" s="1580"/>
      <c r="AB44" s="1580"/>
      <c r="AC44" s="1580"/>
      <c r="AD44" s="1580"/>
      <c r="AE44" s="1580"/>
      <c r="AF44" s="1580"/>
      <c r="AG44" s="1580"/>
      <c r="AH44" s="1580"/>
      <c r="AI44" s="881"/>
      <c r="AJ44" s="881"/>
      <c r="AK44" s="881"/>
      <c r="AL44" s="881"/>
    </row>
    <row r="45" spans="1:41" ht="67" customHeight="1">
      <c r="A45" s="467"/>
      <c r="B45" s="672" t="s">
        <v>1224</v>
      </c>
      <c r="C45" s="671"/>
      <c r="D45" s="672" t="s">
        <v>1225</v>
      </c>
      <c r="E45" s="671"/>
      <c r="F45" s="672" t="s">
        <v>1226</v>
      </c>
      <c r="G45" s="671"/>
      <c r="H45" s="672" t="s">
        <v>1227</v>
      </c>
      <c r="I45" s="671"/>
      <c r="J45" s="672" t="s">
        <v>1228</v>
      </c>
      <c r="K45" s="671"/>
      <c r="L45" s="1581" t="s">
        <v>1229</v>
      </c>
      <c r="M45" s="1581"/>
      <c r="N45" s="1581" t="s">
        <v>1230</v>
      </c>
      <c r="O45" s="1581"/>
      <c r="P45" s="1581" t="s">
        <v>1231</v>
      </c>
      <c r="Q45" s="1581"/>
      <c r="R45" s="1581" t="s">
        <v>1232</v>
      </c>
      <c r="S45" s="1581"/>
      <c r="T45" s="1581" t="s">
        <v>1233</v>
      </c>
      <c r="U45" s="1581"/>
      <c r="V45" s="1581" t="s">
        <v>573</v>
      </c>
      <c r="W45" s="1581"/>
      <c r="X45" s="672" t="s">
        <v>1234</v>
      </c>
      <c r="Y45" s="671"/>
      <c r="Z45" s="672" t="s">
        <v>1235</v>
      </c>
      <c r="AA45" s="671"/>
      <c r="AB45" s="672" t="s">
        <v>1236</v>
      </c>
      <c r="AC45" s="690"/>
      <c r="AD45" s="691"/>
      <c r="AE45" s="684"/>
      <c r="AF45" s="684"/>
      <c r="AG45" s="684"/>
    </row>
    <row r="46" spans="1:41" ht="33.5">
      <c r="A46" s="467"/>
      <c r="B46" s="700"/>
      <c r="C46" s="690"/>
      <c r="D46" s="700"/>
      <c r="E46" s="690"/>
      <c r="F46" s="700"/>
      <c r="G46" s="690"/>
      <c r="H46" s="700"/>
      <c r="I46" s="690"/>
      <c r="J46" s="700"/>
      <c r="K46" s="690"/>
      <c r="L46" s="700"/>
      <c r="M46" s="690"/>
      <c r="N46" s="700"/>
      <c r="O46" s="690"/>
      <c r="P46" s="700"/>
      <c r="Q46" s="690"/>
      <c r="R46" s="700"/>
      <c r="S46" s="690"/>
      <c r="T46" s="700"/>
      <c r="U46" s="690"/>
      <c r="V46" s="700"/>
      <c r="W46" s="690"/>
      <c r="X46" s="700"/>
      <c r="Y46" s="690"/>
      <c r="Z46" s="700"/>
      <c r="AA46" s="690"/>
      <c r="AB46" s="700"/>
      <c r="AC46" s="690"/>
      <c r="AD46" s="691"/>
      <c r="AE46" s="684"/>
      <c r="AF46" s="684"/>
      <c r="AG46" s="684"/>
    </row>
    <row r="47" spans="1:41" ht="16.5" customHeight="1" thickBot="1">
      <c r="A47" s="467"/>
      <c r="B47" s="702"/>
      <c r="C47" s="690"/>
      <c r="D47" s="702"/>
      <c r="E47" s="690"/>
      <c r="F47" s="702"/>
      <c r="G47" s="690"/>
      <c r="H47" s="702"/>
      <c r="I47" s="690"/>
      <c r="J47" s="702"/>
      <c r="K47" s="690"/>
      <c r="L47" s="702"/>
      <c r="M47" s="690"/>
      <c r="N47" s="702"/>
      <c r="O47" s="690"/>
      <c r="P47" s="702"/>
      <c r="Q47" s="690"/>
      <c r="R47" s="702"/>
      <c r="S47" s="690"/>
      <c r="T47" s="702"/>
      <c r="U47" s="690"/>
      <c r="V47" s="702"/>
      <c r="W47" s="690"/>
      <c r="X47" s="702"/>
      <c r="Y47" s="690"/>
      <c r="Z47" s="702"/>
      <c r="AA47" s="690"/>
      <c r="AB47" s="702"/>
      <c r="AC47" s="690"/>
      <c r="AD47" s="691"/>
      <c r="AE47" s="684"/>
      <c r="AF47" s="684"/>
      <c r="AG47" s="684"/>
    </row>
    <row r="48" spans="1:41" ht="100" customHeight="1" thickBot="1">
      <c r="A48" s="467"/>
      <c r="B48" s="679"/>
      <c r="C48" s="695">
        <v>428</v>
      </c>
      <c r="D48" s="679"/>
      <c r="E48" s="695">
        <v>411</v>
      </c>
      <c r="F48" s="679"/>
      <c r="G48" s="695">
        <v>352</v>
      </c>
      <c r="H48" s="679"/>
      <c r="I48" s="695">
        <v>405</v>
      </c>
      <c r="J48" s="679"/>
      <c r="K48" s="695">
        <v>400.12599999999998</v>
      </c>
      <c r="L48" s="679"/>
      <c r="M48" s="695">
        <v>384</v>
      </c>
      <c r="N48" s="679"/>
      <c r="O48" s="695">
        <v>406</v>
      </c>
      <c r="P48" s="679"/>
      <c r="Q48" s="695">
        <v>378</v>
      </c>
      <c r="R48" s="679"/>
      <c r="S48" s="695">
        <v>373</v>
      </c>
      <c r="T48" s="679"/>
      <c r="U48" s="695">
        <v>378.36200000000002</v>
      </c>
      <c r="V48" s="679"/>
      <c r="W48" s="695">
        <v>433.995</v>
      </c>
      <c r="X48" s="679"/>
      <c r="Y48" s="695">
        <v>370.685</v>
      </c>
      <c r="Z48" s="679"/>
      <c r="AA48" s="695">
        <v>323.97199999999998</v>
      </c>
      <c r="AB48" s="679"/>
      <c r="AC48" s="695">
        <v>384.46199999999999</v>
      </c>
      <c r="AD48" s="691"/>
      <c r="AE48" s="684"/>
      <c r="AF48" s="684"/>
      <c r="AG48" s="684"/>
      <c r="AM48" s="871">
        <f>COUNTIF(B48:AB48,"U/P")</f>
        <v>0</v>
      </c>
      <c r="AN48" s="871">
        <f>COUNTIF(C48:AC48,"ROW")</f>
        <v>0</v>
      </c>
      <c r="AO48" s="871">
        <f>COUNTIF(D48:AD48,"C")</f>
        <v>0</v>
      </c>
    </row>
    <row r="49" spans="1:41" ht="34" thickBot="1">
      <c r="A49" s="467"/>
      <c r="B49" s="698"/>
      <c r="C49" s="690"/>
      <c r="D49" s="698"/>
      <c r="E49" s="690"/>
      <c r="F49" s="698"/>
      <c r="G49" s="690"/>
      <c r="H49" s="698"/>
      <c r="I49" s="690"/>
      <c r="J49" s="698"/>
      <c r="K49" s="690"/>
      <c r="L49" s="698"/>
      <c r="M49" s="690"/>
      <c r="N49" s="698"/>
      <c r="O49" s="690"/>
      <c r="P49" s="698"/>
      <c r="Q49" s="690"/>
      <c r="R49" s="698"/>
      <c r="S49" s="690"/>
      <c r="T49" s="698"/>
      <c r="U49" s="690"/>
      <c r="V49" s="698"/>
      <c r="W49" s="690"/>
      <c r="X49" s="698"/>
      <c r="Y49" s="690"/>
      <c r="Z49" s="698"/>
      <c r="AA49" s="690"/>
      <c r="AB49" s="698"/>
      <c r="AC49" s="690"/>
      <c r="AD49" s="691"/>
      <c r="AE49" s="684"/>
      <c r="AF49" s="684"/>
      <c r="AG49" s="684"/>
    </row>
    <row r="50" spans="1:41" ht="33.5">
      <c r="A50" s="467"/>
      <c r="B50" s="686" t="s">
        <v>182</v>
      </c>
      <c r="C50" s="686"/>
      <c r="D50" s="686" t="s">
        <v>182</v>
      </c>
      <c r="E50" s="686"/>
      <c r="F50" s="686" t="s">
        <v>182</v>
      </c>
      <c r="G50" s="686"/>
      <c r="H50" s="687" t="s">
        <v>119</v>
      </c>
      <c r="I50" s="686"/>
      <c r="J50" s="686" t="s">
        <v>182</v>
      </c>
      <c r="K50" s="686"/>
      <c r="L50" s="686" t="s">
        <v>185</v>
      </c>
      <c r="M50" s="686"/>
      <c r="N50" s="686" t="s">
        <v>185</v>
      </c>
      <c r="O50" s="686"/>
      <c r="P50" s="686" t="s">
        <v>185</v>
      </c>
      <c r="Q50" s="686"/>
      <c r="R50" s="686" t="s">
        <v>182</v>
      </c>
      <c r="S50" s="686"/>
      <c r="T50" s="686" t="s">
        <v>242</v>
      </c>
      <c r="U50" s="686"/>
      <c r="V50" s="687" t="s">
        <v>119</v>
      </c>
      <c r="W50" s="686"/>
      <c r="X50" s="686" t="s">
        <v>185</v>
      </c>
      <c r="Y50" s="686"/>
      <c r="Z50" s="686" t="s">
        <v>182</v>
      </c>
      <c r="AA50" s="686"/>
      <c r="AB50" s="686" t="s">
        <v>182</v>
      </c>
      <c r="AC50" s="690"/>
      <c r="AD50" s="691"/>
      <c r="AE50" s="683"/>
      <c r="AF50" s="684"/>
      <c r="AG50" s="684"/>
    </row>
    <row r="51" spans="1:41" ht="29.5" customHeight="1">
      <c r="A51" s="467"/>
      <c r="B51" s="704"/>
      <c r="C51" s="704"/>
      <c r="D51" s="705" t="s">
        <v>1620</v>
      </c>
      <c r="E51" s="704"/>
      <c r="F51" s="704"/>
      <c r="G51" s="704"/>
      <c r="H51" s="704"/>
      <c r="I51" s="704"/>
      <c r="J51" s="705" t="s">
        <v>1620</v>
      </c>
      <c r="K51" s="704"/>
      <c r="L51" s="704"/>
      <c r="M51" s="704"/>
      <c r="N51" s="704"/>
      <c r="O51" s="704"/>
      <c r="P51" s="704"/>
      <c r="Q51" s="704"/>
      <c r="R51" s="704"/>
      <c r="S51" s="704"/>
      <c r="T51" s="704"/>
      <c r="U51" s="704"/>
      <c r="V51" s="704"/>
      <c r="W51" s="704"/>
      <c r="X51" s="704"/>
      <c r="Y51" s="704"/>
      <c r="Z51" s="704"/>
      <c r="AA51" s="704"/>
      <c r="AB51" s="704"/>
      <c r="AC51" s="693"/>
      <c r="AD51" s="691"/>
      <c r="AE51" s="683"/>
      <c r="AF51" s="684"/>
      <c r="AG51" s="684"/>
    </row>
    <row r="52" spans="1:41" ht="41.5" customHeight="1">
      <c r="A52" s="1588" t="s">
        <v>1518</v>
      </c>
      <c r="B52" s="1589"/>
      <c r="C52" s="1589"/>
      <c r="D52" s="1589"/>
      <c r="E52" s="1589"/>
      <c r="F52" s="1589"/>
      <c r="G52" s="1589"/>
      <c r="H52" s="1589"/>
      <c r="I52" s="1589"/>
      <c r="J52" s="1589"/>
      <c r="K52" s="1589"/>
      <c r="L52" s="1589"/>
      <c r="M52" s="1589"/>
      <c r="N52" s="1589"/>
      <c r="O52" s="1589"/>
      <c r="P52" s="1589"/>
      <c r="Q52" s="1589"/>
      <c r="R52" s="1589"/>
      <c r="S52" s="1589"/>
      <c r="T52" s="1589"/>
      <c r="U52" s="1589"/>
      <c r="V52" s="1589"/>
      <c r="W52" s="1589"/>
      <c r="X52" s="1589"/>
      <c r="Y52" s="1589"/>
      <c r="Z52" s="1589"/>
      <c r="AA52" s="1589"/>
      <c r="AB52" s="1589"/>
      <c r="AC52" s="1589"/>
      <c r="AD52" s="1589"/>
      <c r="AE52" s="1589"/>
      <c r="AF52" s="1589"/>
      <c r="AG52" s="1589"/>
      <c r="AH52" s="1589"/>
      <c r="AI52" s="881"/>
      <c r="AJ52" s="881"/>
      <c r="AK52" s="881"/>
      <c r="AL52" s="881"/>
    </row>
    <row r="53" spans="1:41" ht="29.5" customHeight="1">
      <c r="A53" s="706"/>
      <c r="B53" s="707"/>
      <c r="C53" s="707"/>
      <c r="D53" s="707"/>
      <c r="E53" s="707"/>
      <c r="F53" s="707"/>
      <c r="G53" s="707"/>
      <c r="H53" s="707"/>
      <c r="I53" s="707"/>
      <c r="J53" s="707"/>
      <c r="K53" s="707"/>
      <c r="L53" s="707"/>
      <c r="M53" s="707"/>
      <c r="N53" s="707"/>
      <c r="O53" s="707"/>
      <c r="P53" s="707"/>
      <c r="Q53" s="707"/>
      <c r="R53" s="707"/>
      <c r="S53" s="707"/>
      <c r="T53" s="707"/>
      <c r="U53" s="707"/>
      <c r="V53" s="707"/>
      <c r="W53" s="707"/>
      <c r="X53" s="707"/>
      <c r="Y53" s="707"/>
      <c r="Z53" s="707"/>
      <c r="AA53" s="707"/>
      <c r="AB53" s="707"/>
      <c r="AC53" s="707"/>
      <c r="AD53" s="707"/>
      <c r="AE53" s="707"/>
      <c r="AF53" s="707"/>
      <c r="AG53" s="707"/>
      <c r="AH53" s="707"/>
      <c r="AI53" s="707"/>
      <c r="AJ53" s="707"/>
      <c r="AK53" s="707"/>
      <c r="AL53" s="707"/>
    </row>
    <row r="54" spans="1:41" ht="67" customHeight="1">
      <c r="A54" s="467"/>
      <c r="B54" s="672" t="s">
        <v>1237</v>
      </c>
      <c r="C54" s="671"/>
      <c r="D54" s="672" t="s">
        <v>1238</v>
      </c>
      <c r="E54" s="671"/>
      <c r="F54" s="672" t="s">
        <v>1239</v>
      </c>
      <c r="G54" s="671"/>
      <c r="H54" s="672" t="s">
        <v>575</v>
      </c>
      <c r="I54" s="671"/>
      <c r="J54" s="672" t="s">
        <v>1240</v>
      </c>
      <c r="K54" s="671"/>
      <c r="L54" s="672" t="s">
        <v>1241</v>
      </c>
      <c r="M54" s="671"/>
      <c r="N54" s="1592" t="s">
        <v>584</v>
      </c>
      <c r="O54" s="1592"/>
      <c r="P54" s="672" t="s">
        <v>1242</v>
      </c>
      <c r="Q54" s="671"/>
      <c r="R54" s="672" t="s">
        <v>1243</v>
      </c>
      <c r="S54" s="671"/>
      <c r="T54" s="672" t="s">
        <v>1244</v>
      </c>
      <c r="U54" s="671"/>
      <c r="V54" s="1592" t="s">
        <v>589</v>
      </c>
      <c r="W54" s="1592"/>
      <c r="X54" s="672" t="s">
        <v>1245</v>
      </c>
      <c r="Y54" s="671"/>
      <c r="Z54" s="1592" t="s">
        <v>590</v>
      </c>
      <c r="AA54" s="1592"/>
      <c r="AB54" s="672" t="s">
        <v>1246</v>
      </c>
      <c r="AC54" s="690"/>
      <c r="AD54" s="708"/>
      <c r="AE54" s="684"/>
      <c r="AF54" s="684"/>
      <c r="AG54" s="684"/>
    </row>
    <row r="55" spans="1:41" ht="33.5">
      <c r="A55" s="467"/>
      <c r="B55" s="700"/>
      <c r="C55" s="690"/>
      <c r="D55" s="700"/>
      <c r="E55" s="701"/>
      <c r="F55" s="700"/>
      <c r="G55" s="701"/>
      <c r="H55" s="700"/>
      <c r="I55" s="690"/>
      <c r="J55" s="700"/>
      <c r="K55" s="690"/>
      <c r="L55" s="700"/>
      <c r="M55" s="690"/>
      <c r="N55" s="700"/>
      <c r="O55" s="690"/>
      <c r="P55" s="700"/>
      <c r="Q55" s="690"/>
      <c r="R55" s="700"/>
      <c r="S55" s="701"/>
      <c r="T55" s="700"/>
      <c r="U55" s="701"/>
      <c r="V55" s="700"/>
      <c r="W55" s="686"/>
      <c r="X55" s="700"/>
      <c r="Y55" s="690"/>
      <c r="Z55" s="700"/>
      <c r="AA55" s="709"/>
      <c r="AB55" s="700"/>
      <c r="AC55" s="690"/>
      <c r="AD55" s="708"/>
      <c r="AE55" s="684"/>
      <c r="AF55" s="684"/>
      <c r="AG55" s="684"/>
    </row>
    <row r="56" spans="1:41" ht="14" customHeight="1" thickBot="1">
      <c r="A56" s="467"/>
      <c r="B56" s="702"/>
      <c r="C56" s="690"/>
      <c r="D56" s="702"/>
      <c r="E56" s="690"/>
      <c r="F56" s="702"/>
      <c r="G56" s="690"/>
      <c r="H56" s="702"/>
      <c r="I56" s="690"/>
      <c r="J56" s="702"/>
      <c r="K56" s="690"/>
      <c r="L56" s="702"/>
      <c r="M56" s="690"/>
      <c r="N56" s="702"/>
      <c r="O56" s="690"/>
      <c r="P56" s="702"/>
      <c r="Q56" s="690"/>
      <c r="R56" s="702"/>
      <c r="S56" s="690"/>
      <c r="T56" s="702"/>
      <c r="U56" s="690"/>
      <c r="V56" s="702"/>
      <c r="W56" s="690"/>
      <c r="X56" s="702"/>
      <c r="Y56" s="690"/>
      <c r="Z56" s="702"/>
      <c r="AA56" s="690"/>
      <c r="AB56" s="702"/>
      <c r="AC56" s="690"/>
      <c r="AD56" s="708"/>
      <c r="AE56" s="684"/>
      <c r="AF56" s="684"/>
      <c r="AG56" s="684"/>
    </row>
    <row r="57" spans="1:41" ht="100" customHeight="1" thickBot="1">
      <c r="A57" s="467"/>
      <c r="B57" s="679"/>
      <c r="C57" s="695">
        <v>381.18799999999999</v>
      </c>
      <c r="D57" s="679"/>
      <c r="E57" s="695">
        <v>336.40899999999999</v>
      </c>
      <c r="F57" s="679"/>
      <c r="G57" s="695">
        <v>438.97</v>
      </c>
      <c r="H57" s="679"/>
      <c r="I57" s="695">
        <v>395.17899999999997</v>
      </c>
      <c r="J57" s="679"/>
      <c r="K57" s="695">
        <v>388.12</v>
      </c>
      <c r="L57" s="679"/>
      <c r="M57" s="695">
        <v>364.44600000000003</v>
      </c>
      <c r="N57" s="679"/>
      <c r="O57" s="695">
        <v>404.572</v>
      </c>
      <c r="P57" s="679"/>
      <c r="Q57" s="695">
        <v>432.27</v>
      </c>
      <c r="R57" s="679"/>
      <c r="S57" s="695">
        <v>404.23</v>
      </c>
      <c r="T57" s="679"/>
      <c r="U57" s="695">
        <v>416.62099999999998</v>
      </c>
      <c r="V57" s="679"/>
      <c r="W57" s="695">
        <v>468.03899999999999</v>
      </c>
      <c r="X57" s="679"/>
      <c r="Y57" s="695">
        <v>432.31799999999998</v>
      </c>
      <c r="Z57" s="679"/>
      <c r="AA57" s="695">
        <v>464.52100000000002</v>
      </c>
      <c r="AB57" s="679"/>
      <c r="AC57" s="695">
        <v>369.74299999999999</v>
      </c>
      <c r="AD57" s="708"/>
      <c r="AE57" s="684"/>
      <c r="AF57" s="684"/>
      <c r="AG57" s="684"/>
      <c r="AM57" s="871">
        <f>COUNTIF(B57:AB57,"U/P")</f>
        <v>0</v>
      </c>
      <c r="AN57" s="871">
        <f>COUNTIF(C57:AC57,"ROW")</f>
        <v>0</v>
      </c>
      <c r="AO57" s="871">
        <f>COUNTIF(D57:AD57,"C")</f>
        <v>0</v>
      </c>
    </row>
    <row r="58" spans="1:41" ht="34" thickBot="1">
      <c r="A58" s="467"/>
      <c r="B58" s="698"/>
      <c r="C58" s="690"/>
      <c r="D58" s="698"/>
      <c r="E58" s="690"/>
      <c r="F58" s="698"/>
      <c r="G58" s="690"/>
      <c r="H58" s="698"/>
      <c r="I58" s="690"/>
      <c r="J58" s="698"/>
      <c r="K58" s="690"/>
      <c r="L58" s="698"/>
      <c r="M58" s="690"/>
      <c r="N58" s="698"/>
      <c r="O58" s="690"/>
      <c r="P58" s="698"/>
      <c r="Q58" s="690"/>
      <c r="R58" s="698"/>
      <c r="S58" s="690"/>
      <c r="T58" s="698"/>
      <c r="U58" s="690"/>
      <c r="V58" s="698"/>
      <c r="W58" s="690"/>
      <c r="X58" s="698"/>
      <c r="Y58" s="690"/>
      <c r="Z58" s="698"/>
      <c r="AA58" s="690"/>
      <c r="AB58" s="698"/>
      <c r="AC58" s="690"/>
      <c r="AD58" s="708"/>
      <c r="AE58" s="684"/>
      <c r="AF58" s="684"/>
      <c r="AG58" s="684"/>
    </row>
    <row r="59" spans="1:41" ht="33.5">
      <c r="A59" s="467"/>
      <c r="B59" s="686" t="s">
        <v>182</v>
      </c>
      <c r="C59" s="686"/>
      <c r="D59" s="686" t="s">
        <v>182</v>
      </c>
      <c r="E59" s="686"/>
      <c r="F59" s="686" t="s">
        <v>182</v>
      </c>
      <c r="G59" s="686"/>
      <c r="H59" s="687" t="s">
        <v>119</v>
      </c>
      <c r="I59" s="686"/>
      <c r="J59" s="686" t="s">
        <v>182</v>
      </c>
      <c r="K59" s="686"/>
      <c r="L59" s="686" t="s">
        <v>185</v>
      </c>
      <c r="M59" s="686"/>
      <c r="N59" s="687" t="s">
        <v>115</v>
      </c>
      <c r="O59" s="686"/>
      <c r="P59" s="686" t="s">
        <v>248</v>
      </c>
      <c r="Q59" s="686"/>
      <c r="R59" s="686" t="s">
        <v>242</v>
      </c>
      <c r="S59" s="686"/>
      <c r="T59" s="686" t="s">
        <v>185</v>
      </c>
      <c r="U59" s="686"/>
      <c r="V59" s="687" t="s">
        <v>119</v>
      </c>
      <c r="W59" s="686"/>
      <c r="X59" s="687" t="s">
        <v>132</v>
      </c>
      <c r="Y59" s="686"/>
      <c r="Z59" s="687" t="s">
        <v>123</v>
      </c>
      <c r="AA59" s="686"/>
      <c r="AB59" s="686" t="s">
        <v>242</v>
      </c>
      <c r="AC59" s="690"/>
      <c r="AD59" s="708"/>
      <c r="AE59" s="684"/>
      <c r="AF59" s="684"/>
      <c r="AG59" s="684"/>
    </row>
    <row r="60" spans="1:41" ht="51" customHeight="1">
      <c r="A60" s="467"/>
      <c r="B60" s="686"/>
      <c r="C60" s="686"/>
      <c r="D60" s="686"/>
      <c r="E60" s="686"/>
      <c r="F60" s="686"/>
      <c r="G60" s="686"/>
      <c r="H60" s="686"/>
      <c r="I60" s="1590" t="s">
        <v>1519</v>
      </c>
      <c r="J60" s="1590"/>
      <c r="K60" s="695"/>
      <c r="L60" s="1591" t="s">
        <v>1520</v>
      </c>
      <c r="M60" s="1591"/>
      <c r="N60" s="686"/>
      <c r="O60" s="686"/>
      <c r="P60" s="686"/>
      <c r="Q60" s="686"/>
      <c r="R60" s="686"/>
      <c r="S60" s="686"/>
      <c r="T60" s="686"/>
      <c r="U60" s="686"/>
      <c r="V60" s="717" t="s">
        <v>1685</v>
      </c>
      <c r="W60" s="686"/>
      <c r="X60" s="686"/>
      <c r="Y60" s="686"/>
      <c r="Z60" s="686"/>
      <c r="AA60" s="686"/>
      <c r="AB60" s="686"/>
      <c r="AC60" s="690"/>
      <c r="AD60" s="708"/>
      <c r="AE60" s="684"/>
      <c r="AF60" s="684"/>
      <c r="AG60" s="684"/>
    </row>
    <row r="61" spans="1:41" ht="33.5" customHeight="1">
      <c r="A61" s="1588" t="s">
        <v>1518</v>
      </c>
      <c r="B61" s="1589"/>
      <c r="C61" s="1589"/>
      <c r="D61" s="1589"/>
      <c r="E61" s="1589"/>
      <c r="F61" s="1589"/>
      <c r="G61" s="1589"/>
      <c r="H61" s="1589"/>
      <c r="I61" s="1589"/>
      <c r="J61" s="1589"/>
      <c r="K61" s="1589"/>
      <c r="L61" s="1589"/>
      <c r="M61" s="1589"/>
      <c r="N61" s="1589"/>
      <c r="O61" s="1589"/>
      <c r="P61" s="1589"/>
      <c r="Q61" s="1589"/>
      <c r="R61" s="1589"/>
      <c r="S61" s="1589"/>
      <c r="T61" s="1589"/>
      <c r="U61" s="1589"/>
      <c r="V61" s="1589"/>
      <c r="W61" s="1589"/>
      <c r="X61" s="1589"/>
      <c r="Y61" s="1589"/>
      <c r="Z61" s="1589"/>
      <c r="AA61" s="1589"/>
      <c r="AB61" s="1589"/>
      <c r="AC61" s="1589"/>
      <c r="AD61" s="1589"/>
      <c r="AE61" s="1589"/>
      <c r="AF61" s="1589"/>
      <c r="AG61" s="1589"/>
      <c r="AH61" s="1589"/>
      <c r="AI61" s="881"/>
      <c r="AJ61" s="881"/>
      <c r="AK61" s="881"/>
      <c r="AL61" s="881"/>
    </row>
    <row r="62" spans="1:41" ht="23.5" customHeight="1">
      <c r="A62" s="467"/>
      <c r="B62" s="672" t="s">
        <v>595</v>
      </c>
      <c r="C62" s="671"/>
      <c r="D62" s="672" t="s">
        <v>1247</v>
      </c>
      <c r="E62" s="671"/>
      <c r="F62" s="672" t="s">
        <v>604</v>
      </c>
      <c r="G62" s="671"/>
      <c r="H62" s="672" t="s">
        <v>1248</v>
      </c>
      <c r="I62" s="671"/>
      <c r="J62" s="672" t="s">
        <v>608</v>
      </c>
      <c r="K62" s="671"/>
      <c r="L62" s="672" t="s">
        <v>1249</v>
      </c>
      <c r="M62" s="671"/>
      <c r="N62" s="672" t="s">
        <v>609</v>
      </c>
      <c r="O62" s="671"/>
      <c r="P62" s="672" t="s">
        <v>1250</v>
      </c>
      <c r="Q62" s="671"/>
      <c r="R62" s="672" t="s">
        <v>1251</v>
      </c>
      <c r="S62" s="671"/>
      <c r="T62" s="672" t="s">
        <v>1252</v>
      </c>
      <c r="U62" s="671"/>
      <c r="V62" s="672" t="s">
        <v>610</v>
      </c>
      <c r="W62" s="671"/>
      <c r="X62" s="672" t="s">
        <v>1253</v>
      </c>
      <c r="Y62" s="671"/>
      <c r="Z62" s="672" t="s">
        <v>1254</v>
      </c>
      <c r="AA62" s="671"/>
      <c r="AB62" s="672" t="s">
        <v>1255</v>
      </c>
      <c r="AC62" s="690"/>
      <c r="AD62" s="708"/>
      <c r="AE62" s="711"/>
      <c r="AF62" s="711"/>
      <c r="AG62" s="711"/>
      <c r="AH62" s="708"/>
      <c r="AI62" s="708"/>
      <c r="AJ62" s="708"/>
      <c r="AK62" s="708"/>
      <c r="AL62" s="708"/>
    </row>
    <row r="63" spans="1:41" ht="33.5">
      <c r="A63" s="467"/>
      <c r="B63" s="700"/>
      <c r="C63" s="690"/>
      <c r="D63" s="700"/>
      <c r="E63" s="690"/>
      <c r="F63" s="700"/>
      <c r="G63" s="690"/>
      <c r="H63" s="700"/>
      <c r="I63" s="690"/>
      <c r="J63" s="700"/>
      <c r="K63" s="690"/>
      <c r="L63" s="700"/>
      <c r="M63" s="701"/>
      <c r="N63" s="700"/>
      <c r="O63" s="686"/>
      <c r="P63" s="700"/>
      <c r="Q63" s="690"/>
      <c r="R63" s="700"/>
      <c r="S63" s="690"/>
      <c r="T63" s="700"/>
      <c r="U63" s="690"/>
      <c r="V63" s="700"/>
      <c r="W63" s="690"/>
      <c r="X63" s="700"/>
      <c r="Y63" s="690"/>
      <c r="Z63" s="700"/>
      <c r="AA63" s="690"/>
      <c r="AB63" s="700"/>
      <c r="AC63" s="690"/>
      <c r="AD63" s="708"/>
      <c r="AE63" s="711"/>
      <c r="AF63" s="711"/>
      <c r="AG63" s="711"/>
      <c r="AH63" s="708"/>
      <c r="AI63" s="708"/>
      <c r="AJ63" s="708"/>
      <c r="AK63" s="708"/>
      <c r="AL63" s="708"/>
    </row>
    <row r="64" spans="1:41" ht="15" customHeight="1" thickBot="1">
      <c r="A64" s="467"/>
      <c r="B64" s="702"/>
      <c r="C64" s="690"/>
      <c r="D64" s="702"/>
      <c r="E64" s="690"/>
      <c r="F64" s="702"/>
      <c r="G64" s="690"/>
      <c r="H64" s="702"/>
      <c r="I64" s="690"/>
      <c r="J64" s="702"/>
      <c r="K64" s="690"/>
      <c r="L64" s="702"/>
      <c r="M64" s="690"/>
      <c r="N64" s="702"/>
      <c r="O64" s="690"/>
      <c r="P64" s="702"/>
      <c r="Q64" s="690"/>
      <c r="R64" s="702"/>
      <c r="S64" s="690"/>
      <c r="T64" s="702"/>
      <c r="U64" s="690"/>
      <c r="V64" s="702"/>
      <c r="W64" s="690"/>
      <c r="X64" s="702"/>
      <c r="Y64" s="690"/>
      <c r="Z64" s="702"/>
      <c r="AA64" s="690"/>
      <c r="AB64" s="702"/>
      <c r="AC64" s="690"/>
      <c r="AD64" s="708"/>
      <c r="AE64" s="711"/>
      <c r="AF64" s="711"/>
      <c r="AG64" s="711"/>
      <c r="AH64" s="708"/>
      <c r="AI64" s="708"/>
      <c r="AJ64" s="708"/>
      <c r="AK64" s="708"/>
      <c r="AL64" s="708"/>
    </row>
    <row r="65" spans="1:41" ht="100" customHeight="1" thickBot="1">
      <c r="A65" s="467"/>
      <c r="B65" s="679"/>
      <c r="C65" s="695">
        <v>284.16000000000003</v>
      </c>
      <c r="D65" s="679"/>
      <c r="E65" s="695">
        <v>270.74200000000002</v>
      </c>
      <c r="F65" s="679"/>
      <c r="G65" s="695">
        <v>286.64</v>
      </c>
      <c r="H65" s="679"/>
      <c r="I65" s="695">
        <v>291.69900000000001</v>
      </c>
      <c r="J65" s="679"/>
      <c r="K65" s="695">
        <v>398.71899999999999</v>
      </c>
      <c r="L65" s="679"/>
      <c r="M65" s="695">
        <v>425.46499999999997</v>
      </c>
      <c r="N65" s="679"/>
      <c r="O65" s="695">
        <v>383.81299999999999</v>
      </c>
      <c r="P65" s="679"/>
      <c r="Q65" s="695">
        <v>403.279</v>
      </c>
      <c r="R65" s="679"/>
      <c r="S65" s="695">
        <v>355.21499999999997</v>
      </c>
      <c r="T65" s="679"/>
      <c r="U65" s="695">
        <v>399.839</v>
      </c>
      <c r="V65" s="679"/>
      <c r="W65" s="695">
        <v>287.44200000000001</v>
      </c>
      <c r="X65" s="679"/>
      <c r="Y65" s="695">
        <v>390.74799999999999</v>
      </c>
      <c r="Z65" s="679"/>
      <c r="AA65" s="695">
        <v>364.274</v>
      </c>
      <c r="AB65" s="679"/>
      <c r="AC65" s="695">
        <v>337.54599999999999</v>
      </c>
      <c r="AD65" s="708"/>
      <c r="AE65" s="711"/>
      <c r="AF65" s="711"/>
      <c r="AG65" s="711"/>
      <c r="AH65" s="708"/>
      <c r="AI65" s="708"/>
      <c r="AJ65" s="708"/>
      <c r="AK65" s="708"/>
      <c r="AL65" s="708"/>
      <c r="AM65" s="871">
        <f>COUNTIF(B65:AB65,"U/P")</f>
        <v>0</v>
      </c>
      <c r="AN65" s="871">
        <f>COUNTIF(C65:AC65,"ROW")</f>
        <v>0</v>
      </c>
      <c r="AO65" s="871">
        <f>COUNTIF(D65:AD65,"C")</f>
        <v>0</v>
      </c>
    </row>
    <row r="66" spans="1:41" ht="34" thickBot="1">
      <c r="A66" s="467"/>
      <c r="B66" s="698"/>
      <c r="C66" s="690"/>
      <c r="D66" s="698"/>
      <c r="E66" s="690"/>
      <c r="F66" s="698"/>
      <c r="G66" s="690"/>
      <c r="H66" s="698"/>
      <c r="I66" s="690"/>
      <c r="J66" s="698"/>
      <c r="K66" s="690"/>
      <c r="L66" s="698"/>
      <c r="M66" s="690"/>
      <c r="N66" s="698"/>
      <c r="O66" s="690"/>
      <c r="P66" s="698"/>
      <c r="Q66" s="690"/>
      <c r="R66" s="698"/>
      <c r="S66" s="690"/>
      <c r="T66" s="698"/>
      <c r="U66" s="690"/>
      <c r="V66" s="698"/>
      <c r="W66" s="690"/>
      <c r="X66" s="698"/>
      <c r="Y66" s="690"/>
      <c r="Z66" s="698"/>
      <c r="AA66" s="690"/>
      <c r="AB66" s="698"/>
      <c r="AC66" s="690"/>
      <c r="AD66" s="708"/>
      <c r="AE66" s="711"/>
      <c r="AF66" s="711"/>
      <c r="AG66" s="711"/>
      <c r="AH66" s="708"/>
      <c r="AI66" s="708"/>
      <c r="AJ66" s="708"/>
      <c r="AK66" s="708"/>
      <c r="AL66" s="708"/>
    </row>
    <row r="67" spans="1:41" ht="21" customHeight="1">
      <c r="A67" s="467"/>
      <c r="B67" s="687" t="s">
        <v>125</v>
      </c>
      <c r="C67" s="686"/>
      <c r="D67" s="686" t="s">
        <v>182</v>
      </c>
      <c r="E67" s="686"/>
      <c r="F67" s="687" t="s">
        <v>119</v>
      </c>
      <c r="G67" s="686"/>
      <c r="H67" s="686" t="s">
        <v>182</v>
      </c>
      <c r="I67" s="686"/>
      <c r="J67" s="687" t="s">
        <v>115</v>
      </c>
      <c r="K67" s="686"/>
      <c r="L67" s="686" t="s">
        <v>242</v>
      </c>
      <c r="M67" s="686"/>
      <c r="N67" s="687" t="s">
        <v>125</v>
      </c>
      <c r="O67" s="686"/>
      <c r="P67" s="686" t="s">
        <v>185</v>
      </c>
      <c r="Q67" s="686"/>
      <c r="R67" s="686" t="s">
        <v>182</v>
      </c>
      <c r="S67" s="686"/>
      <c r="T67" s="686" t="s">
        <v>185</v>
      </c>
      <c r="U67" s="686"/>
      <c r="V67" s="687" t="s">
        <v>115</v>
      </c>
      <c r="W67" s="686"/>
      <c r="X67" s="686" t="s">
        <v>182</v>
      </c>
      <c r="Y67" s="686"/>
      <c r="Z67" s="686" t="s">
        <v>182</v>
      </c>
      <c r="AA67" s="686"/>
      <c r="AB67" s="686" t="s">
        <v>182</v>
      </c>
      <c r="AC67" s="690"/>
      <c r="AD67" s="708"/>
      <c r="AE67" s="711"/>
      <c r="AF67" s="711"/>
      <c r="AG67" s="711"/>
      <c r="AH67" s="708"/>
      <c r="AI67" s="708"/>
      <c r="AJ67" s="708"/>
      <c r="AK67" s="708"/>
      <c r="AL67" s="708"/>
    </row>
    <row r="68" spans="1:41" ht="37.5" customHeight="1">
      <c r="A68" s="467"/>
      <c r="B68" s="686"/>
      <c r="C68" s="686"/>
      <c r="D68" s="686"/>
      <c r="E68" s="686"/>
      <c r="F68" s="686"/>
      <c r="G68" s="686"/>
      <c r="H68" s="686"/>
      <c r="I68" s="686"/>
      <c r="J68" s="686"/>
      <c r="K68" s="686"/>
      <c r="L68" s="686"/>
      <c r="M68" s="1590" t="s">
        <v>1521</v>
      </c>
      <c r="N68" s="1590"/>
      <c r="O68" s="686"/>
      <c r="P68" s="686"/>
      <c r="Q68" s="686"/>
      <c r="R68" s="686"/>
      <c r="S68" s="686"/>
      <c r="T68" s="686"/>
      <c r="U68" s="686"/>
      <c r="V68" s="686"/>
      <c r="W68" s="686"/>
      <c r="X68" s="1591" t="s">
        <v>1522</v>
      </c>
      <c r="Y68" s="1591"/>
      <c r="Z68" s="686"/>
      <c r="AA68" s="686"/>
      <c r="AB68" s="686"/>
      <c r="AC68" s="690"/>
      <c r="AD68" s="708"/>
      <c r="AE68" s="711"/>
      <c r="AF68" s="711"/>
      <c r="AG68" s="711"/>
      <c r="AH68" s="708"/>
      <c r="AI68" s="708"/>
      <c r="AJ68" s="708"/>
      <c r="AK68" s="708"/>
      <c r="AL68" s="708"/>
    </row>
    <row r="69" spans="1:41" ht="41.5" customHeight="1">
      <c r="A69" s="1588" t="s">
        <v>1518</v>
      </c>
      <c r="B69" s="1589"/>
      <c r="C69" s="1589"/>
      <c r="D69" s="1589"/>
      <c r="E69" s="1589"/>
      <c r="F69" s="1589"/>
      <c r="G69" s="1589"/>
      <c r="H69" s="1589"/>
      <c r="I69" s="1589"/>
      <c r="J69" s="1589"/>
      <c r="K69" s="1589"/>
      <c r="L69" s="1589"/>
      <c r="M69" s="1589"/>
      <c r="N69" s="1589"/>
      <c r="O69" s="1589"/>
      <c r="P69" s="1589"/>
      <c r="Q69" s="1589"/>
      <c r="R69" s="1589"/>
      <c r="S69" s="1589"/>
      <c r="T69" s="1589"/>
      <c r="U69" s="1589"/>
      <c r="V69" s="1589"/>
      <c r="W69" s="1589"/>
      <c r="X69" s="1589"/>
      <c r="Y69" s="1589"/>
      <c r="Z69" s="1589"/>
      <c r="AA69" s="1589"/>
      <c r="AB69" s="1589"/>
      <c r="AC69" s="1589"/>
      <c r="AD69" s="1589"/>
      <c r="AE69" s="1589"/>
      <c r="AF69" s="1589"/>
      <c r="AG69" s="1589"/>
      <c r="AH69" s="1589"/>
      <c r="AI69" s="881"/>
      <c r="AJ69" s="881"/>
      <c r="AK69" s="881"/>
      <c r="AL69" s="881"/>
    </row>
    <row r="70" spans="1:41" ht="35.5" customHeight="1">
      <c r="A70" s="467"/>
      <c r="B70" s="672" t="s">
        <v>1256</v>
      </c>
      <c r="C70" s="671"/>
      <c r="D70" s="672" t="s">
        <v>1257</v>
      </c>
      <c r="E70" s="671"/>
      <c r="F70" s="672" t="s">
        <v>1258</v>
      </c>
      <c r="G70" s="671"/>
      <c r="H70" s="672" t="s">
        <v>616</v>
      </c>
      <c r="I70" s="671"/>
      <c r="J70" s="672" t="s">
        <v>1259</v>
      </c>
      <c r="K70" s="671"/>
      <c r="L70" s="672" t="s">
        <v>1260</v>
      </c>
      <c r="M70" s="671"/>
      <c r="N70" s="1592" t="s">
        <v>620</v>
      </c>
      <c r="O70" s="1592"/>
      <c r="P70" s="1592" t="s">
        <v>623</v>
      </c>
      <c r="Q70" s="1592"/>
      <c r="R70" s="672" t="s">
        <v>1261</v>
      </c>
      <c r="S70" s="671"/>
      <c r="T70" s="672" t="s">
        <v>1262</v>
      </c>
      <c r="U70" s="671"/>
      <c r="V70" s="672" t="s">
        <v>1263</v>
      </c>
      <c r="W70" s="671"/>
      <c r="X70" s="672" t="s">
        <v>624</v>
      </c>
      <c r="Y70" s="671"/>
      <c r="Z70" s="672" t="s">
        <v>1264</v>
      </c>
      <c r="AA70" s="671"/>
      <c r="AB70" s="672" t="s">
        <v>625</v>
      </c>
      <c r="AC70" s="690"/>
      <c r="AD70" s="708"/>
      <c r="AE70" s="711"/>
      <c r="AF70" s="711"/>
      <c r="AG70" s="711"/>
      <c r="AH70" s="708"/>
      <c r="AI70" s="708"/>
      <c r="AJ70" s="708"/>
      <c r="AK70" s="708"/>
      <c r="AL70" s="708"/>
    </row>
    <row r="71" spans="1:41" ht="33.5">
      <c r="A71" s="467"/>
      <c r="B71" s="700"/>
      <c r="C71" s="690"/>
      <c r="D71" s="700"/>
      <c r="E71" s="690"/>
      <c r="F71" s="700"/>
      <c r="G71" s="690"/>
      <c r="H71" s="700"/>
      <c r="I71" s="690"/>
      <c r="J71" s="700"/>
      <c r="K71" s="690"/>
      <c r="L71" s="700"/>
      <c r="M71" s="690"/>
      <c r="N71" s="700"/>
      <c r="O71" s="690"/>
      <c r="P71" s="700"/>
      <c r="Q71" s="690"/>
      <c r="R71" s="700"/>
      <c r="S71" s="701"/>
      <c r="T71" s="700"/>
      <c r="U71" s="701"/>
      <c r="V71" s="700"/>
      <c r="W71" s="690"/>
      <c r="X71" s="700"/>
      <c r="Y71" s="690"/>
      <c r="Z71" s="700"/>
      <c r="AA71" s="690"/>
      <c r="AB71" s="700"/>
      <c r="AC71" s="690"/>
      <c r="AD71" s="708"/>
      <c r="AE71" s="711"/>
      <c r="AF71" s="711"/>
      <c r="AG71" s="711"/>
      <c r="AH71" s="708"/>
      <c r="AI71" s="708"/>
      <c r="AJ71" s="708"/>
      <c r="AK71" s="708"/>
      <c r="AL71" s="708"/>
    </row>
    <row r="72" spans="1:41" ht="15.5" customHeight="1" thickBot="1">
      <c r="A72" s="467"/>
      <c r="B72" s="702"/>
      <c r="C72" s="690"/>
      <c r="D72" s="702"/>
      <c r="E72" s="690"/>
      <c r="F72" s="702"/>
      <c r="G72" s="690"/>
      <c r="H72" s="702"/>
      <c r="I72" s="690"/>
      <c r="J72" s="702"/>
      <c r="K72" s="690"/>
      <c r="L72" s="702"/>
      <c r="M72" s="690"/>
      <c r="N72" s="702"/>
      <c r="O72" s="690"/>
      <c r="P72" s="702"/>
      <c r="Q72" s="690"/>
      <c r="R72" s="702"/>
      <c r="S72" s="690"/>
      <c r="T72" s="702"/>
      <c r="U72" s="690"/>
      <c r="V72" s="702"/>
      <c r="W72" s="690"/>
      <c r="X72" s="702"/>
      <c r="Y72" s="690"/>
      <c r="Z72" s="702"/>
      <c r="AA72" s="690"/>
      <c r="AB72" s="702"/>
      <c r="AC72" s="690"/>
      <c r="AD72" s="708"/>
      <c r="AE72" s="711"/>
      <c r="AF72" s="711"/>
      <c r="AG72" s="711"/>
      <c r="AH72" s="708"/>
      <c r="AI72" s="708"/>
      <c r="AJ72" s="708"/>
      <c r="AK72" s="708"/>
      <c r="AL72" s="708"/>
    </row>
    <row r="73" spans="1:41" ht="100" customHeight="1" thickBot="1">
      <c r="A73" s="467"/>
      <c r="B73" s="679"/>
      <c r="C73" s="695">
        <v>348.29199999999997</v>
      </c>
      <c r="D73" s="679"/>
      <c r="E73" s="695">
        <v>418.83499999999998</v>
      </c>
      <c r="F73" s="679"/>
      <c r="G73" s="695">
        <v>408.96300000000002</v>
      </c>
      <c r="H73" s="679"/>
      <c r="I73" s="695">
        <v>365.46699999999998</v>
      </c>
      <c r="J73" s="679"/>
      <c r="K73" s="695">
        <v>437.07400000000001</v>
      </c>
      <c r="L73" s="679"/>
      <c r="M73" s="695">
        <v>363.142</v>
      </c>
      <c r="N73" s="679"/>
      <c r="O73" s="695">
        <v>159.78899999999999</v>
      </c>
      <c r="P73" s="679"/>
      <c r="Q73" s="695">
        <v>300.15800000000002</v>
      </c>
      <c r="R73" s="679"/>
      <c r="S73" s="695">
        <v>293.13099999999997</v>
      </c>
      <c r="T73" s="679"/>
      <c r="U73" s="695">
        <v>357.37700000000001</v>
      </c>
      <c r="V73" s="679"/>
      <c r="W73" s="695">
        <v>341.40899999999999</v>
      </c>
      <c r="X73" s="679"/>
      <c r="Y73" s="695">
        <v>362.90499999999997</v>
      </c>
      <c r="Z73" s="679"/>
      <c r="AA73" s="695">
        <v>421.05200000000002</v>
      </c>
      <c r="AB73" s="679"/>
      <c r="AC73" s="695">
        <v>216.44800000000001</v>
      </c>
      <c r="AD73" s="708"/>
      <c r="AE73" s="711"/>
      <c r="AF73" s="711"/>
      <c r="AG73" s="711"/>
      <c r="AH73" s="708"/>
      <c r="AI73" s="708"/>
      <c r="AJ73" s="708"/>
      <c r="AK73" s="708"/>
      <c r="AL73" s="708"/>
      <c r="AM73" s="871">
        <f>COUNTIF(B73:AB73,"U/P")</f>
        <v>0</v>
      </c>
      <c r="AN73" s="871">
        <f>COUNTIF(C73:AC73,"ROW")</f>
        <v>0</v>
      </c>
      <c r="AO73" s="871">
        <f>COUNTIF(D73:AD73,"C")</f>
        <v>0</v>
      </c>
    </row>
    <row r="74" spans="1:41" ht="34" thickBot="1">
      <c r="A74" s="467"/>
      <c r="B74" s="698"/>
      <c r="C74" s="690"/>
      <c r="D74" s="698"/>
      <c r="E74" s="690"/>
      <c r="F74" s="698"/>
      <c r="G74" s="690"/>
      <c r="H74" s="698"/>
      <c r="I74" s="690"/>
      <c r="J74" s="698"/>
      <c r="K74" s="690"/>
      <c r="L74" s="698"/>
      <c r="M74" s="690"/>
      <c r="N74" s="698"/>
      <c r="O74" s="690"/>
      <c r="P74" s="698"/>
      <c r="Q74" s="690"/>
      <c r="R74" s="698"/>
      <c r="S74" s="690"/>
      <c r="T74" s="698"/>
      <c r="U74" s="690"/>
      <c r="V74" s="698"/>
      <c r="W74" s="690"/>
      <c r="X74" s="698"/>
      <c r="Y74" s="690"/>
      <c r="Z74" s="698"/>
      <c r="AA74" s="690"/>
      <c r="AB74" s="698"/>
      <c r="AC74" s="690"/>
      <c r="AD74" s="708"/>
      <c r="AE74" s="711"/>
      <c r="AF74" s="711"/>
      <c r="AG74" s="711"/>
      <c r="AH74" s="708"/>
      <c r="AI74" s="708"/>
      <c r="AJ74" s="708"/>
      <c r="AK74" s="708"/>
      <c r="AL74" s="708"/>
    </row>
    <row r="75" spans="1:41" ht="33.5">
      <c r="A75" s="467"/>
      <c r="B75" s="686" t="s">
        <v>182</v>
      </c>
      <c r="C75" s="686"/>
      <c r="D75" s="686" t="s">
        <v>185</v>
      </c>
      <c r="E75" s="686"/>
      <c r="F75" s="686" t="s">
        <v>248</v>
      </c>
      <c r="G75" s="686"/>
      <c r="H75" s="687" t="s">
        <v>143</v>
      </c>
      <c r="I75" s="686"/>
      <c r="J75" s="686" t="s">
        <v>182</v>
      </c>
      <c r="K75" s="686"/>
      <c r="L75" s="686" t="s">
        <v>242</v>
      </c>
      <c r="M75" s="686"/>
      <c r="N75" s="687" t="s">
        <v>188</v>
      </c>
      <c r="O75" s="686"/>
      <c r="P75" s="687" t="s">
        <v>125</v>
      </c>
      <c r="Q75" s="686"/>
      <c r="R75" s="687" t="s">
        <v>188</v>
      </c>
      <c r="S75" s="686"/>
      <c r="T75" s="686" t="s">
        <v>182</v>
      </c>
      <c r="U75" s="686"/>
      <c r="V75" s="686" t="s">
        <v>182</v>
      </c>
      <c r="W75" s="686"/>
      <c r="X75" s="687" t="s">
        <v>123</v>
      </c>
      <c r="Y75" s="686"/>
      <c r="Z75" s="686" t="s">
        <v>248</v>
      </c>
      <c r="AA75" s="686"/>
      <c r="AB75" s="687" t="s">
        <v>192</v>
      </c>
      <c r="AC75" s="690"/>
      <c r="AD75" s="708"/>
      <c r="AE75" s="711"/>
      <c r="AF75" s="711"/>
      <c r="AG75" s="711"/>
      <c r="AH75" s="708"/>
      <c r="AI75" s="708"/>
      <c r="AJ75" s="708"/>
      <c r="AK75" s="708"/>
      <c r="AL75" s="708"/>
    </row>
    <row r="76" spans="1:41" ht="33.5">
      <c r="A76" s="467"/>
      <c r="B76" s="686"/>
      <c r="C76" s="686"/>
      <c r="D76" s="686"/>
      <c r="E76" s="717" t="s">
        <v>1621</v>
      </c>
      <c r="G76" s="686"/>
      <c r="H76" s="687"/>
      <c r="I76" s="686"/>
      <c r="J76" s="686"/>
      <c r="K76" s="686"/>
      <c r="L76" s="686"/>
      <c r="M76" s="686"/>
      <c r="N76" s="687"/>
      <c r="O76" s="686"/>
      <c r="P76" s="687"/>
      <c r="Q76" s="686"/>
      <c r="R76" s="687"/>
      <c r="S76" s="686"/>
      <c r="T76" s="686"/>
      <c r="U76" s="686"/>
      <c r="V76" s="686"/>
      <c r="W76" s="686"/>
      <c r="X76" s="687"/>
      <c r="Y76" s="686"/>
      <c r="Z76" s="686"/>
      <c r="AA76" s="686"/>
      <c r="AB76" s="687"/>
      <c r="AC76" s="690"/>
      <c r="AD76" s="708"/>
      <c r="AE76" s="711"/>
      <c r="AF76" s="711"/>
      <c r="AG76" s="711"/>
      <c r="AH76" s="708"/>
      <c r="AI76" s="708"/>
      <c r="AJ76" s="708"/>
      <c r="AK76" s="708"/>
      <c r="AL76" s="708"/>
    </row>
    <row r="77" spans="1:41" ht="36" customHeight="1">
      <c r="A77" s="1588" t="s">
        <v>1518</v>
      </c>
      <c r="B77" s="1589"/>
      <c r="C77" s="1589"/>
      <c r="D77" s="1589"/>
      <c r="E77" s="1589"/>
      <c r="F77" s="1589"/>
      <c r="G77" s="1589"/>
      <c r="H77" s="1589"/>
      <c r="I77" s="1589"/>
      <c r="J77" s="1589"/>
      <c r="K77" s="1589"/>
      <c r="L77" s="1589"/>
      <c r="M77" s="1589"/>
      <c r="N77" s="1589"/>
      <c r="O77" s="1589"/>
      <c r="P77" s="1589"/>
      <c r="Q77" s="1589"/>
      <c r="R77" s="1589"/>
      <c r="S77" s="1589"/>
      <c r="T77" s="1589"/>
      <c r="U77" s="1589"/>
      <c r="V77" s="1589"/>
      <c r="W77" s="1589"/>
      <c r="X77" s="1587" t="s">
        <v>1579</v>
      </c>
      <c r="Y77" s="1587"/>
      <c r="Z77" s="1587"/>
      <c r="AA77" s="1587"/>
      <c r="AB77" s="1587"/>
      <c r="AC77" s="1587"/>
      <c r="AD77" s="1587"/>
      <c r="AE77" s="1587"/>
      <c r="AF77" s="1587"/>
      <c r="AG77" s="1587"/>
      <c r="AH77" s="1587"/>
      <c r="AI77" s="884"/>
      <c r="AJ77" s="884"/>
      <c r="AK77" s="884"/>
      <c r="AL77" s="884"/>
    </row>
    <row r="78" spans="1:41" ht="22" customHeight="1">
      <c r="A78" s="713"/>
      <c r="B78" s="714"/>
      <c r="C78" s="714"/>
      <c r="D78" s="714"/>
      <c r="E78" s="714"/>
      <c r="F78" s="714"/>
      <c r="G78" s="714"/>
      <c r="H78" s="715"/>
      <c r="I78" s="714"/>
      <c r="J78" s="714"/>
      <c r="K78" s="714"/>
      <c r="L78" s="714"/>
      <c r="M78" s="714"/>
      <c r="N78" s="715"/>
      <c r="O78" s="714"/>
      <c r="P78" s="715"/>
      <c r="Q78" s="714"/>
      <c r="R78" s="715"/>
      <c r="S78" s="714"/>
      <c r="T78" s="714"/>
      <c r="U78" s="714"/>
      <c r="V78" s="714"/>
      <c r="W78" s="714"/>
      <c r="X78" s="715"/>
      <c r="Y78" s="714"/>
      <c r="Z78" s="714"/>
      <c r="AA78" s="714"/>
      <c r="AB78" s="715"/>
      <c r="AC78" s="693"/>
      <c r="AD78" s="691"/>
      <c r="AE78" s="683"/>
      <c r="AF78" s="684"/>
      <c r="AG78" s="684"/>
    </row>
    <row r="79" spans="1:41" ht="44.5" customHeight="1">
      <c r="A79" s="467"/>
      <c r="B79" s="672" t="s">
        <v>1635</v>
      </c>
      <c r="C79" s="671"/>
      <c r="D79" s="1592" t="s">
        <v>1637</v>
      </c>
      <c r="E79" s="1592"/>
      <c r="F79" s="1592" t="s">
        <v>1639</v>
      </c>
      <c r="G79" s="1592"/>
      <c r="H79" s="1592" t="s">
        <v>1640</v>
      </c>
      <c r="I79" s="1592"/>
      <c r="J79" s="1592" t="s">
        <v>1641</v>
      </c>
      <c r="K79" s="1592"/>
      <c r="L79" s="1592" t="s">
        <v>1266</v>
      </c>
      <c r="M79" s="1592"/>
      <c r="N79" s="1592" t="s">
        <v>1267</v>
      </c>
      <c r="O79" s="1592"/>
      <c r="P79" s="1592" t="s">
        <v>1269</v>
      </c>
      <c r="Q79" s="1592"/>
      <c r="R79" s="1592" t="s">
        <v>1270</v>
      </c>
      <c r="S79" s="1592"/>
      <c r="T79" s="1592" t="s">
        <v>1271</v>
      </c>
      <c r="U79" s="1592"/>
      <c r="V79" s="1592" t="s">
        <v>1272</v>
      </c>
      <c r="W79" s="1592"/>
      <c r="X79" s="1592" t="s">
        <v>637</v>
      </c>
      <c r="Y79" s="1592"/>
      <c r="Z79" s="672" t="s">
        <v>638</v>
      </c>
      <c r="AA79" s="671"/>
      <c r="AB79" s="672" t="s">
        <v>642</v>
      </c>
      <c r="AC79" s="672"/>
      <c r="AD79" s="690"/>
      <c r="AE79" s="708"/>
      <c r="AF79" s="683"/>
      <c r="AG79" s="684"/>
      <c r="AH79" s="684"/>
    </row>
    <row r="80" spans="1:41" ht="33.5">
      <c r="A80" s="467"/>
      <c r="B80" s="700"/>
      <c r="C80" s="690"/>
      <c r="D80" s="700"/>
      <c r="E80" s="690"/>
      <c r="F80" s="700"/>
      <c r="G80" s="690"/>
      <c r="H80" s="700"/>
      <c r="I80" s="690"/>
      <c r="J80" s="700"/>
      <c r="K80" s="690"/>
      <c r="L80" s="700"/>
      <c r="M80" s="690"/>
      <c r="N80" s="700"/>
      <c r="O80" s="690"/>
      <c r="P80" s="700"/>
      <c r="Q80" s="690"/>
      <c r="R80" s="700"/>
      <c r="S80" s="690"/>
      <c r="T80" s="700"/>
      <c r="U80" s="690"/>
      <c r="V80" s="700"/>
      <c r="W80" s="690"/>
      <c r="X80" s="700"/>
      <c r="Y80" s="690"/>
      <c r="Z80" s="700"/>
      <c r="AA80" s="690"/>
      <c r="AB80" s="700"/>
      <c r="AC80" s="690"/>
      <c r="AD80" s="708"/>
      <c r="AE80" s="684"/>
      <c r="AF80" s="684"/>
      <c r="AG80" s="684"/>
    </row>
    <row r="81" spans="1:43" ht="16" customHeight="1" thickBot="1">
      <c r="A81" s="467"/>
      <c r="B81" s="702"/>
      <c r="C81" s="690"/>
      <c r="D81" s="702"/>
      <c r="E81" s="690"/>
      <c r="F81" s="702"/>
      <c r="G81" s="690"/>
      <c r="H81" s="702"/>
      <c r="I81" s="690"/>
      <c r="J81" s="702"/>
      <c r="K81" s="690"/>
      <c r="L81" s="702"/>
      <c r="M81" s="690"/>
      <c r="N81" s="702"/>
      <c r="O81" s="690"/>
      <c r="P81" s="702"/>
      <c r="Q81" s="690"/>
      <c r="R81" s="702"/>
      <c r="S81" s="690"/>
      <c r="T81" s="702"/>
      <c r="U81" s="690"/>
      <c r="V81" s="702"/>
      <c r="W81" s="690"/>
      <c r="X81" s="702"/>
      <c r="Y81" s="690"/>
      <c r="Z81" s="702"/>
      <c r="AA81" s="690"/>
      <c r="AB81" s="702"/>
      <c r="AC81" s="690"/>
      <c r="AD81" s="708"/>
      <c r="AE81" s="684"/>
      <c r="AF81" s="684"/>
      <c r="AG81" s="684"/>
      <c r="AM81" s="871"/>
      <c r="AN81" s="871"/>
      <c r="AO81" s="871"/>
    </row>
    <row r="82" spans="1:43" ht="100" customHeight="1" thickBot="1">
      <c r="A82" s="467"/>
      <c r="B82" s="679"/>
      <c r="C82" s="695">
        <v>439.69499999999999</v>
      </c>
      <c r="D82" s="679"/>
      <c r="E82" s="695">
        <v>243.18799999999999</v>
      </c>
      <c r="F82" s="679"/>
      <c r="G82" s="695">
        <v>333.21899999999999</v>
      </c>
      <c r="H82" s="679"/>
      <c r="I82" s="695">
        <v>333.21899999999999</v>
      </c>
      <c r="J82" s="679"/>
      <c r="K82" s="695">
        <v>363.00099999999998</v>
      </c>
      <c r="L82" s="679"/>
      <c r="M82" s="695">
        <v>363.00099999999998</v>
      </c>
      <c r="N82" s="679"/>
      <c r="O82" s="695">
        <v>356.12400000000002</v>
      </c>
      <c r="P82" s="679"/>
      <c r="Q82" s="695">
        <v>376.245</v>
      </c>
      <c r="R82" s="679"/>
      <c r="S82" s="695">
        <v>381.12200000000001</v>
      </c>
      <c r="T82" s="679"/>
      <c r="U82" s="695">
        <v>364.43299999999999</v>
      </c>
      <c r="V82" s="679"/>
      <c r="W82" s="695">
        <v>263.077</v>
      </c>
      <c r="X82" s="679"/>
      <c r="Y82" s="695">
        <v>356.19299999999998</v>
      </c>
      <c r="Z82" s="679"/>
      <c r="AA82" s="695">
        <v>352.42</v>
      </c>
      <c r="AB82" s="679"/>
      <c r="AC82" s="695">
        <v>381.02800000000002</v>
      </c>
      <c r="AD82" s="708"/>
      <c r="AE82" s="684"/>
      <c r="AF82" s="684"/>
      <c r="AG82" s="684"/>
      <c r="AM82" s="871">
        <f>COUNTIF(B82:AB82,"U/P")</f>
        <v>0</v>
      </c>
      <c r="AN82" s="871">
        <f>COUNTIF(C82:AC82,"ROW")</f>
        <v>0</v>
      </c>
      <c r="AO82" s="871">
        <f>COUNTIF(D82:AD82,"C")</f>
        <v>0</v>
      </c>
    </row>
    <row r="83" spans="1:43" ht="34" thickBot="1">
      <c r="A83" s="467"/>
      <c r="B83" s="698"/>
      <c r="C83" s="690"/>
      <c r="D83" s="698"/>
      <c r="E83" s="690"/>
      <c r="F83" s="698"/>
      <c r="G83" s="690"/>
      <c r="H83" s="698"/>
      <c r="I83" s="690"/>
      <c r="J83" s="698"/>
      <c r="K83" s="690"/>
      <c r="L83" s="698"/>
      <c r="M83" s="690"/>
      <c r="N83" s="698"/>
      <c r="O83" s="690"/>
      <c r="P83" s="698"/>
      <c r="Q83" s="690"/>
      <c r="R83" s="698"/>
      <c r="S83" s="690"/>
      <c r="T83" s="698"/>
      <c r="U83" s="690"/>
      <c r="V83" s="698"/>
      <c r="W83" s="690"/>
      <c r="X83" s="698"/>
      <c r="Y83" s="690"/>
      <c r="Z83" s="698"/>
      <c r="AA83" s="690"/>
      <c r="AB83" s="698"/>
      <c r="AC83" s="690"/>
      <c r="AD83" s="708"/>
      <c r="AE83" s="684"/>
      <c r="AF83" s="684"/>
      <c r="AG83" s="684"/>
    </row>
    <row r="84" spans="1:43" ht="33.5">
      <c r="A84" s="467"/>
      <c r="B84" s="687" t="s">
        <v>1636</v>
      </c>
      <c r="C84" s="686"/>
      <c r="D84" s="687" t="s">
        <v>1638</v>
      </c>
      <c r="E84" s="686"/>
      <c r="F84" s="687" t="s">
        <v>119</v>
      </c>
      <c r="G84" s="686"/>
      <c r="H84" s="687" t="s">
        <v>123</v>
      </c>
      <c r="I84" s="686"/>
      <c r="J84" s="687" t="s">
        <v>147</v>
      </c>
      <c r="K84" s="686"/>
      <c r="L84" s="686" t="s">
        <v>182</v>
      </c>
      <c r="M84" s="686"/>
      <c r="N84" s="686" t="s">
        <v>242</v>
      </c>
      <c r="O84" s="686"/>
      <c r="P84" s="687" t="s">
        <v>115</v>
      </c>
      <c r="Q84" s="686"/>
      <c r="R84" s="686" t="s">
        <v>242</v>
      </c>
      <c r="S84" s="686"/>
      <c r="T84" s="686" t="s">
        <v>182</v>
      </c>
      <c r="U84" s="686"/>
      <c r="V84" s="686" t="s">
        <v>248</v>
      </c>
      <c r="W84" s="686"/>
      <c r="X84" s="687" t="s">
        <v>188</v>
      </c>
      <c r="Y84" s="686"/>
      <c r="Z84" s="686" t="s">
        <v>185</v>
      </c>
      <c r="AA84" s="686"/>
      <c r="AB84" s="687" t="s">
        <v>132</v>
      </c>
      <c r="AC84" s="690"/>
      <c r="AD84" s="708"/>
      <c r="AE84" s="684"/>
      <c r="AF84" s="684"/>
      <c r="AG84" s="684"/>
    </row>
    <row r="85" spans="1:43" ht="37" customHeight="1">
      <c r="A85" s="1586" t="s">
        <v>1578</v>
      </c>
      <c r="B85" s="1587"/>
      <c r="C85" s="1587"/>
      <c r="D85" s="1587"/>
      <c r="E85" s="1587"/>
      <c r="F85" s="1587"/>
      <c r="G85" s="1587"/>
      <c r="H85" s="1587"/>
      <c r="I85" s="1589" t="s">
        <v>1712</v>
      </c>
      <c r="J85" s="1589"/>
      <c r="K85" s="1589"/>
      <c r="L85" s="1589"/>
      <c r="M85" s="1589"/>
      <c r="N85" s="1589"/>
      <c r="O85" s="1589"/>
      <c r="P85" s="1589"/>
      <c r="Q85" s="1589"/>
      <c r="R85" s="1589"/>
      <c r="S85" s="1589"/>
      <c r="T85" s="1589"/>
      <c r="U85" s="1589"/>
      <c r="V85" s="1589"/>
      <c r="W85" s="1589"/>
      <c r="X85" s="1589"/>
      <c r="Y85" s="1589"/>
      <c r="Z85" s="1589"/>
      <c r="AA85" s="1589"/>
      <c r="AB85" s="1589"/>
      <c r="AC85" s="1589"/>
      <c r="AD85" s="1589"/>
      <c r="AE85" s="1589"/>
      <c r="AF85" s="1589"/>
      <c r="AG85" s="1025"/>
      <c r="AH85" s="1025"/>
      <c r="AI85" s="884"/>
      <c r="AJ85" s="884"/>
      <c r="AK85" s="884"/>
      <c r="AL85" s="884"/>
    </row>
    <row r="86" spans="1:43" ht="21.5" customHeight="1">
      <c r="A86" s="467"/>
      <c r="B86" s="704"/>
      <c r="C86" s="704"/>
      <c r="D86" s="704"/>
      <c r="E86" s="704"/>
      <c r="F86" s="704"/>
      <c r="G86" s="704"/>
      <c r="H86" s="704"/>
      <c r="I86" s="704"/>
      <c r="J86" s="704"/>
      <c r="K86" s="704"/>
      <c r="L86" s="704"/>
      <c r="M86" s="704"/>
      <c r="N86" s="704"/>
      <c r="O86" s="704"/>
      <c r="P86" s="704"/>
      <c r="Q86" s="704"/>
      <c r="R86" s="704"/>
      <c r="S86" s="704"/>
      <c r="T86" s="704"/>
      <c r="U86" s="704"/>
      <c r="V86" s="704"/>
      <c r="W86" s="704"/>
      <c r="X86" s="704"/>
      <c r="Y86" s="704"/>
      <c r="Z86" s="704"/>
      <c r="AA86" s="704"/>
      <c r="AB86" s="704"/>
      <c r="AC86" s="693"/>
      <c r="AD86" s="691"/>
      <c r="AE86" s="683"/>
      <c r="AF86" s="684"/>
      <c r="AG86" s="684"/>
    </row>
    <row r="87" spans="1:43" ht="32" customHeight="1">
      <c r="A87" s="467"/>
      <c r="B87" s="672" t="s">
        <v>643</v>
      </c>
      <c r="C87" s="671"/>
      <c r="D87" s="672" t="s">
        <v>644</v>
      </c>
      <c r="E87" s="671"/>
      <c r="F87" s="672" t="s">
        <v>1642</v>
      </c>
      <c r="G87" s="671"/>
      <c r="H87" s="672" t="s">
        <v>645</v>
      </c>
      <c r="I87" s="671"/>
      <c r="J87" s="672" t="s">
        <v>646</v>
      </c>
      <c r="K87" s="671"/>
      <c r="L87" s="672" t="s">
        <v>647</v>
      </c>
      <c r="M87" s="671"/>
      <c r="N87" s="672" t="s">
        <v>648</v>
      </c>
      <c r="O87" s="671"/>
      <c r="P87" s="672" t="s">
        <v>649</v>
      </c>
      <c r="Q87" s="671"/>
      <c r="R87" s="672" t="s">
        <v>650</v>
      </c>
      <c r="S87" s="671"/>
      <c r="T87" s="672" t="s">
        <v>651</v>
      </c>
      <c r="U87" s="671"/>
      <c r="V87" s="672" t="s">
        <v>652</v>
      </c>
      <c r="W87" s="671"/>
      <c r="X87" s="672" t="s">
        <v>653</v>
      </c>
      <c r="Y87" s="671"/>
      <c r="Z87" s="672" t="s">
        <v>654</v>
      </c>
      <c r="AA87" s="671"/>
      <c r="AB87" s="672" t="s">
        <v>655</v>
      </c>
      <c r="AC87" s="671"/>
      <c r="AD87" s="672" t="s">
        <v>656</v>
      </c>
      <c r="AE87" s="690"/>
      <c r="AF87" s="708"/>
      <c r="AG87" s="684"/>
      <c r="AH87" s="684"/>
      <c r="AI87" s="684"/>
    </row>
    <row r="88" spans="1:43" ht="33.5">
      <c r="A88" s="467"/>
      <c r="B88" s="700"/>
      <c r="C88" s="690"/>
      <c r="D88" s="700"/>
      <c r="E88" s="690"/>
      <c r="F88" s="700"/>
      <c r="G88" s="690"/>
      <c r="H88" s="700"/>
      <c r="I88" s="690"/>
      <c r="J88" s="700"/>
      <c r="K88" s="701"/>
      <c r="L88" s="700"/>
      <c r="M88" s="690"/>
      <c r="N88" s="700"/>
      <c r="O88" s="690"/>
      <c r="P88" s="700"/>
      <c r="Q88" s="690"/>
      <c r="R88" s="700"/>
      <c r="S88" s="690"/>
      <c r="T88" s="700"/>
      <c r="U88" s="690"/>
      <c r="V88" s="700"/>
      <c r="W88" s="690"/>
      <c r="X88" s="700"/>
      <c r="Y88" s="690"/>
      <c r="Z88" s="700"/>
      <c r="AA88" s="690"/>
      <c r="AB88" s="700"/>
      <c r="AC88" s="701"/>
      <c r="AD88" s="700"/>
      <c r="AE88" s="690"/>
      <c r="AF88" s="708"/>
      <c r="AG88" s="684"/>
      <c r="AH88" s="684"/>
      <c r="AI88" s="684"/>
    </row>
    <row r="89" spans="1:43" ht="15.5" customHeight="1" thickBot="1">
      <c r="A89" s="467"/>
      <c r="B89" s="702"/>
      <c r="C89" s="690"/>
      <c r="D89" s="702"/>
      <c r="E89" s="690"/>
      <c r="F89" s="702"/>
      <c r="G89" s="690"/>
      <c r="H89" s="702"/>
      <c r="I89" s="690"/>
      <c r="J89" s="702"/>
      <c r="K89" s="690"/>
      <c r="L89" s="702"/>
      <c r="M89" s="690"/>
      <c r="N89" s="702"/>
      <c r="O89" s="690"/>
      <c r="P89" s="702"/>
      <c r="Q89" s="690"/>
      <c r="R89" s="702"/>
      <c r="S89" s="690"/>
      <c r="T89" s="702"/>
      <c r="U89" s="690"/>
      <c r="V89" s="702"/>
      <c r="W89" s="690"/>
      <c r="X89" s="702"/>
      <c r="Y89" s="690"/>
      <c r="Z89" s="702"/>
      <c r="AA89" s="690"/>
      <c r="AB89" s="702"/>
      <c r="AC89" s="690"/>
      <c r="AD89" s="702"/>
      <c r="AE89" s="690"/>
      <c r="AF89" s="708"/>
      <c r="AG89" s="684"/>
      <c r="AH89" s="684"/>
      <c r="AI89" s="684"/>
    </row>
    <row r="90" spans="1:43" ht="100" customHeight="1" thickBot="1">
      <c r="A90" s="467"/>
      <c r="B90" s="679"/>
      <c r="C90" s="695">
        <v>419.60300000000001</v>
      </c>
      <c r="D90" s="679"/>
      <c r="E90" s="695">
        <v>425.18</v>
      </c>
      <c r="F90" s="679"/>
      <c r="G90" s="695">
        <v>425.18</v>
      </c>
      <c r="H90" s="679"/>
      <c r="I90" s="695">
        <v>287.53699999999998</v>
      </c>
      <c r="J90" s="679"/>
      <c r="K90" s="695">
        <v>336.512</v>
      </c>
      <c r="L90" s="679"/>
      <c r="M90" s="695">
        <v>325.30399999999997</v>
      </c>
      <c r="N90" s="679"/>
      <c r="O90" s="695">
        <v>214.25299999999999</v>
      </c>
      <c r="P90" s="679"/>
      <c r="Q90" s="695">
        <v>455.94600000000003</v>
      </c>
      <c r="R90" s="679"/>
      <c r="S90" s="695">
        <v>421</v>
      </c>
      <c r="T90" s="679"/>
      <c r="U90" s="695">
        <v>419</v>
      </c>
      <c r="V90" s="679"/>
      <c r="W90" s="695">
        <v>408</v>
      </c>
      <c r="X90" s="679"/>
      <c r="Y90" s="695">
        <v>409.74900000000002</v>
      </c>
      <c r="Z90" s="679"/>
      <c r="AA90" s="695">
        <v>324.02999999999997</v>
      </c>
      <c r="AB90" s="679"/>
      <c r="AC90" s="695">
        <v>366.7</v>
      </c>
      <c r="AD90" s="679"/>
      <c r="AE90" s="678">
        <v>473.30500000000001</v>
      </c>
      <c r="AF90" s="708"/>
      <c r="AG90" s="684"/>
      <c r="AH90" s="684"/>
      <c r="AI90" s="684"/>
      <c r="AM90" s="871">
        <f>COUNTIF(A90:AB90,"U/P")</f>
        <v>0</v>
      </c>
      <c r="AN90" s="871">
        <f>COUNTIF(A90:AC90,"ROW")</f>
        <v>0</v>
      </c>
      <c r="AO90" s="871">
        <f>COUNTIF(B90:AD90,"C")</f>
        <v>0</v>
      </c>
      <c r="AP90" s="871"/>
      <c r="AQ90" s="871"/>
    </row>
    <row r="91" spans="1:43" ht="34" thickBot="1">
      <c r="A91" s="467"/>
      <c r="B91" s="698"/>
      <c r="C91" s="690"/>
      <c r="D91" s="698"/>
      <c r="E91" s="690"/>
      <c r="F91" s="698"/>
      <c r="G91" s="690"/>
      <c r="H91" s="698"/>
      <c r="I91" s="690"/>
      <c r="J91" s="698"/>
      <c r="K91" s="690"/>
      <c r="L91" s="698"/>
      <c r="M91" s="690"/>
      <c r="N91" s="698"/>
      <c r="O91" s="690"/>
      <c r="P91" s="698"/>
      <c r="Q91" s="690"/>
      <c r="R91" s="698"/>
      <c r="S91" s="690"/>
      <c r="T91" s="698"/>
      <c r="U91" s="690"/>
      <c r="V91" s="698"/>
      <c r="W91" s="690"/>
      <c r="X91" s="698"/>
      <c r="Y91" s="690"/>
      <c r="Z91" s="698"/>
      <c r="AA91" s="690"/>
      <c r="AB91" s="698"/>
      <c r="AC91" s="690"/>
      <c r="AD91" s="698"/>
      <c r="AE91" s="690"/>
      <c r="AF91" s="708"/>
      <c r="AG91" s="684"/>
      <c r="AH91" s="684"/>
      <c r="AI91" s="684"/>
    </row>
    <row r="92" spans="1:43" ht="33.5">
      <c r="A92" s="467"/>
      <c r="B92" s="686" t="s">
        <v>242</v>
      </c>
      <c r="C92" s="686"/>
      <c r="D92" s="686" t="s">
        <v>248</v>
      </c>
      <c r="E92" s="686"/>
      <c r="F92" s="686" t="s">
        <v>132</v>
      </c>
      <c r="G92" s="686"/>
      <c r="H92" s="687" t="s">
        <v>115</v>
      </c>
      <c r="I92" s="686"/>
      <c r="J92" s="686" t="s">
        <v>182</v>
      </c>
      <c r="K92" s="686"/>
      <c r="L92" s="686" t="s">
        <v>182</v>
      </c>
      <c r="M92" s="686"/>
      <c r="N92" s="686" t="s">
        <v>182</v>
      </c>
      <c r="O92" s="686"/>
      <c r="P92" s="687" t="s">
        <v>123</v>
      </c>
      <c r="Q92" s="688"/>
      <c r="R92" s="687" t="s">
        <v>123</v>
      </c>
      <c r="S92" s="686"/>
      <c r="T92" s="686" t="s">
        <v>185</v>
      </c>
      <c r="U92" s="686"/>
      <c r="V92" s="686" t="s">
        <v>185</v>
      </c>
      <c r="W92" s="686"/>
      <c r="X92" s="686" t="s">
        <v>248</v>
      </c>
      <c r="Y92" s="686"/>
      <c r="Z92" s="687" t="s">
        <v>119</v>
      </c>
      <c r="AA92" s="688"/>
      <c r="AB92" s="687" t="s">
        <v>128</v>
      </c>
      <c r="AC92" s="686"/>
      <c r="AD92" s="686" t="s">
        <v>248</v>
      </c>
      <c r="AE92" s="690"/>
      <c r="AF92" s="708"/>
      <c r="AG92" s="684"/>
      <c r="AH92" s="684"/>
      <c r="AI92" s="684"/>
    </row>
    <row r="93" spans="1:43" ht="37" customHeight="1">
      <c r="A93" s="1588" t="s">
        <v>1713</v>
      </c>
      <c r="B93" s="1589"/>
      <c r="C93" s="1589"/>
      <c r="D93" s="1589"/>
      <c r="E93" s="1589"/>
      <c r="F93" s="1589"/>
      <c r="G93" s="1589"/>
      <c r="H93" s="1589"/>
      <c r="I93" s="1589"/>
      <c r="J93" s="1589"/>
      <c r="K93" s="1589"/>
      <c r="L93" s="1589"/>
      <c r="M93" s="1589"/>
      <c r="N93" s="1589"/>
      <c r="O93" s="1589"/>
      <c r="P93" s="1589"/>
      <c r="Q93" s="1589"/>
      <c r="R93" s="1589"/>
      <c r="S93" s="1589"/>
      <c r="T93" s="1589"/>
      <c r="U93" s="1589"/>
      <c r="V93" s="1589"/>
      <c r="W93" s="1589"/>
      <c r="X93" s="1589"/>
      <c r="Y93" s="1589"/>
      <c r="Z93" s="1589"/>
      <c r="AA93" s="1589"/>
      <c r="AB93" s="1589"/>
      <c r="AC93" s="1589"/>
      <c r="AD93" s="1589"/>
      <c r="AE93" s="1589"/>
      <c r="AF93" s="1589"/>
      <c r="AG93" s="1589"/>
      <c r="AH93" s="1589"/>
      <c r="AI93" s="884"/>
      <c r="AJ93" s="884"/>
      <c r="AK93" s="884"/>
      <c r="AL93" s="884"/>
    </row>
    <row r="94" spans="1:43" ht="15" customHeight="1">
      <c r="A94" s="467"/>
      <c r="B94" s="704"/>
      <c r="C94" s="704"/>
      <c r="D94" s="704"/>
      <c r="E94" s="704"/>
      <c r="F94" s="704"/>
      <c r="G94" s="704"/>
      <c r="H94" s="704"/>
      <c r="I94" s="704"/>
      <c r="J94" s="704"/>
      <c r="K94" s="704"/>
      <c r="L94" s="704"/>
      <c r="M94" s="693"/>
      <c r="N94" s="704"/>
      <c r="O94" s="704"/>
      <c r="P94" s="704"/>
      <c r="Q94" s="704"/>
      <c r="R94" s="704"/>
      <c r="S94" s="704"/>
      <c r="T94" s="704"/>
      <c r="U94" s="704"/>
      <c r="V94" s="704"/>
      <c r="W94" s="704"/>
      <c r="X94" s="704"/>
      <c r="Y94" s="704"/>
      <c r="Z94" s="704"/>
      <c r="AA94" s="704"/>
      <c r="AB94" s="704"/>
      <c r="AC94" s="693"/>
      <c r="AD94" s="691"/>
      <c r="AE94" s="683"/>
      <c r="AF94" s="684"/>
      <c r="AG94" s="684"/>
    </row>
    <row r="95" spans="1:43" ht="18" customHeight="1">
      <c r="A95" s="467"/>
      <c r="B95" s="691"/>
      <c r="C95" s="693"/>
      <c r="D95" s="691"/>
      <c r="E95" s="693"/>
      <c r="F95" s="691"/>
      <c r="G95" s="693"/>
      <c r="H95" s="691"/>
      <c r="I95" s="693"/>
      <c r="J95" s="691"/>
      <c r="K95" s="693"/>
      <c r="L95" s="691"/>
      <c r="M95" s="693"/>
      <c r="N95" s="691"/>
      <c r="O95" s="693"/>
      <c r="P95" s="691"/>
      <c r="Q95" s="693"/>
      <c r="R95" s="691"/>
      <c r="S95" s="693"/>
      <c r="T95" s="691"/>
      <c r="U95" s="693"/>
      <c r="V95" s="691"/>
      <c r="W95" s="693"/>
      <c r="X95" s="691"/>
      <c r="Y95" s="693"/>
      <c r="Z95" s="691"/>
      <c r="AA95" s="693"/>
      <c r="AB95" s="691"/>
      <c r="AC95" s="693"/>
      <c r="AD95" s="691"/>
      <c r="AE95" s="683"/>
      <c r="AF95" s="684"/>
      <c r="AG95" s="684"/>
    </row>
    <row r="96" spans="1:43" ht="28" customHeight="1">
      <c r="A96" s="467"/>
      <c r="B96" s="672" t="s">
        <v>657</v>
      </c>
      <c r="C96" s="671"/>
      <c r="D96" s="672" t="s">
        <v>658</v>
      </c>
      <c r="E96" s="671"/>
      <c r="F96" s="672" t="s">
        <v>659</v>
      </c>
      <c r="G96" s="671"/>
      <c r="H96" s="672" t="s">
        <v>660</v>
      </c>
      <c r="I96" s="671"/>
      <c r="J96" s="672" t="s">
        <v>661</v>
      </c>
      <c r="K96" s="671"/>
      <c r="L96" s="672" t="s">
        <v>1421</v>
      </c>
      <c r="M96" s="708"/>
      <c r="N96" s="672" t="s">
        <v>662</v>
      </c>
      <c r="O96" s="671"/>
      <c r="P96" s="672" t="s">
        <v>664</v>
      </c>
      <c r="Q96" s="671"/>
      <c r="R96" s="672" t="s">
        <v>665</v>
      </c>
      <c r="S96" s="671"/>
      <c r="T96" s="672" t="s">
        <v>666</v>
      </c>
      <c r="U96" s="671"/>
      <c r="V96" s="672" t="s">
        <v>667</v>
      </c>
      <c r="W96" s="671"/>
      <c r="X96" s="672" t="s">
        <v>1643</v>
      </c>
      <c r="Y96" s="671"/>
      <c r="Z96" s="672" t="s">
        <v>1644</v>
      </c>
      <c r="AA96" s="671"/>
      <c r="AB96" s="672" t="s">
        <v>668</v>
      </c>
      <c r="AC96" s="671"/>
      <c r="AD96" s="672" t="s">
        <v>669</v>
      </c>
      <c r="AE96" s="671"/>
      <c r="AF96" s="672" t="s">
        <v>670</v>
      </c>
      <c r="AG96" s="693"/>
      <c r="AH96" s="684"/>
      <c r="AI96" s="684"/>
    </row>
    <row r="97" spans="1:45" ht="33.5">
      <c r="A97" s="467"/>
      <c r="B97" s="700"/>
      <c r="C97" s="690"/>
      <c r="D97" s="700"/>
      <c r="E97" s="690"/>
      <c r="F97" s="700"/>
      <c r="G97" s="690"/>
      <c r="H97" s="700"/>
      <c r="I97" s="690"/>
      <c r="J97" s="700"/>
      <c r="K97" s="690"/>
      <c r="L97" s="700"/>
      <c r="M97" s="708"/>
      <c r="N97" s="700"/>
      <c r="O97" s="690"/>
      <c r="P97" s="700"/>
      <c r="Q97" s="690"/>
      <c r="R97" s="700"/>
      <c r="S97" s="690"/>
      <c r="T97" s="700"/>
      <c r="U97" s="690"/>
      <c r="V97" s="700"/>
      <c r="W97" s="690"/>
      <c r="X97" s="700"/>
      <c r="Y97" s="690"/>
      <c r="Z97" s="700"/>
      <c r="AA97" s="690"/>
      <c r="AB97" s="700"/>
      <c r="AC97" s="690"/>
      <c r="AD97" s="700"/>
      <c r="AE97" s="690"/>
      <c r="AF97" s="700"/>
      <c r="AG97" s="693"/>
      <c r="AH97" s="684"/>
      <c r="AI97" s="684"/>
    </row>
    <row r="98" spans="1:45" ht="15.5" customHeight="1" thickBot="1">
      <c r="A98" s="467"/>
      <c r="B98" s="702"/>
      <c r="C98" s="690"/>
      <c r="D98" s="702"/>
      <c r="E98" s="690"/>
      <c r="F98" s="702"/>
      <c r="G98" s="690"/>
      <c r="H98" s="702"/>
      <c r="I98" s="690"/>
      <c r="J98" s="702"/>
      <c r="K98" s="690"/>
      <c r="L98" s="702"/>
      <c r="M98" s="708"/>
      <c r="N98" s="702"/>
      <c r="O98" s="690"/>
      <c r="P98" s="702"/>
      <c r="Q98" s="690"/>
      <c r="R98" s="702"/>
      <c r="S98" s="690"/>
      <c r="T98" s="702"/>
      <c r="U98" s="690"/>
      <c r="V98" s="702"/>
      <c r="W98" s="690"/>
      <c r="X98" s="702"/>
      <c r="Y98" s="690"/>
      <c r="Z98" s="702"/>
      <c r="AA98" s="690"/>
      <c r="AB98" s="702"/>
      <c r="AC98" s="690"/>
      <c r="AD98" s="702"/>
      <c r="AE98" s="690"/>
      <c r="AF98" s="702"/>
      <c r="AG98" s="693"/>
      <c r="AH98" s="684"/>
      <c r="AI98" s="684"/>
    </row>
    <row r="99" spans="1:45" ht="100" customHeight="1" thickBot="1">
      <c r="A99" s="467"/>
      <c r="B99" s="679"/>
      <c r="C99" s="695">
        <v>358.32100000000003</v>
      </c>
      <c r="D99" s="679"/>
      <c r="E99" s="695">
        <v>477.815</v>
      </c>
      <c r="F99" s="679"/>
      <c r="G99" s="695">
        <v>415.464</v>
      </c>
      <c r="H99" s="679"/>
      <c r="I99" s="695">
        <v>402.22899999999998</v>
      </c>
      <c r="J99" s="679"/>
      <c r="K99" s="695">
        <v>437.43400000000003</v>
      </c>
      <c r="L99" s="679"/>
      <c r="M99" s="708"/>
      <c r="N99" s="679"/>
      <c r="O99" s="695">
        <v>455.92200000000003</v>
      </c>
      <c r="P99" s="679"/>
      <c r="Q99" s="695">
        <v>419.76499999999999</v>
      </c>
      <c r="R99" s="679"/>
      <c r="S99" s="695">
        <v>418.91699999999997</v>
      </c>
      <c r="T99" s="679"/>
      <c r="U99" s="695">
        <v>386.48599999999999</v>
      </c>
      <c r="V99" s="679"/>
      <c r="W99" s="695">
        <v>376.53</v>
      </c>
      <c r="X99" s="679"/>
      <c r="Y99" s="695"/>
      <c r="Z99" s="679"/>
      <c r="AA99" s="695"/>
      <c r="AB99" s="679"/>
      <c r="AC99" s="695">
        <v>404.73899999999998</v>
      </c>
      <c r="AD99" s="679"/>
      <c r="AE99" s="695">
        <v>366.72899999999998</v>
      </c>
      <c r="AF99" s="679"/>
      <c r="AG99" s="696">
        <v>274.58699999999999</v>
      </c>
      <c r="AH99" s="684"/>
      <c r="AI99" s="684"/>
      <c r="AM99" s="871">
        <f>COUNTIF(A99:AB99,"U/P")</f>
        <v>0</v>
      </c>
      <c r="AN99" s="871">
        <f>COUNTIF(A99:AC99,"ROW")</f>
        <v>0</v>
      </c>
      <c r="AO99" s="871">
        <f>COUNTIF(B99:AC99,"C")</f>
        <v>0</v>
      </c>
      <c r="AP99" s="871"/>
      <c r="AQ99" s="871"/>
      <c r="AR99" s="871"/>
      <c r="AS99" s="871"/>
    </row>
    <row r="100" spans="1:45" ht="34" thickBot="1">
      <c r="A100" s="467"/>
      <c r="B100" s="698"/>
      <c r="C100" s="690"/>
      <c r="D100" s="698"/>
      <c r="E100" s="690"/>
      <c r="F100" s="698"/>
      <c r="G100" s="690"/>
      <c r="H100" s="698"/>
      <c r="I100" s="690"/>
      <c r="J100" s="698"/>
      <c r="K100" s="690"/>
      <c r="L100" s="698"/>
      <c r="M100" s="708"/>
      <c r="N100" s="698"/>
      <c r="O100" s="690"/>
      <c r="P100" s="698"/>
      <c r="Q100" s="690"/>
      <c r="R100" s="698"/>
      <c r="S100" s="690"/>
      <c r="T100" s="698"/>
      <c r="U100" s="690"/>
      <c r="V100" s="698"/>
      <c r="W100" s="690"/>
      <c r="X100" s="698"/>
      <c r="Y100" s="690"/>
      <c r="Z100" s="698"/>
      <c r="AA100" s="690"/>
      <c r="AB100" s="698"/>
      <c r="AC100" s="690"/>
      <c r="AD100" s="698"/>
      <c r="AE100" s="690"/>
      <c r="AF100" s="698"/>
      <c r="AG100" s="693"/>
      <c r="AH100" s="684"/>
      <c r="AI100" s="684"/>
    </row>
    <row r="101" spans="1:45" ht="33.5">
      <c r="A101" s="467"/>
      <c r="B101" s="687" t="s">
        <v>123</v>
      </c>
      <c r="C101" s="686"/>
      <c r="D101" s="686" t="s">
        <v>248</v>
      </c>
      <c r="E101" s="686"/>
      <c r="F101" s="687" t="s">
        <v>128</v>
      </c>
      <c r="G101" s="686"/>
      <c r="H101" s="686" t="s">
        <v>248</v>
      </c>
      <c r="I101" s="686"/>
      <c r="J101" s="686" t="s">
        <v>182</v>
      </c>
      <c r="K101" s="686"/>
      <c r="L101" s="686" t="s">
        <v>125</v>
      </c>
      <c r="M101" s="708"/>
      <c r="N101" s="687" t="s">
        <v>125</v>
      </c>
      <c r="O101" s="686"/>
      <c r="P101" s="687" t="s">
        <v>119</v>
      </c>
      <c r="Q101" s="686"/>
      <c r="R101" s="686" t="s">
        <v>167</v>
      </c>
      <c r="S101" s="686"/>
      <c r="T101" s="686" t="s">
        <v>185</v>
      </c>
      <c r="U101" s="686"/>
      <c r="V101" s="686" t="s">
        <v>248</v>
      </c>
      <c r="W101" s="686"/>
      <c r="X101" s="686" t="s">
        <v>182</v>
      </c>
      <c r="Y101" s="686"/>
      <c r="Z101" s="686" t="s">
        <v>248</v>
      </c>
      <c r="AA101" s="686"/>
      <c r="AB101" s="687" t="s">
        <v>188</v>
      </c>
      <c r="AC101" s="686"/>
      <c r="AD101" s="686" t="s">
        <v>242</v>
      </c>
      <c r="AE101" s="686"/>
      <c r="AF101" s="686" t="s">
        <v>182</v>
      </c>
      <c r="AG101" s="693"/>
      <c r="AH101" s="684"/>
      <c r="AI101" s="684"/>
    </row>
    <row r="102" spans="1:45" ht="35" customHeight="1">
      <c r="A102" s="1588" t="s">
        <v>1713</v>
      </c>
      <c r="B102" s="1589"/>
      <c r="C102" s="1589"/>
      <c r="D102" s="1589"/>
      <c r="E102" s="1589"/>
      <c r="F102" s="1589"/>
      <c r="G102" s="1589"/>
      <c r="H102" s="1589"/>
      <c r="I102" s="1589"/>
      <c r="J102" s="1589"/>
      <c r="K102" s="1589"/>
      <c r="L102" s="1589"/>
      <c r="M102" s="1589"/>
      <c r="N102" s="1589"/>
      <c r="O102" s="1589"/>
      <c r="P102" s="1589"/>
      <c r="Q102" s="1589"/>
      <c r="R102" s="1589"/>
      <c r="S102" s="1589"/>
      <c r="T102" s="1589"/>
      <c r="U102" s="1589"/>
      <c r="V102" s="1589"/>
      <c r="W102" s="1589"/>
      <c r="X102" s="1589"/>
      <c r="Y102" s="1589"/>
      <c r="Z102" s="1589"/>
      <c r="AA102" s="1589"/>
      <c r="AB102" s="1589"/>
      <c r="AC102" s="1589"/>
      <c r="AD102" s="1589"/>
      <c r="AE102" s="1589"/>
      <c r="AF102" s="1589"/>
      <c r="AG102" s="1589"/>
      <c r="AH102" s="1589"/>
      <c r="AI102" s="884"/>
      <c r="AJ102" s="884"/>
      <c r="AK102" s="884"/>
      <c r="AL102" s="884"/>
    </row>
    <row r="103" spans="1:45" ht="14.5" customHeight="1">
      <c r="A103" s="467"/>
      <c r="B103" s="704"/>
      <c r="C103" s="704"/>
      <c r="D103" s="704"/>
      <c r="E103" s="704"/>
      <c r="F103" s="704"/>
      <c r="G103" s="704"/>
      <c r="H103" s="704"/>
      <c r="I103" s="704"/>
      <c r="J103" s="704"/>
      <c r="K103" s="704"/>
      <c r="L103" s="704"/>
      <c r="M103" s="704"/>
      <c r="N103" s="704"/>
      <c r="O103" s="704"/>
      <c r="P103" s="704"/>
      <c r="Q103" s="704"/>
      <c r="R103" s="704"/>
      <c r="S103" s="704"/>
      <c r="T103" s="704"/>
      <c r="U103" s="704"/>
      <c r="V103" s="704"/>
      <c r="W103" s="704"/>
      <c r="X103" s="704"/>
      <c r="Y103" s="704"/>
      <c r="Z103" s="704"/>
      <c r="AA103" s="704"/>
      <c r="AB103" s="704"/>
      <c r="AC103" s="693"/>
      <c r="AD103" s="691"/>
      <c r="AE103" s="683"/>
      <c r="AF103" s="684"/>
      <c r="AG103" s="684"/>
    </row>
    <row r="104" spans="1:45" ht="33.5">
      <c r="A104" s="467"/>
      <c r="B104" s="672" t="s">
        <v>671</v>
      </c>
      <c r="C104" s="671"/>
      <c r="D104" s="672" t="s">
        <v>672</v>
      </c>
      <c r="E104" s="671"/>
      <c r="F104" s="672" t="s">
        <v>674</v>
      </c>
      <c r="G104" s="671"/>
      <c r="H104" s="671"/>
      <c r="I104" s="672" t="s">
        <v>677</v>
      </c>
      <c r="J104" s="671"/>
      <c r="K104" s="672" t="s">
        <v>678</v>
      </c>
      <c r="L104" s="671"/>
      <c r="M104" s="672" t="s">
        <v>679</v>
      </c>
      <c r="N104" s="671"/>
      <c r="O104" s="672" t="s">
        <v>680</v>
      </c>
      <c r="P104" s="671"/>
      <c r="Q104" s="672" t="s">
        <v>681</v>
      </c>
      <c r="R104" s="671"/>
      <c r="S104" s="672" t="s">
        <v>682</v>
      </c>
      <c r="T104" s="671"/>
      <c r="U104" s="672" t="s">
        <v>683</v>
      </c>
      <c r="V104" s="671"/>
      <c r="W104" s="672" t="s">
        <v>684</v>
      </c>
      <c r="X104" s="690"/>
      <c r="Y104" s="691"/>
      <c r="Z104" s="684"/>
      <c r="AA104" s="684"/>
      <c r="AB104" s="684"/>
    </row>
    <row r="105" spans="1:45" ht="33.5">
      <c r="A105" s="467"/>
      <c r="B105" s="700"/>
      <c r="C105" s="686"/>
      <c r="D105" s="700"/>
      <c r="E105" s="690"/>
      <c r="F105" s="700"/>
      <c r="G105" s="690"/>
      <c r="H105" s="690"/>
      <c r="I105" s="700"/>
      <c r="J105" s="690"/>
      <c r="K105" s="700"/>
      <c r="L105" s="701"/>
      <c r="M105" s="700"/>
      <c r="N105" s="701"/>
      <c r="O105" s="700"/>
      <c r="P105" s="690"/>
      <c r="Q105" s="700"/>
      <c r="R105" s="690"/>
      <c r="S105" s="700"/>
      <c r="T105" s="690"/>
      <c r="U105" s="700"/>
      <c r="V105" s="690"/>
      <c r="W105" s="700"/>
      <c r="X105" s="690"/>
      <c r="Y105" s="691"/>
      <c r="Z105" s="684"/>
      <c r="AA105" s="684"/>
      <c r="AB105" s="684"/>
    </row>
    <row r="106" spans="1:45" ht="15.5" customHeight="1" thickBot="1">
      <c r="A106" s="467"/>
      <c r="B106" s="702"/>
      <c r="C106" s="690"/>
      <c r="D106" s="702"/>
      <c r="E106" s="690"/>
      <c r="F106" s="702"/>
      <c r="G106" s="690"/>
      <c r="H106" s="690"/>
      <c r="I106" s="702"/>
      <c r="J106" s="690"/>
      <c r="K106" s="702"/>
      <c r="L106" s="690"/>
      <c r="M106" s="702"/>
      <c r="N106" s="690"/>
      <c r="O106" s="702"/>
      <c r="P106" s="690"/>
      <c r="Q106" s="702"/>
      <c r="R106" s="690"/>
      <c r="S106" s="702"/>
      <c r="T106" s="690"/>
      <c r="U106" s="702"/>
      <c r="V106" s="690"/>
      <c r="W106" s="702"/>
      <c r="X106" s="690"/>
      <c r="Y106" s="691"/>
      <c r="Z106" s="684"/>
      <c r="AA106" s="684"/>
      <c r="AB106" s="684"/>
    </row>
    <row r="107" spans="1:45" ht="100" customHeight="1" thickBot="1">
      <c r="A107" s="467"/>
      <c r="B107" s="679"/>
      <c r="C107" s="695">
        <v>341.66800000000001</v>
      </c>
      <c r="D107" s="679"/>
      <c r="E107" s="695">
        <v>425.863</v>
      </c>
      <c r="F107" s="679"/>
      <c r="G107" s="695">
        <v>370.45</v>
      </c>
      <c r="H107" s="695">
        <v>397.61</v>
      </c>
      <c r="I107" s="679"/>
      <c r="J107" s="695">
        <v>413.4</v>
      </c>
      <c r="K107" s="679"/>
      <c r="L107" s="678">
        <v>423.65</v>
      </c>
      <c r="M107" s="679"/>
      <c r="N107" s="695">
        <v>415.97</v>
      </c>
      <c r="O107" s="679"/>
      <c r="P107" s="695">
        <v>415.35</v>
      </c>
      <c r="Q107" s="679"/>
      <c r="R107" s="678">
        <v>394.875</v>
      </c>
      <c r="S107" s="1042" t="s">
        <v>390</v>
      </c>
      <c r="T107" s="678">
        <v>429.62</v>
      </c>
      <c r="U107" s="679"/>
      <c r="V107" s="678">
        <v>381.90499999999997</v>
      </c>
      <c r="W107" s="679"/>
      <c r="X107" s="678">
        <v>405.26</v>
      </c>
      <c r="Y107" s="691"/>
      <c r="Z107" s="684"/>
      <c r="AA107" s="684"/>
      <c r="AB107" s="684"/>
      <c r="AH107" s="871">
        <f>COUNTIF(B107:W107,"U/P")</f>
        <v>1</v>
      </c>
      <c r="AI107" s="871">
        <f>COUNTIF(C107:X107,"ROW")</f>
        <v>0</v>
      </c>
      <c r="AJ107" s="871">
        <f>COUNTIF(D107:Y107,"C")</f>
        <v>0</v>
      </c>
      <c r="AM107" s="871">
        <f>COUNTIF(B107:AB107,"U/P")</f>
        <v>1</v>
      </c>
      <c r="AN107" s="871">
        <f>COUNTIF(C107:AC107,"ROW")</f>
        <v>0</v>
      </c>
      <c r="AO107" s="871">
        <f>COUNTIF(D107:AD107,"C")</f>
        <v>0</v>
      </c>
    </row>
    <row r="108" spans="1:45" ht="34" thickBot="1">
      <c r="A108" s="467"/>
      <c r="B108" s="698"/>
      <c r="C108" s="690"/>
      <c r="D108" s="698"/>
      <c r="E108" s="690"/>
      <c r="F108" s="698"/>
      <c r="G108" s="690"/>
      <c r="H108" s="690"/>
      <c r="I108" s="698"/>
      <c r="J108" s="690"/>
      <c r="K108" s="698"/>
      <c r="L108" s="690"/>
      <c r="M108" s="698"/>
      <c r="N108" s="690"/>
      <c r="O108" s="698"/>
      <c r="P108" s="690"/>
      <c r="Q108" s="698"/>
      <c r="R108" s="690"/>
      <c r="S108" s="772" t="s">
        <v>228</v>
      </c>
      <c r="T108" s="690"/>
      <c r="U108" s="698"/>
      <c r="V108" s="690"/>
      <c r="W108" s="698"/>
      <c r="X108" s="690"/>
      <c r="Y108" s="691"/>
      <c r="Z108" s="684"/>
      <c r="AA108" s="684"/>
      <c r="AB108" s="684"/>
    </row>
    <row r="109" spans="1:45" ht="33.5">
      <c r="A109" s="467"/>
      <c r="B109" s="686" t="s">
        <v>182</v>
      </c>
      <c r="C109" s="686"/>
      <c r="D109" s="686" t="s">
        <v>242</v>
      </c>
      <c r="E109" s="686"/>
      <c r="F109" s="687" t="s">
        <v>143</v>
      </c>
      <c r="G109" s="686"/>
      <c r="H109" s="686"/>
      <c r="I109" s="687" t="s">
        <v>119</v>
      </c>
      <c r="J109" s="686"/>
      <c r="K109" s="686" t="s">
        <v>248</v>
      </c>
      <c r="L109" s="686"/>
      <c r="M109" s="686" t="s">
        <v>182</v>
      </c>
      <c r="N109" s="686"/>
      <c r="O109" s="686" t="s">
        <v>248</v>
      </c>
      <c r="P109" s="686"/>
      <c r="Q109" s="687" t="s">
        <v>137</v>
      </c>
      <c r="R109" s="686"/>
      <c r="S109" s="686" t="s">
        <v>248</v>
      </c>
      <c r="T109" s="686"/>
      <c r="U109" s="716" t="s">
        <v>1273</v>
      </c>
      <c r="V109" s="686"/>
      <c r="W109" s="686" t="s">
        <v>248</v>
      </c>
      <c r="X109" s="690"/>
      <c r="Y109" s="691"/>
      <c r="Z109" s="684"/>
      <c r="AA109" s="684"/>
      <c r="AB109" s="684"/>
    </row>
    <row r="110" spans="1:45" ht="69" customHeight="1">
      <c r="A110" s="467"/>
      <c r="B110" s="686"/>
      <c r="C110" s="686"/>
      <c r="D110" s="686"/>
      <c r="E110" s="686"/>
      <c r="F110" s="686"/>
      <c r="G110" s="686"/>
      <c r="H110" s="686"/>
      <c r="I110" s="686"/>
      <c r="J110" s="686"/>
      <c r="K110" s="686"/>
      <c r="L110" s="686"/>
      <c r="M110" s="717" t="s">
        <v>1686</v>
      </c>
      <c r="N110" s="686"/>
      <c r="O110" s="686"/>
      <c r="P110" s="686"/>
      <c r="Q110" s="686"/>
      <c r="R110" s="717" t="s">
        <v>1622</v>
      </c>
      <c r="S110" s="686"/>
      <c r="T110" s="686"/>
      <c r="U110" s="686"/>
      <c r="V110" s="686"/>
      <c r="W110" s="1593" t="s">
        <v>1621</v>
      </c>
      <c r="X110" s="1593"/>
      <c r="Y110" s="1593"/>
      <c r="Z110" s="717"/>
      <c r="AA110" s="686"/>
      <c r="AB110" s="718"/>
      <c r="AC110" s="690"/>
      <c r="AD110" s="691"/>
      <c r="AE110" s="684"/>
      <c r="AF110" s="684"/>
      <c r="AG110" s="684"/>
    </row>
    <row r="111" spans="1:45" ht="41" customHeight="1">
      <c r="A111" s="1588" t="s">
        <v>1518</v>
      </c>
      <c r="B111" s="1589"/>
      <c r="C111" s="1589"/>
      <c r="D111" s="1589"/>
      <c r="E111" s="1589"/>
      <c r="F111" s="1589"/>
      <c r="G111" s="1589"/>
      <c r="H111" s="1589"/>
      <c r="I111" s="1589"/>
      <c r="J111" s="1589"/>
      <c r="K111" s="1589"/>
      <c r="L111" s="1589"/>
      <c r="M111" s="1589"/>
      <c r="N111" s="1589"/>
      <c r="O111" s="1589"/>
      <c r="P111" s="1589"/>
      <c r="Q111" s="1589"/>
      <c r="R111" s="1589"/>
      <c r="S111" s="1589"/>
      <c r="T111" s="1589"/>
      <c r="U111" s="1589"/>
      <c r="V111" s="1589"/>
      <c r="W111" s="1589"/>
      <c r="X111" s="1589"/>
      <c r="Y111" s="1589"/>
      <c r="Z111" s="1589"/>
      <c r="AA111" s="1589"/>
      <c r="AB111" s="1589"/>
      <c r="AC111" s="1589"/>
      <c r="AD111" s="1589"/>
      <c r="AE111" s="1589"/>
      <c r="AF111" s="1589"/>
      <c r="AG111" s="1589"/>
      <c r="AH111" s="1589"/>
      <c r="AI111" s="881"/>
      <c r="AJ111" s="881"/>
      <c r="AK111" s="881"/>
      <c r="AL111" s="881"/>
    </row>
    <row r="112" spans="1:45" ht="67" customHeight="1">
      <c r="A112" s="467"/>
      <c r="B112" s="672" t="s">
        <v>685</v>
      </c>
      <c r="C112" s="671"/>
      <c r="D112" s="672" t="s">
        <v>686</v>
      </c>
      <c r="E112" s="671"/>
      <c r="F112" s="672" t="s">
        <v>687</v>
      </c>
      <c r="G112" s="671"/>
      <c r="H112" s="672" t="s">
        <v>688</v>
      </c>
      <c r="I112" s="671"/>
      <c r="J112" s="672" t="s">
        <v>689</v>
      </c>
      <c r="K112" s="719" t="s">
        <v>1512</v>
      </c>
      <c r="L112" s="1592" t="s">
        <v>690</v>
      </c>
      <c r="M112" s="1592"/>
      <c r="N112" s="672" t="s">
        <v>691</v>
      </c>
      <c r="O112" s="671"/>
      <c r="P112" s="1592" t="s">
        <v>692</v>
      </c>
      <c r="Q112" s="1592"/>
      <c r="R112" s="672" t="s">
        <v>693</v>
      </c>
      <c r="S112" s="671"/>
      <c r="T112" s="672" t="s">
        <v>694</v>
      </c>
      <c r="U112" s="671"/>
      <c r="V112" s="672" t="s">
        <v>695</v>
      </c>
      <c r="W112" s="671"/>
      <c r="X112" s="672" t="s">
        <v>696</v>
      </c>
      <c r="Y112" s="671"/>
      <c r="Z112" s="1592" t="s">
        <v>697</v>
      </c>
      <c r="AA112" s="1592"/>
      <c r="AB112" s="672" t="s">
        <v>698</v>
      </c>
      <c r="AC112" s="690"/>
      <c r="AD112" s="691"/>
      <c r="AE112" s="684"/>
      <c r="AF112" s="684"/>
      <c r="AG112" s="684"/>
    </row>
    <row r="113" spans="1:41" ht="33.5">
      <c r="A113" s="467"/>
      <c r="B113" s="700"/>
      <c r="C113" s="690"/>
      <c r="D113" s="700"/>
      <c r="E113" s="690"/>
      <c r="F113" s="700"/>
      <c r="G113" s="690"/>
      <c r="H113" s="700"/>
      <c r="I113" s="690"/>
      <c r="J113" s="700"/>
      <c r="K113" s="690"/>
      <c r="L113" s="700"/>
      <c r="M113" s="690"/>
      <c r="N113" s="700"/>
      <c r="O113" s="690"/>
      <c r="P113" s="700"/>
      <c r="Q113" s="690"/>
      <c r="R113" s="700"/>
      <c r="S113" s="690"/>
      <c r="T113" s="700"/>
      <c r="U113" s="690"/>
      <c r="V113" s="700"/>
      <c r="W113" s="690"/>
      <c r="X113" s="700"/>
      <c r="Y113" s="690"/>
      <c r="Z113" s="700"/>
      <c r="AA113" s="690"/>
      <c r="AB113" s="700"/>
      <c r="AC113" s="690"/>
      <c r="AD113" s="691"/>
      <c r="AE113" s="684"/>
      <c r="AF113" s="684"/>
      <c r="AG113" s="684"/>
    </row>
    <row r="114" spans="1:41" ht="14" customHeight="1" thickBot="1">
      <c r="A114" s="467"/>
      <c r="B114" s="702"/>
      <c r="C114" s="690"/>
      <c r="D114" s="702"/>
      <c r="E114" s="690"/>
      <c r="F114" s="702"/>
      <c r="G114" s="690"/>
      <c r="H114" s="702"/>
      <c r="I114" s="690"/>
      <c r="J114" s="702"/>
      <c r="K114" s="690"/>
      <c r="L114" s="702"/>
      <c r="M114" s="690"/>
      <c r="N114" s="702"/>
      <c r="O114" s="690"/>
      <c r="P114" s="702"/>
      <c r="Q114" s="690"/>
      <c r="R114" s="702"/>
      <c r="S114" s="690"/>
      <c r="T114" s="702"/>
      <c r="U114" s="690"/>
      <c r="V114" s="702"/>
      <c r="W114" s="690"/>
      <c r="X114" s="702"/>
      <c r="Y114" s="690"/>
      <c r="Z114" s="702"/>
      <c r="AA114" s="690"/>
      <c r="AB114" s="702"/>
      <c r="AC114" s="690"/>
      <c r="AD114" s="691"/>
      <c r="AE114" s="684"/>
      <c r="AF114" s="684"/>
      <c r="AG114" s="684"/>
    </row>
    <row r="115" spans="1:41" ht="100" customHeight="1" thickBot="1">
      <c r="A115" s="467"/>
      <c r="B115" s="679"/>
      <c r="C115" s="695">
        <v>338.15600000000001</v>
      </c>
      <c r="D115" s="679"/>
      <c r="E115" s="695">
        <v>288.303</v>
      </c>
      <c r="F115" s="679"/>
      <c r="G115" s="695">
        <v>297.14999999999998</v>
      </c>
      <c r="H115" s="679"/>
      <c r="I115" s="695">
        <v>195.90299999999999</v>
      </c>
      <c r="J115" s="679"/>
      <c r="K115" s="695">
        <v>249.66</v>
      </c>
      <c r="L115" s="679"/>
      <c r="M115" s="695">
        <v>374.48</v>
      </c>
      <c r="N115" s="679"/>
      <c r="O115" s="695">
        <v>430.3</v>
      </c>
      <c r="P115" s="679"/>
      <c r="Q115" s="695">
        <v>404.38600000000002</v>
      </c>
      <c r="R115" s="679"/>
      <c r="S115" s="695">
        <v>341.423</v>
      </c>
      <c r="T115" s="679"/>
      <c r="U115" s="695">
        <v>305.40100000000001</v>
      </c>
      <c r="V115" s="679"/>
      <c r="W115" s="695">
        <v>319.98099999999999</v>
      </c>
      <c r="X115" s="679"/>
      <c r="Y115" s="695">
        <v>345.62099999999998</v>
      </c>
      <c r="Z115" s="679"/>
      <c r="AA115" s="695">
        <v>223.15100000000001</v>
      </c>
      <c r="AB115" s="679"/>
      <c r="AC115" s="695">
        <v>393.81700000000001</v>
      </c>
      <c r="AD115" s="691"/>
      <c r="AE115" s="684"/>
      <c r="AF115" s="684"/>
      <c r="AG115" s="684"/>
      <c r="AM115" s="871">
        <f>COUNTIF(B115:AB115,"U/P")</f>
        <v>0</v>
      </c>
      <c r="AN115" s="871">
        <f>COUNTIF(C115:AC115,"ROW")</f>
        <v>0</v>
      </c>
      <c r="AO115" s="871">
        <f>COUNTIF(D115:AD115,"C")</f>
        <v>0</v>
      </c>
    </row>
    <row r="116" spans="1:41" ht="34" thickBot="1">
      <c r="A116" s="467"/>
      <c r="B116" s="698"/>
      <c r="C116" s="690"/>
      <c r="D116" s="698"/>
      <c r="E116" s="690"/>
      <c r="F116" s="698"/>
      <c r="G116" s="690"/>
      <c r="H116" s="698"/>
      <c r="I116" s="690"/>
      <c r="J116" s="698"/>
      <c r="K116" s="690"/>
      <c r="L116" s="698"/>
      <c r="M116" s="690"/>
      <c r="N116" s="698"/>
      <c r="O116" s="690"/>
      <c r="P116" s="698"/>
      <c r="Q116" s="690"/>
      <c r="R116" s="698"/>
      <c r="S116" s="690"/>
      <c r="T116" s="698"/>
      <c r="U116" s="690"/>
      <c r="V116" s="698"/>
      <c r="W116" s="690"/>
      <c r="X116" s="698"/>
      <c r="Y116" s="690"/>
      <c r="Z116" s="698"/>
      <c r="AA116" s="690"/>
      <c r="AB116" s="698"/>
      <c r="AC116" s="690"/>
      <c r="AD116" s="691"/>
      <c r="AE116" s="684"/>
      <c r="AF116" s="684"/>
      <c r="AG116" s="684"/>
    </row>
    <row r="117" spans="1:41" ht="33.5">
      <c r="A117" s="467"/>
      <c r="B117" s="686" t="s">
        <v>248</v>
      </c>
      <c r="C117" s="686"/>
      <c r="D117" s="686" t="s">
        <v>182</v>
      </c>
      <c r="E117" s="686"/>
      <c r="F117" s="686" t="s">
        <v>185</v>
      </c>
      <c r="G117" s="686"/>
      <c r="H117" s="686" t="s">
        <v>182</v>
      </c>
      <c r="I117" s="686"/>
      <c r="J117" s="687" t="s">
        <v>128</v>
      </c>
      <c r="K117" s="686"/>
      <c r="L117" s="687" t="s">
        <v>132</v>
      </c>
      <c r="M117" s="686"/>
      <c r="N117" s="686" t="s">
        <v>248</v>
      </c>
      <c r="O117" s="686"/>
      <c r="P117" s="687" t="s">
        <v>147</v>
      </c>
      <c r="Q117" s="686"/>
      <c r="R117" s="686" t="s">
        <v>182</v>
      </c>
      <c r="S117" s="686"/>
      <c r="T117" s="686" t="s">
        <v>185</v>
      </c>
      <c r="U117" s="686"/>
      <c r="V117" s="686" t="s">
        <v>182</v>
      </c>
      <c r="W117" s="686"/>
      <c r="X117" s="686" t="s">
        <v>242</v>
      </c>
      <c r="Y117" s="686"/>
      <c r="Z117" s="687" t="s">
        <v>143</v>
      </c>
      <c r="AA117" s="686"/>
      <c r="AB117" s="687" t="s">
        <v>147</v>
      </c>
      <c r="AC117" s="690"/>
      <c r="AD117" s="691"/>
      <c r="AE117" s="684"/>
      <c r="AF117" s="684"/>
      <c r="AG117" s="684"/>
    </row>
    <row r="118" spans="1:41" ht="37.5" customHeight="1">
      <c r="A118" s="717" t="s">
        <v>1621</v>
      </c>
      <c r="C118" s="690"/>
      <c r="D118" s="717" t="s">
        <v>366</v>
      </c>
      <c r="E118" s="690"/>
      <c r="F118" s="717" t="s">
        <v>1623</v>
      </c>
      <c r="G118" s="690"/>
      <c r="H118" s="717" t="s">
        <v>366</v>
      </c>
      <c r="I118" s="690"/>
      <c r="J118" s="708"/>
      <c r="K118" s="690"/>
      <c r="L118" s="717" t="s">
        <v>1524</v>
      </c>
      <c r="M118" s="690"/>
      <c r="N118" s="717" t="s">
        <v>1524</v>
      </c>
      <c r="O118" s="690"/>
      <c r="P118" s="708"/>
      <c r="Q118" s="690"/>
      <c r="R118" s="708"/>
      <c r="S118" s="690"/>
      <c r="T118" s="708"/>
      <c r="U118" s="690"/>
      <c r="V118" s="708"/>
      <c r="W118" s="690"/>
      <c r="X118" s="708"/>
      <c r="Y118" s="690"/>
      <c r="Z118" s="708"/>
      <c r="AA118" s="690"/>
      <c r="AB118" s="708"/>
      <c r="AC118" s="690"/>
      <c r="AD118" s="691"/>
      <c r="AE118" s="684"/>
      <c r="AF118" s="684"/>
      <c r="AG118" s="684"/>
    </row>
    <row r="119" spans="1:41" ht="35" customHeight="1">
      <c r="A119" s="1588" t="s">
        <v>1518</v>
      </c>
      <c r="B119" s="1589"/>
      <c r="C119" s="1589"/>
      <c r="D119" s="1589"/>
      <c r="E119" s="1589"/>
      <c r="F119" s="1589"/>
      <c r="G119" s="1589"/>
      <c r="H119" s="1589"/>
      <c r="I119" s="1589"/>
      <c r="J119" s="1589"/>
      <c r="K119" s="1589"/>
      <c r="L119" s="1589"/>
      <c r="M119" s="1589"/>
      <c r="N119" s="1589"/>
      <c r="O119" s="1589"/>
      <c r="P119" s="1589"/>
      <c r="Q119" s="1587" t="s">
        <v>1714</v>
      </c>
      <c r="R119" s="1587"/>
      <c r="S119" s="1587"/>
      <c r="T119" s="1587"/>
      <c r="U119" s="1587"/>
      <c r="V119" s="1587"/>
      <c r="W119" s="1587"/>
      <c r="X119" s="1587"/>
      <c r="Y119" s="1587"/>
      <c r="Z119" s="1587"/>
      <c r="AA119" s="1587"/>
      <c r="AB119" s="1587"/>
      <c r="AC119" s="1587"/>
      <c r="AD119" s="1587"/>
      <c r="AE119" s="1587"/>
      <c r="AF119" s="1587"/>
      <c r="AG119" s="1025"/>
      <c r="AH119" s="1025"/>
      <c r="AI119" s="884"/>
      <c r="AJ119" s="884"/>
      <c r="AK119" s="884"/>
      <c r="AL119" s="884"/>
    </row>
    <row r="120" spans="1:41" ht="31" customHeight="1">
      <c r="A120" s="467"/>
      <c r="B120" s="672" t="s">
        <v>699</v>
      </c>
      <c r="C120" s="671"/>
      <c r="D120" s="672" t="s">
        <v>700</v>
      </c>
      <c r="E120" s="671"/>
      <c r="F120" s="672" t="s">
        <v>701</v>
      </c>
      <c r="G120" s="671"/>
      <c r="H120" s="672" t="s">
        <v>702</v>
      </c>
      <c r="I120" s="671"/>
      <c r="J120" s="672" t="s">
        <v>1275</v>
      </c>
      <c r="K120" s="671"/>
      <c r="L120" s="672" t="s">
        <v>310</v>
      </c>
      <c r="M120" s="671"/>
      <c r="N120" s="672" t="s">
        <v>272</v>
      </c>
      <c r="O120" s="671"/>
      <c r="P120" s="672" t="s">
        <v>273</v>
      </c>
      <c r="Q120" s="671"/>
      <c r="R120" s="672" t="s">
        <v>311</v>
      </c>
      <c r="S120" s="671"/>
      <c r="T120" s="672" t="s">
        <v>312</v>
      </c>
      <c r="U120" s="671"/>
      <c r="V120" s="672" t="s">
        <v>313</v>
      </c>
      <c r="W120" s="671"/>
      <c r="X120" s="672" t="s">
        <v>314</v>
      </c>
      <c r="Y120" s="673" t="s">
        <v>1513</v>
      </c>
      <c r="Z120" s="672" t="s">
        <v>315</v>
      </c>
      <c r="AA120" s="671"/>
      <c r="AB120" s="672" t="s">
        <v>316</v>
      </c>
      <c r="AC120" s="690"/>
      <c r="AD120" s="708"/>
      <c r="AE120" s="711"/>
      <c r="AF120" s="711"/>
      <c r="AG120" s="711"/>
      <c r="AH120" s="708"/>
      <c r="AI120" s="708"/>
      <c r="AJ120" s="708"/>
      <c r="AK120" s="708"/>
      <c r="AL120" s="708"/>
    </row>
    <row r="121" spans="1:41" ht="33.5">
      <c r="A121" s="467"/>
      <c r="B121" s="700"/>
      <c r="C121" s="690"/>
      <c r="D121" s="700"/>
      <c r="E121" s="690"/>
      <c r="F121" s="700"/>
      <c r="G121" s="690"/>
      <c r="H121" s="700"/>
      <c r="I121" s="690"/>
      <c r="J121" s="700"/>
      <c r="K121" s="690"/>
      <c r="L121" s="700"/>
      <c r="M121" s="690"/>
      <c r="N121" s="700"/>
      <c r="O121" s="690"/>
      <c r="P121" s="700"/>
      <c r="Q121" s="690"/>
      <c r="R121" s="700"/>
      <c r="S121" s="690"/>
      <c r="T121" s="700"/>
      <c r="U121" s="690"/>
      <c r="V121" s="700"/>
      <c r="W121" s="690"/>
      <c r="X121" s="700"/>
      <c r="Y121" s="701"/>
      <c r="Z121" s="700"/>
      <c r="AA121" s="701"/>
      <c r="AB121" s="700"/>
      <c r="AC121" s="690"/>
      <c r="AD121" s="708"/>
      <c r="AE121" s="711"/>
      <c r="AF121" s="711"/>
      <c r="AG121" s="711"/>
      <c r="AH121" s="708"/>
      <c r="AI121" s="708"/>
      <c r="AJ121" s="708"/>
      <c r="AK121" s="708"/>
      <c r="AL121" s="708"/>
    </row>
    <row r="122" spans="1:41" ht="13" customHeight="1" thickBot="1">
      <c r="A122" s="467"/>
      <c r="B122" s="702"/>
      <c r="C122" s="690"/>
      <c r="D122" s="702"/>
      <c r="E122" s="690"/>
      <c r="F122" s="702"/>
      <c r="G122" s="690"/>
      <c r="H122" s="702"/>
      <c r="I122" s="690"/>
      <c r="J122" s="702"/>
      <c r="K122" s="690"/>
      <c r="L122" s="702"/>
      <c r="M122" s="690"/>
      <c r="N122" s="702"/>
      <c r="O122" s="690"/>
      <c r="P122" s="702"/>
      <c r="Q122" s="690"/>
      <c r="R122" s="702"/>
      <c r="S122" s="690"/>
      <c r="T122" s="702"/>
      <c r="U122" s="690"/>
      <c r="V122" s="702"/>
      <c r="W122" s="690"/>
      <c r="X122" s="702"/>
      <c r="Y122" s="690"/>
      <c r="Z122" s="702"/>
      <c r="AA122" s="690"/>
      <c r="AB122" s="702"/>
      <c r="AC122" s="690"/>
      <c r="AD122" s="708"/>
      <c r="AE122" s="711"/>
      <c r="AF122" s="711"/>
      <c r="AG122" s="711"/>
      <c r="AH122" s="708"/>
      <c r="AI122" s="708"/>
      <c r="AJ122" s="708"/>
      <c r="AK122" s="708"/>
      <c r="AL122" s="708"/>
    </row>
    <row r="123" spans="1:41" ht="100" customHeight="1" thickBot="1">
      <c r="A123" s="467"/>
      <c r="B123" s="679"/>
      <c r="C123" s="695">
        <v>435.13600000000002</v>
      </c>
      <c r="D123" s="679" t="s">
        <v>390</v>
      </c>
      <c r="E123" s="695">
        <v>403.209</v>
      </c>
      <c r="F123" s="721"/>
      <c r="G123" s="695">
        <v>422.55399999999997</v>
      </c>
      <c r="H123" s="679"/>
      <c r="I123" s="695">
        <v>353.48399999999998</v>
      </c>
      <c r="J123" s="679"/>
      <c r="K123" s="695">
        <v>274.89999999999998</v>
      </c>
      <c r="L123" s="679"/>
      <c r="M123" s="695">
        <v>465.03300000000002</v>
      </c>
      <c r="N123" s="720"/>
      <c r="O123" s="695">
        <v>373.98</v>
      </c>
      <c r="P123" s="721"/>
      <c r="Q123" s="695">
        <v>416.86399999999998</v>
      </c>
      <c r="R123" s="721"/>
      <c r="S123" s="695">
        <v>381.01900000000001</v>
      </c>
      <c r="T123" s="679"/>
      <c r="U123" s="695">
        <v>391.52</v>
      </c>
      <c r="V123" s="679"/>
      <c r="W123" s="695">
        <v>374.93</v>
      </c>
      <c r="X123" s="679"/>
      <c r="Y123" s="678">
        <v>248.57</v>
      </c>
      <c r="Z123" s="679"/>
      <c r="AA123" s="695">
        <v>384.17</v>
      </c>
      <c r="AB123" s="679"/>
      <c r="AC123" s="678">
        <v>330.76</v>
      </c>
      <c r="AD123" s="708"/>
      <c r="AE123" s="711"/>
      <c r="AF123" s="711"/>
      <c r="AG123" s="711"/>
      <c r="AH123" s="708"/>
      <c r="AI123" s="708"/>
      <c r="AJ123" s="708"/>
      <c r="AK123" s="708"/>
      <c r="AL123" s="708"/>
      <c r="AM123" s="871">
        <f>COUNTIF(B123:AB123,"U/P")</f>
        <v>1</v>
      </c>
      <c r="AN123" s="871">
        <f>COUNTIF(C123:AC123,"ROW")</f>
        <v>0</v>
      </c>
      <c r="AO123" s="871">
        <f>COUNTIF(D123:AD123,"C")</f>
        <v>0</v>
      </c>
    </row>
    <row r="124" spans="1:41" ht="34" thickBot="1">
      <c r="A124" s="467"/>
      <c r="B124" s="698"/>
      <c r="C124" s="690"/>
      <c r="D124" s="772" t="s">
        <v>228</v>
      </c>
      <c r="E124" s="690"/>
      <c r="F124" s="698"/>
      <c r="G124" s="690"/>
      <c r="H124" s="698"/>
      <c r="I124" s="690"/>
      <c r="J124" s="698"/>
      <c r="K124" s="690"/>
      <c r="L124" s="698"/>
      <c r="M124" s="690"/>
      <c r="N124" s="698"/>
      <c r="O124" s="690"/>
      <c r="P124" s="698"/>
      <c r="Q124" s="690"/>
      <c r="R124" s="698"/>
      <c r="S124" s="690"/>
      <c r="T124" s="698"/>
      <c r="U124" s="690"/>
      <c r="V124" s="698"/>
      <c r="W124" s="690"/>
      <c r="X124" s="698"/>
      <c r="Y124" s="690"/>
      <c r="Z124" s="698"/>
      <c r="AA124" s="690"/>
      <c r="AB124" s="698"/>
      <c r="AC124" s="690"/>
      <c r="AD124" s="708"/>
      <c r="AE124" s="711"/>
      <c r="AF124" s="711"/>
      <c r="AG124" s="711"/>
      <c r="AH124" s="708"/>
      <c r="AI124" s="708"/>
      <c r="AJ124" s="708"/>
      <c r="AK124" s="708"/>
      <c r="AL124" s="708"/>
    </row>
    <row r="125" spans="1:41" ht="33.5">
      <c r="A125" s="467"/>
      <c r="B125" s="703" t="s">
        <v>248</v>
      </c>
      <c r="C125" s="686"/>
      <c r="D125" s="703" t="s">
        <v>248</v>
      </c>
      <c r="E125" s="686"/>
      <c r="F125" s="687" t="s">
        <v>143</v>
      </c>
      <c r="G125" s="686"/>
      <c r="H125" s="687" t="s">
        <v>143</v>
      </c>
      <c r="I125" s="686"/>
      <c r="J125" s="687" t="s">
        <v>147</v>
      </c>
      <c r="K125" s="686"/>
      <c r="L125" s="687" t="s">
        <v>117</v>
      </c>
      <c r="M125" s="686"/>
      <c r="N125" s="703" t="s">
        <v>185</v>
      </c>
      <c r="O125" s="686"/>
      <c r="P125" s="703" t="s">
        <v>182</v>
      </c>
      <c r="Q125" s="686"/>
      <c r="R125" s="703" t="s">
        <v>185</v>
      </c>
      <c r="S125" s="686"/>
      <c r="T125" s="687" t="s">
        <v>119</v>
      </c>
      <c r="U125" s="686"/>
      <c r="V125" s="703" t="s">
        <v>242</v>
      </c>
      <c r="W125" s="686"/>
      <c r="X125" s="687" t="s">
        <v>125</v>
      </c>
      <c r="Y125" s="686"/>
      <c r="Z125" s="687" t="s">
        <v>115</v>
      </c>
      <c r="AA125" s="686"/>
      <c r="AB125" s="703" t="s">
        <v>185</v>
      </c>
      <c r="AC125" s="690"/>
      <c r="AD125" s="708"/>
      <c r="AE125" s="711"/>
      <c r="AF125" s="711"/>
      <c r="AG125" s="711"/>
      <c r="AH125" s="708"/>
      <c r="AI125" s="708"/>
      <c r="AJ125" s="708"/>
      <c r="AK125" s="708"/>
      <c r="AL125" s="708"/>
    </row>
    <row r="126" spans="1:41" ht="33.5">
      <c r="A126" s="467"/>
      <c r="B126" s="703"/>
      <c r="C126" s="686"/>
      <c r="D126" s="703"/>
      <c r="E126" s="686"/>
      <c r="F126" s="703"/>
      <c r="G126" s="686"/>
      <c r="H126" s="703"/>
      <c r="I126" s="686"/>
      <c r="J126" s="717" t="s">
        <v>1524</v>
      </c>
      <c r="K126" s="686"/>
      <c r="L126" s="703"/>
      <c r="M126" s="686"/>
      <c r="N126" s="703"/>
      <c r="O126" s="686"/>
      <c r="P126" s="703"/>
      <c r="Q126" s="686"/>
      <c r="R126" s="703"/>
      <c r="S126" s="686"/>
      <c r="T126" s="722" t="s">
        <v>1687</v>
      </c>
      <c r="U126" s="686"/>
      <c r="V126" s="722" t="s">
        <v>1624</v>
      </c>
      <c r="W126" s="686"/>
      <c r="X126" s="703"/>
      <c r="Y126" s="686"/>
      <c r="Z126" s="703"/>
      <c r="AA126" s="686"/>
      <c r="AB126" s="703"/>
      <c r="AC126" s="690"/>
      <c r="AD126" s="708"/>
      <c r="AE126" s="711"/>
      <c r="AF126" s="711"/>
      <c r="AG126" s="711"/>
      <c r="AH126" s="708"/>
      <c r="AI126" s="708"/>
      <c r="AJ126" s="708"/>
      <c r="AK126" s="708"/>
      <c r="AL126" s="708"/>
    </row>
    <row r="127" spans="1:41" ht="38.5" customHeight="1">
      <c r="A127" s="1597" t="s">
        <v>1715</v>
      </c>
      <c r="B127" s="1598"/>
      <c r="C127" s="1598"/>
      <c r="D127" s="1598"/>
      <c r="E127" s="1598"/>
      <c r="F127" s="1599"/>
      <c r="G127" s="1579" t="s">
        <v>1525</v>
      </c>
      <c r="H127" s="1580"/>
      <c r="I127" s="1580"/>
      <c r="J127" s="1580"/>
      <c r="K127" s="1580"/>
      <c r="L127" s="1580"/>
      <c r="M127" s="1580"/>
      <c r="N127" s="1580"/>
      <c r="O127" s="1600"/>
      <c r="P127" s="723"/>
      <c r="Q127" s="723"/>
      <c r="R127" s="723"/>
      <c r="S127" s="1589" t="s">
        <v>1518</v>
      </c>
      <c r="T127" s="1589"/>
      <c r="U127" s="1589"/>
      <c r="V127" s="1589"/>
      <c r="W127" s="1589"/>
      <c r="X127" s="1589"/>
      <c r="Y127" s="1589"/>
      <c r="Z127" s="1589"/>
      <c r="AA127" s="1589"/>
      <c r="AB127" s="1589"/>
      <c r="AC127" s="1589"/>
      <c r="AD127" s="1589"/>
      <c r="AE127" s="1589"/>
      <c r="AF127" s="1589"/>
      <c r="AG127" s="1589"/>
      <c r="AH127" s="1589"/>
      <c r="AI127" s="881"/>
      <c r="AJ127" s="881"/>
      <c r="AK127" s="881"/>
      <c r="AL127" s="881"/>
    </row>
    <row r="128" spans="1:41" ht="14" customHeight="1">
      <c r="B128" s="724"/>
      <c r="C128" s="693"/>
      <c r="D128" s="724"/>
      <c r="E128" s="693"/>
      <c r="F128" s="724"/>
      <c r="G128" s="693"/>
      <c r="H128" s="724"/>
      <c r="I128" s="693"/>
      <c r="J128" s="724"/>
      <c r="K128" s="693"/>
      <c r="L128" s="724"/>
      <c r="M128" s="693"/>
      <c r="N128" s="724"/>
      <c r="O128" s="693"/>
      <c r="P128" s="724"/>
      <c r="Q128" s="693"/>
      <c r="R128" s="724"/>
      <c r="S128" s="693"/>
      <c r="T128" s="724"/>
      <c r="U128" s="693"/>
      <c r="V128" s="724"/>
      <c r="W128" s="693"/>
      <c r="X128" s="724"/>
      <c r="Y128" s="693"/>
      <c r="Z128" s="724"/>
      <c r="AA128" s="693"/>
      <c r="AB128" s="724"/>
      <c r="AC128" s="693"/>
      <c r="AD128" s="691"/>
      <c r="AE128" s="684"/>
      <c r="AF128" s="684"/>
      <c r="AG128" s="684"/>
    </row>
    <row r="129" spans="1:41" ht="67" customHeight="1">
      <c r="A129" s="467"/>
      <c r="B129" s="672" t="s">
        <v>320</v>
      </c>
      <c r="C129" s="671"/>
      <c r="D129" s="672" t="s">
        <v>321</v>
      </c>
      <c r="E129" s="671"/>
      <c r="F129" s="1592" t="s">
        <v>322</v>
      </c>
      <c r="G129" s="1592"/>
      <c r="H129" s="672" t="s">
        <v>323</v>
      </c>
      <c r="I129" s="672"/>
      <c r="J129" s="672" t="s">
        <v>324</v>
      </c>
      <c r="K129" s="671"/>
      <c r="L129" s="672" t="s">
        <v>325</v>
      </c>
      <c r="M129" s="671"/>
      <c r="N129" s="672" t="s">
        <v>326</v>
      </c>
      <c r="O129" s="671"/>
      <c r="P129" s="672" t="s">
        <v>327</v>
      </c>
      <c r="Q129" s="671"/>
      <c r="R129" s="672" t="s">
        <v>328</v>
      </c>
      <c r="S129" s="671"/>
      <c r="T129" s="1592" t="s">
        <v>329</v>
      </c>
      <c r="U129" s="1592"/>
      <c r="V129" s="1592" t="s">
        <v>333</v>
      </c>
      <c r="W129" s="1592"/>
      <c r="X129" s="672" t="s">
        <v>334</v>
      </c>
      <c r="Y129" s="671"/>
      <c r="Z129" s="672" t="s">
        <v>335</v>
      </c>
      <c r="AA129" s="671"/>
      <c r="AB129" s="672" t="s">
        <v>336</v>
      </c>
      <c r="AC129" s="690"/>
      <c r="AD129" s="691"/>
      <c r="AE129" s="684"/>
      <c r="AF129" s="684"/>
      <c r="AG129" s="684"/>
    </row>
    <row r="130" spans="1:41" ht="33.5">
      <c r="A130" s="467"/>
      <c r="B130" s="700"/>
      <c r="C130" s="701"/>
      <c r="D130" s="700"/>
      <c r="E130" s="701"/>
      <c r="F130" s="700"/>
      <c r="G130" s="701"/>
      <c r="H130" s="700"/>
      <c r="I130" s="725"/>
      <c r="J130" s="700"/>
      <c r="K130" s="726"/>
      <c r="L130" s="700"/>
      <c r="M130" s="686"/>
      <c r="N130" s="700"/>
      <c r="O130" s="690"/>
      <c r="P130" s="700"/>
      <c r="Q130" s="686"/>
      <c r="R130" s="700"/>
      <c r="S130" s="690"/>
      <c r="T130" s="700"/>
      <c r="U130" s="690"/>
      <c r="V130" s="700"/>
      <c r="W130" s="690"/>
      <c r="X130" s="700"/>
      <c r="Y130" s="686"/>
      <c r="Z130" s="700"/>
      <c r="AA130" s="686"/>
      <c r="AB130" s="700"/>
      <c r="AC130" s="690"/>
      <c r="AD130" s="691"/>
      <c r="AE130" s="684"/>
      <c r="AF130" s="684"/>
      <c r="AG130" s="684"/>
    </row>
    <row r="131" spans="1:41" ht="16.5" customHeight="1" thickBot="1">
      <c r="A131" s="467"/>
      <c r="B131" s="702"/>
      <c r="C131" s="690"/>
      <c r="D131" s="702"/>
      <c r="E131" s="690"/>
      <c r="F131" s="702"/>
      <c r="G131" s="690"/>
      <c r="H131" s="702"/>
      <c r="I131" s="690"/>
      <c r="J131" s="702"/>
      <c r="K131" s="690"/>
      <c r="L131" s="702" t="s">
        <v>71</v>
      </c>
      <c r="M131" s="690"/>
      <c r="N131" s="702"/>
      <c r="O131" s="690"/>
      <c r="P131" s="702"/>
      <c r="Q131" s="690"/>
      <c r="R131" s="702"/>
      <c r="S131" s="690"/>
      <c r="T131" s="702"/>
      <c r="U131" s="690"/>
      <c r="V131" s="702"/>
      <c r="W131" s="690"/>
      <c r="X131" s="702"/>
      <c r="Y131" s="690"/>
      <c r="Z131" s="702"/>
      <c r="AA131" s="690"/>
      <c r="AB131" s="702"/>
      <c r="AC131" s="690"/>
      <c r="AD131" s="691"/>
      <c r="AE131" s="684"/>
      <c r="AF131" s="684"/>
      <c r="AG131" s="684"/>
    </row>
    <row r="132" spans="1:41" ht="100" customHeight="1" thickBot="1">
      <c r="A132" s="467"/>
      <c r="B132" s="679" t="s">
        <v>71</v>
      </c>
      <c r="C132" s="695">
        <v>285.32</v>
      </c>
      <c r="D132" s="679"/>
      <c r="E132" s="695">
        <v>354.7</v>
      </c>
      <c r="F132" s="679"/>
      <c r="G132" s="695">
        <v>420.54</v>
      </c>
      <c r="H132" s="679"/>
      <c r="I132" s="695">
        <v>340.56</v>
      </c>
      <c r="J132" s="721"/>
      <c r="K132" s="695">
        <v>336.52</v>
      </c>
      <c r="L132" s="721"/>
      <c r="M132" s="695">
        <v>375.99</v>
      </c>
      <c r="N132" s="679"/>
      <c r="O132" s="678">
        <v>308.41000000000003</v>
      </c>
      <c r="P132" s="721"/>
      <c r="Q132" s="727">
        <v>444.84</v>
      </c>
      <c r="R132" s="721"/>
      <c r="S132" s="695">
        <v>392.02</v>
      </c>
      <c r="T132" s="721"/>
      <c r="U132" s="695">
        <v>407.803</v>
      </c>
      <c r="V132" s="721"/>
      <c r="W132" s="695">
        <v>206.06200000000001</v>
      </c>
      <c r="X132" s="721"/>
      <c r="Y132" s="678">
        <v>417.38400000000001</v>
      </c>
      <c r="Z132" s="679"/>
      <c r="AA132" s="695">
        <v>304.56400000000002</v>
      </c>
      <c r="AB132" s="679"/>
      <c r="AC132" s="678">
        <v>395.51</v>
      </c>
      <c r="AD132" s="691"/>
      <c r="AE132" s="684"/>
      <c r="AF132" s="684"/>
      <c r="AG132" s="684"/>
      <c r="AM132" s="871">
        <f>COUNTIF(B132:AB132,"U/P")</f>
        <v>0</v>
      </c>
      <c r="AN132" s="871">
        <f>COUNTIF(C132:AC132,"ROW")</f>
        <v>0</v>
      </c>
      <c r="AO132" s="871">
        <f>COUNTIF(B132:AD132,"C")</f>
        <v>1</v>
      </c>
    </row>
    <row r="133" spans="1:41" ht="34" thickBot="1">
      <c r="A133" s="467"/>
      <c r="B133" s="698"/>
      <c r="C133" s="690"/>
      <c r="D133" s="698"/>
      <c r="E133" s="690"/>
      <c r="F133" s="698"/>
      <c r="G133" s="690"/>
      <c r="H133" s="698"/>
      <c r="I133" s="690"/>
      <c r="J133" s="698"/>
      <c r="K133" s="690"/>
      <c r="L133" s="698"/>
      <c r="M133" s="690"/>
      <c r="N133" s="698"/>
      <c r="O133" s="690"/>
      <c r="P133" s="698"/>
      <c r="Q133" s="690"/>
      <c r="R133" s="698"/>
      <c r="S133" s="690"/>
      <c r="T133" s="698"/>
      <c r="U133" s="690"/>
      <c r="V133" s="698"/>
      <c r="W133" s="690"/>
      <c r="X133" s="698"/>
      <c r="Y133" s="690"/>
      <c r="Z133" s="698"/>
      <c r="AA133" s="690"/>
      <c r="AB133" s="698"/>
      <c r="AC133" s="690"/>
      <c r="AD133" s="691"/>
      <c r="AE133" s="684"/>
      <c r="AF133" s="684"/>
      <c r="AG133" s="684"/>
    </row>
    <row r="134" spans="1:41" ht="33.5">
      <c r="A134" s="467"/>
      <c r="B134" s="686" t="s">
        <v>242</v>
      </c>
      <c r="C134" s="686"/>
      <c r="D134" s="686" t="s">
        <v>185</v>
      </c>
      <c r="E134" s="686"/>
      <c r="F134" s="687" t="s">
        <v>117</v>
      </c>
      <c r="G134" s="686"/>
      <c r="H134" s="687" t="s">
        <v>132</v>
      </c>
      <c r="I134" s="686"/>
      <c r="J134" s="687" t="s">
        <v>132</v>
      </c>
      <c r="K134" s="686"/>
      <c r="L134" s="686" t="s">
        <v>182</v>
      </c>
      <c r="M134" s="686"/>
      <c r="N134" s="687" t="s">
        <v>132</v>
      </c>
      <c r="O134" s="686"/>
      <c r="P134" s="686" t="s">
        <v>242</v>
      </c>
      <c r="Q134" s="686"/>
      <c r="R134" s="686" t="s">
        <v>242</v>
      </c>
      <c r="S134" s="686"/>
      <c r="T134" s="687" t="s">
        <v>132</v>
      </c>
      <c r="U134" s="686"/>
      <c r="V134" s="687" t="s">
        <v>132</v>
      </c>
      <c r="W134" s="686"/>
      <c r="X134" s="687" t="s">
        <v>123</v>
      </c>
      <c r="Y134" s="686"/>
      <c r="Z134" s="702" t="s">
        <v>182</v>
      </c>
      <c r="AA134" s="686"/>
      <c r="AB134" s="687" t="s">
        <v>125</v>
      </c>
      <c r="AC134" s="690"/>
      <c r="AD134" s="691"/>
      <c r="AE134" s="684"/>
      <c r="AF134" s="684"/>
      <c r="AG134" s="684"/>
    </row>
    <row r="135" spans="1:41" ht="33.5">
      <c r="A135" s="467"/>
      <c r="B135" s="1013"/>
      <c r="C135" s="686"/>
      <c r="D135" s="722" t="s">
        <v>1625</v>
      </c>
      <c r="E135" s="686"/>
      <c r="F135" s="722" t="s">
        <v>1626</v>
      </c>
      <c r="G135" s="686"/>
      <c r="H135" s="722" t="s">
        <v>1688</v>
      </c>
      <c r="I135" s="686"/>
      <c r="J135" s="686"/>
      <c r="K135" s="686"/>
      <c r="L135" s="717" t="s">
        <v>1523</v>
      </c>
      <c r="M135" s="686"/>
      <c r="N135" s="686"/>
      <c r="O135" s="686"/>
      <c r="P135" s="686"/>
      <c r="Q135" s="686"/>
      <c r="R135" s="717" t="s">
        <v>1689</v>
      </c>
      <c r="S135" s="686"/>
      <c r="T135" s="717" t="s">
        <v>1689</v>
      </c>
      <c r="U135" s="717"/>
      <c r="V135" s="717"/>
      <c r="W135" s="686"/>
      <c r="X135" s="686"/>
      <c r="Y135" s="686"/>
      <c r="Z135" s="717" t="s">
        <v>366</v>
      </c>
      <c r="AA135" s="686"/>
      <c r="AB135" s="686"/>
      <c r="AC135" s="690"/>
      <c r="AD135" s="691"/>
      <c r="AE135" s="684"/>
      <c r="AF135" s="684"/>
      <c r="AG135" s="684"/>
    </row>
    <row r="136" spans="1:41" ht="36">
      <c r="A136" s="1588" t="s">
        <v>1518</v>
      </c>
      <c r="B136" s="1589"/>
      <c r="C136" s="1589"/>
      <c r="D136" s="1589"/>
      <c r="E136" s="1589"/>
      <c r="F136" s="1589"/>
      <c r="G136" s="1589"/>
      <c r="H136" s="1589"/>
      <c r="I136" s="1589"/>
      <c r="J136" s="1589"/>
      <c r="K136" s="829"/>
      <c r="L136" s="829"/>
      <c r="M136" s="829"/>
      <c r="N136" s="749" t="s">
        <v>228</v>
      </c>
      <c r="O136" s="829"/>
      <c r="P136" s="829"/>
      <c r="Q136" s="829"/>
      <c r="R136" s="829"/>
      <c r="S136" s="829"/>
      <c r="T136" s="829"/>
      <c r="U136" s="1589" t="s">
        <v>1518</v>
      </c>
      <c r="V136" s="1589"/>
      <c r="W136" s="1589"/>
      <c r="X136" s="1589"/>
      <c r="Y136" s="1589"/>
      <c r="Z136" s="1589"/>
      <c r="AA136" s="1589"/>
      <c r="AB136" s="1589"/>
      <c r="AC136" s="1589"/>
      <c r="AD136" s="1589"/>
      <c r="AE136" s="1589"/>
      <c r="AF136" s="1589"/>
      <c r="AG136" s="749"/>
      <c r="AH136" s="749"/>
      <c r="AI136" s="881"/>
      <c r="AJ136" s="881"/>
      <c r="AK136" s="881"/>
      <c r="AL136" s="881"/>
    </row>
    <row r="137" spans="1:41" ht="25" customHeight="1">
      <c r="A137" s="467"/>
      <c r="B137" s="708"/>
      <c r="C137" s="690"/>
      <c r="D137" s="708"/>
      <c r="E137" s="690"/>
      <c r="F137" s="708"/>
      <c r="G137" s="690"/>
      <c r="H137" s="708"/>
      <c r="I137" s="690"/>
      <c r="J137" s="708"/>
      <c r="K137" s="690"/>
      <c r="L137" s="708"/>
      <c r="M137" s="690"/>
      <c r="N137" s="708"/>
      <c r="O137" s="690"/>
      <c r="P137" s="708"/>
      <c r="Q137" s="690"/>
      <c r="R137" s="708"/>
      <c r="S137" s="690"/>
      <c r="T137" s="708"/>
      <c r="U137" s="690"/>
      <c r="V137" s="708"/>
      <c r="W137" s="690"/>
      <c r="X137" s="708"/>
      <c r="Y137" s="690"/>
      <c r="Z137" s="708"/>
      <c r="AA137" s="690"/>
      <c r="AB137" s="708"/>
      <c r="AC137" s="690"/>
      <c r="AD137" s="708"/>
      <c r="AE137" s="684"/>
      <c r="AF137" s="684"/>
      <c r="AG137" s="684"/>
    </row>
    <row r="138" spans="1:41" ht="33.5" customHeight="1">
      <c r="A138" s="467"/>
      <c r="B138" s="672" t="s">
        <v>337</v>
      </c>
      <c r="C138" s="671"/>
      <c r="D138" s="672" t="s">
        <v>338</v>
      </c>
      <c r="E138" s="671"/>
      <c r="F138" s="672" t="s">
        <v>339</v>
      </c>
      <c r="G138" s="728"/>
      <c r="H138" s="672" t="s">
        <v>340</v>
      </c>
      <c r="I138" s="671"/>
      <c r="J138" s="672" t="s">
        <v>281</v>
      </c>
      <c r="K138" s="671"/>
      <c r="L138" s="672" t="s">
        <v>341</v>
      </c>
      <c r="M138" s="671"/>
      <c r="N138" s="672" t="s">
        <v>346</v>
      </c>
      <c r="O138" s="671"/>
      <c r="P138" s="672" t="s">
        <v>347</v>
      </c>
      <c r="Q138" s="671"/>
      <c r="R138" s="672" t="s">
        <v>348</v>
      </c>
      <c r="S138" s="671"/>
      <c r="T138" s="672" t="s">
        <v>282</v>
      </c>
      <c r="U138" s="671"/>
      <c r="V138" s="672" t="s">
        <v>283</v>
      </c>
      <c r="W138" s="671"/>
      <c r="X138" s="672" t="s">
        <v>349</v>
      </c>
      <c r="Y138" s="671"/>
      <c r="Z138" s="672" t="s">
        <v>350</v>
      </c>
      <c r="AA138" s="671"/>
      <c r="AB138" s="672" t="s">
        <v>351</v>
      </c>
      <c r="AC138" s="690"/>
      <c r="AD138" s="708"/>
      <c r="AE138" s="684"/>
      <c r="AF138" s="684"/>
      <c r="AG138" s="684"/>
    </row>
    <row r="139" spans="1:41" ht="33.5">
      <c r="A139" s="467"/>
      <c r="B139" s="700"/>
      <c r="C139" s="690"/>
      <c r="D139" s="700"/>
      <c r="E139" s="686"/>
      <c r="F139" s="700"/>
      <c r="G139" s="729"/>
      <c r="H139" s="700"/>
      <c r="I139" s="690"/>
      <c r="J139" s="700"/>
      <c r="K139" s="690"/>
      <c r="L139" s="700"/>
      <c r="M139" s="690"/>
      <c r="N139" s="700"/>
      <c r="O139" s="690"/>
      <c r="P139" s="700"/>
      <c r="Q139" s="730"/>
      <c r="R139" s="700"/>
      <c r="S139" s="690"/>
      <c r="T139" s="700"/>
      <c r="U139" s="690"/>
      <c r="V139" s="700"/>
      <c r="W139" s="690"/>
      <c r="X139" s="700"/>
      <c r="Y139" s="690"/>
      <c r="Z139" s="700"/>
      <c r="AA139" s="690"/>
      <c r="AB139" s="700"/>
      <c r="AC139" s="690"/>
      <c r="AD139" s="708"/>
      <c r="AE139" s="684"/>
      <c r="AF139" s="684"/>
      <c r="AG139" s="684"/>
    </row>
    <row r="140" spans="1:41" ht="15.5" customHeight="1" thickBot="1">
      <c r="A140" s="467"/>
      <c r="B140" s="702"/>
      <c r="C140" s="690"/>
      <c r="D140" s="702"/>
      <c r="E140" s="690"/>
      <c r="F140" s="702"/>
      <c r="G140" s="690"/>
      <c r="H140" s="702"/>
      <c r="I140" s="690"/>
      <c r="J140" s="702"/>
      <c r="K140" s="690"/>
      <c r="L140" s="702"/>
      <c r="M140" s="690"/>
      <c r="N140" s="702"/>
      <c r="O140" s="690"/>
      <c r="P140" s="702"/>
      <c r="Q140" s="690"/>
      <c r="R140" s="702"/>
      <c r="S140" s="690"/>
      <c r="T140" s="702"/>
      <c r="U140" s="690"/>
      <c r="V140" s="702" t="s">
        <v>228</v>
      </c>
      <c r="W140" s="690"/>
      <c r="X140" s="702"/>
      <c r="Y140" s="690"/>
      <c r="Z140" s="702"/>
      <c r="AA140" s="690"/>
      <c r="AB140" s="702"/>
      <c r="AC140" s="690"/>
      <c r="AD140" s="708"/>
      <c r="AE140" s="684"/>
      <c r="AF140" s="684"/>
      <c r="AG140" s="684"/>
    </row>
    <row r="141" spans="1:41" ht="100" customHeight="1" thickBot="1">
      <c r="A141" s="467"/>
      <c r="B141" s="679"/>
      <c r="C141" s="695">
        <v>431.02</v>
      </c>
      <c r="D141" s="679"/>
      <c r="E141" s="695">
        <v>403.43</v>
      </c>
      <c r="F141" s="679"/>
      <c r="G141" s="695">
        <v>420.36</v>
      </c>
      <c r="H141" s="679"/>
      <c r="I141" s="695">
        <v>446.37</v>
      </c>
      <c r="J141" s="720"/>
      <c r="K141" s="695">
        <v>297.58</v>
      </c>
      <c r="L141" s="679"/>
      <c r="M141" s="695">
        <v>280.47000000000003</v>
      </c>
      <c r="N141" s="679"/>
      <c r="O141" s="695">
        <v>272.69</v>
      </c>
      <c r="P141" s="679"/>
      <c r="Q141" s="695">
        <v>347.88</v>
      </c>
      <c r="R141" s="679"/>
      <c r="S141" s="695">
        <v>379.25</v>
      </c>
      <c r="T141" s="721"/>
      <c r="U141" s="695">
        <v>398.7</v>
      </c>
      <c r="V141" s="721"/>
      <c r="W141" s="695">
        <v>439.06</v>
      </c>
      <c r="X141" s="679" t="s">
        <v>228</v>
      </c>
      <c r="Y141" s="678">
        <v>360.21</v>
      </c>
      <c r="Z141" s="721"/>
      <c r="AA141" s="695">
        <v>379.58</v>
      </c>
      <c r="AB141" s="721"/>
      <c r="AC141" s="695">
        <v>384</v>
      </c>
      <c r="AD141" s="708"/>
      <c r="AE141" s="684"/>
      <c r="AF141" s="684"/>
      <c r="AG141" s="684"/>
      <c r="AM141" s="871">
        <f>COUNTIF(B141:AB141,"U/P")</f>
        <v>0</v>
      </c>
      <c r="AN141" s="871">
        <f>COUNTIF(C141:AC141,"ROW")</f>
        <v>1</v>
      </c>
      <c r="AO141" s="871">
        <f>COUNTIF(B141:AD141,"C")</f>
        <v>0</v>
      </c>
    </row>
    <row r="142" spans="1:41" ht="14.25" customHeight="1" thickBot="1">
      <c r="A142" s="467"/>
      <c r="B142" s="698"/>
      <c r="C142" s="690"/>
      <c r="D142" s="698"/>
      <c r="E142" s="690"/>
      <c r="F142" s="698"/>
      <c r="G142" s="690"/>
      <c r="H142" s="698"/>
      <c r="I142" s="690"/>
      <c r="J142" s="698"/>
      <c r="K142" s="690"/>
      <c r="L142" s="698"/>
      <c r="M142" s="690"/>
      <c r="N142" s="698"/>
      <c r="O142" s="690"/>
      <c r="P142" s="698"/>
      <c r="Q142" s="690"/>
      <c r="R142" s="698"/>
      <c r="S142" s="690"/>
      <c r="T142" s="698"/>
      <c r="U142" s="690"/>
      <c r="V142" s="731"/>
      <c r="W142" s="690"/>
      <c r="X142" s="698"/>
      <c r="Y142" s="690"/>
      <c r="Z142" s="698"/>
      <c r="AA142" s="690"/>
      <c r="AB142" s="698"/>
      <c r="AC142" s="690"/>
      <c r="AD142" s="708"/>
      <c r="AE142" s="684"/>
      <c r="AF142" s="684"/>
      <c r="AG142" s="684"/>
    </row>
    <row r="143" spans="1:41" ht="33.5">
      <c r="A143" s="467"/>
      <c r="B143" s="732" t="s">
        <v>248</v>
      </c>
      <c r="C143" s="686"/>
      <c r="D143" s="703" t="s">
        <v>185</v>
      </c>
      <c r="E143" s="686"/>
      <c r="F143" s="732" t="s">
        <v>248</v>
      </c>
      <c r="G143" s="686"/>
      <c r="H143" s="687" t="s">
        <v>115</v>
      </c>
      <c r="I143" s="686"/>
      <c r="J143" s="732" t="s">
        <v>248</v>
      </c>
      <c r="K143" s="686"/>
      <c r="L143" s="687" t="s">
        <v>119</v>
      </c>
      <c r="M143" s="686"/>
      <c r="N143" s="732" t="s">
        <v>182</v>
      </c>
      <c r="O143" s="686"/>
      <c r="P143" s="732" t="s">
        <v>182</v>
      </c>
      <c r="Q143" s="686"/>
      <c r="R143" s="732" t="s">
        <v>248</v>
      </c>
      <c r="S143" s="686"/>
      <c r="T143" s="732" t="s">
        <v>242</v>
      </c>
      <c r="U143" s="686"/>
      <c r="V143" s="732" t="s">
        <v>242</v>
      </c>
      <c r="W143" s="686"/>
      <c r="X143" s="687" t="s">
        <v>115</v>
      </c>
      <c r="Y143" s="686"/>
      <c r="Z143" s="732" t="s">
        <v>182</v>
      </c>
      <c r="AA143" s="686"/>
      <c r="AB143" s="687" t="s">
        <v>123</v>
      </c>
      <c r="AC143" s="690"/>
      <c r="AD143" s="708"/>
      <c r="AE143" s="684"/>
      <c r="AF143" s="684"/>
      <c r="AG143" s="684"/>
    </row>
    <row r="144" spans="1:41" ht="28" customHeight="1">
      <c r="A144" s="467"/>
      <c r="B144" s="732"/>
      <c r="C144" s="686"/>
      <c r="D144" s="708"/>
      <c r="E144" s="686"/>
      <c r="F144" s="733" t="s">
        <v>1627</v>
      </c>
      <c r="G144" s="686"/>
      <c r="H144" s="732"/>
      <c r="I144" s="686"/>
      <c r="J144" s="732"/>
      <c r="K144" s="686"/>
      <c r="L144" s="732"/>
      <c r="M144" s="686"/>
      <c r="N144" s="733" t="s">
        <v>1628</v>
      </c>
      <c r="O144" s="686"/>
      <c r="P144" s="732"/>
      <c r="Q144" s="686"/>
      <c r="R144" s="733" t="s">
        <v>1626</v>
      </c>
      <c r="S144" s="686"/>
      <c r="T144" s="732"/>
      <c r="U144" s="686"/>
      <c r="V144" s="732"/>
      <c r="W144" s="686"/>
      <c r="X144" s="732"/>
      <c r="Y144" s="686"/>
      <c r="Z144" s="732"/>
      <c r="AA144" s="686"/>
      <c r="AC144" s="690"/>
      <c r="AD144" s="733" t="s">
        <v>1630</v>
      </c>
      <c r="AE144" s="683"/>
      <c r="AF144" s="684"/>
      <c r="AG144" s="684"/>
    </row>
    <row r="145" spans="1:41" ht="27" customHeight="1">
      <c r="A145" s="1594" t="s">
        <v>1518</v>
      </c>
      <c r="B145" s="1594"/>
      <c r="C145" s="1594"/>
      <c r="D145" s="1594"/>
      <c r="E145" s="1594"/>
      <c r="F145" s="1594"/>
      <c r="G145" s="1594"/>
      <c r="H145" s="1594"/>
      <c r="I145" s="1594"/>
      <c r="J145" s="1594"/>
      <c r="K145" s="1594"/>
      <c r="L145" s="1594"/>
      <c r="M145" s="1594"/>
      <c r="N145" s="1594"/>
      <c r="O145" s="1594"/>
      <c r="P145" s="1594"/>
      <c r="Q145" s="1594"/>
      <c r="R145" s="1594"/>
      <c r="S145" s="1594"/>
      <c r="T145" s="723"/>
      <c r="U145" s="723"/>
      <c r="V145" s="723"/>
      <c r="W145" s="829"/>
      <c r="X145" s="736" t="s">
        <v>228</v>
      </c>
      <c r="Y145" s="829"/>
      <c r="Z145" s="829"/>
      <c r="AA145" s="829"/>
      <c r="AB145" s="1026"/>
      <c r="AC145" s="829"/>
      <c r="AD145" s="829"/>
      <c r="AE145" s="829"/>
      <c r="AF145" s="829"/>
      <c r="AG145" s="749"/>
      <c r="AH145" s="1027"/>
      <c r="AI145" s="749"/>
      <c r="AJ145" s="749"/>
      <c r="AK145" s="749"/>
      <c r="AL145" s="749"/>
    </row>
    <row r="146" spans="1:41" ht="12" customHeight="1">
      <c r="A146" s="467"/>
      <c r="B146" s="734"/>
      <c r="C146" s="693"/>
      <c r="D146" s="734"/>
      <c r="E146" s="693"/>
      <c r="F146" s="734"/>
      <c r="G146" s="693"/>
      <c r="H146" s="734"/>
      <c r="I146" s="693"/>
      <c r="J146" s="734"/>
      <c r="K146" s="693"/>
      <c r="L146" s="734"/>
      <c r="M146" s="693"/>
      <c r="N146" s="734"/>
      <c r="O146" s="693"/>
      <c r="P146" s="734"/>
      <c r="Q146" s="693"/>
      <c r="R146" s="734"/>
      <c r="S146" s="693"/>
      <c r="T146" s="734"/>
      <c r="U146" s="693"/>
      <c r="V146" s="734"/>
      <c r="W146" s="693"/>
      <c r="X146" s="734"/>
      <c r="Y146" s="693"/>
      <c r="Z146" s="734"/>
      <c r="AA146" s="693"/>
      <c r="AB146" s="734"/>
      <c r="AC146" s="693"/>
      <c r="AD146" s="691"/>
      <c r="AE146" s="683"/>
      <c r="AF146" s="684"/>
      <c r="AG146" s="684"/>
    </row>
    <row r="147" spans="1:41" ht="22" customHeight="1">
      <c r="A147" s="467"/>
      <c r="B147" s="672" t="s">
        <v>352</v>
      </c>
      <c r="C147" s="671"/>
      <c r="D147" s="672" t="s">
        <v>353</v>
      </c>
      <c r="E147" s="671"/>
      <c r="F147" s="672" t="s">
        <v>274</v>
      </c>
      <c r="G147" s="671"/>
      <c r="H147" s="672" t="s">
        <v>275</v>
      </c>
      <c r="I147" s="671"/>
      <c r="J147" s="672" t="s">
        <v>355</v>
      </c>
      <c r="K147" s="671"/>
      <c r="L147" s="672" t="s">
        <v>284</v>
      </c>
      <c r="M147" s="671"/>
      <c r="N147" s="672" t="s">
        <v>285</v>
      </c>
      <c r="O147" s="671"/>
      <c r="P147" s="672" t="s">
        <v>705</v>
      </c>
      <c r="Q147" s="671"/>
      <c r="R147" s="672" t="s">
        <v>357</v>
      </c>
      <c r="S147" s="671"/>
      <c r="T147" s="672" t="s">
        <v>706</v>
      </c>
      <c r="U147" s="671"/>
      <c r="V147" s="672" t="s">
        <v>247</v>
      </c>
      <c r="W147" s="671"/>
      <c r="X147" s="672" t="s">
        <v>260</v>
      </c>
      <c r="Y147" s="671"/>
      <c r="Z147" s="672" t="s">
        <v>261</v>
      </c>
      <c r="AA147" s="671"/>
      <c r="AB147" s="672" t="s">
        <v>286</v>
      </c>
      <c r="AC147" s="690"/>
      <c r="AD147" s="691"/>
      <c r="AE147" s="684"/>
      <c r="AF147" s="684"/>
      <c r="AG147" s="684"/>
    </row>
    <row r="148" spans="1:41" ht="33.5">
      <c r="A148" s="467"/>
      <c r="B148" s="700"/>
      <c r="C148" s="690"/>
      <c r="D148" s="700"/>
      <c r="E148" s="690"/>
      <c r="F148" s="700"/>
      <c r="G148" s="690"/>
      <c r="H148" s="700"/>
      <c r="I148" s="701"/>
      <c r="J148" s="700"/>
      <c r="K148" s="686"/>
      <c r="L148" s="700"/>
      <c r="M148" s="690"/>
      <c r="N148" s="700"/>
      <c r="O148" s="690"/>
      <c r="P148" s="700"/>
      <c r="Q148" s="686"/>
      <c r="R148" s="700"/>
      <c r="S148" s="701"/>
      <c r="T148" s="700"/>
      <c r="U148" s="690"/>
      <c r="V148" s="700"/>
      <c r="W148" s="690"/>
      <c r="X148" s="700"/>
      <c r="Y148" s="695"/>
      <c r="Z148" s="700"/>
      <c r="AA148" s="686"/>
      <c r="AB148" s="700"/>
      <c r="AC148" s="690"/>
      <c r="AD148" s="691"/>
      <c r="AE148" s="684"/>
      <c r="AF148" s="684"/>
      <c r="AG148" s="684"/>
    </row>
    <row r="149" spans="1:41" ht="13" customHeight="1" thickBot="1">
      <c r="A149" s="467"/>
      <c r="B149" s="702"/>
      <c r="C149" s="690"/>
      <c r="D149" s="702"/>
      <c r="E149" s="690"/>
      <c r="F149" s="702"/>
      <c r="G149" s="690"/>
      <c r="H149" s="702"/>
      <c r="I149" s="690"/>
      <c r="J149" s="702"/>
      <c r="K149" s="690"/>
      <c r="L149" s="702"/>
      <c r="M149" s="690"/>
      <c r="N149" s="702"/>
      <c r="O149" s="690"/>
      <c r="P149" s="702"/>
      <c r="Q149" s="690"/>
      <c r="R149" s="702"/>
      <c r="S149" s="690"/>
      <c r="T149" s="702"/>
      <c r="U149" s="690"/>
      <c r="V149" s="702"/>
      <c r="W149" s="690"/>
      <c r="X149" s="702"/>
      <c r="Y149" s="690"/>
      <c r="Z149" s="702"/>
      <c r="AA149" s="690"/>
      <c r="AB149" s="702"/>
      <c r="AC149" s="690"/>
      <c r="AD149" s="691"/>
      <c r="AE149" s="684"/>
      <c r="AF149" s="684"/>
      <c r="AG149" s="684"/>
    </row>
    <row r="150" spans="1:41" ht="100" customHeight="1" thickBot="1">
      <c r="A150" s="467"/>
      <c r="B150" s="679" t="s">
        <v>228</v>
      </c>
      <c r="C150" s="695">
        <v>442</v>
      </c>
      <c r="D150" s="679" t="s">
        <v>228</v>
      </c>
      <c r="E150" s="695">
        <v>397</v>
      </c>
      <c r="F150" s="721"/>
      <c r="G150" s="695">
        <v>395</v>
      </c>
      <c r="H150" s="721"/>
      <c r="I150" s="695">
        <v>432</v>
      </c>
      <c r="J150" s="721"/>
      <c r="K150" s="695">
        <v>408</v>
      </c>
      <c r="L150" s="721"/>
      <c r="M150" s="695">
        <v>426</v>
      </c>
      <c r="N150" s="721"/>
      <c r="O150" s="695">
        <v>392.95</v>
      </c>
      <c r="P150" s="679"/>
      <c r="Q150" s="695">
        <v>431.96</v>
      </c>
      <c r="R150" s="679"/>
      <c r="S150" s="695">
        <v>426.02</v>
      </c>
      <c r="T150" s="679"/>
      <c r="U150" s="695">
        <v>401</v>
      </c>
      <c r="V150" s="721"/>
      <c r="W150" s="695">
        <v>437</v>
      </c>
      <c r="X150" s="721"/>
      <c r="Y150" s="678">
        <v>402</v>
      </c>
      <c r="Z150" s="721"/>
      <c r="AA150" s="695">
        <v>436</v>
      </c>
      <c r="AB150" s="679"/>
      <c r="AC150" s="678">
        <v>392.28</v>
      </c>
      <c r="AD150" s="691"/>
      <c r="AE150" s="684"/>
      <c r="AF150" s="684"/>
      <c r="AG150" s="684"/>
      <c r="AM150" s="871">
        <f>COUNTIF(B150:AB150,"U/P")</f>
        <v>0</v>
      </c>
      <c r="AN150" s="871">
        <f>COUNTIF(C150:AC150,"ROW")</f>
        <v>1</v>
      </c>
      <c r="AO150" s="871">
        <f>COUNTIF(D150:AD150,"C")</f>
        <v>0</v>
      </c>
    </row>
    <row r="151" spans="1:41" ht="34" thickBot="1">
      <c r="A151" s="467"/>
      <c r="B151" s="698"/>
      <c r="C151" s="690"/>
      <c r="D151" s="698"/>
      <c r="E151" s="690"/>
      <c r="F151" s="698"/>
      <c r="G151" s="690"/>
      <c r="H151" s="698"/>
      <c r="I151" s="690"/>
      <c r="J151" s="698"/>
      <c r="K151" s="690"/>
      <c r="L151" s="698"/>
      <c r="M151" s="690"/>
      <c r="N151" s="698"/>
      <c r="O151" s="690"/>
      <c r="P151" s="698"/>
      <c r="Q151" s="690"/>
      <c r="R151" s="698"/>
      <c r="S151" s="690"/>
      <c r="T151" s="698"/>
      <c r="U151" s="690"/>
      <c r="V151" s="698"/>
      <c r="W151" s="690"/>
      <c r="X151" s="698"/>
      <c r="Y151" s="690"/>
      <c r="Z151" s="698"/>
      <c r="AA151" s="690"/>
      <c r="AB151" s="698"/>
      <c r="AC151" s="690"/>
      <c r="AD151" s="691"/>
      <c r="AE151" s="684"/>
      <c r="AF151" s="684"/>
      <c r="AG151" s="684"/>
    </row>
    <row r="152" spans="1:41" ht="33.5">
      <c r="A152" s="467"/>
      <c r="B152" s="686" t="s">
        <v>248</v>
      </c>
      <c r="C152" s="686"/>
      <c r="D152" s="686" t="s">
        <v>248</v>
      </c>
      <c r="E152" s="686"/>
      <c r="F152" s="686" t="s">
        <v>248</v>
      </c>
      <c r="G152" s="686"/>
      <c r="H152" s="686" t="s">
        <v>248</v>
      </c>
      <c r="I152" s="686"/>
      <c r="J152" s="686" t="s">
        <v>248</v>
      </c>
      <c r="K152" s="686"/>
      <c r="L152" s="686" t="s">
        <v>185</v>
      </c>
      <c r="M152" s="686"/>
      <c r="N152" s="686" t="s">
        <v>185</v>
      </c>
      <c r="O152" s="686"/>
      <c r="P152" s="687" t="s">
        <v>125</v>
      </c>
      <c r="Q152" s="686"/>
      <c r="R152" s="687" t="s">
        <v>132</v>
      </c>
      <c r="S152" s="686"/>
      <c r="T152" s="687" t="s">
        <v>125</v>
      </c>
      <c r="U152" s="686"/>
      <c r="V152" s="686" t="s">
        <v>248</v>
      </c>
      <c r="W152" s="686"/>
      <c r="X152" s="686" t="s">
        <v>182</v>
      </c>
      <c r="Y152" s="686"/>
      <c r="Z152" s="686" t="s">
        <v>185</v>
      </c>
      <c r="AA152" s="686"/>
      <c r="AB152" s="686" t="s">
        <v>248</v>
      </c>
      <c r="AC152" s="690"/>
      <c r="AD152" s="691"/>
      <c r="AE152" s="684"/>
      <c r="AF152" s="684"/>
      <c r="AG152" s="684"/>
    </row>
    <row r="153" spans="1:41" ht="33.5">
      <c r="A153" s="467"/>
      <c r="B153" s="717" t="s">
        <v>1626</v>
      </c>
      <c r="C153" s="686"/>
      <c r="D153" s="717" t="s">
        <v>1629</v>
      </c>
      <c r="E153" s="686"/>
      <c r="F153" s="686"/>
      <c r="G153" s="686"/>
      <c r="H153" s="686"/>
      <c r="I153" s="686"/>
      <c r="J153" s="686"/>
      <c r="K153" s="686"/>
      <c r="L153" s="686"/>
      <c r="M153" s="686"/>
      <c r="N153" s="686"/>
      <c r="O153" s="686"/>
      <c r="P153" s="686"/>
      <c r="Q153" s="686"/>
      <c r="R153" s="686"/>
      <c r="S153" s="686"/>
      <c r="T153" s="717" t="s">
        <v>1629</v>
      </c>
      <c r="U153" s="686"/>
      <c r="V153" s="686"/>
      <c r="W153" s="686"/>
      <c r="X153" s="686"/>
      <c r="Y153" s="686"/>
      <c r="Z153" s="686"/>
      <c r="AA153" s="686"/>
      <c r="AB153" s="686"/>
      <c r="AC153" s="690"/>
      <c r="AD153" s="691"/>
      <c r="AE153" s="684"/>
      <c r="AF153" s="684"/>
      <c r="AG153" s="684"/>
    </row>
    <row r="154" spans="1:41" ht="46">
      <c r="A154" s="735"/>
      <c r="B154" s="1589" t="s">
        <v>228</v>
      </c>
      <c r="C154" s="1589"/>
      <c r="D154" s="1589"/>
      <c r="E154" s="723"/>
      <c r="F154" s="723"/>
      <c r="G154" s="723"/>
      <c r="H154" s="723"/>
      <c r="I154" s="723"/>
      <c r="J154" s="723"/>
      <c r="K154" s="723"/>
      <c r="L154" s="723"/>
      <c r="M154" s="723"/>
      <c r="N154" s="723"/>
      <c r="O154" s="723"/>
      <c r="P154" s="1595" t="s">
        <v>228</v>
      </c>
      <c r="Q154" s="1595"/>
      <c r="R154" s="1595"/>
      <c r="S154" s="1595"/>
      <c r="T154" s="1595"/>
      <c r="U154" s="723"/>
      <c r="V154" s="723"/>
      <c r="W154" s="723"/>
      <c r="X154" s="723"/>
      <c r="Y154" s="723"/>
      <c r="Z154" s="723"/>
      <c r="AA154" s="723"/>
      <c r="AB154" s="736" t="s">
        <v>228</v>
      </c>
      <c r="AC154" s="723"/>
      <c r="AD154" s="723"/>
      <c r="AE154" s="723"/>
      <c r="AF154" s="723"/>
      <c r="AG154" s="723"/>
      <c r="AH154" s="723"/>
      <c r="AI154" s="723"/>
      <c r="AJ154" s="723"/>
      <c r="AK154" s="723"/>
      <c r="AL154" s="723"/>
    </row>
    <row r="155" spans="1:41" ht="15" customHeight="1">
      <c r="A155" s="467"/>
      <c r="B155" s="708"/>
      <c r="C155" s="690"/>
      <c r="D155" s="708"/>
      <c r="E155" s="690"/>
      <c r="F155" s="708"/>
      <c r="G155" s="690"/>
      <c r="H155" s="708"/>
      <c r="I155" s="690"/>
      <c r="J155" s="708"/>
      <c r="K155" s="690"/>
      <c r="L155" s="708"/>
      <c r="M155" s="690"/>
      <c r="N155" s="672"/>
      <c r="O155" s="690"/>
      <c r="P155" s="708"/>
      <c r="Q155" s="690"/>
      <c r="R155" s="708"/>
      <c r="S155" s="690"/>
      <c r="T155" s="708"/>
      <c r="U155" s="690"/>
      <c r="V155" s="708"/>
      <c r="W155" s="690"/>
      <c r="X155" s="708"/>
      <c r="Y155" s="690"/>
      <c r="Z155" s="708"/>
      <c r="AA155" s="690"/>
      <c r="AB155" s="708"/>
      <c r="AC155" s="693"/>
      <c r="AD155" s="691"/>
      <c r="AE155" s="684"/>
      <c r="AF155" s="684"/>
      <c r="AG155" s="684"/>
    </row>
    <row r="156" spans="1:41" ht="29.5" customHeight="1">
      <c r="A156" s="467"/>
      <c r="B156" s="672" t="s">
        <v>707</v>
      </c>
      <c r="C156" s="671"/>
      <c r="D156" s="672" t="s">
        <v>359</v>
      </c>
      <c r="E156" s="671"/>
      <c r="F156" s="672" t="s">
        <v>360</v>
      </c>
      <c r="G156" s="671"/>
      <c r="H156" s="672" t="s">
        <v>361</v>
      </c>
      <c r="I156" s="671"/>
      <c r="J156" s="672" t="s">
        <v>362</v>
      </c>
      <c r="K156" s="671"/>
      <c r="L156" s="672" t="s">
        <v>363</v>
      </c>
      <c r="M156" s="671"/>
      <c r="N156" s="672" t="s">
        <v>364</v>
      </c>
      <c r="O156" s="671"/>
      <c r="P156" s="672" t="s">
        <v>365</v>
      </c>
      <c r="Q156" s="1596" t="s">
        <v>711</v>
      </c>
      <c r="R156" s="1596"/>
      <c r="S156" s="1596" t="s">
        <v>367</v>
      </c>
      <c r="T156" s="1596"/>
      <c r="U156" s="673" t="s">
        <v>1513</v>
      </c>
      <c r="V156" s="672" t="s">
        <v>287</v>
      </c>
      <c r="W156" s="671"/>
      <c r="X156" s="672" t="s">
        <v>368</v>
      </c>
      <c r="Y156" s="671"/>
      <c r="Z156" s="672" t="s">
        <v>369</v>
      </c>
      <c r="AA156" s="672"/>
      <c r="AB156" s="737" t="s">
        <v>370</v>
      </c>
      <c r="AC156" s="693"/>
      <c r="AD156" s="691"/>
      <c r="AE156" s="684"/>
      <c r="AF156" s="684"/>
      <c r="AG156" s="684"/>
    </row>
    <row r="157" spans="1:41" ht="33.5">
      <c r="A157" s="467"/>
      <c r="B157" s="700"/>
      <c r="C157" s="690"/>
      <c r="D157" s="700"/>
      <c r="E157" s="690"/>
      <c r="F157" s="700"/>
      <c r="G157" s="738"/>
      <c r="H157" s="700"/>
      <c r="I157" s="690"/>
      <c r="J157" s="700"/>
      <c r="K157" s="690"/>
      <c r="L157" s="700"/>
      <c r="M157" s="690"/>
      <c r="N157" s="700"/>
      <c r="O157" s="690"/>
      <c r="P157" s="700"/>
      <c r="Q157" s="690"/>
      <c r="R157" s="700"/>
      <c r="S157" s="690"/>
      <c r="T157" s="700"/>
      <c r="U157" s="673"/>
      <c r="V157" s="700"/>
      <c r="W157" s="690"/>
      <c r="X157" s="700"/>
      <c r="Y157" s="690"/>
      <c r="Z157" s="700"/>
      <c r="AA157" s="690"/>
      <c r="AB157" s="700"/>
      <c r="AC157" s="693"/>
      <c r="AD157" s="691"/>
      <c r="AE157" s="684"/>
      <c r="AF157" s="684"/>
      <c r="AG157" s="684"/>
    </row>
    <row r="158" spans="1:41" ht="16.5" customHeight="1" thickBot="1">
      <c r="A158" s="467"/>
      <c r="B158" s="702"/>
      <c r="C158" s="690"/>
      <c r="D158" s="702"/>
      <c r="E158" s="690"/>
      <c r="F158" s="702"/>
      <c r="G158" s="690"/>
      <c r="H158" s="702"/>
      <c r="I158" s="690"/>
      <c r="J158" s="702"/>
      <c r="K158" s="690"/>
      <c r="L158" s="702"/>
      <c r="M158" s="690"/>
      <c r="N158" s="702"/>
      <c r="O158" s="690"/>
      <c r="P158" s="702"/>
      <c r="Q158" s="690"/>
      <c r="R158" s="702"/>
      <c r="S158" s="690"/>
      <c r="T158" s="702"/>
      <c r="U158" s="690"/>
      <c r="V158" s="702"/>
      <c r="W158" s="690"/>
      <c r="X158" s="702"/>
      <c r="Y158" s="690"/>
      <c r="Z158" s="702"/>
      <c r="AA158" s="690"/>
      <c r="AB158" s="702"/>
      <c r="AC158" s="693"/>
      <c r="AD158" s="691"/>
      <c r="AE158" s="684"/>
      <c r="AF158" s="684"/>
      <c r="AG158" s="684"/>
    </row>
    <row r="159" spans="1:41" ht="100" customHeight="1" thickBot="1">
      <c r="A159" s="467"/>
      <c r="B159" s="679"/>
      <c r="C159" s="695">
        <v>402.5</v>
      </c>
      <c r="D159" s="679"/>
      <c r="E159" s="695">
        <v>411.56</v>
      </c>
      <c r="F159" s="679"/>
      <c r="G159" s="695">
        <v>438.46</v>
      </c>
      <c r="H159" s="679"/>
      <c r="I159" s="695">
        <v>410.36</v>
      </c>
      <c r="J159" s="679"/>
      <c r="K159" s="695">
        <v>379.76</v>
      </c>
      <c r="L159" s="679"/>
      <c r="M159" s="695">
        <v>396.95</v>
      </c>
      <c r="N159" s="679"/>
      <c r="O159" s="695">
        <v>414.59</v>
      </c>
      <c r="P159" s="679"/>
      <c r="Q159" s="695">
        <v>352.99</v>
      </c>
      <c r="R159" s="679"/>
      <c r="S159" s="695">
        <v>389.3</v>
      </c>
      <c r="T159" s="679"/>
      <c r="U159" s="695">
        <v>237.59</v>
      </c>
      <c r="V159" s="721"/>
      <c r="W159" s="695">
        <v>290.88</v>
      </c>
      <c r="X159" s="679"/>
      <c r="Y159" s="678">
        <v>345.61</v>
      </c>
      <c r="Z159" s="679"/>
      <c r="AA159" s="695">
        <v>318.63</v>
      </c>
      <c r="AB159" s="679" t="s">
        <v>390</v>
      </c>
      <c r="AC159" s="696">
        <v>307.02</v>
      </c>
      <c r="AD159" s="691"/>
      <c r="AE159" s="684"/>
      <c r="AF159" s="684"/>
      <c r="AG159" s="684"/>
      <c r="AM159" s="871">
        <f>COUNTIF(B159:AB159,"U/P")</f>
        <v>1</v>
      </c>
      <c r="AN159" s="871">
        <f>COUNTIF(C159:AC159,"ROW")</f>
        <v>0</v>
      </c>
      <c r="AO159" s="871">
        <f>COUNTIF(B159:AD159,"C")</f>
        <v>0</v>
      </c>
    </row>
    <row r="160" spans="1:41" ht="34" thickBot="1">
      <c r="A160" s="467"/>
      <c r="B160" s="698"/>
      <c r="C160" s="739"/>
      <c r="D160" s="698"/>
      <c r="E160" s="739"/>
      <c r="F160" s="698"/>
      <c r="G160" s="690"/>
      <c r="H160" s="698"/>
      <c r="I160" s="690"/>
      <c r="J160" s="698"/>
      <c r="K160" s="690"/>
      <c r="L160" s="698"/>
      <c r="M160" s="739"/>
      <c r="N160" s="698"/>
      <c r="O160" s="739"/>
      <c r="P160" s="698"/>
      <c r="Q160" s="739"/>
      <c r="R160" s="698"/>
      <c r="S160" s="739"/>
      <c r="T160" s="698"/>
      <c r="U160" s="739"/>
      <c r="V160" s="698"/>
      <c r="W160" s="739"/>
      <c r="X160" s="698"/>
      <c r="Y160" s="690"/>
      <c r="Z160" s="698"/>
      <c r="AA160" s="690"/>
      <c r="AB160" s="698"/>
      <c r="AC160" s="693"/>
      <c r="AD160" s="691"/>
      <c r="AE160" s="684"/>
      <c r="AF160" s="684"/>
      <c r="AG160" s="684"/>
    </row>
    <row r="161" spans="1:41" ht="33.5">
      <c r="A161" s="467"/>
      <c r="B161" s="687" t="s">
        <v>128</v>
      </c>
      <c r="C161" s="686"/>
      <c r="D161" s="686" t="s">
        <v>242</v>
      </c>
      <c r="E161" s="686"/>
      <c r="F161" s="687" t="s">
        <v>119</v>
      </c>
      <c r="G161" s="686"/>
      <c r="H161" s="687" t="s">
        <v>132</v>
      </c>
      <c r="I161" s="686"/>
      <c r="J161" s="687" t="s">
        <v>143</v>
      </c>
      <c r="K161" s="686"/>
      <c r="L161" s="686" t="s">
        <v>242</v>
      </c>
      <c r="M161" s="686"/>
      <c r="N161" s="686" t="s">
        <v>182</v>
      </c>
      <c r="O161" s="686"/>
      <c r="P161" s="686" t="s">
        <v>182</v>
      </c>
      <c r="Q161" s="686"/>
      <c r="R161" s="687" t="s">
        <v>125</v>
      </c>
      <c r="S161" s="686"/>
      <c r="T161" s="687" t="s">
        <v>119</v>
      </c>
      <c r="U161" s="686"/>
      <c r="V161" s="686" t="s">
        <v>248</v>
      </c>
      <c r="W161" s="686"/>
      <c r="X161" s="686" t="s">
        <v>182</v>
      </c>
      <c r="Y161" s="686"/>
      <c r="Z161" s="686" t="s">
        <v>182</v>
      </c>
      <c r="AA161" s="686"/>
      <c r="AB161" s="687" t="s">
        <v>125</v>
      </c>
      <c r="AC161" s="693"/>
      <c r="AD161" s="691"/>
      <c r="AE161" s="683"/>
      <c r="AF161" s="684"/>
      <c r="AG161" s="684"/>
    </row>
    <row r="162" spans="1:41" ht="82.25" customHeight="1">
      <c r="A162" s="467"/>
      <c r="B162" s="740" t="s">
        <v>1629</v>
      </c>
      <c r="C162" s="701"/>
      <c r="D162" s="701"/>
      <c r="E162" s="701"/>
      <c r="F162" s="701"/>
      <c r="G162" s="701"/>
      <c r="H162" s="701"/>
      <c r="I162" s="701"/>
      <c r="J162" s="701"/>
      <c r="K162" s="701"/>
      <c r="L162" s="701"/>
      <c r="M162" s="701"/>
      <c r="N162" s="740" t="s">
        <v>1526</v>
      </c>
      <c r="O162" s="701"/>
      <c r="P162" s="740" t="s">
        <v>1629</v>
      </c>
      <c r="Q162" s="701"/>
      <c r="R162" s="701"/>
      <c r="S162" s="701"/>
      <c r="T162" s="701"/>
      <c r="U162" s="701"/>
      <c r="V162" s="701"/>
      <c r="W162" s="701"/>
      <c r="X162" s="701"/>
      <c r="Y162" s="701"/>
      <c r="Z162" s="740" t="s">
        <v>1691</v>
      </c>
      <c r="AA162" s="741"/>
      <c r="AB162" s="1601" t="s">
        <v>1631</v>
      </c>
      <c r="AC162" s="1601"/>
      <c r="AD162" s="1601"/>
      <c r="AE162" s="1601"/>
      <c r="AF162" s="1601"/>
      <c r="AG162" s="1601"/>
      <c r="AH162" s="1601"/>
      <c r="AI162" s="883"/>
      <c r="AJ162" s="883"/>
      <c r="AK162" s="883"/>
      <c r="AL162" s="883"/>
    </row>
    <row r="163" spans="1:41" ht="37.5" customHeight="1">
      <c r="A163" s="1594" t="s">
        <v>1518</v>
      </c>
      <c r="B163" s="1594"/>
      <c r="C163" s="1594"/>
      <c r="D163" s="1594"/>
      <c r="E163" s="1594"/>
      <c r="F163" s="1594"/>
      <c r="G163" s="1594"/>
      <c r="H163" s="1594"/>
      <c r="I163" s="1594"/>
      <c r="J163" s="1594"/>
      <c r="K163" s="1594"/>
      <c r="L163" s="1594"/>
      <c r="M163" s="1594"/>
      <c r="N163" s="1594"/>
      <c r="O163" s="1594"/>
      <c r="P163" s="1594"/>
      <c r="Q163" s="1594"/>
      <c r="R163" s="1594"/>
      <c r="S163" s="1594"/>
      <c r="T163" s="1594"/>
      <c r="U163" s="723"/>
      <c r="V163" s="723"/>
      <c r="W163" s="1594" t="s">
        <v>1518</v>
      </c>
      <c r="X163" s="1594"/>
      <c r="Y163" s="1594"/>
      <c r="Z163" s="1594"/>
      <c r="AA163" s="1594"/>
      <c r="AB163" s="1594"/>
      <c r="AC163" s="1594"/>
      <c r="AD163" s="1594"/>
      <c r="AE163" s="1594"/>
      <c r="AF163" s="1594"/>
      <c r="AG163" s="1594"/>
      <c r="AH163" s="1579"/>
      <c r="AI163" s="881"/>
      <c r="AJ163" s="881"/>
      <c r="AK163" s="881"/>
      <c r="AL163" s="881"/>
    </row>
    <row r="164" spans="1:41" ht="9.5" hidden="1" customHeight="1">
      <c r="A164" s="467"/>
      <c r="B164" s="742"/>
      <c r="C164" s="742"/>
      <c r="D164" s="742"/>
      <c r="E164" s="742"/>
      <c r="F164" s="742"/>
      <c r="G164" s="742"/>
      <c r="H164" s="742"/>
      <c r="I164" s="742"/>
      <c r="J164" s="742"/>
      <c r="K164" s="742"/>
      <c r="L164" s="742"/>
      <c r="M164" s="742"/>
      <c r="N164" s="742"/>
      <c r="O164" s="742"/>
      <c r="P164" s="742"/>
      <c r="Q164" s="742"/>
      <c r="R164" s="742"/>
      <c r="S164" s="742"/>
      <c r="T164" s="742"/>
      <c r="U164" s="742"/>
      <c r="V164" s="742"/>
      <c r="W164" s="742"/>
      <c r="X164" s="742"/>
      <c r="Y164" s="742"/>
      <c r="Z164" s="742"/>
      <c r="AA164" s="742"/>
      <c r="AB164" s="742"/>
      <c r="AC164" s="743"/>
      <c r="AD164" s="744"/>
      <c r="AE164" s="683"/>
      <c r="AF164" s="684"/>
      <c r="AG164" s="684"/>
      <c r="AH164" s="745"/>
      <c r="AI164" s="745"/>
      <c r="AJ164" s="745"/>
      <c r="AK164" s="745"/>
      <c r="AL164" s="745"/>
    </row>
    <row r="165" spans="1:41" ht="24.5" customHeight="1">
      <c r="A165" s="467"/>
      <c r="B165" s="672" t="s">
        <v>371</v>
      </c>
      <c r="C165" s="671"/>
      <c r="D165" s="672" t="s">
        <v>372</v>
      </c>
      <c r="E165" s="671"/>
      <c r="F165" s="672" t="s">
        <v>373</v>
      </c>
      <c r="G165" s="671"/>
      <c r="H165" s="672" t="s">
        <v>288</v>
      </c>
      <c r="I165" s="671"/>
      <c r="J165" s="672" t="s">
        <v>259</v>
      </c>
      <c r="K165" s="671"/>
      <c r="L165" s="672" t="s">
        <v>251</v>
      </c>
      <c r="M165" s="671"/>
      <c r="N165" s="672" t="s">
        <v>377</v>
      </c>
      <c r="O165" s="671"/>
      <c r="P165" s="672" t="s">
        <v>297</v>
      </c>
      <c r="Q165" s="671"/>
      <c r="R165" s="672" t="s">
        <v>378</v>
      </c>
      <c r="S165" s="671"/>
      <c r="T165" s="672" t="s">
        <v>236</v>
      </c>
      <c r="U165" s="671"/>
      <c r="V165" s="672" t="s">
        <v>237</v>
      </c>
      <c r="W165" s="671"/>
      <c r="X165" s="672" t="s">
        <v>214</v>
      </c>
      <c r="Y165" s="671"/>
      <c r="Z165" s="672" t="s">
        <v>213</v>
      </c>
      <c r="AA165" s="671"/>
      <c r="AB165" s="672" t="s">
        <v>212</v>
      </c>
      <c r="AC165" s="690"/>
      <c r="AD165" s="708"/>
      <c r="AE165" s="684"/>
      <c r="AF165" s="684"/>
      <c r="AG165" s="684"/>
    </row>
    <row r="166" spans="1:41" ht="33.5">
      <c r="A166" s="467"/>
      <c r="B166" s="700"/>
      <c r="C166" s="690"/>
      <c r="D166" s="700"/>
      <c r="E166" s="690"/>
      <c r="F166" s="700"/>
      <c r="G166" s="690"/>
      <c r="H166" s="700"/>
      <c r="I166" s="690"/>
      <c r="J166" s="700"/>
      <c r="K166" s="690"/>
      <c r="L166" s="700"/>
      <c r="M166" s="690"/>
      <c r="N166" s="700"/>
      <c r="O166" s="690"/>
      <c r="P166" s="700"/>
      <c r="Q166" s="690"/>
      <c r="R166" s="700"/>
      <c r="S166" s="690"/>
      <c r="T166" s="700"/>
      <c r="U166" s="690"/>
      <c r="V166" s="700"/>
      <c r="W166" s="690"/>
      <c r="X166" s="700"/>
      <c r="Y166" s="690"/>
      <c r="Z166" s="700"/>
      <c r="AA166" s="725"/>
      <c r="AB166" s="700"/>
      <c r="AC166" s="690"/>
      <c r="AD166" s="708"/>
      <c r="AE166" s="684"/>
      <c r="AF166" s="684"/>
      <c r="AG166" s="684"/>
    </row>
    <row r="167" spans="1:41" ht="15.5" customHeight="1" thickBot="1">
      <c r="A167" s="467"/>
      <c r="B167" s="702"/>
      <c r="C167" s="690"/>
      <c r="D167" s="702"/>
      <c r="E167" s="690"/>
      <c r="F167" s="702"/>
      <c r="G167" s="690"/>
      <c r="H167" s="702"/>
      <c r="I167" s="690"/>
      <c r="J167" s="702"/>
      <c r="K167" s="690"/>
      <c r="L167" s="702"/>
      <c r="M167" s="690"/>
      <c r="N167" s="702"/>
      <c r="O167" s="690"/>
      <c r="P167" s="702"/>
      <c r="Q167" s="690"/>
      <c r="R167" s="702"/>
      <c r="S167" s="690"/>
      <c r="T167" s="702"/>
      <c r="U167" s="690"/>
      <c r="V167" s="702"/>
      <c r="W167" s="690"/>
      <c r="X167" s="702"/>
      <c r="Y167" s="690"/>
      <c r="Z167" s="702"/>
      <c r="AA167" s="690"/>
      <c r="AB167" s="702"/>
      <c r="AC167" s="690"/>
      <c r="AD167" s="708"/>
      <c r="AE167" s="684"/>
      <c r="AF167" s="684"/>
      <c r="AG167" s="684"/>
    </row>
    <row r="168" spans="1:41" ht="100" customHeight="1" thickBot="1">
      <c r="A168" s="467"/>
      <c r="B168" s="721"/>
      <c r="C168" s="695">
        <v>346.85</v>
      </c>
      <c r="D168" s="721"/>
      <c r="E168" s="695">
        <v>300.19</v>
      </c>
      <c r="F168" s="721"/>
      <c r="G168" s="695">
        <v>317</v>
      </c>
      <c r="H168" s="720" t="s">
        <v>390</v>
      </c>
      <c r="I168" s="695">
        <v>454</v>
      </c>
      <c r="J168" s="721"/>
      <c r="K168" s="695">
        <v>385</v>
      </c>
      <c r="L168" s="721"/>
      <c r="M168" s="695">
        <v>417.69</v>
      </c>
      <c r="N168" s="721"/>
      <c r="O168" s="695">
        <v>409.51</v>
      </c>
      <c r="P168" s="721"/>
      <c r="Q168" s="695">
        <v>385.17</v>
      </c>
      <c r="R168" s="721"/>
      <c r="S168" s="695">
        <v>345.19</v>
      </c>
      <c r="T168" s="721"/>
      <c r="U168" s="695">
        <v>332.38</v>
      </c>
      <c r="V168" s="721"/>
      <c r="W168" s="695">
        <v>393.62</v>
      </c>
      <c r="X168" s="721"/>
      <c r="Y168" s="695">
        <v>387.95</v>
      </c>
      <c r="Z168" s="721"/>
      <c r="AA168" s="695">
        <v>340.35</v>
      </c>
      <c r="AB168" s="721"/>
      <c r="AC168" s="695">
        <v>393.12</v>
      </c>
      <c r="AD168" s="708"/>
      <c r="AE168" s="684"/>
      <c r="AF168" s="684"/>
      <c r="AG168" s="684"/>
      <c r="AM168" s="871">
        <f>COUNTIF(B168:AB168,"U/P")</f>
        <v>1</v>
      </c>
      <c r="AN168" s="871">
        <f>COUNTIF(C168:AC168,"ROW")</f>
        <v>0</v>
      </c>
      <c r="AO168" s="871">
        <f>COUNTIF(D168:AD168,"C")</f>
        <v>0</v>
      </c>
    </row>
    <row r="169" spans="1:41" ht="34" thickBot="1">
      <c r="A169" s="467"/>
      <c r="B169" s="698"/>
      <c r="C169" s="690"/>
      <c r="D169" s="698"/>
      <c r="E169" s="690"/>
      <c r="F169" s="698"/>
      <c r="G169" s="690"/>
      <c r="H169" s="698"/>
      <c r="I169" s="690"/>
      <c r="J169" s="698"/>
      <c r="K169" s="690"/>
      <c r="L169" s="698"/>
      <c r="M169" s="690"/>
      <c r="N169" s="698"/>
      <c r="O169" s="690"/>
      <c r="P169" s="698"/>
      <c r="Q169" s="690"/>
      <c r="R169" s="698"/>
      <c r="S169" s="690"/>
      <c r="T169" s="698"/>
      <c r="U169" s="690"/>
      <c r="V169" s="698"/>
      <c r="W169" s="690"/>
      <c r="X169" s="698"/>
      <c r="Y169" s="690"/>
      <c r="Z169" s="698"/>
      <c r="AA169" s="690"/>
      <c r="AB169" s="698"/>
      <c r="AC169" s="690"/>
      <c r="AD169" s="708"/>
      <c r="AE169" s="684"/>
      <c r="AF169" s="684"/>
      <c r="AG169" s="684"/>
    </row>
    <row r="170" spans="1:41" ht="33.5">
      <c r="A170" s="467"/>
      <c r="B170" s="686" t="s">
        <v>185</v>
      </c>
      <c r="C170" s="686"/>
      <c r="D170" s="686" t="s">
        <v>185</v>
      </c>
      <c r="E170" s="686"/>
      <c r="F170" s="687" t="s">
        <v>119</v>
      </c>
      <c r="G170" s="686"/>
      <c r="H170" s="686" t="s">
        <v>182</v>
      </c>
      <c r="I170" s="686"/>
      <c r="J170" s="686" t="s">
        <v>248</v>
      </c>
      <c r="K170" s="686"/>
      <c r="L170" s="686" t="s">
        <v>248</v>
      </c>
      <c r="M170" s="686"/>
      <c r="N170" s="687" t="s">
        <v>132</v>
      </c>
      <c r="O170" s="686"/>
      <c r="P170" s="686" t="s">
        <v>182</v>
      </c>
      <c r="Q170" s="686"/>
      <c r="R170" s="687" t="s">
        <v>115</v>
      </c>
      <c r="S170" s="686"/>
      <c r="T170" s="686" t="s">
        <v>182</v>
      </c>
      <c r="U170" s="686"/>
      <c r="V170" s="686" t="s">
        <v>182</v>
      </c>
      <c r="W170" s="686"/>
      <c r="X170" s="686" t="s">
        <v>185</v>
      </c>
      <c r="Y170" s="686"/>
      <c r="Z170" s="686" t="s">
        <v>182</v>
      </c>
      <c r="AA170" s="686"/>
      <c r="AB170" s="686" t="s">
        <v>182</v>
      </c>
      <c r="AC170" s="690"/>
      <c r="AD170" s="708"/>
      <c r="AE170" s="684"/>
      <c r="AF170" s="684"/>
      <c r="AG170" s="684"/>
    </row>
    <row r="171" spans="1:41" ht="85" customHeight="1">
      <c r="A171" s="1602" t="s">
        <v>1690</v>
      </c>
      <c r="B171" s="1602"/>
      <c r="C171" s="1602"/>
      <c r="D171" s="746"/>
      <c r="E171" s="746"/>
      <c r="F171" s="746"/>
      <c r="G171" s="746"/>
      <c r="H171" s="830" t="s">
        <v>1569</v>
      </c>
      <c r="I171" s="746"/>
      <c r="J171" s="746"/>
      <c r="K171" s="746"/>
      <c r="L171" s="704"/>
      <c r="M171" s="704"/>
      <c r="N171" s="704"/>
      <c r="O171" s="704"/>
      <c r="P171" s="704"/>
      <c r="Q171" s="704"/>
      <c r="R171" s="704"/>
      <c r="S171" s="704"/>
      <c r="T171" s="747" t="s">
        <v>1526</v>
      </c>
      <c r="U171" s="704"/>
      <c r="V171" s="704"/>
      <c r="W171" s="704"/>
      <c r="X171" s="704"/>
      <c r="Y171" s="704"/>
      <c r="Z171" s="704"/>
      <c r="AA171" s="704"/>
      <c r="AB171" s="704"/>
      <c r="AC171" s="693"/>
      <c r="AD171" s="691"/>
      <c r="AE171" s="684"/>
      <c r="AF171" s="684"/>
      <c r="AG171" s="684"/>
    </row>
    <row r="172" spans="1:41" ht="15" customHeight="1">
      <c r="A172" s="467"/>
      <c r="B172" s="691"/>
      <c r="C172" s="693"/>
      <c r="D172" s="691"/>
      <c r="E172" s="693"/>
      <c r="F172" s="691"/>
      <c r="G172" s="693"/>
      <c r="H172" s="691"/>
      <c r="I172" s="693"/>
      <c r="J172" s="691"/>
      <c r="K172" s="693"/>
      <c r="L172" s="691"/>
      <c r="M172" s="693"/>
      <c r="N172" s="691"/>
      <c r="O172" s="693"/>
      <c r="P172" s="691"/>
      <c r="Q172" s="693"/>
      <c r="R172" s="691"/>
      <c r="S172" s="693"/>
      <c r="T172" s="691"/>
      <c r="U172" s="693"/>
      <c r="V172" s="691"/>
      <c r="W172" s="693"/>
      <c r="X172" s="691"/>
      <c r="Y172" s="693"/>
      <c r="Z172" s="691"/>
      <c r="AA172" s="693"/>
      <c r="AB172" s="691"/>
      <c r="AC172" s="693"/>
      <c r="AD172" s="691"/>
      <c r="AE172" s="684"/>
      <c r="AF172" s="684"/>
      <c r="AG172" s="684"/>
    </row>
    <row r="173" spans="1:41" ht="33.5" customHeight="1">
      <c r="A173" s="467"/>
      <c r="B173" s="672" t="s">
        <v>209</v>
      </c>
      <c r="C173" s="671"/>
      <c r="D173" s="672" t="s">
        <v>231</v>
      </c>
      <c r="E173" s="671"/>
      <c r="F173" s="672" t="s">
        <v>379</v>
      </c>
      <c r="G173" s="671"/>
      <c r="H173" s="672" t="s">
        <v>263</v>
      </c>
      <c r="I173" s="671"/>
      <c r="J173" s="672" t="s">
        <v>1279</v>
      </c>
      <c r="K173" s="671"/>
      <c r="L173" s="672" t="s">
        <v>215</v>
      </c>
      <c r="M173" s="671"/>
      <c r="N173" s="672" t="s">
        <v>216</v>
      </c>
      <c r="O173" s="671"/>
      <c r="P173" s="672" t="s">
        <v>239</v>
      </c>
      <c r="Q173" s="671"/>
      <c r="R173" s="672" t="s">
        <v>240</v>
      </c>
      <c r="S173" s="671"/>
      <c r="T173" s="672" t="s">
        <v>241</v>
      </c>
      <c r="U173" s="671"/>
      <c r="V173" s="672" t="s">
        <v>381</v>
      </c>
      <c r="W173" s="672"/>
      <c r="X173" s="672" t="s">
        <v>383</v>
      </c>
      <c r="Y173" s="671"/>
      <c r="Z173" s="672" t="s">
        <v>384</v>
      </c>
      <c r="AA173" s="671"/>
      <c r="AB173" s="672" t="s">
        <v>253</v>
      </c>
      <c r="AC173" s="690"/>
      <c r="AD173" s="708"/>
      <c r="AE173" s="684"/>
      <c r="AF173" s="684"/>
      <c r="AG173" s="684"/>
    </row>
    <row r="174" spans="1:41" ht="33.5">
      <c r="A174" s="467"/>
      <c r="B174" s="700"/>
      <c r="C174" s="686"/>
      <c r="D174" s="700"/>
      <c r="E174" s="690"/>
      <c r="F174" s="700"/>
      <c r="G174" s="695"/>
      <c r="H174" s="700"/>
      <c r="I174" s="695"/>
      <c r="J174" s="700"/>
      <c r="K174" s="695"/>
      <c r="L174" s="700"/>
      <c r="M174" s="690"/>
      <c r="N174" s="700"/>
      <c r="O174" s="690"/>
      <c r="P174" s="700"/>
      <c r="Q174" s="690"/>
      <c r="R174" s="700"/>
      <c r="S174" s="690"/>
      <c r="T174" s="700"/>
      <c r="U174" s="690"/>
      <c r="V174" s="700"/>
      <c r="W174" s="701"/>
      <c r="X174" s="700"/>
      <c r="Y174" s="701"/>
      <c r="Z174" s="700"/>
      <c r="AA174" s="690"/>
      <c r="AB174" s="700"/>
      <c r="AC174" s="690"/>
      <c r="AD174" s="708"/>
      <c r="AE174" s="684"/>
      <c r="AF174" s="684"/>
      <c r="AG174" s="684"/>
    </row>
    <row r="175" spans="1:41" ht="13" customHeight="1" thickBot="1">
      <c r="A175" s="467"/>
      <c r="B175" s="702"/>
      <c r="C175" s="690"/>
      <c r="D175" s="702"/>
      <c r="E175" s="690"/>
      <c r="F175" s="702"/>
      <c r="G175" s="690"/>
      <c r="H175" s="702"/>
      <c r="I175" s="690"/>
      <c r="J175" s="702"/>
      <c r="K175" s="690"/>
      <c r="L175" s="702"/>
      <c r="M175" s="690"/>
      <c r="N175" s="702"/>
      <c r="O175" s="690"/>
      <c r="P175" s="702"/>
      <c r="Q175" s="690"/>
      <c r="R175" s="702"/>
      <c r="S175" s="690"/>
      <c r="T175" s="702"/>
      <c r="U175" s="690"/>
      <c r="V175" s="702"/>
      <c r="W175" s="690"/>
      <c r="X175" s="702"/>
      <c r="Y175" s="690"/>
      <c r="Z175" s="702"/>
      <c r="AA175" s="690"/>
      <c r="AB175" s="702"/>
      <c r="AC175" s="690"/>
      <c r="AD175" s="708"/>
      <c r="AE175" s="684"/>
      <c r="AF175" s="684"/>
      <c r="AG175" s="684"/>
    </row>
    <row r="176" spans="1:41" ht="100" customHeight="1" thickBot="1">
      <c r="A176" s="467"/>
      <c r="B176" s="721"/>
      <c r="C176" s="695">
        <v>328.54</v>
      </c>
      <c r="D176" s="721"/>
      <c r="E176" s="695">
        <v>398.52</v>
      </c>
      <c r="F176" s="721"/>
      <c r="G176" s="695">
        <v>425.85</v>
      </c>
      <c r="H176" s="721"/>
      <c r="I176" s="695">
        <v>409.37</v>
      </c>
      <c r="J176" s="721"/>
      <c r="K176" s="695">
        <v>388.46</v>
      </c>
      <c r="L176" s="721"/>
      <c r="M176" s="695">
        <v>380.96</v>
      </c>
      <c r="N176" s="721"/>
      <c r="O176" s="695">
        <v>381.39</v>
      </c>
      <c r="P176" s="721"/>
      <c r="Q176" s="695">
        <v>344.6</v>
      </c>
      <c r="R176" s="721"/>
      <c r="S176" s="695">
        <v>395.64</v>
      </c>
      <c r="T176" s="721"/>
      <c r="U176" s="695">
        <v>414.76</v>
      </c>
      <c r="V176" s="721"/>
      <c r="W176" s="695">
        <v>401.93</v>
      </c>
      <c r="X176" s="679" t="s">
        <v>228</v>
      </c>
      <c r="Y176" s="695">
        <v>354.95</v>
      </c>
      <c r="Z176" s="751"/>
      <c r="AA176" s="695">
        <v>425</v>
      </c>
      <c r="AB176" s="751"/>
      <c r="AC176" s="678">
        <v>414</v>
      </c>
      <c r="AD176" s="708"/>
      <c r="AE176" s="684"/>
      <c r="AF176" s="684"/>
      <c r="AG176" s="684"/>
      <c r="AM176" s="871">
        <f>COUNTIF(B176:AB176,"U/P")</f>
        <v>0</v>
      </c>
      <c r="AN176" s="871">
        <f>COUNTIF(C176:AC176,"ROW")</f>
        <v>1</v>
      </c>
      <c r="AO176" s="871">
        <f>COUNTIF(D176:AD176,"C")</f>
        <v>0</v>
      </c>
    </row>
    <row r="177" spans="1:41" ht="34" thickBot="1">
      <c r="A177" s="467"/>
      <c r="B177" s="698"/>
      <c r="C177" s="690"/>
      <c r="D177" s="698"/>
      <c r="E177" s="690"/>
      <c r="F177" s="698"/>
      <c r="G177" s="690"/>
      <c r="H177" s="698"/>
      <c r="I177" s="690"/>
      <c r="J177" s="698"/>
      <c r="K177" s="690"/>
      <c r="L177" s="698"/>
      <c r="M177" s="690"/>
      <c r="N177" s="698"/>
      <c r="O177" s="690"/>
      <c r="P177" s="698"/>
      <c r="Q177" s="690"/>
      <c r="R177" s="698"/>
      <c r="S177" s="690"/>
      <c r="T177" s="698"/>
      <c r="U177" s="690"/>
      <c r="V177" s="698"/>
      <c r="W177" s="690"/>
      <c r="X177" s="698"/>
      <c r="Y177" s="690"/>
      <c r="Z177" s="698"/>
      <c r="AA177" s="690"/>
      <c r="AB177" s="698"/>
      <c r="AC177" s="690"/>
      <c r="AD177" s="708"/>
      <c r="AE177" s="684"/>
      <c r="AF177" s="684"/>
      <c r="AG177" s="684"/>
    </row>
    <row r="178" spans="1:41" ht="33.5">
      <c r="A178" s="467"/>
      <c r="B178" s="686" t="s">
        <v>182</v>
      </c>
      <c r="C178" s="686"/>
      <c r="D178" s="686" t="s">
        <v>182</v>
      </c>
      <c r="E178" s="686"/>
      <c r="F178" s="687" t="s">
        <v>115</v>
      </c>
      <c r="G178" s="686"/>
      <c r="H178" s="686" t="s">
        <v>242</v>
      </c>
      <c r="I178" s="686"/>
      <c r="J178" s="687" t="s">
        <v>119</v>
      </c>
      <c r="K178" s="686"/>
      <c r="L178" s="686" t="s">
        <v>182</v>
      </c>
      <c r="M178" s="686"/>
      <c r="N178" s="686" t="s">
        <v>185</v>
      </c>
      <c r="O178" s="686"/>
      <c r="P178" s="686" t="s">
        <v>182</v>
      </c>
      <c r="Q178" s="686"/>
      <c r="R178" s="686" t="s">
        <v>185</v>
      </c>
      <c r="S178" s="686"/>
      <c r="T178" s="686" t="s">
        <v>242</v>
      </c>
      <c r="U178" s="686"/>
      <c r="V178" s="687" t="s">
        <v>115</v>
      </c>
      <c r="W178" s="686"/>
      <c r="X178" s="686" t="s">
        <v>185</v>
      </c>
      <c r="Y178" s="686"/>
      <c r="Z178" s="687" t="s">
        <v>125</v>
      </c>
      <c r="AA178" s="686"/>
      <c r="AB178" s="686" t="s">
        <v>248</v>
      </c>
      <c r="AC178" s="690"/>
      <c r="AD178" s="708"/>
      <c r="AE178" s="684"/>
      <c r="AF178" s="684"/>
      <c r="AG178" s="684"/>
    </row>
    <row r="179" spans="1:41" ht="26">
      <c r="A179" s="467"/>
      <c r="B179" s="704"/>
      <c r="C179" s="704"/>
      <c r="D179" s="704"/>
      <c r="E179" s="704"/>
      <c r="F179" s="752"/>
      <c r="G179" s="704"/>
      <c r="H179" s="704"/>
      <c r="I179" s="704"/>
      <c r="J179" s="752"/>
      <c r="K179" s="704"/>
      <c r="L179" s="704"/>
      <c r="M179" s="704"/>
      <c r="N179" s="704"/>
      <c r="O179" s="704"/>
      <c r="P179" s="704"/>
      <c r="Q179" s="704"/>
      <c r="R179" s="704"/>
      <c r="S179" s="704"/>
      <c r="T179" s="704"/>
      <c r="U179" s="704"/>
      <c r="V179" s="752"/>
      <c r="W179" s="704"/>
      <c r="X179" s="704"/>
      <c r="Y179" s="704"/>
      <c r="Z179" s="752"/>
      <c r="AA179" s="704"/>
      <c r="AB179" s="704"/>
      <c r="AC179" s="693"/>
      <c r="AD179" s="691"/>
      <c r="AE179" s="684"/>
      <c r="AF179" s="684"/>
      <c r="AG179" s="684"/>
    </row>
    <row r="180" spans="1:41" ht="33.5">
      <c r="A180" s="467"/>
      <c r="B180" s="704"/>
      <c r="C180" s="704"/>
      <c r="D180" s="704"/>
      <c r="E180" s="704"/>
      <c r="F180" s="704"/>
      <c r="G180" s="704"/>
      <c r="H180" s="704"/>
      <c r="I180" s="704"/>
      <c r="J180" s="704"/>
      <c r="K180" s="704"/>
      <c r="L180" s="704"/>
      <c r="M180" s="704"/>
      <c r="N180" s="753" t="s">
        <v>1526</v>
      </c>
      <c r="O180" s="704"/>
      <c r="P180" s="704"/>
      <c r="Q180" s="704"/>
      <c r="R180" s="704"/>
      <c r="S180" s="704"/>
      <c r="T180" s="704"/>
      <c r="U180" s="704"/>
      <c r="V180" s="704"/>
      <c r="W180" s="704"/>
      <c r="X180" s="770" t="s">
        <v>454</v>
      </c>
      <c r="Y180" s="704"/>
      <c r="Z180" s="704"/>
      <c r="AA180" s="704"/>
      <c r="AB180" s="704"/>
      <c r="AC180" s="693"/>
      <c r="AD180" s="691"/>
      <c r="AE180" s="684"/>
      <c r="AF180" s="684"/>
      <c r="AG180" s="684"/>
    </row>
    <row r="181" spans="1:41" ht="36" customHeight="1">
      <c r="A181" s="735"/>
      <c r="B181" s="723"/>
      <c r="C181" s="723"/>
      <c r="D181" s="723"/>
      <c r="E181" s="723"/>
      <c r="F181" s="749"/>
      <c r="G181" s="723"/>
      <c r="H181" s="723"/>
      <c r="I181" s="723"/>
      <c r="J181" s="723"/>
      <c r="K181" s="723"/>
      <c r="L181" s="723"/>
      <c r="M181" s="723"/>
      <c r="N181" s="723"/>
      <c r="O181" s="723"/>
      <c r="P181" s="723"/>
      <c r="Q181" s="723"/>
      <c r="R181" s="723"/>
      <c r="S181" s="723"/>
      <c r="T181" s="723"/>
      <c r="U181" s="723"/>
      <c r="V181" s="723"/>
      <c r="W181" s="723"/>
      <c r="X181" s="881" t="s">
        <v>228</v>
      </c>
      <c r="Y181" s="723"/>
      <c r="Z181" s="723"/>
      <c r="AA181" s="723"/>
      <c r="AB181" s="723"/>
      <c r="AC181" s="723"/>
      <c r="AD181" s="723"/>
      <c r="AE181" s="723"/>
      <c r="AF181" s="723"/>
      <c r="AG181" s="723"/>
      <c r="AH181" s="723"/>
      <c r="AI181" s="723"/>
      <c r="AJ181" s="723"/>
      <c r="AK181" s="723"/>
      <c r="AL181" s="723"/>
    </row>
    <row r="182" spans="1:41" ht="21.75" customHeight="1">
      <c r="A182" s="685"/>
      <c r="B182" s="672" t="s">
        <v>385</v>
      </c>
      <c r="C182" s="671"/>
      <c r="D182" s="672" t="s">
        <v>386</v>
      </c>
      <c r="E182" s="671"/>
      <c r="F182" s="672" t="s">
        <v>257</v>
      </c>
      <c r="G182" s="671"/>
      <c r="H182" s="672" t="s">
        <v>387</v>
      </c>
      <c r="I182" s="671"/>
      <c r="J182" s="672" t="s">
        <v>267</v>
      </c>
      <c r="K182" s="671"/>
      <c r="L182" s="672" t="s">
        <v>268</v>
      </c>
      <c r="M182" s="671"/>
      <c r="N182" s="672" t="s">
        <v>269</v>
      </c>
      <c r="O182" s="671"/>
      <c r="P182" s="672" t="s">
        <v>227</v>
      </c>
      <c r="Q182" s="671"/>
      <c r="R182" s="672" t="s">
        <v>271</v>
      </c>
      <c r="S182" s="671"/>
      <c r="T182" s="672" t="s">
        <v>391</v>
      </c>
      <c r="U182" s="671"/>
      <c r="V182" s="672" t="s">
        <v>392</v>
      </c>
      <c r="W182" s="671"/>
      <c r="X182" s="672" t="s">
        <v>393</v>
      </c>
      <c r="Y182" s="671"/>
      <c r="Z182" s="672" t="s">
        <v>394</v>
      </c>
      <c r="AA182" s="671"/>
      <c r="AB182" s="672" t="s">
        <v>225</v>
      </c>
      <c r="AC182" s="690"/>
      <c r="AD182" s="708"/>
      <c r="AE182" s="684"/>
      <c r="AF182" s="684"/>
      <c r="AG182" s="684"/>
    </row>
    <row r="183" spans="1:41" ht="33.5">
      <c r="A183" s="685"/>
      <c r="B183" s="700"/>
      <c r="C183" s="686"/>
      <c r="D183" s="700"/>
      <c r="E183" s="690"/>
      <c r="F183" s="700"/>
      <c r="G183" s="690"/>
      <c r="H183" s="700"/>
      <c r="I183" s="690"/>
      <c r="J183" s="700"/>
      <c r="K183" s="690"/>
      <c r="L183" s="700"/>
      <c r="M183" s="690"/>
      <c r="N183" s="700"/>
      <c r="O183" s="690"/>
      <c r="P183" s="700"/>
      <c r="Q183" s="690"/>
      <c r="R183" s="700"/>
      <c r="S183" s="690"/>
      <c r="T183" s="700"/>
      <c r="U183" s="690"/>
      <c r="V183" s="700"/>
      <c r="W183" s="690"/>
      <c r="X183" s="700"/>
      <c r="Y183" s="690"/>
      <c r="Z183" s="700"/>
      <c r="AA183" s="690"/>
      <c r="AB183" s="700"/>
      <c r="AC183" s="690"/>
      <c r="AD183" s="708"/>
      <c r="AE183" s="684"/>
      <c r="AF183" s="684"/>
      <c r="AG183" s="684"/>
    </row>
    <row r="184" spans="1:41" ht="16" customHeight="1" thickBot="1">
      <c r="A184" s="685"/>
      <c r="B184" s="702"/>
      <c r="C184" s="690"/>
      <c r="D184" s="702"/>
      <c r="E184" s="690"/>
      <c r="F184" s="702"/>
      <c r="G184" s="690"/>
      <c r="H184" s="702"/>
      <c r="I184" s="690"/>
      <c r="J184" s="702"/>
      <c r="K184" s="690"/>
      <c r="L184" s="702"/>
      <c r="M184" s="690"/>
      <c r="N184" s="702"/>
      <c r="O184" s="690"/>
      <c r="P184" s="702"/>
      <c r="Q184" s="690"/>
      <c r="R184" s="702"/>
      <c r="S184" s="690"/>
      <c r="T184" s="702"/>
      <c r="U184" s="690"/>
      <c r="V184" s="702"/>
      <c r="W184" s="690"/>
      <c r="X184" s="702"/>
      <c r="Y184" s="690"/>
      <c r="Z184" s="702"/>
      <c r="AA184" s="690"/>
      <c r="AB184" s="702"/>
      <c r="AC184" s="690"/>
      <c r="AD184" s="708"/>
      <c r="AE184" s="684"/>
      <c r="AF184" s="684"/>
      <c r="AG184" s="684"/>
    </row>
    <row r="185" spans="1:41" ht="100" customHeight="1" thickBot="1">
      <c r="A185" s="685"/>
      <c r="B185" s="721"/>
      <c r="C185" s="695">
        <v>353.05</v>
      </c>
      <c r="D185" s="721"/>
      <c r="E185" s="695">
        <v>441.06</v>
      </c>
      <c r="F185" s="721"/>
      <c r="G185" s="695">
        <v>387.5</v>
      </c>
      <c r="H185" s="721"/>
      <c r="I185" s="695">
        <v>372.63</v>
      </c>
      <c r="J185" s="720"/>
      <c r="K185" s="695">
        <v>415.3</v>
      </c>
      <c r="L185" s="721"/>
      <c r="M185" s="695">
        <v>424.58</v>
      </c>
      <c r="N185" s="721"/>
      <c r="O185" s="695">
        <v>391.7</v>
      </c>
      <c r="P185" s="721"/>
      <c r="Q185" s="695">
        <v>410.47</v>
      </c>
      <c r="R185" s="721"/>
      <c r="S185" s="695">
        <v>385.54</v>
      </c>
      <c r="T185" s="721"/>
      <c r="U185" s="695">
        <v>418.31</v>
      </c>
      <c r="V185" s="721"/>
      <c r="W185" s="695">
        <v>421.47</v>
      </c>
      <c r="X185" s="721"/>
      <c r="Y185" s="695">
        <v>401.98</v>
      </c>
      <c r="Z185" s="721"/>
      <c r="AA185" s="695">
        <v>429.38</v>
      </c>
      <c r="AB185" s="721"/>
      <c r="AC185" s="695">
        <v>403.83</v>
      </c>
      <c r="AD185" s="708"/>
      <c r="AE185" s="684"/>
      <c r="AF185" s="684"/>
      <c r="AG185" s="684"/>
      <c r="AM185" s="871">
        <f>COUNTIF(B185:AB185,"U/P")</f>
        <v>0</v>
      </c>
      <c r="AN185" s="871">
        <f>COUNTIF(C185:AC185,"ROW")</f>
        <v>0</v>
      </c>
      <c r="AO185" s="871">
        <f>COUNTIF(D185:AD185,"C")</f>
        <v>0</v>
      </c>
    </row>
    <row r="186" spans="1:41" ht="34" thickBot="1">
      <c r="A186" s="685"/>
      <c r="B186" s="698"/>
      <c r="C186" s="690"/>
      <c r="D186" s="698"/>
      <c r="E186" s="690"/>
      <c r="F186" s="698"/>
      <c r="G186" s="690"/>
      <c r="H186" s="731"/>
      <c r="I186" s="690"/>
      <c r="J186" s="698"/>
      <c r="K186" s="690"/>
      <c r="L186" s="698"/>
      <c r="M186" s="690"/>
      <c r="N186" s="698"/>
      <c r="O186" s="690"/>
      <c r="P186" s="698"/>
      <c r="Q186" s="690"/>
      <c r="R186" s="698"/>
      <c r="S186" s="690"/>
      <c r="T186" s="698"/>
      <c r="U186" s="690"/>
      <c r="V186" s="698"/>
      <c r="W186" s="690"/>
      <c r="X186" s="698"/>
      <c r="Y186" s="690"/>
      <c r="Z186" s="698"/>
      <c r="AA186" s="690"/>
      <c r="AB186" s="698"/>
      <c r="AC186" s="690"/>
      <c r="AD186" s="708"/>
      <c r="AE186" s="684"/>
      <c r="AF186" s="684"/>
      <c r="AG186" s="684"/>
    </row>
    <row r="187" spans="1:41" ht="33.5">
      <c r="A187" s="685"/>
      <c r="B187" s="686" t="s">
        <v>182</v>
      </c>
      <c r="C187" s="686"/>
      <c r="D187" s="687" t="s">
        <v>188</v>
      </c>
      <c r="E187" s="686"/>
      <c r="F187" s="686" t="s">
        <v>248</v>
      </c>
      <c r="G187" s="686"/>
      <c r="H187" s="687" t="s">
        <v>132</v>
      </c>
      <c r="I187" s="686"/>
      <c r="J187" s="686" t="s">
        <v>182</v>
      </c>
      <c r="K187" s="686"/>
      <c r="L187" s="686" t="s">
        <v>185</v>
      </c>
      <c r="M187" s="686"/>
      <c r="N187" s="686" t="s">
        <v>182</v>
      </c>
      <c r="O187" s="686"/>
      <c r="P187" s="686" t="s">
        <v>182</v>
      </c>
      <c r="Q187" s="686"/>
      <c r="R187" s="686" t="s">
        <v>242</v>
      </c>
      <c r="S187" s="686"/>
      <c r="T187" s="687" t="s">
        <v>188</v>
      </c>
      <c r="U187" s="686"/>
      <c r="V187" s="686" t="s">
        <v>242</v>
      </c>
      <c r="W187" s="686"/>
      <c r="X187" s="686" t="s">
        <v>185</v>
      </c>
      <c r="Y187" s="686"/>
      <c r="Z187" s="687" t="s">
        <v>115</v>
      </c>
      <c r="AA187" s="686"/>
      <c r="AB187" s="686" t="s">
        <v>185</v>
      </c>
      <c r="AC187" s="690"/>
      <c r="AD187" s="708"/>
      <c r="AE187" s="684"/>
      <c r="AF187" s="684"/>
      <c r="AG187" s="684"/>
    </row>
    <row r="188" spans="1:41" ht="58.5" customHeight="1">
      <c r="A188" s="1603" t="s">
        <v>1527</v>
      </c>
      <c r="B188" s="1604"/>
      <c r="C188" s="686"/>
      <c r="D188" s="756" t="s">
        <v>454</v>
      </c>
      <c r="E188" s="701"/>
      <c r="F188" s="756" t="s">
        <v>1526</v>
      </c>
      <c r="G188" s="701"/>
      <c r="H188" s="756" t="s">
        <v>1526</v>
      </c>
      <c r="I188" s="701"/>
      <c r="J188" s="756" t="s">
        <v>1526</v>
      </c>
      <c r="K188" s="686"/>
      <c r="L188" s="686"/>
      <c r="M188" s="686"/>
      <c r="N188" s="686"/>
      <c r="O188" s="686"/>
      <c r="P188" s="686"/>
      <c r="Q188" s="686"/>
      <c r="R188" s="686"/>
      <c r="S188" s="686"/>
      <c r="T188" s="686"/>
      <c r="U188" s="686"/>
      <c r="V188" s="740"/>
      <c r="W188" s="686"/>
      <c r="X188" s="686"/>
      <c r="Y188" s="686"/>
      <c r="Z188" s="686"/>
      <c r="AA188" s="686"/>
      <c r="AB188" s="686"/>
      <c r="AC188" s="690"/>
      <c r="AD188" s="708"/>
      <c r="AE188" s="684"/>
      <c r="AF188" s="684"/>
      <c r="AG188" s="684"/>
    </row>
    <row r="189" spans="1:41" ht="36">
      <c r="A189" s="750"/>
      <c r="B189" s="750"/>
      <c r="C189" s="750"/>
      <c r="D189" s="750"/>
      <c r="E189" s="750"/>
      <c r="F189" s="750"/>
      <c r="G189" s="750"/>
      <c r="H189" s="749" t="s">
        <v>228</v>
      </c>
      <c r="I189" s="750"/>
      <c r="J189" s="750"/>
      <c r="K189" s="750"/>
      <c r="L189" s="750"/>
      <c r="M189" s="750"/>
      <c r="N189" s="750"/>
      <c r="O189" s="750"/>
      <c r="P189" s="750"/>
      <c r="Q189" s="750"/>
      <c r="R189" s="750"/>
      <c r="S189" s="750"/>
      <c r="T189" s="829"/>
      <c r="U189" s="750"/>
      <c r="V189" s="750"/>
      <c r="W189" s="750"/>
      <c r="X189" s="750"/>
      <c r="Y189" s="750"/>
      <c r="Z189" s="749" t="s">
        <v>228</v>
      </c>
      <c r="AA189" s="750"/>
      <c r="AB189" s="750"/>
      <c r="AC189" s="750"/>
      <c r="AD189" s="750"/>
      <c r="AE189" s="750"/>
      <c r="AF189" s="750"/>
      <c r="AG189" s="750"/>
      <c r="AH189" s="750"/>
      <c r="AI189" s="750"/>
      <c r="AJ189" s="750"/>
      <c r="AK189" s="750"/>
      <c r="AL189" s="750"/>
    </row>
    <row r="190" spans="1:41" ht="15" customHeight="1">
      <c r="B190" s="691"/>
      <c r="C190" s="693"/>
      <c r="D190" s="691"/>
      <c r="E190" s="693"/>
      <c r="F190" s="691"/>
      <c r="G190" s="693"/>
      <c r="H190" s="691"/>
      <c r="I190" s="693"/>
      <c r="J190" s="691"/>
      <c r="K190" s="693"/>
      <c r="L190" s="691"/>
      <c r="M190" s="693"/>
      <c r="N190" s="691"/>
      <c r="O190" s="693"/>
      <c r="P190" s="691"/>
      <c r="Q190" s="693"/>
      <c r="R190" s="691"/>
      <c r="S190" s="693"/>
      <c r="T190" s="691"/>
      <c r="U190" s="693"/>
      <c r="V190" s="691"/>
      <c r="W190" s="693"/>
      <c r="X190" s="691"/>
      <c r="Y190" s="693"/>
      <c r="Z190" s="691"/>
      <c r="AA190" s="693"/>
      <c r="AB190" s="691"/>
      <c r="AC190" s="693"/>
      <c r="AD190" s="691"/>
      <c r="AE190" s="684"/>
      <c r="AF190" s="684"/>
      <c r="AG190" s="684"/>
    </row>
    <row r="191" spans="1:41" ht="31" customHeight="1">
      <c r="B191" s="672" t="s">
        <v>395</v>
      </c>
      <c r="C191" s="671"/>
      <c r="D191" s="672" t="s">
        <v>396</v>
      </c>
      <c r="E191" s="671"/>
      <c r="F191" s="672" t="s">
        <v>258</v>
      </c>
      <c r="G191" s="671"/>
      <c r="H191" s="672" t="s">
        <v>398</v>
      </c>
      <c r="I191" s="671"/>
      <c r="J191" s="672" t="s">
        <v>262</v>
      </c>
      <c r="K191" s="671"/>
      <c r="L191" s="672" t="s">
        <v>244</v>
      </c>
      <c r="M191" s="671"/>
      <c r="N191" s="672" t="s">
        <v>399</v>
      </c>
      <c r="O191" s="671"/>
      <c r="P191" s="672" t="s">
        <v>277</v>
      </c>
      <c r="Q191" s="671"/>
      <c r="R191" s="672" t="s">
        <v>280</v>
      </c>
      <c r="S191" s="671"/>
      <c r="T191" s="672" t="s">
        <v>400</v>
      </c>
      <c r="U191" s="671"/>
      <c r="V191" s="672" t="s">
        <v>401</v>
      </c>
      <c r="W191" s="671"/>
      <c r="X191" s="672" t="s">
        <v>402</v>
      </c>
      <c r="Y191" s="671"/>
      <c r="Z191" s="672" t="s">
        <v>403</v>
      </c>
      <c r="AA191" s="671"/>
      <c r="AB191" s="672" t="s">
        <v>404</v>
      </c>
      <c r="AC191" s="690"/>
      <c r="AD191" s="691"/>
      <c r="AE191" s="684"/>
      <c r="AF191" s="684"/>
      <c r="AG191" s="684"/>
    </row>
    <row r="192" spans="1:41" ht="33.5">
      <c r="B192" s="700"/>
      <c r="C192" s="690"/>
      <c r="D192" s="700"/>
      <c r="E192" s="690"/>
      <c r="F192" s="700"/>
      <c r="G192" s="690"/>
      <c r="H192" s="700"/>
      <c r="I192" s="690"/>
      <c r="J192" s="700"/>
      <c r="K192" s="686"/>
      <c r="L192" s="700"/>
      <c r="M192" s="690"/>
      <c r="N192" s="700"/>
      <c r="O192" s="690"/>
      <c r="P192" s="700"/>
      <c r="Q192" s="686"/>
      <c r="R192" s="700"/>
      <c r="S192" s="686"/>
      <c r="T192" s="700"/>
      <c r="U192" s="690"/>
      <c r="V192" s="700"/>
      <c r="W192" s="690"/>
      <c r="X192" s="700"/>
      <c r="Y192" s="690"/>
      <c r="Z192" s="700"/>
      <c r="AA192" s="690"/>
      <c r="AB192" s="700"/>
      <c r="AC192" s="690"/>
      <c r="AD192" s="691"/>
      <c r="AE192" s="684"/>
      <c r="AF192" s="684"/>
      <c r="AG192" s="684"/>
    </row>
    <row r="193" spans="1:41" ht="15.5" customHeight="1" thickBot="1">
      <c r="B193" s="702"/>
      <c r="C193" s="690"/>
      <c r="D193" s="702"/>
      <c r="E193" s="690"/>
      <c r="F193" s="702"/>
      <c r="G193" s="690"/>
      <c r="H193" s="702"/>
      <c r="I193" s="690"/>
      <c r="J193" s="702"/>
      <c r="K193" s="690"/>
      <c r="L193" s="702"/>
      <c r="M193" s="690"/>
      <c r="N193" s="702"/>
      <c r="O193" s="690"/>
      <c r="P193" s="702"/>
      <c r="Q193" s="690"/>
      <c r="R193" s="702"/>
      <c r="S193" s="690"/>
      <c r="T193" s="702"/>
      <c r="U193" s="690"/>
      <c r="V193" s="702"/>
      <c r="W193" s="690"/>
      <c r="X193" s="702"/>
      <c r="Y193" s="690"/>
      <c r="Z193" s="702"/>
      <c r="AA193" s="690"/>
      <c r="AB193" s="702"/>
      <c r="AC193" s="690"/>
      <c r="AD193" s="691"/>
      <c r="AE193" s="684"/>
      <c r="AF193" s="684"/>
      <c r="AG193" s="684"/>
    </row>
    <row r="194" spans="1:41" ht="100" customHeight="1" thickBot="1">
      <c r="B194" s="1023" t="s">
        <v>390</v>
      </c>
      <c r="C194" s="695">
        <v>384.63</v>
      </c>
      <c r="D194" s="721"/>
      <c r="E194" s="695">
        <v>380.68200000000002</v>
      </c>
      <c r="F194" s="721"/>
      <c r="G194" s="695">
        <v>354.52600000000001</v>
      </c>
      <c r="H194" s="721"/>
      <c r="I194" s="695">
        <v>405.57400000000001</v>
      </c>
      <c r="J194" s="721"/>
      <c r="K194" s="695">
        <v>416.87400000000002</v>
      </c>
      <c r="L194" s="721"/>
      <c r="M194" s="695">
        <v>380.76600000000002</v>
      </c>
      <c r="N194" s="721"/>
      <c r="O194" s="695">
        <v>411.81</v>
      </c>
      <c r="P194" s="721"/>
      <c r="Q194" s="757">
        <v>392.08</v>
      </c>
      <c r="R194" s="721"/>
      <c r="S194" s="758">
        <v>296.87</v>
      </c>
      <c r="T194" s="679" t="s">
        <v>228</v>
      </c>
      <c r="U194" s="695">
        <v>412.4</v>
      </c>
      <c r="V194" s="679" t="s">
        <v>228</v>
      </c>
      <c r="W194" s="695">
        <v>382.17</v>
      </c>
      <c r="X194" s="679" t="s">
        <v>228</v>
      </c>
      <c r="Y194" s="695">
        <v>452.74</v>
      </c>
      <c r="Z194" s="679" t="s">
        <v>228</v>
      </c>
      <c r="AA194" s="695">
        <v>420.21</v>
      </c>
      <c r="AB194" s="679" t="s">
        <v>228</v>
      </c>
      <c r="AC194" s="695">
        <v>395.01</v>
      </c>
      <c r="AD194" s="691"/>
      <c r="AE194" s="684"/>
      <c r="AF194" s="684"/>
      <c r="AG194" s="684"/>
      <c r="AM194" s="871">
        <f>COUNTIF(B194:AB194,"U/P")</f>
        <v>1</v>
      </c>
      <c r="AN194" s="871">
        <f>COUNTIF(C194:AC194,"ROW")</f>
        <v>5</v>
      </c>
      <c r="AO194" s="871">
        <f>COUNTIF(B194:AD194,"C")</f>
        <v>0</v>
      </c>
    </row>
    <row r="195" spans="1:41" ht="34" thickBot="1">
      <c r="B195" s="1024"/>
      <c r="C195" s="690"/>
      <c r="D195" s="698"/>
      <c r="E195" s="690"/>
      <c r="F195" s="698"/>
      <c r="G195" s="690"/>
      <c r="H195" s="698"/>
      <c r="I195" s="690"/>
      <c r="J195" s="698"/>
      <c r="K195" s="690"/>
      <c r="L195" s="698"/>
      <c r="M195" s="690"/>
      <c r="N195" s="698"/>
      <c r="O195" s="690"/>
      <c r="P195" s="698"/>
      <c r="Q195" s="690"/>
      <c r="R195" s="698"/>
      <c r="S195" s="690"/>
      <c r="T195" s="698"/>
      <c r="U195" s="690"/>
      <c r="V195" s="698"/>
      <c r="W195" s="690"/>
      <c r="X195" s="698"/>
      <c r="Y195" s="690"/>
      <c r="Z195" s="698"/>
      <c r="AA195" s="690"/>
      <c r="AB195" s="698"/>
      <c r="AC195" s="708"/>
      <c r="AD195" s="691"/>
      <c r="AE195" s="684"/>
      <c r="AF195" s="684"/>
      <c r="AG195" s="684"/>
    </row>
    <row r="196" spans="1:41" ht="33.5">
      <c r="B196" s="687" t="s">
        <v>128</v>
      </c>
      <c r="C196" s="686"/>
      <c r="D196" s="687" t="s">
        <v>115</v>
      </c>
      <c r="E196" s="686"/>
      <c r="F196" s="686" t="s">
        <v>182</v>
      </c>
      <c r="G196" s="686"/>
      <c r="H196" s="687" t="s">
        <v>125</v>
      </c>
      <c r="I196" s="686"/>
      <c r="J196" s="686" t="s">
        <v>242</v>
      </c>
      <c r="K196" s="686"/>
      <c r="L196" s="686" t="s">
        <v>182</v>
      </c>
      <c r="M196" s="686"/>
      <c r="N196" s="687" t="s">
        <v>115</v>
      </c>
      <c r="O196" s="686"/>
      <c r="P196" s="686" t="s">
        <v>185</v>
      </c>
      <c r="Q196" s="686"/>
      <c r="R196" s="686" t="s">
        <v>248</v>
      </c>
      <c r="S196" s="686"/>
      <c r="T196" s="687" t="s">
        <v>128</v>
      </c>
      <c r="U196" s="686"/>
      <c r="V196" s="687" t="s">
        <v>115</v>
      </c>
      <c r="W196" s="686"/>
      <c r="X196" s="686" t="s">
        <v>248</v>
      </c>
      <c r="Y196" s="686"/>
      <c r="Z196" s="687" t="s">
        <v>115</v>
      </c>
      <c r="AA196" s="686"/>
      <c r="AB196" s="686" t="s">
        <v>248</v>
      </c>
      <c r="AC196" s="708"/>
      <c r="AD196" s="691"/>
      <c r="AE196" s="684"/>
      <c r="AF196" s="684"/>
      <c r="AG196" s="684"/>
    </row>
    <row r="197" spans="1:41" ht="27" customHeight="1">
      <c r="A197" s="723"/>
      <c r="B197" s="1022"/>
      <c r="C197" s="829"/>
      <c r="D197" s="829"/>
      <c r="E197" s="723"/>
      <c r="F197" s="723"/>
      <c r="G197" s="723"/>
      <c r="H197" s="723"/>
      <c r="I197" s="723"/>
      <c r="J197" s="723"/>
      <c r="K197" s="723"/>
      <c r="L197" s="723"/>
      <c r="M197" s="723"/>
      <c r="N197" s="829"/>
      <c r="O197" s="723"/>
      <c r="P197" s="723"/>
      <c r="Q197" s="723"/>
      <c r="R197" s="723"/>
      <c r="S197" s="723"/>
      <c r="T197" s="1594" t="s">
        <v>1518</v>
      </c>
      <c r="U197" s="1594"/>
      <c r="V197" s="1594"/>
      <c r="W197" s="1594"/>
      <c r="X197" s="1594"/>
      <c r="Y197" s="1594"/>
      <c r="Z197" s="1594"/>
      <c r="AA197" s="1594"/>
      <c r="AB197" s="1594"/>
      <c r="AC197" s="723"/>
      <c r="AD197" s="723"/>
      <c r="AE197" s="723"/>
      <c r="AF197" s="723"/>
      <c r="AG197" s="723"/>
      <c r="AH197" s="723"/>
      <c r="AI197" s="723"/>
      <c r="AJ197" s="723"/>
      <c r="AK197" s="723"/>
      <c r="AL197" s="723"/>
    </row>
    <row r="198" spans="1:41" ht="26">
      <c r="B198" s="693"/>
      <c r="C198" s="693"/>
      <c r="D198" s="691"/>
      <c r="E198" s="693"/>
      <c r="F198" s="691"/>
      <c r="G198" s="693"/>
      <c r="H198" s="691"/>
      <c r="I198" s="693"/>
      <c r="J198" s="691"/>
      <c r="K198" s="693"/>
      <c r="L198" s="691"/>
      <c r="M198" s="693"/>
      <c r="N198" s="691"/>
      <c r="O198" s="693"/>
      <c r="P198" s="691"/>
      <c r="Q198" s="693"/>
      <c r="R198" s="691"/>
      <c r="S198" s="693"/>
      <c r="T198" s="691"/>
      <c r="U198" s="693"/>
      <c r="V198" s="691"/>
      <c r="W198" s="693"/>
      <c r="X198" s="691"/>
      <c r="Y198" s="693"/>
      <c r="Z198" s="691"/>
      <c r="AA198" s="693"/>
      <c r="AB198" s="691"/>
      <c r="AC198" s="691"/>
      <c r="AD198" s="691"/>
      <c r="AE198" s="684"/>
      <c r="AF198" s="684"/>
      <c r="AG198" s="684"/>
    </row>
    <row r="199" spans="1:41" ht="28" customHeight="1">
      <c r="B199" s="672" t="s">
        <v>405</v>
      </c>
      <c r="C199" s="671"/>
      <c r="D199" s="672" t="s">
        <v>406</v>
      </c>
      <c r="E199" s="671"/>
      <c r="F199" s="672" t="s">
        <v>290</v>
      </c>
      <c r="G199" s="671"/>
      <c r="H199" s="672" t="s">
        <v>407</v>
      </c>
      <c r="I199" s="671"/>
      <c r="J199" s="672" t="s">
        <v>408</v>
      </c>
      <c r="K199" s="673" t="s">
        <v>1513</v>
      </c>
      <c r="L199" s="1592" t="s">
        <v>409</v>
      </c>
      <c r="M199" s="1592"/>
      <c r="N199" s="1592" t="s">
        <v>410</v>
      </c>
      <c r="O199" s="1592"/>
      <c r="P199" s="1592" t="s">
        <v>411</v>
      </c>
      <c r="Q199" s="1592"/>
      <c r="R199" s="672" t="s">
        <v>412</v>
      </c>
      <c r="S199" s="671"/>
      <c r="T199" s="672" t="s">
        <v>414</v>
      </c>
      <c r="U199" s="671"/>
      <c r="V199" s="729" t="s">
        <v>1280</v>
      </c>
      <c r="W199" s="671"/>
      <c r="X199" s="1592" t="s">
        <v>217</v>
      </c>
      <c r="Y199" s="1592"/>
      <c r="Z199" s="1592" t="s">
        <v>416</v>
      </c>
      <c r="AA199" s="1592"/>
      <c r="AB199" s="672" t="s">
        <v>294</v>
      </c>
      <c r="AC199" s="708"/>
      <c r="AD199" s="691"/>
      <c r="AE199" s="684"/>
      <c r="AF199" s="684"/>
      <c r="AG199" s="684"/>
    </row>
    <row r="200" spans="1:41" ht="33.5">
      <c r="A200" s="467"/>
      <c r="B200" s="700"/>
      <c r="C200" s="690"/>
      <c r="D200" s="700"/>
      <c r="E200" s="690"/>
      <c r="F200" s="700"/>
      <c r="G200" s="690"/>
      <c r="H200" s="700"/>
      <c r="I200" s="690"/>
      <c r="J200" s="700"/>
      <c r="K200" s="690"/>
      <c r="L200" s="700"/>
      <c r="M200" s="690"/>
      <c r="N200" s="700"/>
      <c r="O200" s="690"/>
      <c r="P200" s="700"/>
      <c r="Q200" s="690"/>
      <c r="R200" s="700"/>
      <c r="S200" s="690"/>
      <c r="T200" s="700"/>
      <c r="U200" s="690"/>
      <c r="V200" s="700"/>
      <c r="W200" s="690"/>
      <c r="X200" s="700"/>
      <c r="Y200" s="690"/>
      <c r="Z200" s="700"/>
      <c r="AA200" s="690"/>
      <c r="AB200" s="700"/>
      <c r="AC200" s="708"/>
      <c r="AD200" s="691"/>
      <c r="AE200" s="684"/>
      <c r="AF200" s="684"/>
      <c r="AG200" s="684"/>
    </row>
    <row r="201" spans="1:41" ht="15" customHeight="1" thickBot="1">
      <c r="A201" s="467"/>
      <c r="B201" s="702"/>
      <c r="C201" s="690"/>
      <c r="D201" s="702"/>
      <c r="E201" s="690"/>
      <c r="F201" s="702"/>
      <c r="G201" s="690"/>
      <c r="H201" s="702"/>
      <c r="I201" s="690"/>
      <c r="J201" s="702"/>
      <c r="K201" s="690"/>
      <c r="L201" s="702"/>
      <c r="M201" s="690"/>
      <c r="N201" s="702"/>
      <c r="O201" s="690"/>
      <c r="P201" s="702"/>
      <c r="Q201" s="690"/>
      <c r="R201" s="702"/>
      <c r="S201" s="690"/>
      <c r="T201" s="702"/>
      <c r="U201" s="690"/>
      <c r="V201" s="702"/>
      <c r="W201" s="690"/>
      <c r="X201" s="702"/>
      <c r="Y201" s="690"/>
      <c r="Z201" s="702"/>
      <c r="AA201" s="690"/>
      <c r="AB201" s="702"/>
      <c r="AC201" s="708"/>
      <c r="AD201" s="691"/>
      <c r="AE201" s="684"/>
      <c r="AF201" s="684"/>
      <c r="AG201" s="684"/>
      <c r="AH201" s="759"/>
      <c r="AI201" s="759"/>
      <c r="AJ201" s="759"/>
      <c r="AK201" s="759"/>
      <c r="AL201" s="759"/>
      <c r="AM201" s="759"/>
      <c r="AN201" s="759"/>
    </row>
    <row r="202" spans="1:41" ht="100" customHeight="1" thickBot="1">
      <c r="A202" s="467"/>
      <c r="B202" s="679" t="s">
        <v>228</v>
      </c>
      <c r="C202" s="695">
        <v>386.74</v>
      </c>
      <c r="D202" s="721"/>
      <c r="E202" s="758">
        <v>378.62</v>
      </c>
      <c r="F202" s="721"/>
      <c r="G202" s="695">
        <v>350.21499999999997</v>
      </c>
      <c r="H202" s="679" t="s">
        <v>228</v>
      </c>
      <c r="I202" s="695">
        <v>357.91</v>
      </c>
      <c r="J202" s="679" t="s">
        <v>228</v>
      </c>
      <c r="K202" s="695">
        <v>237.48</v>
      </c>
      <c r="L202" s="679" t="s">
        <v>228</v>
      </c>
      <c r="M202" s="695">
        <v>440.03</v>
      </c>
      <c r="N202" s="721"/>
      <c r="O202" s="695">
        <v>503.74</v>
      </c>
      <c r="P202" s="721"/>
      <c r="Q202" s="695">
        <v>437</v>
      </c>
      <c r="R202" s="721"/>
      <c r="S202" s="695">
        <v>430</v>
      </c>
      <c r="T202" s="721"/>
      <c r="U202" s="758">
        <v>409.27</v>
      </c>
      <c r="V202" s="721"/>
      <c r="W202" s="695">
        <v>312.45</v>
      </c>
      <c r="X202" s="721"/>
      <c r="Y202" s="695">
        <v>314.25</v>
      </c>
      <c r="Z202" s="721"/>
      <c r="AA202" s="695">
        <v>361.96</v>
      </c>
      <c r="AB202" s="721"/>
      <c r="AC202" s="703">
        <v>329.49</v>
      </c>
      <c r="AD202" s="691"/>
      <c r="AE202" s="684"/>
      <c r="AF202" s="684"/>
      <c r="AG202" s="684"/>
      <c r="AM202" s="871">
        <f>COUNTIF(B202:AB202,"U/P")</f>
        <v>0</v>
      </c>
      <c r="AN202" s="871">
        <f>COUNTIF(C202:AC202,"ROW")</f>
        <v>3</v>
      </c>
      <c r="AO202" s="871">
        <f>COUNTIF(D202:AD202,"C")</f>
        <v>0</v>
      </c>
    </row>
    <row r="203" spans="1:41" ht="34" thickBot="1">
      <c r="A203" s="467"/>
      <c r="B203" s="698"/>
      <c r="C203" s="690"/>
      <c r="D203" s="698"/>
      <c r="E203" s="690"/>
      <c r="F203" s="698"/>
      <c r="G203" s="690"/>
      <c r="H203" s="698"/>
      <c r="I203" s="690"/>
      <c r="J203" s="698"/>
      <c r="K203" s="690"/>
      <c r="L203" s="698" t="s">
        <v>228</v>
      </c>
      <c r="M203" s="690"/>
      <c r="N203" s="698"/>
      <c r="O203" s="690"/>
      <c r="P203" s="698"/>
      <c r="Q203" s="690"/>
      <c r="R203" s="698"/>
      <c r="S203" s="690"/>
      <c r="T203" s="698"/>
      <c r="U203" s="690"/>
      <c r="V203" s="698"/>
      <c r="W203" s="690"/>
      <c r="X203" s="698"/>
      <c r="Y203" s="690"/>
      <c r="Z203" s="698"/>
      <c r="AA203" s="690"/>
      <c r="AB203" s="698"/>
      <c r="AC203" s="708"/>
      <c r="AD203" s="691"/>
      <c r="AE203" s="684"/>
      <c r="AF203" s="684"/>
      <c r="AG203" s="684"/>
    </row>
    <row r="204" spans="1:41" ht="33.5">
      <c r="A204" s="760"/>
      <c r="B204" s="761" t="s">
        <v>125</v>
      </c>
      <c r="C204" s="686"/>
      <c r="D204" s="686" t="s">
        <v>182</v>
      </c>
      <c r="E204" s="686"/>
      <c r="F204" s="686" t="s">
        <v>182</v>
      </c>
      <c r="G204" s="686"/>
      <c r="H204" s="686" t="s">
        <v>182</v>
      </c>
      <c r="I204" s="686"/>
      <c r="J204" s="687" t="s">
        <v>115</v>
      </c>
      <c r="K204" s="686"/>
      <c r="L204" s="687" t="s">
        <v>115</v>
      </c>
      <c r="M204" s="686"/>
      <c r="N204" s="687" t="s">
        <v>167</v>
      </c>
      <c r="O204" s="686"/>
      <c r="P204" s="687" t="s">
        <v>132</v>
      </c>
      <c r="Q204" s="686"/>
      <c r="R204" s="687" t="s">
        <v>119</v>
      </c>
      <c r="S204" s="686"/>
      <c r="T204" s="686" t="s">
        <v>248</v>
      </c>
      <c r="U204" s="686"/>
      <c r="V204" s="687" t="s">
        <v>119</v>
      </c>
      <c r="W204" s="686"/>
      <c r="X204" s="686" t="s">
        <v>182</v>
      </c>
      <c r="Y204" s="686"/>
      <c r="Z204" s="687" t="s">
        <v>115</v>
      </c>
      <c r="AA204" s="686"/>
      <c r="AB204" s="686" t="s">
        <v>182</v>
      </c>
      <c r="AC204" s="708"/>
      <c r="AD204" s="691"/>
      <c r="AE204" s="684"/>
      <c r="AF204" s="684"/>
      <c r="AG204" s="684"/>
    </row>
    <row r="205" spans="1:41" ht="33.5" customHeight="1">
      <c r="A205" s="735"/>
      <c r="B205" s="749" t="s">
        <v>228</v>
      </c>
      <c r="C205" s="750"/>
      <c r="D205" s="750"/>
      <c r="E205" s="750"/>
      <c r="F205" s="750"/>
      <c r="G205" s="750"/>
      <c r="H205" s="1589" t="s">
        <v>228</v>
      </c>
      <c r="I205" s="1589"/>
      <c r="J205" s="1589"/>
      <c r="K205" s="1589"/>
      <c r="L205" s="1589"/>
      <c r="M205" s="750"/>
      <c r="N205" s="829"/>
      <c r="O205" s="723"/>
      <c r="P205" s="723"/>
      <c r="Q205" s="723"/>
      <c r="R205" s="723"/>
      <c r="S205" s="723"/>
      <c r="T205" s="723"/>
      <c r="U205" s="723"/>
      <c r="V205" s="723"/>
      <c r="W205" s="723"/>
      <c r="X205" s="723"/>
      <c r="Y205" s="723"/>
      <c r="Z205" s="723"/>
      <c r="AA205" s="723"/>
      <c r="AB205" s="723"/>
      <c r="AC205" s="723"/>
      <c r="AD205" s="723"/>
      <c r="AE205" s="723"/>
      <c r="AF205" s="723"/>
      <c r="AG205" s="723"/>
      <c r="AH205" s="723"/>
      <c r="AI205" s="723"/>
      <c r="AJ205" s="723"/>
      <c r="AK205" s="723"/>
      <c r="AL205" s="723"/>
    </row>
    <row r="206" spans="1:41" ht="23" customHeight="1">
      <c r="A206" s="467"/>
      <c r="B206" s="704"/>
      <c r="C206" s="704"/>
      <c r="D206" s="704"/>
      <c r="E206" s="704"/>
      <c r="F206" s="704"/>
      <c r="G206" s="704"/>
      <c r="H206" s="704"/>
      <c r="I206" s="704"/>
      <c r="J206" s="704"/>
      <c r="K206" s="704"/>
      <c r="L206" s="704"/>
      <c r="M206" s="704"/>
      <c r="N206" s="704"/>
      <c r="O206" s="704"/>
      <c r="P206" s="704"/>
      <c r="Q206" s="704"/>
      <c r="R206" s="704"/>
      <c r="S206" s="704"/>
      <c r="T206" s="704"/>
      <c r="U206" s="704"/>
      <c r="V206" s="704"/>
      <c r="W206" s="704"/>
      <c r="X206" s="704"/>
      <c r="Y206" s="704"/>
      <c r="Z206" s="704"/>
      <c r="AA206" s="704"/>
      <c r="AB206" s="704"/>
      <c r="AC206" s="691"/>
      <c r="AD206" s="691"/>
      <c r="AE206" s="684"/>
      <c r="AF206" s="684"/>
      <c r="AG206" s="684"/>
    </row>
    <row r="207" spans="1:41" ht="27" customHeight="1">
      <c r="A207" s="467"/>
      <c r="B207" s="672" t="s">
        <v>276</v>
      </c>
      <c r="C207" s="671"/>
      <c r="D207" s="672" t="s">
        <v>417</v>
      </c>
      <c r="E207" s="671"/>
      <c r="F207" s="672" t="s">
        <v>418</v>
      </c>
      <c r="G207" s="671"/>
      <c r="H207" s="672" t="s">
        <v>419</v>
      </c>
      <c r="I207" s="671"/>
      <c r="J207" s="672" t="s">
        <v>169</v>
      </c>
      <c r="K207" s="671"/>
      <c r="L207" s="762" t="s">
        <v>1281</v>
      </c>
      <c r="M207" s="671"/>
      <c r="N207" s="672" t="s">
        <v>289</v>
      </c>
      <c r="O207" s="671"/>
      <c r="P207" s="1592" t="s">
        <v>1282</v>
      </c>
      <c r="Q207" s="1592"/>
      <c r="R207" s="672" t="s">
        <v>423</v>
      </c>
      <c r="S207" s="671"/>
      <c r="T207" s="1592" t="s">
        <v>424</v>
      </c>
      <c r="U207" s="1592"/>
      <c r="V207" s="1592" t="s">
        <v>718</v>
      </c>
      <c r="W207" s="1592"/>
      <c r="X207" s="672" t="s">
        <v>279</v>
      </c>
      <c r="Y207" s="671"/>
      <c r="Z207" s="672" t="s">
        <v>426</v>
      </c>
      <c r="AA207" s="671"/>
      <c r="AB207" s="672" t="s">
        <v>427</v>
      </c>
      <c r="AC207" s="708"/>
      <c r="AD207" s="691"/>
      <c r="AE207" s="684"/>
      <c r="AF207" s="684"/>
      <c r="AG207" s="684"/>
    </row>
    <row r="208" spans="1:41" ht="33.5">
      <c r="A208" s="467"/>
      <c r="B208" s="700"/>
      <c r="C208" s="690"/>
      <c r="D208" s="700"/>
      <c r="E208" s="690"/>
      <c r="F208" s="700"/>
      <c r="G208" s="690"/>
      <c r="H208" s="700"/>
      <c r="I208" s="690"/>
      <c r="J208" s="700"/>
      <c r="K208" s="690"/>
      <c r="L208" s="700"/>
      <c r="M208" s="690"/>
      <c r="N208" s="700"/>
      <c r="O208" s="690"/>
      <c r="P208" s="700"/>
      <c r="Q208" s="690"/>
      <c r="R208" s="700"/>
      <c r="S208" s="690"/>
      <c r="T208" s="700"/>
      <c r="U208" s="690"/>
      <c r="V208" s="700"/>
      <c r="W208" s="690"/>
      <c r="X208" s="700"/>
      <c r="Y208" s="690"/>
      <c r="Z208" s="700"/>
      <c r="AA208" s="690"/>
      <c r="AB208" s="700"/>
      <c r="AC208" s="708"/>
      <c r="AD208" s="691"/>
      <c r="AE208" s="684"/>
      <c r="AF208" s="684"/>
      <c r="AG208" s="684"/>
    </row>
    <row r="209" spans="1:41" ht="15" customHeight="1" thickBot="1">
      <c r="A209" s="467"/>
      <c r="B209" s="702"/>
      <c r="C209" s="690"/>
      <c r="D209" s="702"/>
      <c r="E209" s="690"/>
      <c r="F209" s="702"/>
      <c r="G209" s="690"/>
      <c r="H209" s="702"/>
      <c r="I209" s="690"/>
      <c r="J209" s="702"/>
      <c r="K209" s="690"/>
      <c r="L209" s="702"/>
      <c r="M209" s="690"/>
      <c r="N209" s="702"/>
      <c r="O209" s="690"/>
      <c r="P209" s="702"/>
      <c r="Q209" s="690"/>
      <c r="R209" s="702"/>
      <c r="S209" s="690"/>
      <c r="T209" s="702"/>
      <c r="U209" s="690"/>
      <c r="V209" s="702"/>
      <c r="W209" s="690"/>
      <c r="X209" s="702"/>
      <c r="Y209" s="690"/>
      <c r="Z209" s="702"/>
      <c r="AA209" s="690"/>
      <c r="AB209" s="702"/>
      <c r="AC209" s="708"/>
      <c r="AD209" s="691"/>
      <c r="AE209" s="684"/>
      <c r="AF209" s="684"/>
      <c r="AG209" s="684"/>
    </row>
    <row r="210" spans="1:41" ht="100" customHeight="1" thickBot="1">
      <c r="A210" s="467"/>
      <c r="B210" s="721"/>
      <c r="C210" s="695">
        <v>371.33</v>
      </c>
      <c r="D210" s="721"/>
      <c r="E210" s="695">
        <v>417.92</v>
      </c>
      <c r="F210" s="721"/>
      <c r="G210" s="695">
        <v>376.99</v>
      </c>
      <c r="H210" s="721"/>
      <c r="I210" s="695">
        <v>343.8</v>
      </c>
      <c r="J210" s="721"/>
      <c r="K210" s="695">
        <v>318.7</v>
      </c>
      <c r="L210" s="721"/>
      <c r="M210" s="695">
        <v>308</v>
      </c>
      <c r="N210" s="721"/>
      <c r="O210" s="758">
        <v>324.87</v>
      </c>
      <c r="P210" s="721"/>
      <c r="Q210" s="695">
        <v>365.39</v>
      </c>
      <c r="R210" s="679" t="s">
        <v>228</v>
      </c>
      <c r="S210" s="695">
        <v>269.52999999999997</v>
      </c>
      <c r="T210" s="679" t="s">
        <v>228</v>
      </c>
      <c r="U210" s="695">
        <v>360.33</v>
      </c>
      <c r="V210" s="721"/>
      <c r="W210" s="695">
        <v>414</v>
      </c>
      <c r="X210" s="721"/>
      <c r="Y210" s="695">
        <v>424</v>
      </c>
      <c r="Z210" s="721"/>
      <c r="AA210" s="695">
        <v>405</v>
      </c>
      <c r="AB210" s="721"/>
      <c r="AC210" s="695">
        <v>426</v>
      </c>
      <c r="AD210" s="691"/>
      <c r="AE210" s="684"/>
      <c r="AF210" s="684"/>
      <c r="AG210" s="684"/>
      <c r="AM210" s="871">
        <f>COUNTIF(B210:AB210,"U/P")</f>
        <v>0</v>
      </c>
      <c r="AN210" s="871">
        <f>COUNTIF(C210:AC210,"ROW")</f>
        <v>2</v>
      </c>
      <c r="AO210" s="871">
        <f>COUNTIF(D210:AD210,"C")</f>
        <v>0</v>
      </c>
    </row>
    <row r="211" spans="1:41" ht="21.5" customHeight="1" thickBot="1">
      <c r="A211" s="467"/>
      <c r="B211" s="698"/>
      <c r="C211" s="690"/>
      <c r="D211" s="698"/>
      <c r="E211" s="690"/>
      <c r="F211" s="698"/>
      <c r="G211" s="690"/>
      <c r="H211" s="763"/>
      <c r="I211" s="690"/>
      <c r="J211" s="698"/>
      <c r="K211" s="690"/>
      <c r="L211" s="698"/>
      <c r="M211" s="690"/>
      <c r="N211" s="698"/>
      <c r="O211" s="690"/>
      <c r="P211" s="763"/>
      <c r="Q211" s="708"/>
      <c r="R211" s="698"/>
      <c r="S211" s="708"/>
      <c r="T211" s="698"/>
      <c r="U211" s="708"/>
      <c r="V211" s="698"/>
      <c r="W211" s="708"/>
      <c r="X211" s="698"/>
      <c r="Y211" s="708"/>
      <c r="Z211" s="698"/>
      <c r="AA211" s="708"/>
      <c r="AB211" s="878"/>
      <c r="AC211" s="708"/>
      <c r="AD211" s="691"/>
      <c r="AE211" s="684"/>
      <c r="AF211" s="684"/>
      <c r="AG211" s="684"/>
    </row>
    <row r="212" spans="1:41" ht="24.5" customHeight="1" thickBot="1">
      <c r="A212" s="467"/>
      <c r="B212" s="686" t="s">
        <v>182</v>
      </c>
      <c r="C212" s="686"/>
      <c r="D212" s="687" t="s">
        <v>115</v>
      </c>
      <c r="E212" s="686"/>
      <c r="F212" s="686" t="s">
        <v>185</v>
      </c>
      <c r="G212" s="686"/>
      <c r="H212" s="687" t="s">
        <v>115</v>
      </c>
      <c r="I212" s="686"/>
      <c r="J212" s="686" t="s">
        <v>182</v>
      </c>
      <c r="K212" s="686"/>
      <c r="L212" s="687" t="s">
        <v>115</v>
      </c>
      <c r="M212" s="686"/>
      <c r="N212" s="686" t="s">
        <v>182</v>
      </c>
      <c r="O212" s="686"/>
      <c r="P212" s="687" t="s">
        <v>125</v>
      </c>
      <c r="Q212" s="686"/>
      <c r="R212" s="726" t="s">
        <v>182</v>
      </c>
      <c r="S212" s="686"/>
      <c r="T212" s="716" t="s">
        <v>170</v>
      </c>
      <c r="U212" s="686"/>
      <c r="V212" s="687" t="s">
        <v>115</v>
      </c>
      <c r="W212" s="686"/>
      <c r="X212" s="686" t="s">
        <v>242</v>
      </c>
      <c r="Y212" s="686"/>
      <c r="Z212" s="686" t="s">
        <v>182</v>
      </c>
      <c r="AA212" s="686"/>
      <c r="AB212" s="686" t="s">
        <v>185</v>
      </c>
      <c r="AC212" s="708"/>
      <c r="AD212" s="691"/>
      <c r="AE212" s="684"/>
      <c r="AF212" s="684"/>
      <c r="AG212" s="684"/>
    </row>
    <row r="213" spans="1:41" ht="30.5" customHeight="1" thickBot="1">
      <c r="A213" s="467"/>
      <c r="B213" s="704"/>
      <c r="C213" s="704"/>
      <c r="D213" s="704"/>
      <c r="E213" s="704"/>
      <c r="F213" s="754" t="s">
        <v>1629</v>
      </c>
      <c r="G213" s="693"/>
      <c r="H213" s="750"/>
      <c r="I213" s="693"/>
      <c r="J213" s="693"/>
      <c r="K213" s="693"/>
      <c r="L213" s="693"/>
      <c r="M213" s="679" t="s">
        <v>228</v>
      </c>
      <c r="N213" s="693"/>
      <c r="O213" s="693"/>
      <c r="P213" s="829"/>
      <c r="Q213" s="693"/>
      <c r="R213" s="764" t="s">
        <v>1625</v>
      </c>
      <c r="S213" s="693"/>
      <c r="T213" s="693"/>
      <c r="U213" s="693"/>
      <c r="V213" s="693"/>
      <c r="W213" s="693"/>
      <c r="X213" s="693"/>
      <c r="Y213" s="679"/>
      <c r="Z213" s="693"/>
      <c r="AA213" s="693"/>
      <c r="AB213" s="829"/>
      <c r="AC213" s="691"/>
      <c r="AD213" s="691"/>
      <c r="AE213" s="684"/>
      <c r="AF213" s="684"/>
      <c r="AG213" s="684"/>
    </row>
    <row r="214" spans="1:41" ht="35.5" customHeight="1">
      <c r="A214" s="735"/>
      <c r="B214" s="723"/>
      <c r="C214" s="723"/>
      <c r="D214" s="723"/>
      <c r="E214" s="723"/>
      <c r="F214" s="1605"/>
      <c r="G214" s="1605"/>
      <c r="H214" s="1605"/>
      <c r="I214" s="723"/>
      <c r="J214" s="723"/>
      <c r="K214" s="723"/>
      <c r="L214" s="723"/>
      <c r="M214" s="723"/>
      <c r="N214" s="723"/>
      <c r="O214" s="723"/>
      <c r="P214" s="829"/>
      <c r="Q214" s="829"/>
      <c r="R214" s="1589" t="s">
        <v>228</v>
      </c>
      <c r="S214" s="1589"/>
      <c r="T214" s="1589"/>
      <c r="U214" s="829"/>
      <c r="V214" s="829"/>
      <c r="W214" s="723"/>
      <c r="X214" s="723"/>
      <c r="Y214" s="723"/>
      <c r="Z214" s="723"/>
      <c r="AA214" s="723"/>
      <c r="AB214" s="723"/>
      <c r="AC214" s="723"/>
      <c r="AD214" s="723"/>
      <c r="AE214" s="723"/>
      <c r="AF214" s="723"/>
      <c r="AG214" s="723"/>
      <c r="AH214" s="723"/>
      <c r="AI214" s="723"/>
      <c r="AJ214" s="723"/>
      <c r="AK214" s="723"/>
      <c r="AL214" s="723"/>
    </row>
    <row r="215" spans="1:41" ht="67" customHeight="1">
      <c r="A215" s="467"/>
      <c r="B215" s="672" t="s">
        <v>428</v>
      </c>
      <c r="C215" s="671"/>
      <c r="D215" s="1606" t="s">
        <v>171</v>
      </c>
      <c r="E215" s="1606"/>
      <c r="F215" s="1592" t="s">
        <v>1328</v>
      </c>
      <c r="G215" s="1592"/>
      <c r="H215" s="1592" t="s">
        <v>1528</v>
      </c>
      <c r="I215" s="1592"/>
      <c r="J215" s="672" t="s">
        <v>1330</v>
      </c>
      <c r="K215" s="671"/>
      <c r="L215" s="1592" t="s">
        <v>1331</v>
      </c>
      <c r="M215" s="1592"/>
      <c r="N215" s="1592" t="s">
        <v>434</v>
      </c>
      <c r="O215" s="1592"/>
      <c r="P215" s="1592" t="s">
        <v>435</v>
      </c>
      <c r="Q215" s="1592"/>
      <c r="R215" s="1592" t="s">
        <v>436</v>
      </c>
      <c r="S215" s="1592"/>
      <c r="T215" s="1592" t="s">
        <v>437</v>
      </c>
      <c r="U215" s="1592"/>
      <c r="V215" s="1592" t="s">
        <v>438</v>
      </c>
      <c r="W215" s="1592"/>
      <c r="X215" s="1592" t="s">
        <v>439</v>
      </c>
      <c r="Y215" s="1592"/>
      <c r="Z215" s="1592" t="s">
        <v>440</v>
      </c>
      <c r="AA215" s="1592"/>
      <c r="AB215" s="1592" t="s">
        <v>441</v>
      </c>
      <c r="AC215" s="1592"/>
      <c r="AD215" s="691"/>
      <c r="AE215" s="684"/>
      <c r="AF215" s="684"/>
      <c r="AG215" s="684"/>
    </row>
    <row r="216" spans="1:41" ht="33.5">
      <c r="A216" s="467"/>
      <c r="B216" s="700"/>
      <c r="C216" s="690"/>
      <c r="D216" s="700"/>
      <c r="E216" s="690"/>
      <c r="F216" s="700"/>
      <c r="G216" s="690"/>
      <c r="H216" s="700"/>
      <c r="I216" s="690"/>
      <c r="J216" s="700"/>
      <c r="K216" s="690"/>
      <c r="L216" s="700"/>
      <c r="M216" s="690"/>
      <c r="N216" s="700"/>
      <c r="O216" s="690"/>
      <c r="P216" s="700"/>
      <c r="Q216" s="708"/>
      <c r="R216" s="700"/>
      <c r="S216" s="690"/>
      <c r="T216" s="700"/>
      <c r="U216" s="690"/>
      <c r="V216" s="700"/>
      <c r="W216" s="690"/>
      <c r="X216" s="700"/>
      <c r="Y216" s="690"/>
      <c r="Z216" s="700"/>
      <c r="AA216" s="690"/>
      <c r="AB216" s="700"/>
      <c r="AC216" s="708"/>
      <c r="AD216" s="691"/>
      <c r="AE216" s="684"/>
      <c r="AF216" s="684"/>
      <c r="AG216" s="684"/>
    </row>
    <row r="217" spans="1:41" ht="16.5" customHeight="1" thickBot="1">
      <c r="A217" s="467"/>
      <c r="B217" s="702"/>
      <c r="C217" s="690"/>
      <c r="D217" s="702"/>
      <c r="E217" s="690"/>
      <c r="F217" s="702"/>
      <c r="G217" s="690"/>
      <c r="H217" s="702"/>
      <c r="I217" s="690"/>
      <c r="J217" s="702"/>
      <c r="K217" s="690"/>
      <c r="L217" s="702"/>
      <c r="M217" s="690"/>
      <c r="N217" s="702"/>
      <c r="O217" s="690"/>
      <c r="P217" s="702"/>
      <c r="Q217" s="708"/>
      <c r="R217" s="702"/>
      <c r="S217" s="690"/>
      <c r="T217" s="702"/>
      <c r="U217" s="690"/>
      <c r="V217" s="702"/>
      <c r="W217" s="690"/>
      <c r="X217" s="702"/>
      <c r="Y217" s="690"/>
      <c r="Z217" s="702"/>
      <c r="AA217" s="690"/>
      <c r="AB217" s="702"/>
      <c r="AC217" s="708"/>
      <c r="AD217" s="691"/>
      <c r="AE217" s="684"/>
      <c r="AF217" s="684"/>
      <c r="AG217" s="684"/>
    </row>
    <row r="218" spans="1:41" ht="100" customHeight="1" thickBot="1">
      <c r="A218" s="467"/>
      <c r="B218" s="721"/>
      <c r="C218" s="725">
        <v>410</v>
      </c>
      <c r="D218" s="721"/>
      <c r="E218" s="725">
        <v>421</v>
      </c>
      <c r="F218" s="755" t="s">
        <v>228</v>
      </c>
      <c r="G218" s="725">
        <v>407.61</v>
      </c>
      <c r="H218" s="679" t="s">
        <v>228</v>
      </c>
      <c r="I218" s="725">
        <v>364.36</v>
      </c>
      <c r="J218" s="679" t="s">
        <v>228</v>
      </c>
      <c r="K218" s="725">
        <v>332.44799999999998</v>
      </c>
      <c r="L218" s="721"/>
      <c r="M218" s="725">
        <v>348.85</v>
      </c>
      <c r="N218" s="679" t="s">
        <v>228</v>
      </c>
      <c r="O218" s="725">
        <v>387.35</v>
      </c>
      <c r="P218" s="721"/>
      <c r="Q218" s="695">
        <v>452.64</v>
      </c>
      <c r="R218" s="679" t="s">
        <v>228</v>
      </c>
      <c r="S218" s="711">
        <v>386.96</v>
      </c>
      <c r="T218" s="679" t="s">
        <v>228</v>
      </c>
      <c r="U218" s="711">
        <v>382.14</v>
      </c>
      <c r="V218" s="721"/>
      <c r="W218" s="711">
        <v>336.47</v>
      </c>
      <c r="X218" s="721"/>
      <c r="Y218" s="711">
        <v>389.14</v>
      </c>
      <c r="Z218" s="1014" t="s">
        <v>1692</v>
      </c>
      <c r="AA218" s="711">
        <v>334.55</v>
      </c>
      <c r="AB218" s="1014" t="s">
        <v>1692</v>
      </c>
      <c r="AC218" s="695">
        <v>396.2</v>
      </c>
      <c r="AD218" s="691"/>
      <c r="AE218" s="684"/>
      <c r="AF218" s="684"/>
      <c r="AG218" s="684"/>
      <c r="AM218" s="871">
        <f>COUNTIF(B218:AB218,"U/P")</f>
        <v>0</v>
      </c>
      <c r="AN218" s="871">
        <f>COUNTIF(C218:AC218,"ROW")</f>
        <v>6</v>
      </c>
      <c r="AO218" s="871">
        <f>COUNTIF(D218:AD218,"C")</f>
        <v>0</v>
      </c>
    </row>
    <row r="219" spans="1:41" ht="16.5" customHeight="1" thickBot="1">
      <c r="A219" s="467"/>
      <c r="B219" s="698"/>
      <c r="C219" s="766"/>
      <c r="D219" s="698"/>
      <c r="E219" s="766"/>
      <c r="F219" s="698"/>
      <c r="G219" s="766"/>
      <c r="H219" s="698"/>
      <c r="I219" s="766"/>
      <c r="J219" s="698"/>
      <c r="K219" s="766"/>
      <c r="L219" s="698"/>
      <c r="M219" s="766"/>
      <c r="N219" s="698"/>
      <c r="O219" s="766"/>
      <c r="P219" s="698"/>
      <c r="Q219" s="708"/>
      <c r="R219" s="698"/>
      <c r="S219" s="708"/>
      <c r="T219" s="698"/>
      <c r="U219" s="708"/>
      <c r="V219" s="698"/>
      <c r="W219" s="708"/>
      <c r="X219" s="698"/>
      <c r="Y219" s="708"/>
      <c r="Z219" s="698"/>
      <c r="AA219" s="708"/>
      <c r="AB219" s="698"/>
      <c r="AC219" s="708"/>
      <c r="AD219" s="691"/>
      <c r="AE219" s="684"/>
      <c r="AF219" s="684"/>
      <c r="AG219" s="684"/>
    </row>
    <row r="220" spans="1:41" ht="33.5">
      <c r="A220" s="467"/>
      <c r="B220" s="686" t="s">
        <v>185</v>
      </c>
      <c r="C220" s="686"/>
      <c r="D220" s="686" t="s">
        <v>167</v>
      </c>
      <c r="E220" s="686"/>
      <c r="F220" s="686" t="s">
        <v>125</v>
      </c>
      <c r="G220" s="686"/>
      <c r="H220" s="687" t="s">
        <v>125</v>
      </c>
      <c r="I220" s="686"/>
      <c r="J220" s="686" t="s">
        <v>242</v>
      </c>
      <c r="K220" s="686"/>
      <c r="L220" s="686" t="s">
        <v>185</v>
      </c>
      <c r="M220" s="686"/>
      <c r="N220" s="687" t="s">
        <v>115</v>
      </c>
      <c r="O220" s="690"/>
      <c r="P220" s="686" t="s">
        <v>242</v>
      </c>
      <c r="Q220" s="708"/>
      <c r="R220" s="687" t="s">
        <v>125</v>
      </c>
      <c r="S220" s="708"/>
      <c r="T220" s="687" t="s">
        <v>143</v>
      </c>
      <c r="U220" s="708"/>
      <c r="V220" s="686" t="s">
        <v>182</v>
      </c>
      <c r="W220" s="708"/>
      <c r="X220" s="686" t="s">
        <v>182</v>
      </c>
      <c r="Y220" s="708"/>
      <c r="Z220" s="687" t="s">
        <v>115</v>
      </c>
      <c r="AA220" s="708"/>
      <c r="AB220" s="686" t="s">
        <v>242</v>
      </c>
      <c r="AC220" s="708"/>
      <c r="AD220" s="691"/>
      <c r="AE220" s="684"/>
      <c r="AF220" s="684"/>
      <c r="AG220" s="684"/>
    </row>
    <row r="221" spans="1:41" ht="27" customHeight="1">
      <c r="A221" s="467"/>
      <c r="B221" s="691"/>
      <c r="C221" s="691"/>
      <c r="D221" s="691"/>
      <c r="E221" s="691"/>
      <c r="F221" s="691"/>
      <c r="G221" s="691"/>
      <c r="H221" s="691"/>
      <c r="I221" s="691"/>
      <c r="J221" s="691"/>
      <c r="K221" s="691"/>
      <c r="L221" s="691"/>
      <c r="M221" s="691"/>
      <c r="N221" s="691"/>
      <c r="O221" s="691"/>
      <c r="P221" s="691"/>
      <c r="Q221" s="691"/>
      <c r="R221" s="1607" t="s">
        <v>1529</v>
      </c>
      <c r="S221" s="1607"/>
      <c r="T221" s="691"/>
      <c r="U221" s="691"/>
      <c r="V221" s="691"/>
      <c r="W221" s="691"/>
      <c r="X221" s="691"/>
      <c r="Y221" s="691"/>
      <c r="Z221" s="691"/>
      <c r="AA221" s="691"/>
      <c r="AB221" s="691"/>
      <c r="AC221" s="691"/>
      <c r="AD221" s="691"/>
      <c r="AE221" s="684"/>
      <c r="AF221" s="684"/>
      <c r="AG221" s="684"/>
    </row>
    <row r="222" spans="1:41" ht="27" customHeight="1">
      <c r="A222" s="1028"/>
      <c r="B222" s="829"/>
      <c r="C222" s="829"/>
      <c r="D222" s="829"/>
      <c r="E222" s="829"/>
      <c r="F222" s="1589" t="s">
        <v>228</v>
      </c>
      <c r="G222" s="1589"/>
      <c r="H222" s="1589"/>
      <c r="I222" s="1589"/>
      <c r="J222" s="1589"/>
      <c r="K222" s="829"/>
      <c r="L222" s="723"/>
      <c r="M222" s="723"/>
      <c r="N222" s="749" t="s">
        <v>228</v>
      </c>
      <c r="O222" s="723"/>
      <c r="P222" s="723"/>
      <c r="Q222" s="723"/>
      <c r="R222" s="1589" t="s">
        <v>228</v>
      </c>
      <c r="S222" s="1589"/>
      <c r="T222" s="1589"/>
      <c r="U222" s="750"/>
      <c r="V222" s="750"/>
      <c r="W222" s="750"/>
      <c r="X222" s="750"/>
      <c r="Y222" s="750"/>
      <c r="Z222" s="1589" t="s">
        <v>228</v>
      </c>
      <c r="AA222" s="1589"/>
      <c r="AB222" s="1589"/>
      <c r="AC222" s="1589"/>
      <c r="AD222" s="750"/>
      <c r="AE222" s="750"/>
      <c r="AF222" s="750"/>
      <c r="AG222" s="749"/>
      <c r="AH222" s="749"/>
      <c r="AI222" s="881"/>
      <c r="AJ222" s="881"/>
      <c r="AK222" s="881"/>
      <c r="AL222" s="881"/>
    </row>
    <row r="223" spans="1:41" ht="54.5" customHeight="1">
      <c r="A223" s="1608" t="s">
        <v>443</v>
      </c>
      <c r="B223" s="1596"/>
      <c r="C223" s="1596" t="s">
        <v>1530</v>
      </c>
      <c r="D223" s="1596"/>
      <c r="E223" s="671"/>
      <c r="F223" s="1592" t="s">
        <v>1531</v>
      </c>
      <c r="G223" s="1592"/>
      <c r="H223" s="1609" t="s">
        <v>446</v>
      </c>
      <c r="I223" s="1609"/>
      <c r="J223" s="1592" t="s">
        <v>447</v>
      </c>
      <c r="K223" s="1592"/>
      <c r="L223" s="1592" t="s">
        <v>448</v>
      </c>
      <c r="M223" s="1592"/>
      <c r="N223" s="1592" t="s">
        <v>449</v>
      </c>
      <c r="O223" s="1592"/>
      <c r="P223" s="1592" t="s">
        <v>450</v>
      </c>
      <c r="Q223" s="1592"/>
      <c r="R223" s="1592" t="s">
        <v>451</v>
      </c>
      <c r="S223" s="1592"/>
      <c r="T223" s="1592" t="s">
        <v>452</v>
      </c>
      <c r="U223" s="1592"/>
      <c r="V223" s="1592" t="s">
        <v>728</v>
      </c>
      <c r="W223" s="1592"/>
      <c r="X223" s="767" t="s">
        <v>1532</v>
      </c>
      <c r="Y223" s="1596" t="s">
        <v>1533</v>
      </c>
      <c r="Z223" s="1596"/>
      <c r="AA223" s="708"/>
      <c r="AB223" s="1592" t="s">
        <v>457</v>
      </c>
      <c r="AC223" s="1592"/>
      <c r="AD223" s="708"/>
      <c r="AE223" s="711"/>
      <c r="AF223" s="711"/>
      <c r="AG223" s="711"/>
      <c r="AH223" s="708"/>
      <c r="AI223" s="708"/>
      <c r="AJ223" s="708"/>
      <c r="AK223" s="708"/>
      <c r="AL223" s="708"/>
    </row>
    <row r="224" spans="1:41" ht="33.5">
      <c r="A224" s="467"/>
      <c r="B224" s="700"/>
      <c r="C224" s="690"/>
      <c r="D224" s="700"/>
      <c r="E224" s="690"/>
      <c r="F224" s="700"/>
      <c r="G224" s="690"/>
      <c r="H224" s="700"/>
      <c r="I224" s="690"/>
      <c r="J224" s="700"/>
      <c r="K224" s="690"/>
      <c r="L224" s="700"/>
      <c r="M224" s="690"/>
      <c r="N224" s="700"/>
      <c r="O224" s="690"/>
      <c r="P224" s="700"/>
      <c r="Q224" s="708"/>
      <c r="R224" s="700"/>
      <c r="S224" s="690"/>
      <c r="T224" s="700"/>
      <c r="U224" s="690"/>
      <c r="V224" s="700"/>
      <c r="W224" s="690"/>
      <c r="X224" s="700"/>
      <c r="Y224" s="690"/>
      <c r="Z224" s="700"/>
      <c r="AA224" s="690"/>
      <c r="AB224" s="700"/>
      <c r="AC224" s="708"/>
      <c r="AD224" s="708"/>
      <c r="AE224" s="711"/>
      <c r="AF224" s="711"/>
      <c r="AG224" s="711"/>
      <c r="AH224" s="708"/>
      <c r="AI224" s="708"/>
      <c r="AJ224" s="708"/>
      <c r="AK224" s="708"/>
      <c r="AL224" s="708"/>
    </row>
    <row r="225" spans="1:41" ht="16.5" customHeight="1" thickBot="1">
      <c r="A225" s="467"/>
      <c r="B225" s="702"/>
      <c r="C225" s="690"/>
      <c r="D225" s="702"/>
      <c r="E225" s="690"/>
      <c r="F225" s="702"/>
      <c r="G225" s="690"/>
      <c r="H225" s="702"/>
      <c r="I225" s="690"/>
      <c r="J225" s="702"/>
      <c r="K225" s="690"/>
      <c r="L225" s="702"/>
      <c r="M225" s="690"/>
      <c r="N225" s="702"/>
      <c r="O225" s="690"/>
      <c r="P225" s="702"/>
      <c r="Q225" s="708"/>
      <c r="R225" s="702"/>
      <c r="S225" s="690"/>
      <c r="T225" s="702"/>
      <c r="U225" s="690"/>
      <c r="V225" s="702"/>
      <c r="W225" s="690"/>
      <c r="X225" s="702"/>
      <c r="Y225" s="690"/>
      <c r="Z225" s="702"/>
      <c r="AA225" s="690"/>
      <c r="AB225" s="702"/>
      <c r="AC225" s="708"/>
      <c r="AD225" s="708"/>
      <c r="AE225" s="711"/>
      <c r="AF225" s="711"/>
      <c r="AG225" s="711"/>
      <c r="AH225" s="708"/>
      <c r="AI225" s="708"/>
      <c r="AJ225" s="708"/>
      <c r="AK225" s="708"/>
      <c r="AL225" s="708"/>
    </row>
    <row r="226" spans="1:41" ht="100" customHeight="1" thickBot="1">
      <c r="A226" s="467"/>
      <c r="B226" s="679"/>
      <c r="C226" s="695">
        <v>233.29</v>
      </c>
      <c r="D226" s="679"/>
      <c r="E226" s="695">
        <v>467.19</v>
      </c>
      <c r="F226" s="1014" t="s">
        <v>1692</v>
      </c>
      <c r="G226" s="695">
        <v>423.02</v>
      </c>
      <c r="H226" s="721"/>
      <c r="I226" s="695">
        <v>248.69</v>
      </c>
      <c r="J226" s="721"/>
      <c r="K226" s="695">
        <v>282.02999999999997</v>
      </c>
      <c r="L226" s="721"/>
      <c r="M226" s="695">
        <v>398</v>
      </c>
      <c r="N226" s="721"/>
      <c r="O226" s="695">
        <v>370.48</v>
      </c>
      <c r="P226" s="721"/>
      <c r="Q226" s="695">
        <v>437.33</v>
      </c>
      <c r="R226" s="755"/>
      <c r="S226" s="732">
        <v>435</v>
      </c>
      <c r="T226" s="1015" t="s">
        <v>1692</v>
      </c>
      <c r="U226" s="732">
        <v>406.62</v>
      </c>
      <c r="V226" s="765"/>
      <c r="W226" s="732"/>
      <c r="X226" s="1015" t="s">
        <v>1693</v>
      </c>
      <c r="Y226" s="732">
        <v>440.63</v>
      </c>
      <c r="Z226" s="721"/>
      <c r="AA226" s="695">
        <v>410.34</v>
      </c>
      <c r="AB226" s="721"/>
      <c r="AC226" s="695">
        <v>444.33</v>
      </c>
      <c r="AD226" s="708"/>
      <c r="AE226" s="711"/>
      <c r="AF226" s="711"/>
      <c r="AG226" s="711"/>
      <c r="AH226" s="708"/>
      <c r="AI226" s="708"/>
      <c r="AJ226" s="708"/>
      <c r="AK226" s="708"/>
      <c r="AL226" s="708"/>
      <c r="AM226" s="871">
        <f>COUNTIF(B226:AB226,"U/P")</f>
        <v>0</v>
      </c>
      <c r="AN226" s="871">
        <f>COUNTIF(C226:AC226,"ROW")</f>
        <v>0</v>
      </c>
      <c r="AO226" s="871">
        <f>COUNTIF(D226:AD226,"C")</f>
        <v>0</v>
      </c>
    </row>
    <row r="227" spans="1:41" ht="16.5" customHeight="1" thickBot="1">
      <c r="A227" s="467"/>
      <c r="B227" s="698"/>
      <c r="C227" s="708"/>
      <c r="D227" s="698"/>
      <c r="E227" s="708"/>
      <c r="F227" s="698"/>
      <c r="G227" s="708"/>
      <c r="H227" s="698"/>
      <c r="I227" s="708"/>
      <c r="J227" s="698"/>
      <c r="K227" s="708"/>
      <c r="L227" s="698"/>
      <c r="M227" s="708"/>
      <c r="N227" s="698"/>
      <c r="O227" s="708"/>
      <c r="P227" s="698"/>
      <c r="Q227" s="708"/>
      <c r="R227" s="698"/>
      <c r="S227" s="708"/>
      <c r="T227" s="698"/>
      <c r="U227" s="708"/>
      <c r="V227" s="698"/>
      <c r="W227" s="708"/>
      <c r="X227" s="698"/>
      <c r="Y227" s="708"/>
      <c r="Z227" s="698"/>
      <c r="AA227" s="708"/>
      <c r="AB227" s="698"/>
      <c r="AC227" s="708"/>
      <c r="AD227" s="708"/>
      <c r="AE227" s="711"/>
      <c r="AF227" s="711"/>
      <c r="AG227" s="711"/>
      <c r="AH227" s="708"/>
      <c r="AI227" s="708"/>
      <c r="AJ227" s="708"/>
      <c r="AK227" s="708"/>
      <c r="AL227" s="708"/>
    </row>
    <row r="228" spans="1:41" ht="33.5">
      <c r="A228" s="467"/>
      <c r="B228" s="687" t="s">
        <v>125</v>
      </c>
      <c r="C228" s="686"/>
      <c r="D228" s="687" t="s">
        <v>123</v>
      </c>
      <c r="E228" s="686"/>
      <c r="F228" s="687" t="s">
        <v>132</v>
      </c>
      <c r="G228" s="686"/>
      <c r="H228" s="686" t="s">
        <v>182</v>
      </c>
      <c r="I228" s="686"/>
      <c r="J228" s="686" t="s">
        <v>182</v>
      </c>
      <c r="K228" s="686"/>
      <c r="L228" s="687" t="s">
        <v>125</v>
      </c>
      <c r="M228" s="686"/>
      <c r="N228" s="686" t="s">
        <v>185</v>
      </c>
      <c r="O228" s="690"/>
      <c r="P228" s="687" t="s">
        <v>128</v>
      </c>
      <c r="Q228" s="708"/>
      <c r="R228" s="687" t="s">
        <v>143</v>
      </c>
      <c r="S228" s="708"/>
      <c r="T228" s="686" t="s">
        <v>248</v>
      </c>
      <c r="U228" s="708"/>
      <c r="V228" s="687" t="s">
        <v>115</v>
      </c>
      <c r="W228" s="708"/>
      <c r="X228" s="687" t="s">
        <v>137</v>
      </c>
      <c r="Y228" s="708"/>
      <c r="Z228" s="687" t="s">
        <v>167</v>
      </c>
      <c r="AA228" s="708"/>
      <c r="AB228" s="687" t="s">
        <v>115</v>
      </c>
      <c r="AC228" s="708"/>
      <c r="AD228" s="708"/>
      <c r="AE228" s="711"/>
      <c r="AF228" s="711"/>
      <c r="AG228" s="711"/>
      <c r="AH228" s="708"/>
      <c r="AI228" s="708"/>
      <c r="AJ228" s="708"/>
      <c r="AK228" s="708"/>
      <c r="AL228" s="708"/>
    </row>
    <row r="229" spans="1:41" ht="33.5">
      <c r="B229" s="686"/>
      <c r="C229" s="686"/>
      <c r="D229" s="768" t="s">
        <v>1632</v>
      </c>
      <c r="E229" s="686"/>
      <c r="F229" s="768" t="s">
        <v>1632</v>
      </c>
      <c r="G229" s="686"/>
      <c r="H229" s="686"/>
      <c r="I229" s="686"/>
      <c r="J229" s="686"/>
      <c r="K229" s="686"/>
      <c r="L229" s="686"/>
      <c r="M229" s="686"/>
      <c r="N229" s="686"/>
      <c r="O229" s="690"/>
      <c r="P229" s="686"/>
      <c r="Q229" s="708"/>
      <c r="R229" s="686"/>
      <c r="S229" s="708"/>
      <c r="T229" s="686"/>
      <c r="U229" s="708"/>
      <c r="V229" s="768" t="s">
        <v>1625</v>
      </c>
      <c r="W229" s="708"/>
      <c r="X229" s="686"/>
      <c r="Y229" s="708"/>
      <c r="Z229" s="686"/>
      <c r="AA229" s="708"/>
      <c r="AB229" s="686"/>
      <c r="AC229" s="708"/>
      <c r="AD229" s="708"/>
      <c r="AE229" s="711"/>
      <c r="AF229" s="711"/>
      <c r="AG229" s="711"/>
      <c r="AH229" s="708"/>
      <c r="AI229" s="708"/>
      <c r="AJ229" s="708"/>
      <c r="AK229" s="708"/>
      <c r="AL229" s="708"/>
    </row>
    <row r="230" spans="1:41" ht="31" customHeight="1">
      <c r="A230" s="1588" t="s">
        <v>1518</v>
      </c>
      <c r="B230" s="1589"/>
      <c r="C230" s="1589"/>
      <c r="D230" s="1589"/>
      <c r="E230" s="1589"/>
      <c r="F230" s="1589"/>
      <c r="G230" s="1589"/>
      <c r="H230" s="1610"/>
      <c r="I230" s="1610"/>
      <c r="J230" s="1610"/>
      <c r="K230" s="1610"/>
      <c r="L230" s="1610"/>
      <c r="M230" s="1610"/>
      <c r="N230" s="1610"/>
      <c r="O230" s="1610"/>
      <c r="P230" s="1611"/>
      <c r="Q230" s="1579" t="s">
        <v>1518</v>
      </c>
      <c r="R230" s="1580"/>
      <c r="S230" s="1580"/>
      <c r="T230" s="1580"/>
      <c r="U230" s="1580"/>
      <c r="V230" s="1580"/>
      <c r="W230" s="1580"/>
      <c r="X230" s="1580"/>
      <c r="Y230" s="1612"/>
      <c r="Z230" s="1612"/>
      <c r="AA230" s="1612"/>
      <c r="AB230" s="1612"/>
      <c r="AC230" s="1612"/>
      <c r="AD230" s="1612"/>
      <c r="AE230" s="1031"/>
      <c r="AF230" s="1030"/>
      <c r="AG230" s="1029"/>
      <c r="AH230" s="870"/>
      <c r="AI230" s="881"/>
      <c r="AJ230" s="881"/>
      <c r="AK230" s="881"/>
      <c r="AL230" s="881"/>
    </row>
    <row r="231" spans="1:41" ht="22.5" customHeight="1">
      <c r="B231" s="691"/>
      <c r="C231" s="691"/>
      <c r="D231" s="691"/>
      <c r="E231" s="691"/>
      <c r="F231" s="691"/>
      <c r="G231" s="691"/>
      <c r="H231" s="691"/>
      <c r="I231" s="691"/>
      <c r="J231" s="691"/>
      <c r="K231" s="691"/>
      <c r="L231" s="691"/>
      <c r="M231" s="691"/>
      <c r="N231" s="691"/>
      <c r="O231" s="691"/>
      <c r="P231" s="691"/>
      <c r="Q231" s="691"/>
      <c r="R231" s="691"/>
      <c r="S231" s="691"/>
      <c r="T231" s="691"/>
      <c r="U231" s="691"/>
      <c r="V231" s="691"/>
      <c r="W231" s="691"/>
      <c r="X231" s="691"/>
      <c r="Y231" s="691"/>
      <c r="Z231" s="691"/>
      <c r="AA231" s="691"/>
      <c r="AB231" s="691"/>
      <c r="AC231" s="691"/>
      <c r="AD231" s="691"/>
      <c r="AE231" s="674"/>
      <c r="AF231" s="674"/>
      <c r="AG231" s="674"/>
    </row>
    <row r="232" spans="1:41" ht="36.5" customHeight="1">
      <c r="A232" s="1596" t="s">
        <v>458</v>
      </c>
      <c r="B232" s="1596"/>
      <c r="C232" s="708"/>
      <c r="D232" s="1592" t="s">
        <v>459</v>
      </c>
      <c r="E232" s="1592"/>
      <c r="F232" s="1592" t="s">
        <v>460</v>
      </c>
      <c r="G232" s="1592"/>
      <c r="H232" s="1592" t="s">
        <v>1534</v>
      </c>
      <c r="I232" s="1592"/>
      <c r="J232" s="1592" t="s">
        <v>462</v>
      </c>
      <c r="K232" s="1592"/>
      <c r="L232" s="1592" t="s">
        <v>463</v>
      </c>
      <c r="M232" s="1592"/>
      <c r="N232" s="1592" t="s">
        <v>464</v>
      </c>
      <c r="O232" s="1592"/>
      <c r="P232" s="1592" t="s">
        <v>465</v>
      </c>
      <c r="Q232" s="1592"/>
      <c r="R232" s="1592" t="s">
        <v>467</v>
      </c>
      <c r="S232" s="1592"/>
      <c r="T232" s="1592" t="s">
        <v>468</v>
      </c>
      <c r="U232" s="1592"/>
      <c r="V232" s="1592" t="s">
        <v>469</v>
      </c>
      <c r="W232" s="1592"/>
      <c r="X232" s="1592" t="s">
        <v>470</v>
      </c>
      <c r="Y232" s="1592"/>
      <c r="Z232" s="1592" t="s">
        <v>471</v>
      </c>
      <c r="AA232" s="1592"/>
      <c r="AB232" s="1592" t="s">
        <v>472</v>
      </c>
      <c r="AC232" s="1592"/>
      <c r="AD232" s="708"/>
      <c r="AE232" s="674"/>
      <c r="AF232" s="674"/>
      <c r="AG232" s="674"/>
    </row>
    <row r="233" spans="1:41" ht="33.5">
      <c r="A233" s="467"/>
      <c r="B233" s="700"/>
      <c r="C233" s="690"/>
      <c r="D233" s="700"/>
      <c r="E233" s="690"/>
      <c r="F233" s="700"/>
      <c r="G233" s="690"/>
      <c r="H233" s="700"/>
      <c r="I233" s="690"/>
      <c r="J233" s="700"/>
      <c r="K233" s="690"/>
      <c r="L233" s="700"/>
      <c r="M233" s="690"/>
      <c r="N233" s="700"/>
      <c r="O233" s="690"/>
      <c r="P233" s="700"/>
      <c r="Q233" s="708"/>
      <c r="R233" s="700"/>
      <c r="S233" s="690"/>
      <c r="T233" s="700"/>
      <c r="U233" s="690"/>
      <c r="V233" s="700"/>
      <c r="W233" s="690"/>
      <c r="X233" s="700"/>
      <c r="Y233" s="690"/>
      <c r="Z233" s="700"/>
      <c r="AA233" s="690"/>
      <c r="AB233" s="700"/>
      <c r="AC233" s="708"/>
      <c r="AD233" s="708"/>
      <c r="AE233" s="684"/>
      <c r="AF233" s="684"/>
      <c r="AG233" s="684"/>
    </row>
    <row r="234" spans="1:41" ht="16.5" customHeight="1" thickBot="1">
      <c r="A234" s="467"/>
      <c r="B234" s="702"/>
      <c r="C234" s="690"/>
      <c r="D234" s="702"/>
      <c r="E234" s="690"/>
      <c r="F234" s="702"/>
      <c r="G234" s="690"/>
      <c r="H234" s="702"/>
      <c r="I234" s="690"/>
      <c r="J234" s="702"/>
      <c r="K234" s="690"/>
      <c r="L234" s="702"/>
      <c r="M234" s="690"/>
      <c r="N234" s="702"/>
      <c r="O234" s="690"/>
      <c r="P234" s="702"/>
      <c r="Q234" s="708"/>
      <c r="R234" s="702"/>
      <c r="S234" s="690"/>
      <c r="T234" s="702"/>
      <c r="U234" s="690"/>
      <c r="V234" s="702"/>
      <c r="W234" s="690"/>
      <c r="X234" s="702"/>
      <c r="Y234" s="690"/>
      <c r="Z234" s="702"/>
      <c r="AA234" s="690"/>
      <c r="AB234" s="702"/>
      <c r="AC234" s="708"/>
      <c r="AD234" s="708"/>
      <c r="AE234" s="684"/>
      <c r="AF234" s="684"/>
      <c r="AG234" s="684"/>
    </row>
    <row r="235" spans="1:41" ht="100" customHeight="1" thickBot="1">
      <c r="A235" s="467"/>
      <c r="B235" s="751"/>
      <c r="C235" s="695">
        <v>189.81</v>
      </c>
      <c r="D235" s="721"/>
      <c r="E235" s="695">
        <v>157.88</v>
      </c>
      <c r="F235" s="1014" t="s">
        <v>1694</v>
      </c>
      <c r="G235" s="695">
        <v>200.69</v>
      </c>
      <c r="H235" s="721"/>
      <c r="I235" s="695">
        <v>165.49</v>
      </c>
      <c r="J235" s="721"/>
      <c r="K235" s="695">
        <v>403.86</v>
      </c>
      <c r="L235" s="721"/>
      <c r="M235" s="695">
        <v>434.79</v>
      </c>
      <c r="N235" s="721"/>
      <c r="O235" s="732">
        <v>425.38</v>
      </c>
      <c r="P235" s="721"/>
      <c r="Q235" s="732">
        <v>441.35</v>
      </c>
      <c r="R235" s="721"/>
      <c r="S235" s="732">
        <v>357.54</v>
      </c>
      <c r="T235" s="721"/>
      <c r="U235" s="732">
        <v>438.29</v>
      </c>
      <c r="V235" s="1015" t="s">
        <v>1693</v>
      </c>
      <c r="W235" s="732">
        <v>430</v>
      </c>
      <c r="X235" s="765"/>
      <c r="Y235" s="732">
        <v>410</v>
      </c>
      <c r="Z235" s="765"/>
      <c r="AA235" s="732">
        <v>439.98</v>
      </c>
      <c r="AB235" s="1015" t="s">
        <v>1693</v>
      </c>
      <c r="AC235" s="695">
        <v>424.44</v>
      </c>
      <c r="AD235" s="708"/>
      <c r="AE235" s="684"/>
      <c r="AF235" s="684"/>
      <c r="AG235" s="684"/>
      <c r="AM235" s="871">
        <f>COUNTIF(B235:AB235,"U/P")</f>
        <v>0</v>
      </c>
      <c r="AN235" s="871">
        <f>COUNTIF(C235:AC235,"ROW")</f>
        <v>0</v>
      </c>
      <c r="AO235" s="871">
        <f>COUNTIF(D235:AD235,"C")</f>
        <v>0</v>
      </c>
    </row>
    <row r="236" spans="1:41" ht="16.5" customHeight="1" thickBot="1">
      <c r="A236" s="467"/>
      <c r="B236" s="698"/>
      <c r="C236" s="708"/>
      <c r="D236" s="698"/>
      <c r="E236" s="708"/>
      <c r="F236" s="698"/>
      <c r="G236" s="708"/>
      <c r="H236" s="698"/>
      <c r="I236" s="708"/>
      <c r="J236" s="698"/>
      <c r="K236" s="708"/>
      <c r="L236" s="698"/>
      <c r="M236" s="708"/>
      <c r="N236" s="698"/>
      <c r="O236" s="708"/>
      <c r="P236" s="698"/>
      <c r="Q236" s="708"/>
      <c r="R236" s="698"/>
      <c r="S236" s="708"/>
      <c r="T236" s="698"/>
      <c r="U236" s="708"/>
      <c r="V236" s="698"/>
      <c r="W236" s="708"/>
      <c r="X236" s="698"/>
      <c r="Y236" s="708"/>
      <c r="Z236" s="698"/>
      <c r="AA236" s="708"/>
      <c r="AB236" s="698"/>
      <c r="AC236" s="708"/>
      <c r="AD236" s="708"/>
      <c r="AE236" s="684"/>
      <c r="AF236" s="684"/>
      <c r="AG236" s="684"/>
    </row>
    <row r="237" spans="1:41" ht="33.5">
      <c r="A237" s="467"/>
      <c r="B237" s="687" t="s">
        <v>132</v>
      </c>
      <c r="C237" s="686"/>
      <c r="D237" s="687" t="s">
        <v>123</v>
      </c>
      <c r="E237" s="686"/>
      <c r="F237" s="687" t="s">
        <v>125</v>
      </c>
      <c r="G237" s="686"/>
      <c r="H237" s="687" t="s">
        <v>115</v>
      </c>
      <c r="I237" s="686"/>
      <c r="J237" s="687" t="s">
        <v>115</v>
      </c>
      <c r="K237" s="686"/>
      <c r="L237" s="686" t="s">
        <v>248</v>
      </c>
      <c r="M237" s="686"/>
      <c r="N237" s="687" t="s">
        <v>115</v>
      </c>
      <c r="O237" s="690"/>
      <c r="P237" s="687" t="s">
        <v>132</v>
      </c>
      <c r="Q237" s="708"/>
      <c r="R237" s="687" t="s">
        <v>125</v>
      </c>
      <c r="S237" s="708"/>
      <c r="T237" s="686" t="s">
        <v>182</v>
      </c>
      <c r="U237" s="708"/>
      <c r="V237" s="687" t="s">
        <v>125</v>
      </c>
      <c r="W237" s="708"/>
      <c r="X237" s="686" t="s">
        <v>185</v>
      </c>
      <c r="Y237" s="708"/>
      <c r="Z237" s="687" t="s">
        <v>132</v>
      </c>
      <c r="AA237" s="708"/>
      <c r="AB237" s="687" t="s">
        <v>137</v>
      </c>
      <c r="AC237" s="708"/>
      <c r="AD237" s="708"/>
      <c r="AE237" s="684"/>
      <c r="AF237" s="684"/>
      <c r="AG237" s="684"/>
    </row>
    <row r="238" spans="1:41" ht="33.5">
      <c r="B238" s="770" t="s">
        <v>1524</v>
      </c>
      <c r="C238" s="725"/>
      <c r="D238" s="673"/>
      <c r="E238" s="725"/>
      <c r="F238" s="725"/>
      <c r="G238" s="725"/>
      <c r="H238" s="725"/>
      <c r="I238" s="725"/>
      <c r="J238" s="725"/>
      <c r="K238" s="725"/>
      <c r="L238" s="725"/>
      <c r="M238" s="725"/>
      <c r="N238" s="770" t="s">
        <v>1629</v>
      </c>
      <c r="O238" s="690"/>
      <c r="P238" s="686"/>
      <c r="Q238" s="708"/>
      <c r="R238" s="686"/>
      <c r="S238" s="768" t="s">
        <v>1619</v>
      </c>
      <c r="T238" s="768"/>
      <c r="U238" s="708"/>
      <c r="V238" s="686"/>
      <c r="W238" s="708"/>
      <c r="X238" s="686"/>
      <c r="Y238" s="708"/>
      <c r="Z238" s="686"/>
      <c r="AA238" s="708"/>
      <c r="AB238" s="686"/>
      <c r="AC238" s="708"/>
      <c r="AD238" s="708"/>
      <c r="AE238" s="684"/>
      <c r="AF238" s="684"/>
      <c r="AG238" s="684"/>
    </row>
    <row r="239" spans="1:41" ht="41" customHeight="1">
      <c r="A239" s="750"/>
      <c r="B239" s="750"/>
      <c r="C239" s="750"/>
      <c r="D239" s="750"/>
      <c r="E239" s="750"/>
      <c r="F239" s="749" t="s">
        <v>228</v>
      </c>
      <c r="G239" s="750"/>
      <c r="H239" s="723"/>
      <c r="I239" s="723"/>
      <c r="J239" s="723"/>
      <c r="K239" s="723"/>
      <c r="L239" s="723"/>
      <c r="M239" s="723"/>
      <c r="N239" s="750"/>
      <c r="O239" s="750"/>
      <c r="P239" s="750"/>
      <c r="Q239" s="750"/>
      <c r="R239" s="750"/>
      <c r="S239" s="750"/>
      <c r="T239" s="750"/>
      <c r="U239" s="750"/>
      <c r="V239" s="1580" t="s">
        <v>228</v>
      </c>
      <c r="W239" s="1580"/>
      <c r="X239" s="1580"/>
      <c r="Y239" s="1580"/>
      <c r="Z239" s="1580"/>
      <c r="AA239" s="1580"/>
      <c r="AB239" s="1580"/>
      <c r="AC239" s="1612"/>
      <c r="AD239" s="1612"/>
      <c r="AE239" s="1612"/>
      <c r="AF239" s="1612"/>
      <c r="AG239" s="1032"/>
      <c r="AH239" s="870"/>
      <c r="AI239" s="881"/>
      <c r="AJ239" s="881"/>
      <c r="AK239" s="881"/>
      <c r="AL239" s="881"/>
    </row>
    <row r="240" spans="1:41" ht="23" customHeight="1">
      <c r="B240" s="691"/>
      <c r="C240" s="691"/>
      <c r="D240" s="691"/>
      <c r="E240" s="691"/>
      <c r="F240" s="691"/>
      <c r="G240" s="691"/>
      <c r="H240" s="691"/>
      <c r="I240" s="691"/>
      <c r="J240" s="691"/>
      <c r="K240" s="691"/>
      <c r="L240" s="691"/>
      <c r="M240" s="691"/>
      <c r="N240" s="691"/>
      <c r="O240" s="691"/>
      <c r="P240" s="691"/>
      <c r="Q240" s="691"/>
      <c r="R240" s="691"/>
      <c r="S240" s="691"/>
      <c r="T240" s="691"/>
      <c r="U240" s="691"/>
      <c r="V240" s="691"/>
      <c r="W240" s="691"/>
      <c r="X240" s="691"/>
      <c r="Y240" s="691"/>
      <c r="Z240" s="691"/>
      <c r="AA240" s="691"/>
      <c r="AB240" s="691"/>
      <c r="AC240" s="691"/>
      <c r="AD240" s="691"/>
      <c r="AE240" s="674"/>
      <c r="AF240" s="674"/>
      <c r="AG240" s="674"/>
    </row>
    <row r="241" spans="1:41" ht="30.5" customHeight="1">
      <c r="A241" s="1596" t="s">
        <v>473</v>
      </c>
      <c r="B241" s="1596"/>
      <c r="C241" s="771"/>
      <c r="D241" s="1592" t="s">
        <v>474</v>
      </c>
      <c r="E241" s="1592"/>
      <c r="F241" s="1592" t="s">
        <v>475</v>
      </c>
      <c r="G241" s="1592"/>
      <c r="H241" s="1592" t="s">
        <v>476</v>
      </c>
      <c r="I241" s="1592"/>
      <c r="J241" s="672" t="s">
        <v>477</v>
      </c>
      <c r="K241" s="1596" t="s">
        <v>478</v>
      </c>
      <c r="L241" s="1596"/>
      <c r="M241" s="673" t="s">
        <v>1512</v>
      </c>
      <c r="N241" s="1592" t="s">
        <v>733</v>
      </c>
      <c r="O241" s="1592"/>
      <c r="P241" s="1592" t="s">
        <v>734</v>
      </c>
      <c r="Q241" s="1592"/>
      <c r="R241" s="1592" t="s">
        <v>735</v>
      </c>
      <c r="S241" s="1592"/>
      <c r="T241" s="1592" t="s">
        <v>736</v>
      </c>
      <c r="U241" s="1592"/>
      <c r="V241" s="1592" t="s">
        <v>737</v>
      </c>
      <c r="W241" s="1592"/>
      <c r="X241" s="1592" t="s">
        <v>738</v>
      </c>
      <c r="Y241" s="1592"/>
      <c r="Z241" s="1592" t="s">
        <v>739</v>
      </c>
      <c r="AA241" s="1592"/>
      <c r="AB241" s="1592" t="s">
        <v>740</v>
      </c>
      <c r="AC241" s="1592"/>
      <c r="AD241" s="691"/>
      <c r="AE241" s="674"/>
      <c r="AF241" s="674"/>
      <c r="AG241" s="674"/>
    </row>
    <row r="242" spans="1:41" ht="33.5">
      <c r="A242" s="467"/>
      <c r="B242" s="700"/>
      <c r="C242" s="690"/>
      <c r="D242" s="700"/>
      <c r="E242" s="690"/>
      <c r="F242" s="700"/>
      <c r="G242" s="690"/>
      <c r="H242" s="700"/>
      <c r="I242" s="690"/>
      <c r="J242" s="700"/>
      <c r="K242" s="690"/>
      <c r="L242" s="700"/>
      <c r="M242" s="690"/>
      <c r="N242" s="700"/>
      <c r="O242" s="690"/>
      <c r="P242" s="700"/>
      <c r="Q242" s="708"/>
      <c r="R242" s="700"/>
      <c r="S242" s="690"/>
      <c r="T242" s="700"/>
      <c r="U242" s="690"/>
      <c r="V242" s="700"/>
      <c r="W242" s="690"/>
      <c r="X242" s="700"/>
      <c r="Y242" s="690"/>
      <c r="Z242" s="700"/>
      <c r="AA242" s="690"/>
      <c r="AB242" s="700"/>
      <c r="AC242" s="691"/>
      <c r="AD242" s="691"/>
      <c r="AE242" s="684"/>
      <c r="AF242" s="684"/>
      <c r="AG242" s="684"/>
    </row>
    <row r="243" spans="1:41" ht="16.5" customHeight="1" thickBot="1">
      <c r="A243" s="467"/>
      <c r="B243" s="702"/>
      <c r="C243" s="690"/>
      <c r="D243" s="702"/>
      <c r="E243" s="690"/>
      <c r="F243" s="702"/>
      <c r="G243" s="690"/>
      <c r="H243" s="702"/>
      <c r="I243" s="690"/>
      <c r="J243" s="702"/>
      <c r="K243" s="690"/>
      <c r="L243" s="702"/>
      <c r="M243" s="690"/>
      <c r="N243" s="702"/>
      <c r="O243" s="690"/>
      <c r="P243" s="702"/>
      <c r="Q243" s="708"/>
      <c r="R243" s="702"/>
      <c r="S243" s="690"/>
      <c r="T243" s="702"/>
      <c r="U243" s="690"/>
      <c r="V243" s="702"/>
      <c r="W243" s="690"/>
      <c r="X243" s="702"/>
      <c r="Y243" s="690"/>
      <c r="Z243" s="702"/>
      <c r="AA243" s="690"/>
      <c r="AB243" s="702"/>
      <c r="AC243" s="691"/>
      <c r="AD243" s="691"/>
      <c r="AE243" s="684"/>
      <c r="AF243" s="684"/>
      <c r="AG243" s="684"/>
    </row>
    <row r="244" spans="1:41" ht="100" customHeight="1" thickBot="1">
      <c r="A244" s="467"/>
      <c r="B244" s="721"/>
      <c r="C244" s="695">
        <v>439</v>
      </c>
      <c r="D244" s="721"/>
      <c r="E244" s="758">
        <v>395</v>
      </c>
      <c r="F244" s="721"/>
      <c r="G244" s="758">
        <v>401.11</v>
      </c>
      <c r="H244" s="679" t="s">
        <v>228</v>
      </c>
      <c r="I244" s="695">
        <v>413</v>
      </c>
      <c r="J244" s="721"/>
      <c r="K244" s="695">
        <v>402.25</v>
      </c>
      <c r="L244" s="679"/>
      <c r="M244" s="695">
        <v>250.69</v>
      </c>
      <c r="N244" s="755"/>
      <c r="O244" s="732">
        <v>425.61</v>
      </c>
      <c r="P244" s="1015" t="s">
        <v>1693</v>
      </c>
      <c r="Q244" s="732">
        <v>381.68</v>
      </c>
      <c r="R244" s="1015" t="s">
        <v>1693</v>
      </c>
      <c r="S244" s="732">
        <v>351.87</v>
      </c>
      <c r="T244" s="721"/>
      <c r="U244" s="732">
        <v>419.36</v>
      </c>
      <c r="V244" s="1015" t="s">
        <v>1693</v>
      </c>
      <c r="W244" s="695">
        <v>421.74</v>
      </c>
      <c r="X244" s="721"/>
      <c r="Y244" s="695">
        <v>403</v>
      </c>
      <c r="Z244" s="721"/>
      <c r="AA244" s="695">
        <v>355</v>
      </c>
      <c r="AB244" s="721"/>
      <c r="AC244" s="696">
        <v>355</v>
      </c>
      <c r="AD244" s="691"/>
      <c r="AE244" s="684"/>
      <c r="AF244" s="684"/>
      <c r="AG244" s="684"/>
      <c r="AM244" s="871">
        <f>COUNTIF(B244:AB244,"U/P")</f>
        <v>0</v>
      </c>
      <c r="AN244" s="871">
        <f>COUNTIF(C244:AC244,"ROW")</f>
        <v>1</v>
      </c>
      <c r="AO244" s="871">
        <f>COUNTIF(D244:AD244,"C")</f>
        <v>0</v>
      </c>
    </row>
    <row r="245" spans="1:41" ht="16.5" customHeight="1" thickBot="1">
      <c r="A245" s="467"/>
      <c r="B245" s="772"/>
      <c r="C245" s="708"/>
      <c r="D245" s="698"/>
      <c r="E245" s="708"/>
      <c r="F245" s="698"/>
      <c r="G245" s="708"/>
      <c r="H245" s="698"/>
      <c r="I245" s="708"/>
      <c r="J245" s="698"/>
      <c r="K245" s="708"/>
      <c r="L245" s="698"/>
      <c r="M245" s="708"/>
      <c r="N245" s="698"/>
      <c r="O245" s="708"/>
      <c r="P245" s="773"/>
      <c r="Q245" s="708"/>
      <c r="R245" s="773"/>
      <c r="S245" s="708"/>
      <c r="T245" s="773"/>
      <c r="U245" s="708"/>
      <c r="V245" s="698"/>
      <c r="W245" s="708"/>
      <c r="X245" s="698"/>
      <c r="Y245" s="708"/>
      <c r="Z245" s="698"/>
      <c r="AA245" s="708"/>
      <c r="AB245" s="698"/>
      <c r="AC245" s="691"/>
      <c r="AD245" s="691"/>
      <c r="AE245" s="684"/>
      <c r="AF245" s="684"/>
      <c r="AG245" s="684"/>
    </row>
    <row r="246" spans="1:41" ht="32" customHeight="1">
      <c r="A246" s="467"/>
      <c r="B246" s="687" t="s">
        <v>143</v>
      </c>
      <c r="C246" s="686"/>
      <c r="D246" s="686" t="s">
        <v>185</v>
      </c>
      <c r="E246" s="686"/>
      <c r="F246" s="686" t="s">
        <v>185</v>
      </c>
      <c r="G246" s="686"/>
      <c r="H246" s="687" t="s">
        <v>115</v>
      </c>
      <c r="I246" s="686"/>
      <c r="J246" s="686" t="s">
        <v>242</v>
      </c>
      <c r="K246" s="686"/>
      <c r="L246" s="687" t="s">
        <v>125</v>
      </c>
      <c r="M246" s="686"/>
      <c r="N246" s="687" t="s">
        <v>128</v>
      </c>
      <c r="O246" s="690"/>
      <c r="P246" s="686" t="s">
        <v>185</v>
      </c>
      <c r="Q246" s="708"/>
      <c r="R246" s="686" t="s">
        <v>185</v>
      </c>
      <c r="S246" s="708"/>
      <c r="T246" s="687" t="s">
        <v>115</v>
      </c>
      <c r="U246" s="708"/>
      <c r="V246" s="687" t="s">
        <v>137</v>
      </c>
      <c r="W246" s="708"/>
      <c r="X246" s="687" t="s">
        <v>137</v>
      </c>
      <c r="Y246" s="708"/>
      <c r="Z246" s="686" t="s">
        <v>182</v>
      </c>
      <c r="AA246" s="708"/>
      <c r="AB246" s="686" t="s">
        <v>182</v>
      </c>
      <c r="AC246" s="691"/>
      <c r="AD246" s="691"/>
      <c r="AE246" s="684"/>
      <c r="AF246" s="684"/>
      <c r="AG246" s="684"/>
    </row>
    <row r="247" spans="1:41" ht="62.5" customHeight="1">
      <c r="A247" s="723"/>
      <c r="B247" s="723"/>
      <c r="C247" s="723"/>
      <c r="D247" s="723"/>
      <c r="E247" s="723"/>
      <c r="F247" s="723"/>
      <c r="G247" s="723"/>
      <c r="H247" s="881" t="s">
        <v>228</v>
      </c>
      <c r="I247" s="723"/>
      <c r="J247" s="723"/>
      <c r="K247" s="723"/>
      <c r="M247" s="829"/>
      <c r="N247" s="829"/>
      <c r="O247" s="1580" t="s">
        <v>1518</v>
      </c>
      <c r="P247" s="1580"/>
      <c r="Q247" s="1580"/>
      <c r="R247" s="1580"/>
      <c r="S247" s="1600"/>
      <c r="T247" s="1043"/>
      <c r="U247" s="1614" t="s">
        <v>1518</v>
      </c>
      <c r="V247" s="1615"/>
      <c r="W247" s="1616"/>
      <c r="X247" s="1617"/>
      <c r="Y247" s="1612"/>
      <c r="Z247" s="1612"/>
      <c r="AA247" s="1612"/>
      <c r="AB247" s="1612"/>
      <c r="AC247" s="1612"/>
      <c r="AD247" s="1612"/>
      <c r="AE247" s="1612"/>
      <c r="AF247" s="1612"/>
      <c r="AG247" s="1612"/>
      <c r="AH247" s="1612"/>
      <c r="AI247" s="882"/>
      <c r="AJ247" s="882"/>
      <c r="AK247" s="882"/>
      <c r="AL247" s="882"/>
    </row>
    <row r="248" spans="1:41" ht="28.5" customHeight="1">
      <c r="B248" s="704"/>
      <c r="C248" s="704"/>
      <c r="D248" s="704"/>
      <c r="E248" s="704"/>
      <c r="F248" s="704"/>
      <c r="G248" s="704"/>
      <c r="H248" s="704"/>
      <c r="I248" s="704"/>
      <c r="J248" s="704"/>
      <c r="K248" s="704"/>
      <c r="L248" s="704"/>
      <c r="M248" s="704"/>
      <c r="N248" s="704"/>
      <c r="O248" s="693"/>
      <c r="P248" s="704"/>
      <c r="Q248" s="691"/>
      <c r="R248" s="704"/>
      <c r="S248" s="691"/>
      <c r="T248" s="704"/>
      <c r="U248" s="691"/>
      <c r="V248" s="704"/>
      <c r="W248" s="691"/>
      <c r="X248" s="704"/>
      <c r="Y248" s="691"/>
      <c r="Z248" s="704"/>
      <c r="AA248" s="691"/>
      <c r="AB248" s="704"/>
      <c r="AC248" s="691"/>
      <c r="AD248" s="691"/>
      <c r="AE248" s="684"/>
      <c r="AF248" s="684"/>
      <c r="AG248" s="684"/>
    </row>
    <row r="249" spans="1:41" ht="67" customHeight="1">
      <c r="A249" s="708"/>
      <c r="B249" s="672" t="s">
        <v>741</v>
      </c>
      <c r="C249" s="672"/>
      <c r="D249" s="1592" t="s">
        <v>742</v>
      </c>
      <c r="E249" s="1592"/>
      <c r="F249" s="1592" t="s">
        <v>743</v>
      </c>
      <c r="G249" s="1592"/>
      <c r="H249" s="1592" t="s">
        <v>744</v>
      </c>
      <c r="I249" s="1592"/>
      <c r="J249" s="672" t="s">
        <v>745</v>
      </c>
      <c r="K249" s="672"/>
      <c r="L249" s="1592" t="s">
        <v>746</v>
      </c>
      <c r="M249" s="1592"/>
      <c r="N249" s="1592" t="s">
        <v>747</v>
      </c>
      <c r="O249" s="1592"/>
      <c r="P249" s="1592" t="s">
        <v>748</v>
      </c>
      <c r="Q249" s="1592"/>
      <c r="R249" s="1592" t="s">
        <v>749</v>
      </c>
      <c r="S249" s="1592"/>
      <c r="T249" s="1592" t="s">
        <v>750</v>
      </c>
      <c r="U249" s="1592"/>
      <c r="V249" s="1592" t="s">
        <v>751</v>
      </c>
      <c r="W249" s="1592"/>
      <c r="X249" s="774" t="s">
        <v>752</v>
      </c>
      <c r="Y249" s="708"/>
      <c r="Z249" s="774" t="s">
        <v>753</v>
      </c>
      <c r="AA249" s="766"/>
      <c r="AB249" s="774" t="s">
        <v>754</v>
      </c>
      <c r="AC249" s="673" t="s">
        <v>1513</v>
      </c>
      <c r="AD249" s="708"/>
      <c r="AE249" s="708"/>
      <c r="AF249" s="708"/>
      <c r="AG249" s="708"/>
      <c r="AH249" s="708"/>
      <c r="AI249" s="708"/>
      <c r="AJ249" s="708"/>
      <c r="AK249" s="708"/>
      <c r="AL249" s="708"/>
    </row>
    <row r="250" spans="1:41" ht="33.5">
      <c r="A250" s="708"/>
      <c r="B250" s="700"/>
      <c r="C250" s="690"/>
      <c r="D250" s="700"/>
      <c r="E250" s="690"/>
      <c r="F250" s="700"/>
      <c r="G250" s="690"/>
      <c r="H250" s="700"/>
      <c r="I250" s="690"/>
      <c r="J250" s="700"/>
      <c r="K250" s="690"/>
      <c r="L250" s="700"/>
      <c r="M250" s="690"/>
      <c r="N250" s="700"/>
      <c r="O250" s="690"/>
      <c r="P250" s="700"/>
      <c r="Q250" s="708"/>
      <c r="R250" s="700"/>
      <c r="S250" s="690"/>
      <c r="T250" s="700"/>
      <c r="U250" s="690"/>
      <c r="V250" s="700"/>
      <c r="W250" s="690"/>
      <c r="X250" s="700"/>
      <c r="Y250" s="690"/>
      <c r="Z250" s="700"/>
      <c r="AA250" s="690"/>
      <c r="AB250" s="700"/>
      <c r="AC250" s="708"/>
      <c r="AD250" s="708"/>
      <c r="AE250" s="711"/>
      <c r="AF250" s="711"/>
      <c r="AG250" s="711"/>
      <c r="AH250" s="708"/>
      <c r="AI250" s="708"/>
      <c r="AJ250" s="708"/>
      <c r="AK250" s="708"/>
      <c r="AL250" s="708"/>
    </row>
    <row r="251" spans="1:41" ht="16.5" customHeight="1" thickBot="1">
      <c r="A251" s="708"/>
      <c r="B251" s="702"/>
      <c r="C251" s="690"/>
      <c r="D251" s="702"/>
      <c r="E251" s="690"/>
      <c r="F251" s="702"/>
      <c r="G251" s="690"/>
      <c r="H251" s="702"/>
      <c r="I251" s="690"/>
      <c r="J251" s="702"/>
      <c r="K251" s="690"/>
      <c r="L251" s="702"/>
      <c r="M251" s="690"/>
      <c r="N251" s="702"/>
      <c r="O251" s="690"/>
      <c r="P251" s="702"/>
      <c r="Q251" s="708"/>
      <c r="R251" s="702"/>
      <c r="S251" s="690"/>
      <c r="T251" s="702"/>
      <c r="U251" s="690"/>
      <c r="V251" s="702"/>
      <c r="W251" s="690"/>
      <c r="X251" s="702"/>
      <c r="Y251" s="690"/>
      <c r="Z251" s="702"/>
      <c r="AA251" s="690"/>
      <c r="AB251" s="702"/>
      <c r="AC251" s="708"/>
      <c r="AD251" s="708"/>
      <c r="AE251" s="711"/>
      <c r="AF251" s="711"/>
      <c r="AG251" s="711"/>
      <c r="AH251" s="708"/>
      <c r="AI251" s="708"/>
      <c r="AJ251" s="708"/>
      <c r="AK251" s="708"/>
      <c r="AL251" s="708"/>
    </row>
    <row r="252" spans="1:41" ht="100" customHeight="1" thickBot="1">
      <c r="A252" s="708"/>
      <c r="B252" s="721"/>
      <c r="C252" s="695">
        <v>373.77100000000002</v>
      </c>
      <c r="D252" s="721"/>
      <c r="E252" s="695">
        <v>364</v>
      </c>
      <c r="F252" s="751"/>
      <c r="G252" s="695">
        <v>421</v>
      </c>
      <c r="H252" s="751"/>
      <c r="I252" s="695">
        <v>334</v>
      </c>
      <c r="J252" s="679" t="s">
        <v>1703</v>
      </c>
      <c r="K252" s="695">
        <v>388.22</v>
      </c>
      <c r="L252" s="679" t="s">
        <v>1703</v>
      </c>
      <c r="M252" s="695">
        <v>398</v>
      </c>
      <c r="N252" s="1015" t="s">
        <v>1694</v>
      </c>
      <c r="O252" s="695">
        <v>442.51499999999999</v>
      </c>
      <c r="P252" s="721"/>
      <c r="Q252" s="695">
        <v>415</v>
      </c>
      <c r="R252" s="1015" t="s">
        <v>1693</v>
      </c>
      <c r="S252" s="695">
        <v>417.97</v>
      </c>
      <c r="T252" s="751"/>
      <c r="U252" s="695">
        <v>424</v>
      </c>
      <c r="V252" s="751"/>
      <c r="W252" s="695">
        <v>415</v>
      </c>
      <c r="X252" s="751"/>
      <c r="Y252" s="695">
        <v>412.21</v>
      </c>
      <c r="Z252" s="751"/>
      <c r="AA252" s="695">
        <v>268</v>
      </c>
      <c r="AB252" s="1015" t="s">
        <v>1693</v>
      </c>
      <c r="AC252" s="732">
        <v>259.27</v>
      </c>
      <c r="AD252" s="708"/>
      <c r="AE252" s="711"/>
      <c r="AF252" s="711"/>
      <c r="AG252" s="711"/>
      <c r="AH252" s="708"/>
      <c r="AI252" s="708"/>
      <c r="AJ252" s="708"/>
      <c r="AK252" s="708"/>
      <c r="AL252" s="708"/>
      <c r="AM252" s="871">
        <f>COUNTIF(B252:AB252,"U/P")</f>
        <v>0</v>
      </c>
      <c r="AN252" s="871">
        <f>COUNTIF(C252:AC252,"ROW")</f>
        <v>0</v>
      </c>
      <c r="AO252" s="871">
        <f>COUNTIF(B252:AD252,"C")</f>
        <v>0</v>
      </c>
    </row>
    <row r="253" spans="1:41" ht="16.5" customHeight="1" thickBot="1">
      <c r="A253" s="708"/>
      <c r="B253" s="698"/>
      <c r="C253" s="708"/>
      <c r="D253" s="698"/>
      <c r="E253" s="708"/>
      <c r="F253" s="698"/>
      <c r="G253" s="708"/>
      <c r="H253" s="698"/>
      <c r="I253" s="708"/>
      <c r="J253" s="698"/>
      <c r="K253" s="708"/>
      <c r="L253" s="698"/>
      <c r="M253" s="708"/>
      <c r="N253" s="698"/>
      <c r="O253" s="708"/>
      <c r="P253" s="698"/>
      <c r="Q253" s="708"/>
      <c r="R253" s="698"/>
      <c r="S253" s="708"/>
      <c r="T253" s="698"/>
      <c r="U253" s="708"/>
      <c r="V253" s="698"/>
      <c r="W253" s="708"/>
      <c r="X253" s="698"/>
      <c r="Y253" s="708"/>
      <c r="Z253" s="698"/>
      <c r="AA253" s="708"/>
      <c r="AB253" s="698"/>
      <c r="AC253" s="708"/>
      <c r="AD253" s="708"/>
      <c r="AE253" s="711"/>
      <c r="AF253" s="711"/>
      <c r="AG253" s="711"/>
      <c r="AH253" s="708"/>
      <c r="AI253" s="708"/>
      <c r="AJ253" s="708"/>
      <c r="AK253" s="708"/>
      <c r="AL253" s="708"/>
    </row>
    <row r="254" spans="1:41" ht="33.5">
      <c r="A254" s="708"/>
      <c r="B254" s="686" t="s">
        <v>182</v>
      </c>
      <c r="C254" s="686"/>
      <c r="D254" s="687" t="s">
        <v>128</v>
      </c>
      <c r="E254" s="686"/>
      <c r="F254" s="686" t="s">
        <v>242</v>
      </c>
      <c r="G254" s="686"/>
      <c r="H254" s="686" t="s">
        <v>185</v>
      </c>
      <c r="I254" s="686"/>
      <c r="J254" s="686" t="s">
        <v>242</v>
      </c>
      <c r="K254" s="686"/>
      <c r="L254" s="687" t="s">
        <v>192</v>
      </c>
      <c r="M254" s="686"/>
      <c r="N254" s="686" t="s">
        <v>248</v>
      </c>
      <c r="O254" s="690"/>
      <c r="P254" s="687" t="s">
        <v>137</v>
      </c>
      <c r="Q254" s="686"/>
      <c r="R254" s="686" t="s">
        <v>242</v>
      </c>
      <c r="S254" s="708"/>
      <c r="T254" s="687" t="s">
        <v>115</v>
      </c>
      <c r="U254" s="708"/>
      <c r="V254" s="686" t="s">
        <v>185</v>
      </c>
      <c r="W254" s="708"/>
      <c r="X254" s="703" t="s">
        <v>248</v>
      </c>
      <c r="Y254" s="708"/>
      <c r="Z254" s="687" t="s">
        <v>128</v>
      </c>
      <c r="AA254" s="708"/>
      <c r="AB254" s="703" t="s">
        <v>182</v>
      </c>
      <c r="AC254" s="708"/>
      <c r="AD254" s="708"/>
      <c r="AE254" s="711"/>
      <c r="AF254" s="711"/>
      <c r="AG254" s="711"/>
      <c r="AH254" s="708"/>
      <c r="AI254" s="708"/>
      <c r="AJ254" s="708"/>
      <c r="AK254" s="708"/>
      <c r="AL254" s="708"/>
    </row>
    <row r="255" spans="1:41" ht="31.5" customHeight="1">
      <c r="A255" s="1033"/>
      <c r="B255" s="749"/>
      <c r="C255" s="750"/>
      <c r="D255" s="750"/>
      <c r="E255" s="750"/>
      <c r="F255" s="750"/>
      <c r="G255" s="750"/>
      <c r="H255" s="750"/>
      <c r="I255" s="750"/>
      <c r="J255" s="1589" t="s">
        <v>228</v>
      </c>
      <c r="K255" s="1589"/>
      <c r="L255" s="1589"/>
      <c r="M255" s="1589"/>
      <c r="N255" s="1589"/>
      <c r="O255" s="750"/>
      <c r="P255" s="750"/>
      <c r="Q255" s="750"/>
      <c r="R255" s="749" t="s">
        <v>228</v>
      </c>
      <c r="S255" s="750"/>
      <c r="T255" s="750"/>
      <c r="U255" s="750"/>
      <c r="V255" s="750"/>
      <c r="W255" s="750" t="s">
        <v>1626</v>
      </c>
      <c r="X255" s="750"/>
      <c r="Y255" s="750"/>
      <c r="Z255" s="750"/>
      <c r="AA255" s="750"/>
      <c r="AB255" s="750"/>
      <c r="AC255" s="750"/>
      <c r="AD255" s="750"/>
      <c r="AE255" s="750"/>
      <c r="AF255" s="750"/>
      <c r="AG255" s="749"/>
      <c r="AH255" s="749"/>
      <c r="AI255" s="881"/>
      <c r="AJ255" s="881"/>
      <c r="AK255" s="881"/>
      <c r="AL255" s="881"/>
    </row>
    <row r="256" spans="1:41" ht="13.5" customHeight="1">
      <c r="B256" s="691"/>
      <c r="C256" s="691"/>
      <c r="D256" s="691"/>
      <c r="E256" s="691"/>
      <c r="F256" s="691"/>
      <c r="G256" s="691"/>
      <c r="H256" s="691"/>
      <c r="I256" s="691"/>
      <c r="J256" s="691"/>
      <c r="K256" s="691"/>
      <c r="L256" s="691"/>
      <c r="M256" s="691"/>
      <c r="N256" s="691"/>
      <c r="O256" s="691"/>
      <c r="P256" s="691"/>
      <c r="Q256" s="691"/>
      <c r="R256" s="691"/>
      <c r="S256" s="691"/>
      <c r="T256" s="691"/>
      <c r="U256" s="691"/>
      <c r="V256" s="691"/>
      <c r="W256" s="691"/>
      <c r="X256" s="691"/>
      <c r="Y256" s="691"/>
      <c r="Z256" s="691"/>
      <c r="AA256" s="691"/>
      <c r="AB256" s="691"/>
      <c r="AC256" s="691"/>
      <c r="AD256" s="691"/>
      <c r="AE256" s="769"/>
      <c r="AF256" s="674"/>
      <c r="AG256" s="674"/>
    </row>
    <row r="257" spans="1:41" ht="33.5">
      <c r="B257" s="703" t="s">
        <v>1283</v>
      </c>
      <c r="C257" s="703"/>
      <c r="D257" s="703" t="s">
        <v>755</v>
      </c>
      <c r="E257" s="708"/>
      <c r="F257" s="703" t="s">
        <v>756</v>
      </c>
      <c r="G257" s="708"/>
      <c r="H257" s="703" t="s">
        <v>1284</v>
      </c>
      <c r="I257" s="708"/>
      <c r="J257" s="703" t="s">
        <v>758</v>
      </c>
      <c r="K257" s="708"/>
      <c r="L257" s="703" t="s">
        <v>759</v>
      </c>
      <c r="M257" s="708"/>
      <c r="N257" s="703" t="s">
        <v>760</v>
      </c>
      <c r="O257" s="708"/>
      <c r="P257" s="703" t="s">
        <v>761</v>
      </c>
      <c r="Q257" s="708"/>
      <c r="R257" s="703" t="s">
        <v>762</v>
      </c>
      <c r="S257" s="708"/>
      <c r="T257" s="703" t="s">
        <v>180</v>
      </c>
      <c r="U257" s="703"/>
      <c r="V257" s="703" t="s">
        <v>181</v>
      </c>
      <c r="W257" s="703"/>
      <c r="X257" s="703" t="s">
        <v>183</v>
      </c>
      <c r="Y257" s="703"/>
      <c r="Z257" s="703" t="s">
        <v>763</v>
      </c>
      <c r="AA257" s="703"/>
      <c r="AB257" s="703" t="s">
        <v>764</v>
      </c>
      <c r="AC257" s="708"/>
      <c r="AD257" s="708"/>
      <c r="AE257" s="674"/>
      <c r="AF257" s="674"/>
      <c r="AG257" s="674"/>
    </row>
    <row r="258" spans="1:41" ht="33.5">
      <c r="B258" s="700"/>
      <c r="C258" s="690"/>
      <c r="D258" s="700"/>
      <c r="E258" s="690"/>
      <c r="F258" s="700"/>
      <c r="G258" s="690"/>
      <c r="H258" s="700"/>
      <c r="I258" s="690"/>
      <c r="J258" s="700"/>
      <c r="K258" s="690"/>
      <c r="L258" s="700"/>
      <c r="M258" s="690"/>
      <c r="N258" s="700"/>
      <c r="O258" s="690"/>
      <c r="P258" s="700"/>
      <c r="Q258" s="708"/>
      <c r="R258" s="700"/>
      <c r="S258" s="690"/>
      <c r="T258" s="700"/>
      <c r="U258" s="690"/>
      <c r="V258" s="700"/>
      <c r="W258" s="690"/>
      <c r="X258" s="700"/>
      <c r="Y258" s="690"/>
      <c r="Z258" s="700"/>
      <c r="AA258" s="690"/>
      <c r="AB258" s="700"/>
      <c r="AC258" s="708"/>
      <c r="AD258" s="708"/>
      <c r="AE258" s="684"/>
      <c r="AF258" s="684"/>
      <c r="AG258" s="684"/>
    </row>
    <row r="259" spans="1:41" ht="16.5" customHeight="1" thickBot="1">
      <c r="A259" s="467"/>
      <c r="B259" s="702"/>
      <c r="C259" s="690"/>
      <c r="D259" s="702"/>
      <c r="E259" s="690"/>
      <c r="F259" s="702"/>
      <c r="G259" s="690"/>
      <c r="H259" s="702"/>
      <c r="I259" s="690"/>
      <c r="J259" s="702"/>
      <c r="K259" s="690"/>
      <c r="L259" s="702"/>
      <c r="M259" s="690"/>
      <c r="N259" s="702"/>
      <c r="O259" s="690"/>
      <c r="P259" s="702"/>
      <c r="Q259" s="708"/>
      <c r="R259" s="702"/>
      <c r="S259" s="690"/>
      <c r="T259" s="702"/>
      <c r="U259" s="690"/>
      <c r="V259" s="702"/>
      <c r="W259" s="690"/>
      <c r="X259" s="702"/>
      <c r="Y259" s="690"/>
      <c r="Z259" s="702"/>
      <c r="AA259" s="690"/>
      <c r="AB259" s="702"/>
      <c r="AC259" s="708"/>
      <c r="AD259" s="708"/>
      <c r="AE259" s="684"/>
      <c r="AF259" s="684"/>
      <c r="AG259" s="684"/>
    </row>
    <row r="260" spans="1:41" ht="100" customHeight="1" thickBot="1">
      <c r="A260" s="467"/>
      <c r="B260" s="721"/>
      <c r="C260" s="695">
        <v>395</v>
      </c>
      <c r="D260" s="721"/>
      <c r="E260" s="695">
        <v>408</v>
      </c>
      <c r="F260" s="721"/>
      <c r="G260" s="695">
        <v>356</v>
      </c>
      <c r="H260" s="679"/>
      <c r="I260" s="695">
        <v>379</v>
      </c>
      <c r="J260" s="721"/>
      <c r="K260" s="695">
        <v>367</v>
      </c>
      <c r="L260" s="679"/>
      <c r="M260" s="695">
        <v>384</v>
      </c>
      <c r="N260" s="721"/>
      <c r="O260" s="695">
        <v>385</v>
      </c>
      <c r="P260" s="721"/>
      <c r="Q260" s="732">
        <v>419.37</v>
      </c>
      <c r="R260" s="721"/>
      <c r="S260" s="695">
        <v>343.49</v>
      </c>
      <c r="T260" s="721"/>
      <c r="U260" s="695">
        <v>392.09</v>
      </c>
      <c r="V260" s="721"/>
      <c r="W260" s="695">
        <v>390.92</v>
      </c>
      <c r="X260" s="721"/>
      <c r="Y260" s="695">
        <v>372.24</v>
      </c>
      <c r="Z260" s="721"/>
      <c r="AA260" s="695">
        <v>388.01</v>
      </c>
      <c r="AB260" s="721"/>
      <c r="AC260" s="732">
        <v>414.07</v>
      </c>
      <c r="AD260" s="708"/>
      <c r="AE260" s="684"/>
      <c r="AF260" s="684"/>
      <c r="AG260" s="684"/>
      <c r="AM260" s="871">
        <f>COUNTIF(B260:AB260,"U/P")</f>
        <v>0</v>
      </c>
      <c r="AN260" s="871">
        <f>COUNTIF(C260:AC260,"ROW")</f>
        <v>0</v>
      </c>
      <c r="AO260" s="871">
        <f>COUNTIF(D260:AD260,"C")</f>
        <v>0</v>
      </c>
    </row>
    <row r="261" spans="1:41" ht="16.5" customHeight="1" thickBot="1">
      <c r="A261" s="467"/>
      <c r="B261" s="698"/>
      <c r="C261" s="708"/>
      <c r="D261" s="698"/>
      <c r="E261" s="708"/>
      <c r="F261" s="698"/>
      <c r="G261" s="708"/>
      <c r="H261" s="698"/>
      <c r="I261" s="708"/>
      <c r="J261" s="698"/>
      <c r="K261" s="708"/>
      <c r="L261" s="698"/>
      <c r="M261" s="708"/>
      <c r="N261" s="698"/>
      <c r="O261" s="708"/>
      <c r="P261" s="698"/>
      <c r="Q261" s="708"/>
      <c r="R261" s="698"/>
      <c r="S261" s="708"/>
      <c r="T261" s="698"/>
      <c r="U261" s="708"/>
      <c r="V261" s="698"/>
      <c r="W261" s="708"/>
      <c r="X261" s="698"/>
      <c r="Y261" s="708"/>
      <c r="Z261" s="698"/>
      <c r="AA261" s="708"/>
      <c r="AB261" s="698"/>
      <c r="AC261" s="708"/>
      <c r="AD261" s="708"/>
      <c r="AE261" s="684"/>
      <c r="AF261" s="684"/>
      <c r="AG261" s="684"/>
    </row>
    <row r="262" spans="1:41" ht="33.5">
      <c r="A262" s="467"/>
      <c r="B262" s="687" t="s">
        <v>125</v>
      </c>
      <c r="C262" s="686"/>
      <c r="D262" s="686" t="s">
        <v>185</v>
      </c>
      <c r="E262" s="686"/>
      <c r="F262" s="686" t="s">
        <v>185</v>
      </c>
      <c r="G262" s="686"/>
      <c r="H262" s="687" t="s">
        <v>125</v>
      </c>
      <c r="I262" s="686"/>
      <c r="J262" s="686" t="s">
        <v>182</v>
      </c>
      <c r="K262" s="686"/>
      <c r="L262" s="686" t="s">
        <v>182</v>
      </c>
      <c r="M262" s="686"/>
      <c r="N262" s="686" t="s">
        <v>182</v>
      </c>
      <c r="O262" s="690"/>
      <c r="P262" s="686" t="s">
        <v>182</v>
      </c>
      <c r="Q262" s="708"/>
      <c r="R262" s="687" t="s">
        <v>115</v>
      </c>
      <c r="S262" s="708"/>
      <c r="T262" s="703" t="s">
        <v>182</v>
      </c>
      <c r="U262" s="708"/>
      <c r="V262" s="703" t="s">
        <v>182</v>
      </c>
      <c r="W262" s="708"/>
      <c r="X262" s="703" t="s">
        <v>182</v>
      </c>
      <c r="Y262" s="708"/>
      <c r="Z262" s="703" t="s">
        <v>182</v>
      </c>
      <c r="AA262" s="708"/>
      <c r="AB262" s="703" t="s">
        <v>182</v>
      </c>
      <c r="AC262" s="708"/>
      <c r="AD262" s="708"/>
      <c r="AE262" s="684"/>
      <c r="AF262" s="684"/>
      <c r="AG262" s="684"/>
    </row>
    <row r="263" spans="1:41" ht="33.5">
      <c r="A263" s="467"/>
      <c r="B263" s="687"/>
      <c r="C263" s="686"/>
      <c r="D263" s="686"/>
      <c r="E263" s="686"/>
      <c r="F263" s="686"/>
      <c r="G263" s="686"/>
      <c r="H263" s="687"/>
      <c r="I263" s="686"/>
      <c r="J263" s="686"/>
      <c r="K263" s="686"/>
      <c r="L263" s="686"/>
      <c r="M263" s="686"/>
      <c r="N263" s="686"/>
      <c r="O263" s="690"/>
      <c r="P263" s="686"/>
      <c r="Q263" s="708"/>
      <c r="R263" s="687" t="s">
        <v>1681</v>
      </c>
      <c r="S263" s="708"/>
      <c r="T263" s="703"/>
      <c r="U263" s="708"/>
      <c r="V263" s="770" t="s">
        <v>1629</v>
      </c>
      <c r="W263" s="708"/>
      <c r="X263" s="703"/>
      <c r="Y263" s="708"/>
      <c r="Z263" s="703"/>
      <c r="AA263" s="708"/>
      <c r="AB263" s="703"/>
      <c r="AC263" s="708"/>
      <c r="AD263" s="708"/>
      <c r="AE263" s="684"/>
      <c r="AF263" s="684"/>
      <c r="AG263" s="684"/>
    </row>
    <row r="264" spans="1:41" ht="32" customHeight="1">
      <c r="A264" s="748"/>
      <c r="B264" s="750"/>
      <c r="C264" s="750"/>
      <c r="D264" s="750"/>
      <c r="E264" s="750"/>
      <c r="F264" s="750"/>
      <c r="G264" s="750"/>
      <c r="H264" s="749" t="s">
        <v>228</v>
      </c>
      <c r="I264" s="750"/>
      <c r="J264" s="750"/>
      <c r="K264" s="750"/>
      <c r="L264" s="749" t="s">
        <v>228</v>
      </c>
      <c r="M264" s="750"/>
      <c r="N264" s="750"/>
      <c r="O264" s="750"/>
      <c r="P264" s="749"/>
      <c r="Q264" s="750"/>
      <c r="R264" s="750"/>
      <c r="S264" s="750"/>
      <c r="T264" s="750"/>
      <c r="U264" s="750"/>
      <c r="V264" s="750"/>
      <c r="W264" s="750"/>
      <c r="X264" s="750"/>
      <c r="Y264" s="750"/>
      <c r="Z264" s="750"/>
      <c r="AA264" s="750"/>
      <c r="AB264" s="750"/>
      <c r="AC264" s="750"/>
      <c r="AD264" s="750"/>
      <c r="AE264" s="750"/>
      <c r="AF264" s="750"/>
      <c r="AG264" s="750"/>
      <c r="AH264" s="750"/>
      <c r="AI264" s="881"/>
      <c r="AJ264" s="881"/>
      <c r="AK264" s="881"/>
      <c r="AL264" s="881"/>
    </row>
    <row r="265" spans="1:41" ht="33.5">
      <c r="B265" s="703" t="s">
        <v>765</v>
      </c>
      <c r="C265" s="708"/>
      <c r="D265" s="703" t="s">
        <v>766</v>
      </c>
      <c r="E265" s="708"/>
      <c r="F265" s="703" t="s">
        <v>767</v>
      </c>
      <c r="G265" s="708"/>
      <c r="H265" s="703" t="s">
        <v>769</v>
      </c>
      <c r="I265" s="708"/>
      <c r="J265" s="703" t="s">
        <v>1361</v>
      </c>
      <c r="K265" s="708"/>
      <c r="L265" s="703" t="s">
        <v>1357</v>
      </c>
      <c r="M265" s="708"/>
      <c r="N265" s="703" t="s">
        <v>1358</v>
      </c>
      <c r="O265" s="708"/>
      <c r="P265" s="703" t="s">
        <v>1359</v>
      </c>
      <c r="Q265" s="708"/>
      <c r="R265" s="703" t="s">
        <v>1362</v>
      </c>
      <c r="S265" s="708"/>
      <c r="T265" s="703" t="s">
        <v>773</v>
      </c>
      <c r="U265" s="708"/>
      <c r="V265" s="703" t="s">
        <v>774</v>
      </c>
      <c r="W265" s="708"/>
      <c r="X265" s="703" t="s">
        <v>775</v>
      </c>
      <c r="Y265" s="708"/>
      <c r="Z265" s="703" t="s">
        <v>776</v>
      </c>
      <c r="AA265" s="708"/>
      <c r="AB265" s="732" t="s">
        <v>777</v>
      </c>
      <c r="AC265" s="708"/>
      <c r="AD265" s="703" t="s">
        <v>778</v>
      </c>
      <c r="AE265" s="708"/>
      <c r="AF265" s="708"/>
      <c r="AG265" s="708"/>
      <c r="AH265" s="708"/>
      <c r="AI265" s="708"/>
      <c r="AJ265" s="708"/>
      <c r="AK265" s="708"/>
      <c r="AL265" s="708"/>
    </row>
    <row r="266" spans="1:41" ht="33.5">
      <c r="A266" s="467"/>
      <c r="B266" s="700"/>
      <c r="C266" s="690"/>
      <c r="D266" s="700"/>
      <c r="E266" s="690"/>
      <c r="F266" s="700"/>
      <c r="G266" s="690"/>
      <c r="H266" s="700"/>
      <c r="I266" s="690"/>
      <c r="J266" s="700"/>
      <c r="K266" s="690"/>
      <c r="L266" s="700"/>
      <c r="M266" s="690"/>
      <c r="N266" s="700"/>
      <c r="O266" s="690"/>
      <c r="P266" s="700"/>
      <c r="Q266" s="708"/>
      <c r="R266" s="700"/>
      <c r="S266" s="708"/>
      <c r="T266" s="700"/>
      <c r="U266" s="690"/>
      <c r="V266" s="700"/>
      <c r="W266" s="690"/>
      <c r="X266" s="700"/>
      <c r="Y266" s="690"/>
      <c r="Z266" s="700"/>
      <c r="AA266" s="690"/>
      <c r="AB266" s="700"/>
      <c r="AC266" s="690"/>
      <c r="AD266" s="700"/>
      <c r="AE266" s="708"/>
      <c r="AF266" s="711"/>
      <c r="AG266" s="711"/>
      <c r="AH266" s="708"/>
      <c r="AI266" s="708"/>
      <c r="AJ266" s="708"/>
      <c r="AK266" s="708"/>
      <c r="AL266" s="708"/>
    </row>
    <row r="267" spans="1:41" ht="16.5" customHeight="1" thickBot="1">
      <c r="A267" s="467"/>
      <c r="B267" s="702"/>
      <c r="C267" s="690"/>
      <c r="D267" s="702"/>
      <c r="E267" s="690"/>
      <c r="F267" s="702"/>
      <c r="G267" s="690"/>
      <c r="H267" s="702"/>
      <c r="I267" s="690"/>
      <c r="J267" s="702"/>
      <c r="K267" s="690"/>
      <c r="L267" s="702"/>
      <c r="M267" s="690"/>
      <c r="N267" s="702"/>
      <c r="O267" s="690"/>
      <c r="P267" s="702"/>
      <c r="Q267" s="708"/>
      <c r="R267" s="702"/>
      <c r="S267" s="708"/>
      <c r="T267" s="702"/>
      <c r="U267" s="690"/>
      <c r="V267" s="702"/>
      <c r="W267" s="690"/>
      <c r="X267" s="702"/>
      <c r="Y267" s="690"/>
      <c r="Z267" s="702"/>
      <c r="AA267" s="690"/>
      <c r="AB267" s="702"/>
      <c r="AC267" s="690"/>
      <c r="AD267" s="702"/>
      <c r="AE267" s="708"/>
      <c r="AF267" s="711"/>
      <c r="AG267" s="711"/>
      <c r="AH267" s="708"/>
      <c r="AI267" s="708"/>
      <c r="AJ267" s="708"/>
      <c r="AK267" s="708"/>
      <c r="AL267" s="708"/>
    </row>
    <row r="268" spans="1:41" ht="100" customHeight="1" thickBot="1">
      <c r="A268" s="467"/>
      <c r="B268" s="721"/>
      <c r="C268" s="695">
        <v>410.11</v>
      </c>
      <c r="D268" s="721"/>
      <c r="E268" s="695">
        <v>414.83</v>
      </c>
      <c r="F268" s="721"/>
      <c r="G268" s="695">
        <v>360.43</v>
      </c>
      <c r="H268" s="721"/>
      <c r="I268" s="695">
        <v>226.21</v>
      </c>
      <c r="J268" s="721"/>
      <c r="K268" s="695">
        <v>438.04</v>
      </c>
      <c r="L268" s="721"/>
      <c r="M268" s="695">
        <v>402.74</v>
      </c>
      <c r="N268" s="721"/>
      <c r="O268" s="695">
        <v>433.49</v>
      </c>
      <c r="P268" s="679" t="s">
        <v>390</v>
      </c>
      <c r="Q268" s="732">
        <v>409.21</v>
      </c>
      <c r="R268" s="721"/>
      <c r="S268" s="732">
        <v>436.61</v>
      </c>
      <c r="T268" s="721"/>
      <c r="U268" s="695">
        <v>394.61</v>
      </c>
      <c r="V268" s="721"/>
      <c r="W268" s="695">
        <v>383.9</v>
      </c>
      <c r="X268" s="751"/>
      <c r="Y268" s="695">
        <v>356.32</v>
      </c>
      <c r="Z268" s="1061" t="s">
        <v>390</v>
      </c>
      <c r="AA268" s="695">
        <v>378.3</v>
      </c>
      <c r="AB268" s="751"/>
      <c r="AC268" s="695">
        <v>356.03</v>
      </c>
      <c r="AD268" s="751"/>
      <c r="AE268" s="732">
        <v>426.81700000000001</v>
      </c>
      <c r="AF268" s="711"/>
      <c r="AG268" s="711"/>
      <c r="AH268" s="695"/>
      <c r="AI268" s="695"/>
      <c r="AJ268" s="695"/>
      <c r="AK268" s="695"/>
      <c r="AL268" s="695"/>
      <c r="AM268" s="871">
        <f>COUNTIF(B268:AE268,"U/P")</f>
        <v>2</v>
      </c>
      <c r="AN268" s="871">
        <f>COUNTIF(C268:AC268,"ROW")</f>
        <v>0</v>
      </c>
      <c r="AO268" s="871">
        <f>COUNTIF(D268:AD268,"C")</f>
        <v>0</v>
      </c>
    </row>
    <row r="269" spans="1:41" ht="16.5" customHeight="1" thickBot="1">
      <c r="A269" s="467"/>
      <c r="B269" s="698"/>
      <c r="C269" s="708"/>
      <c r="D269" s="698"/>
      <c r="E269" s="708"/>
      <c r="F269" s="698"/>
      <c r="G269" s="708"/>
      <c r="H269" s="698"/>
      <c r="I269" s="708"/>
      <c r="J269" s="698"/>
      <c r="K269" s="708"/>
      <c r="L269" s="698"/>
      <c r="M269" s="708"/>
      <c r="N269" s="698"/>
      <c r="O269" s="708"/>
      <c r="P269" s="698"/>
      <c r="Q269" s="708"/>
      <c r="R269" s="698"/>
      <c r="S269" s="708"/>
      <c r="T269" s="698"/>
      <c r="U269" s="708"/>
      <c r="V269" s="698"/>
      <c r="W269" s="708"/>
      <c r="X269" s="698"/>
      <c r="Y269" s="708"/>
      <c r="Z269" s="698"/>
      <c r="AA269" s="708"/>
      <c r="AB269" s="698"/>
      <c r="AC269" s="708"/>
      <c r="AD269" s="698"/>
      <c r="AE269" s="708"/>
      <c r="AF269" s="711"/>
      <c r="AG269" s="711"/>
      <c r="AH269" s="708"/>
      <c r="AI269" s="708"/>
      <c r="AJ269" s="708"/>
      <c r="AK269" s="708"/>
      <c r="AL269" s="708"/>
    </row>
    <row r="270" spans="1:41" ht="33.5">
      <c r="A270" s="467"/>
      <c r="B270" s="686" t="s">
        <v>185</v>
      </c>
      <c r="C270" s="686"/>
      <c r="D270" s="686" t="s">
        <v>182</v>
      </c>
      <c r="E270" s="686"/>
      <c r="F270" s="686" t="s">
        <v>242</v>
      </c>
      <c r="G270" s="686"/>
      <c r="H270" s="687" t="s">
        <v>125</v>
      </c>
      <c r="I270" s="686"/>
      <c r="J270" s="687" t="s">
        <v>125</v>
      </c>
      <c r="K270" s="686"/>
      <c r="L270" s="686" t="s">
        <v>248</v>
      </c>
      <c r="M270" s="686"/>
      <c r="N270" s="686" t="s">
        <v>185</v>
      </c>
      <c r="O270" s="690"/>
      <c r="P270" s="686" t="s">
        <v>242</v>
      </c>
      <c r="Q270" s="708"/>
      <c r="R270" s="686" t="s">
        <v>248</v>
      </c>
      <c r="S270" s="708"/>
      <c r="T270" s="687" t="s">
        <v>115</v>
      </c>
      <c r="U270" s="708"/>
      <c r="V270" s="703" t="s">
        <v>182</v>
      </c>
      <c r="W270" s="708"/>
      <c r="X270" s="703" t="s">
        <v>182</v>
      </c>
      <c r="Y270" s="708"/>
      <c r="Z270" s="703" t="s">
        <v>185</v>
      </c>
      <c r="AA270" s="708"/>
      <c r="AB270" s="687" t="s">
        <v>125</v>
      </c>
      <c r="AC270" s="708"/>
      <c r="AD270" s="687" t="s">
        <v>188</v>
      </c>
      <c r="AE270" s="708"/>
      <c r="AF270" s="711"/>
      <c r="AG270" s="711"/>
      <c r="AH270" s="708"/>
      <c r="AI270" s="708"/>
      <c r="AJ270" s="708"/>
      <c r="AK270" s="708"/>
      <c r="AL270" s="708"/>
    </row>
    <row r="271" spans="1:41" ht="32" customHeight="1">
      <c r="A271" s="748"/>
      <c r="B271" s="750"/>
      <c r="C271" s="750"/>
      <c r="D271" s="750"/>
      <c r="E271" s="750"/>
      <c r="F271" s="750"/>
      <c r="G271" s="750"/>
      <c r="H271" s="750"/>
      <c r="I271" s="750"/>
      <c r="J271" s="750"/>
      <c r="K271" s="750"/>
      <c r="L271" s="750"/>
      <c r="M271" s="750"/>
      <c r="N271" s="750"/>
      <c r="O271" s="750"/>
      <c r="P271" s="750"/>
      <c r="Q271" s="750"/>
      <c r="R271" s="750"/>
      <c r="S271" s="750"/>
      <c r="T271" s="750"/>
      <c r="U271" s="750"/>
      <c r="V271" s="750"/>
      <c r="W271" s="750"/>
      <c r="X271" s="750"/>
      <c r="Y271" s="750"/>
      <c r="Z271" s="881" t="s">
        <v>228</v>
      </c>
      <c r="AA271" s="750"/>
      <c r="AB271" s="750"/>
      <c r="AC271" s="750"/>
      <c r="AD271" s="750"/>
      <c r="AE271" s="750"/>
      <c r="AF271" s="750"/>
      <c r="AG271" s="750"/>
      <c r="AH271" s="750"/>
      <c r="AI271" s="881"/>
      <c r="AJ271" s="881"/>
      <c r="AK271" s="881"/>
      <c r="AL271" s="881"/>
    </row>
    <row r="272" spans="1:41" ht="15" customHeight="1">
      <c r="B272" s="704"/>
      <c r="C272" s="704"/>
      <c r="D272" s="704"/>
      <c r="E272" s="704"/>
      <c r="F272" s="704"/>
      <c r="G272" s="704"/>
      <c r="H272" s="704"/>
      <c r="I272" s="704"/>
      <c r="J272" s="704"/>
      <c r="K272" s="704"/>
      <c r="L272" s="704"/>
      <c r="M272" s="704"/>
      <c r="N272" s="704"/>
      <c r="O272" s="693"/>
      <c r="P272" s="704"/>
      <c r="Q272" s="691"/>
      <c r="R272" s="724"/>
      <c r="S272" s="691"/>
      <c r="T272" s="724"/>
      <c r="U272" s="691"/>
      <c r="V272" s="724"/>
      <c r="W272" s="691"/>
      <c r="X272" s="724"/>
      <c r="Y272" s="691"/>
      <c r="Z272" s="724"/>
      <c r="AA272" s="691"/>
      <c r="AB272" s="724"/>
      <c r="AC272" s="691"/>
      <c r="AD272" s="691"/>
      <c r="AE272" s="683"/>
      <c r="AF272" s="684"/>
      <c r="AG272" s="684"/>
    </row>
    <row r="273" spans="1:41" ht="33.5">
      <c r="B273" s="703" t="s">
        <v>779</v>
      </c>
      <c r="C273" s="708"/>
      <c r="D273" s="732" t="s">
        <v>780</v>
      </c>
      <c r="E273" s="708"/>
      <c r="F273" s="732" t="s">
        <v>781</v>
      </c>
      <c r="G273" s="708"/>
      <c r="H273" s="732" t="s">
        <v>782</v>
      </c>
      <c r="I273" s="708"/>
      <c r="J273" s="703" t="s">
        <v>783</v>
      </c>
      <c r="K273" s="708"/>
      <c r="L273" s="703" t="s">
        <v>784</v>
      </c>
      <c r="M273" s="708"/>
      <c r="N273" s="703" t="s">
        <v>785</v>
      </c>
      <c r="O273" s="708"/>
      <c r="P273" s="703" t="s">
        <v>786</v>
      </c>
      <c r="Q273" s="708"/>
      <c r="R273" s="703" t="s">
        <v>787</v>
      </c>
      <c r="S273" s="708"/>
      <c r="T273" s="703" t="s">
        <v>788</v>
      </c>
      <c r="U273" s="708"/>
      <c r="V273" s="703" t="s">
        <v>789</v>
      </c>
      <c r="W273" s="708"/>
      <c r="X273" s="703" t="s">
        <v>790</v>
      </c>
      <c r="Y273" s="708"/>
      <c r="Z273" s="732" t="s">
        <v>791</v>
      </c>
      <c r="AA273" s="708"/>
      <c r="AB273" s="703" t="s">
        <v>792</v>
      </c>
      <c r="AC273" s="708"/>
      <c r="AD273" s="708"/>
      <c r="AE273" s="708"/>
      <c r="AF273" s="708"/>
      <c r="AG273" s="708"/>
      <c r="AH273" s="708"/>
      <c r="AI273" s="708"/>
      <c r="AJ273" s="708"/>
      <c r="AK273" s="708"/>
      <c r="AL273" s="708"/>
    </row>
    <row r="274" spans="1:41" ht="33.5">
      <c r="A274" s="467"/>
      <c r="B274" s="700"/>
      <c r="C274" s="690"/>
      <c r="D274" s="700"/>
      <c r="E274" s="690"/>
      <c r="F274" s="700"/>
      <c r="G274" s="690"/>
      <c r="H274" s="700"/>
      <c r="I274" s="690"/>
      <c r="J274" s="700"/>
      <c r="K274" s="690"/>
      <c r="L274" s="700"/>
      <c r="M274" s="690"/>
      <c r="N274" s="700"/>
      <c r="O274" s="690"/>
      <c r="P274" s="700"/>
      <c r="Q274" s="708"/>
      <c r="R274" s="700"/>
      <c r="S274" s="690"/>
      <c r="T274" s="700"/>
      <c r="U274" s="690"/>
      <c r="V274" s="700"/>
      <c r="W274" s="690"/>
      <c r="X274" s="700"/>
      <c r="Y274" s="690"/>
      <c r="Z274" s="700"/>
      <c r="AA274" s="690"/>
      <c r="AB274" s="700"/>
      <c r="AC274" s="708"/>
      <c r="AD274" s="708"/>
      <c r="AE274" s="711"/>
      <c r="AF274" s="711"/>
      <c r="AG274" s="711"/>
      <c r="AH274" s="708"/>
      <c r="AI274" s="708"/>
      <c r="AJ274" s="708"/>
      <c r="AK274" s="708"/>
      <c r="AL274" s="708"/>
    </row>
    <row r="275" spans="1:41" ht="16.5" customHeight="1" thickBot="1">
      <c r="A275" s="467"/>
      <c r="B275" s="702"/>
      <c r="C275" s="690"/>
      <c r="D275" s="702"/>
      <c r="E275" s="690"/>
      <c r="F275" s="702"/>
      <c r="G275" s="690"/>
      <c r="H275" s="702"/>
      <c r="I275" s="690"/>
      <c r="J275" s="702"/>
      <c r="K275" s="690"/>
      <c r="L275" s="702"/>
      <c r="M275" s="690"/>
      <c r="N275" s="702"/>
      <c r="O275" s="690"/>
      <c r="P275" s="702"/>
      <c r="Q275" s="708"/>
      <c r="R275" s="702"/>
      <c r="S275" s="690"/>
      <c r="T275" s="702"/>
      <c r="U275" s="690"/>
      <c r="V275" s="702"/>
      <c r="W275" s="690"/>
      <c r="X275" s="702"/>
      <c r="Y275" s="690"/>
      <c r="Z275" s="702"/>
      <c r="AA275" s="690"/>
      <c r="AB275" s="702"/>
      <c r="AC275" s="708"/>
      <c r="AD275" s="708"/>
      <c r="AE275" s="711"/>
      <c r="AF275" s="711"/>
      <c r="AG275" s="711"/>
      <c r="AH275" s="708"/>
      <c r="AI275" s="708"/>
      <c r="AJ275" s="708"/>
      <c r="AK275" s="708"/>
      <c r="AL275" s="708"/>
    </row>
    <row r="276" spans="1:41" ht="100" customHeight="1" thickBot="1">
      <c r="A276" s="467"/>
      <c r="B276" s="721"/>
      <c r="C276" s="695">
        <v>381</v>
      </c>
      <c r="D276" s="721"/>
      <c r="E276" s="695">
        <v>334</v>
      </c>
      <c r="F276" s="751"/>
      <c r="G276" s="695">
        <v>347</v>
      </c>
      <c r="H276" s="751"/>
      <c r="I276" s="695">
        <v>375.55</v>
      </c>
      <c r="J276" s="751"/>
      <c r="K276" s="695">
        <v>392</v>
      </c>
      <c r="L276" s="679" t="s">
        <v>1703</v>
      </c>
      <c r="M276" s="695">
        <v>407.97</v>
      </c>
      <c r="N276" s="1015" t="s">
        <v>1693</v>
      </c>
      <c r="O276" s="695">
        <v>392</v>
      </c>
      <c r="P276" s="679" t="s">
        <v>1703</v>
      </c>
      <c r="Q276" s="732">
        <v>405</v>
      </c>
      <c r="R276" s="721"/>
      <c r="S276" s="695">
        <v>435</v>
      </c>
      <c r="T276" s="721"/>
      <c r="U276" s="695">
        <v>378.33</v>
      </c>
      <c r="V276" s="721"/>
      <c r="W276" s="695">
        <v>386</v>
      </c>
      <c r="X276" s="721"/>
      <c r="Y276" s="695">
        <v>391</v>
      </c>
      <c r="Z276" s="751"/>
      <c r="AA276" s="695">
        <v>399.83</v>
      </c>
      <c r="AB276" s="751"/>
      <c r="AC276" s="775">
        <v>437.01</v>
      </c>
      <c r="AD276" s="708"/>
      <c r="AE276" s="711"/>
      <c r="AF276" s="711"/>
      <c r="AG276" s="711"/>
      <c r="AH276" s="708"/>
      <c r="AI276" s="708"/>
      <c r="AJ276" s="708"/>
      <c r="AK276" s="708"/>
      <c r="AL276" s="708"/>
      <c r="AM276" s="871">
        <f>COUNTIF(B276:AB276,"U/P")</f>
        <v>0</v>
      </c>
      <c r="AN276" s="871">
        <f>COUNTIF(C276:AC276,"ROW")</f>
        <v>0</v>
      </c>
      <c r="AO276" s="871">
        <f>COUNTIF(D276:AD276,"C")</f>
        <v>0</v>
      </c>
    </row>
    <row r="277" spans="1:41" ht="16.5" customHeight="1" thickBot="1">
      <c r="A277" s="467"/>
      <c r="B277" s="698"/>
      <c r="C277" s="708"/>
      <c r="D277" s="698"/>
      <c r="E277" s="708"/>
      <c r="F277" s="698"/>
      <c r="G277" s="708"/>
      <c r="H277" s="698"/>
      <c r="I277" s="708"/>
      <c r="J277" s="698"/>
      <c r="K277" s="708"/>
      <c r="L277" s="698"/>
      <c r="M277" s="708"/>
      <c r="N277" s="698"/>
      <c r="O277" s="708"/>
      <c r="P277" s="698"/>
      <c r="Q277" s="708"/>
      <c r="R277" s="698"/>
      <c r="S277" s="708"/>
      <c r="T277" s="698"/>
      <c r="U277" s="708"/>
      <c r="V277" s="698"/>
      <c r="W277" s="708"/>
      <c r="X277" s="698"/>
      <c r="Y277" s="708"/>
      <c r="Z277" s="698"/>
      <c r="AA277" s="708"/>
      <c r="AB277" s="698"/>
      <c r="AC277" s="708"/>
      <c r="AD277" s="708"/>
      <c r="AE277" s="711"/>
      <c r="AF277" s="711"/>
      <c r="AG277" s="711"/>
      <c r="AH277" s="708"/>
      <c r="AI277" s="708"/>
      <c r="AJ277" s="708"/>
      <c r="AK277" s="708"/>
      <c r="AL277" s="708"/>
    </row>
    <row r="278" spans="1:41" ht="33.5">
      <c r="A278" s="467"/>
      <c r="B278" s="687" t="s">
        <v>188</v>
      </c>
      <c r="C278" s="686"/>
      <c r="D278" s="686" t="s">
        <v>182</v>
      </c>
      <c r="E278" s="686"/>
      <c r="F278" s="686" t="s">
        <v>182</v>
      </c>
      <c r="G278" s="686"/>
      <c r="H278" s="686" t="s">
        <v>182</v>
      </c>
      <c r="I278" s="686"/>
      <c r="J278" s="687" t="s">
        <v>137</v>
      </c>
      <c r="K278" s="686"/>
      <c r="L278" s="686" t="s">
        <v>248</v>
      </c>
      <c r="M278" s="686"/>
      <c r="N278" s="687" t="s">
        <v>119</v>
      </c>
      <c r="O278" s="690"/>
      <c r="P278" s="686" t="s">
        <v>185</v>
      </c>
      <c r="Q278" s="708"/>
      <c r="R278" s="703" t="s">
        <v>185</v>
      </c>
      <c r="S278" s="708"/>
      <c r="T278" s="703" t="s">
        <v>185</v>
      </c>
      <c r="U278" s="708"/>
      <c r="V278" s="687" t="s">
        <v>115</v>
      </c>
      <c r="W278" s="708"/>
      <c r="X278" s="703" t="s">
        <v>182</v>
      </c>
      <c r="Y278" s="708"/>
      <c r="Z278" s="775" t="s">
        <v>242</v>
      </c>
      <c r="AA278" s="708"/>
      <c r="AB278" s="687" t="s">
        <v>137</v>
      </c>
      <c r="AC278" s="708"/>
      <c r="AD278" s="708"/>
      <c r="AE278" s="711"/>
      <c r="AF278" s="711"/>
      <c r="AG278" s="711"/>
      <c r="AH278" s="708"/>
      <c r="AI278" s="708"/>
      <c r="AJ278" s="708"/>
      <c r="AK278" s="708"/>
      <c r="AL278" s="708"/>
    </row>
    <row r="279" spans="1:41" ht="31" customHeight="1">
      <c r="B279" s="686"/>
      <c r="C279" s="686"/>
      <c r="D279" s="686"/>
      <c r="E279" s="686"/>
      <c r="F279" s="686"/>
      <c r="G279" s="686"/>
      <c r="H279" s="686"/>
      <c r="I279" s="686"/>
      <c r="J279" s="768" t="s">
        <v>1629</v>
      </c>
      <c r="K279" s="686"/>
      <c r="L279" s="1613" t="s">
        <v>228</v>
      </c>
      <c r="M279" s="1613"/>
      <c r="N279" s="1613"/>
      <c r="O279" s="1613"/>
      <c r="P279" s="1613"/>
      <c r="Q279" s="708"/>
      <c r="R279" s="703"/>
      <c r="S279" s="708"/>
      <c r="T279" s="703"/>
      <c r="U279" s="708"/>
      <c r="V279" s="703"/>
      <c r="W279" s="708"/>
      <c r="X279" s="703"/>
      <c r="Y279" s="708"/>
      <c r="Z279" s="775"/>
      <c r="AA279" s="708"/>
      <c r="AB279" s="717" t="s">
        <v>228</v>
      </c>
      <c r="AC279" s="708"/>
      <c r="AD279" s="708"/>
      <c r="AE279" s="710"/>
      <c r="AF279" s="711"/>
      <c r="AG279" s="711"/>
      <c r="AH279" s="708"/>
      <c r="AI279" s="708"/>
      <c r="AJ279" s="708"/>
      <c r="AK279" s="708"/>
      <c r="AL279" s="708"/>
    </row>
    <row r="280" spans="1:41" ht="39" customHeight="1">
      <c r="A280" s="748"/>
      <c r="B280" s="750"/>
      <c r="C280" s="750"/>
      <c r="D280" s="750"/>
      <c r="E280" s="750"/>
      <c r="F280" s="750"/>
      <c r="G280" s="750"/>
      <c r="H280" s="750"/>
      <c r="I280" s="750"/>
      <c r="J280" s="750"/>
      <c r="K280" s="750"/>
      <c r="L280" s="750"/>
      <c r="M280" s="750"/>
      <c r="N280" s="750"/>
      <c r="O280" s="750"/>
      <c r="P280" s="750"/>
      <c r="Q280" s="750"/>
      <c r="R280" s="750"/>
      <c r="S280" s="750"/>
      <c r="T280" s="750"/>
      <c r="U280" s="750"/>
      <c r="V280" s="750"/>
      <c r="W280" s="750"/>
      <c r="X280" s="750"/>
      <c r="Y280" s="750"/>
      <c r="Z280" s="750"/>
      <c r="AA280" s="750"/>
      <c r="AB280" s="750"/>
      <c r="AC280" s="750"/>
      <c r="AD280" s="750"/>
      <c r="AE280" s="750"/>
      <c r="AF280" s="750"/>
      <c r="AG280" s="750"/>
      <c r="AH280" s="750"/>
      <c r="AI280" s="881"/>
      <c r="AJ280" s="881"/>
      <c r="AK280" s="881"/>
      <c r="AL280" s="881"/>
    </row>
    <row r="281" spans="1:41" ht="33.5">
      <c r="B281" s="703" t="s">
        <v>793</v>
      </c>
      <c r="C281" s="708"/>
      <c r="D281" s="732" t="s">
        <v>794</v>
      </c>
      <c r="E281" s="708"/>
      <c r="F281" s="732" t="s">
        <v>795</v>
      </c>
      <c r="G281" s="732"/>
      <c r="H281" s="732" t="s">
        <v>796</v>
      </c>
      <c r="I281" s="732"/>
      <c r="J281" s="732" t="s">
        <v>797</v>
      </c>
      <c r="K281" s="732"/>
      <c r="L281" s="732" t="s">
        <v>798</v>
      </c>
      <c r="M281" s="732"/>
      <c r="N281" s="732" t="s">
        <v>799</v>
      </c>
      <c r="O281" s="732"/>
      <c r="P281" s="732" t="s">
        <v>800</v>
      </c>
      <c r="Q281" s="732"/>
      <c r="R281" s="732" t="s">
        <v>801</v>
      </c>
      <c r="S281" s="732"/>
      <c r="T281" s="732" t="s">
        <v>802</v>
      </c>
      <c r="U281" s="732"/>
      <c r="V281" s="732" t="s">
        <v>803</v>
      </c>
      <c r="W281" s="732"/>
      <c r="X281" s="732" t="s">
        <v>804</v>
      </c>
      <c r="Y281" s="732"/>
      <c r="Z281" s="732" t="s">
        <v>805</v>
      </c>
      <c r="AA281" s="732"/>
      <c r="AB281" s="732" t="s">
        <v>806</v>
      </c>
      <c r="AC281" s="708"/>
      <c r="AD281" s="708"/>
      <c r="AE281" s="708"/>
      <c r="AF281" s="708"/>
      <c r="AG281" s="708"/>
      <c r="AH281" s="708"/>
      <c r="AI281" s="708"/>
      <c r="AJ281" s="708"/>
      <c r="AK281" s="708"/>
      <c r="AL281" s="708"/>
    </row>
    <row r="282" spans="1:41" ht="33.5">
      <c r="A282" s="467"/>
      <c r="B282" s="700"/>
      <c r="C282" s="690"/>
      <c r="D282" s="700"/>
      <c r="E282" s="690"/>
      <c r="F282" s="700"/>
      <c r="G282" s="690"/>
      <c r="H282" s="700"/>
      <c r="I282" s="690"/>
      <c r="J282" s="700"/>
      <c r="K282" s="690"/>
      <c r="L282" s="700"/>
      <c r="M282" s="690"/>
      <c r="N282" s="700"/>
      <c r="O282" s="690"/>
      <c r="P282" s="700"/>
      <c r="Q282" s="708"/>
      <c r="R282" s="700"/>
      <c r="S282" s="690"/>
      <c r="T282" s="700"/>
      <c r="U282" s="690"/>
      <c r="V282" s="700"/>
      <c r="W282" s="690"/>
      <c r="X282" s="700"/>
      <c r="Y282" s="690"/>
      <c r="Z282" s="700"/>
      <c r="AA282" s="690"/>
      <c r="AB282" s="700"/>
      <c r="AC282" s="708"/>
      <c r="AD282" s="708"/>
      <c r="AE282" s="711"/>
      <c r="AF282" s="711"/>
      <c r="AG282" s="711"/>
      <c r="AH282" s="708"/>
      <c r="AI282" s="708"/>
      <c r="AJ282" s="708"/>
      <c r="AK282" s="708"/>
      <c r="AL282" s="708"/>
    </row>
    <row r="283" spans="1:41" ht="16.5" customHeight="1" thickBot="1">
      <c r="A283" s="467"/>
      <c r="B283" s="702"/>
      <c r="C283" s="690"/>
      <c r="D283" s="702"/>
      <c r="E283" s="690"/>
      <c r="F283" s="702"/>
      <c r="G283" s="690"/>
      <c r="H283" s="702"/>
      <c r="I283" s="690"/>
      <c r="J283" s="702"/>
      <c r="K283" s="690"/>
      <c r="L283" s="702"/>
      <c r="M283" s="690"/>
      <c r="N283" s="702"/>
      <c r="O283" s="690"/>
      <c r="P283" s="702"/>
      <c r="Q283" s="708"/>
      <c r="R283" s="702"/>
      <c r="S283" s="690"/>
      <c r="T283" s="702"/>
      <c r="U283" s="690"/>
      <c r="V283" s="702"/>
      <c r="W283" s="690"/>
      <c r="X283" s="702"/>
      <c r="Y283" s="690"/>
      <c r="Z283" s="702"/>
      <c r="AA283" s="690"/>
      <c r="AB283" s="702"/>
      <c r="AC283" s="708"/>
      <c r="AD283" s="708"/>
      <c r="AE283" s="711"/>
      <c r="AF283" s="711"/>
      <c r="AG283" s="711"/>
      <c r="AH283" s="708"/>
      <c r="AI283" s="708"/>
      <c r="AJ283" s="708"/>
      <c r="AK283" s="708"/>
      <c r="AL283" s="708"/>
    </row>
    <row r="284" spans="1:41" ht="100" customHeight="1" thickBot="1">
      <c r="A284" s="467"/>
      <c r="B284" s="721"/>
      <c r="C284" s="695">
        <v>401.76</v>
      </c>
      <c r="D284" s="751"/>
      <c r="E284" s="695">
        <v>416.24</v>
      </c>
      <c r="F284" s="751"/>
      <c r="G284" s="695">
        <v>417</v>
      </c>
      <c r="H284" s="751"/>
      <c r="I284" s="695">
        <v>399</v>
      </c>
      <c r="J284" s="751"/>
      <c r="K284" s="695">
        <v>420</v>
      </c>
      <c r="L284" s="751"/>
      <c r="M284" s="695">
        <v>409</v>
      </c>
      <c r="N284" s="751"/>
      <c r="O284" s="695">
        <v>412</v>
      </c>
      <c r="P284" s="751"/>
      <c r="Q284" s="732">
        <v>400.41</v>
      </c>
      <c r="R284" s="751"/>
      <c r="S284" s="695">
        <v>232.12</v>
      </c>
      <c r="T284" s="721"/>
      <c r="U284" s="695">
        <v>442</v>
      </c>
      <c r="V284" s="721"/>
      <c r="W284" s="695">
        <v>385</v>
      </c>
      <c r="X284" s="876"/>
      <c r="Y284" s="695">
        <v>362</v>
      </c>
      <c r="Z284" s="876"/>
      <c r="AA284" s="695">
        <v>399</v>
      </c>
      <c r="AB284" s="876"/>
      <c r="AC284" s="732">
        <v>382.07</v>
      </c>
      <c r="AD284" s="708"/>
      <c r="AE284" s="711"/>
      <c r="AF284" s="711"/>
      <c r="AG284" s="711"/>
      <c r="AH284" s="708"/>
      <c r="AI284" s="708"/>
      <c r="AJ284" s="708"/>
      <c r="AK284" s="708"/>
      <c r="AL284" s="708"/>
      <c r="AM284" s="871">
        <f>COUNTIF(B284:AB284,"U/P")</f>
        <v>0</v>
      </c>
      <c r="AN284" s="871">
        <f>COUNTIF(C284:AC284,"ROW")</f>
        <v>0</v>
      </c>
      <c r="AO284" s="871">
        <f>COUNTIF(D284:AD284,"C")</f>
        <v>0</v>
      </c>
    </row>
    <row r="285" spans="1:41" ht="16.5" customHeight="1" thickBot="1">
      <c r="A285" s="467"/>
      <c r="B285" s="698"/>
      <c r="C285" s="708"/>
      <c r="D285" s="698"/>
      <c r="E285" s="708"/>
      <c r="F285" s="698"/>
      <c r="G285" s="708"/>
      <c r="H285" s="698"/>
      <c r="I285" s="708"/>
      <c r="J285" s="698"/>
      <c r="K285" s="708"/>
      <c r="L285" s="698"/>
      <c r="M285" s="708"/>
      <c r="N285" s="698"/>
      <c r="O285" s="708"/>
      <c r="P285" s="698"/>
      <c r="Q285" s="708"/>
      <c r="R285" s="698"/>
      <c r="S285" s="708"/>
      <c r="T285" s="698"/>
      <c r="U285" s="708"/>
      <c r="V285" s="698"/>
      <c r="W285" s="708"/>
      <c r="X285" s="698"/>
      <c r="Y285" s="708"/>
      <c r="Z285" s="698"/>
      <c r="AA285" s="708"/>
      <c r="AB285" s="698"/>
      <c r="AC285" s="708"/>
      <c r="AD285" s="708"/>
      <c r="AE285" s="711"/>
      <c r="AF285" s="711"/>
      <c r="AG285" s="711"/>
      <c r="AH285" s="708"/>
      <c r="AI285" s="708"/>
      <c r="AJ285" s="708"/>
      <c r="AK285" s="708"/>
      <c r="AL285" s="708"/>
    </row>
    <row r="286" spans="1:41" ht="33.5">
      <c r="A286" s="467"/>
      <c r="B286" s="687" t="s">
        <v>137</v>
      </c>
      <c r="C286" s="686"/>
      <c r="D286" s="686" t="s">
        <v>242</v>
      </c>
      <c r="E286" s="686"/>
      <c r="F286" s="686" t="s">
        <v>182</v>
      </c>
      <c r="G286" s="686"/>
      <c r="H286" s="686" t="s">
        <v>185</v>
      </c>
      <c r="I286" s="686"/>
      <c r="J286" s="686" t="s">
        <v>185</v>
      </c>
      <c r="K286" s="686"/>
      <c r="L286" s="686" t="s">
        <v>185</v>
      </c>
      <c r="M286" s="686"/>
      <c r="N286" s="686" t="s">
        <v>182</v>
      </c>
      <c r="O286" s="690"/>
      <c r="P286" s="686" t="s">
        <v>185</v>
      </c>
      <c r="Q286" s="708"/>
      <c r="R286" s="687" t="s">
        <v>192</v>
      </c>
      <c r="S286" s="708"/>
      <c r="T286" s="687" t="s">
        <v>192</v>
      </c>
      <c r="U286" s="703"/>
      <c r="V286" s="703" t="s">
        <v>185</v>
      </c>
      <c r="W286" s="708"/>
      <c r="X286" s="703" t="s">
        <v>182</v>
      </c>
      <c r="Y286" s="708"/>
      <c r="Z286" s="703" t="s">
        <v>182</v>
      </c>
      <c r="AA286" s="708"/>
      <c r="AB286" s="703" t="s">
        <v>185</v>
      </c>
      <c r="AC286" s="708"/>
      <c r="AD286" s="708"/>
      <c r="AE286" s="711"/>
      <c r="AF286" s="711"/>
      <c r="AG286" s="711"/>
      <c r="AH286" s="708"/>
      <c r="AI286" s="708"/>
      <c r="AJ286" s="708"/>
      <c r="AK286" s="708"/>
      <c r="AL286" s="708"/>
    </row>
    <row r="287" spans="1:41" ht="36">
      <c r="A287" s="750"/>
      <c r="B287" s="750"/>
      <c r="C287" s="750"/>
      <c r="D287" s="750"/>
      <c r="E287" s="750"/>
      <c r="F287" s="750"/>
      <c r="G287" s="750"/>
      <c r="H287" s="750"/>
      <c r="I287" s="750"/>
      <c r="J287" s="750"/>
      <c r="K287" s="750"/>
      <c r="L287" s="750"/>
      <c r="M287" s="750"/>
      <c r="N287" s="750"/>
      <c r="O287" s="750"/>
      <c r="P287" s="750"/>
      <c r="Q287" s="750"/>
      <c r="R287" s="750"/>
      <c r="S287" s="750"/>
      <c r="T287" s="750"/>
      <c r="U287" s="750"/>
      <c r="V287" s="750"/>
      <c r="W287" s="750"/>
      <c r="X287" s="750"/>
      <c r="Y287" s="750"/>
      <c r="Z287" s="750"/>
      <c r="AA287" s="750"/>
      <c r="AB287" s="750"/>
      <c r="AC287" s="750"/>
      <c r="AD287" s="750"/>
      <c r="AE287" s="750"/>
      <c r="AF287" s="750"/>
      <c r="AG287" s="750"/>
      <c r="AH287" s="750"/>
      <c r="AI287" s="881"/>
      <c r="AJ287" s="881"/>
      <c r="AK287" s="881"/>
      <c r="AL287" s="881"/>
    </row>
    <row r="288" spans="1:41" ht="17.5" customHeight="1">
      <c r="B288" s="704"/>
      <c r="C288" s="704"/>
      <c r="D288" s="704"/>
      <c r="E288" s="704"/>
      <c r="F288" s="704"/>
      <c r="G288" s="704"/>
      <c r="H288" s="704"/>
      <c r="I288" s="704"/>
      <c r="J288" s="704"/>
      <c r="K288" s="704"/>
      <c r="L288" s="704"/>
      <c r="M288" s="704"/>
      <c r="N288" s="704"/>
      <c r="O288" s="693"/>
      <c r="P288" s="704"/>
      <c r="Q288" s="691"/>
      <c r="R288" s="724"/>
      <c r="S288" s="691"/>
      <c r="T288" s="724"/>
      <c r="U288" s="724"/>
      <c r="V288" s="724"/>
      <c r="W288" s="691"/>
      <c r="X288" s="724"/>
      <c r="Y288" s="691"/>
      <c r="Z288" s="724"/>
      <c r="AA288" s="691"/>
      <c r="AB288" s="724"/>
      <c r="AC288" s="691"/>
      <c r="AD288" s="691"/>
      <c r="AE288" s="683"/>
      <c r="AF288" s="684"/>
      <c r="AG288" s="684"/>
    </row>
    <row r="289" spans="1:41" ht="33.5">
      <c r="B289" s="703" t="s">
        <v>807</v>
      </c>
      <c r="C289" s="708"/>
      <c r="D289" s="703" t="s">
        <v>808</v>
      </c>
      <c r="E289" s="708"/>
      <c r="F289" s="732" t="s">
        <v>809</v>
      </c>
      <c r="G289" s="708"/>
      <c r="H289" s="732" t="s">
        <v>1285</v>
      </c>
      <c r="I289" s="708"/>
      <c r="J289" s="732" t="s">
        <v>810</v>
      </c>
      <c r="K289" s="708"/>
      <c r="L289" s="732" t="s">
        <v>811</v>
      </c>
      <c r="M289" s="708"/>
      <c r="N289" s="732" t="s">
        <v>812</v>
      </c>
      <c r="O289" s="708"/>
      <c r="P289" s="732" t="s">
        <v>813</v>
      </c>
      <c r="Q289" s="708"/>
      <c r="R289" s="732" t="s">
        <v>814</v>
      </c>
      <c r="S289" s="708"/>
      <c r="T289" s="732" t="s">
        <v>815</v>
      </c>
      <c r="U289" s="732"/>
      <c r="V289" s="732" t="s">
        <v>816</v>
      </c>
      <c r="W289" s="732"/>
      <c r="X289" s="732" t="s">
        <v>817</v>
      </c>
      <c r="Y289" s="732"/>
      <c r="Z289" s="732" t="s">
        <v>1286</v>
      </c>
      <c r="AA289" s="673" t="s">
        <v>1513</v>
      </c>
      <c r="AB289" s="732" t="s">
        <v>1287</v>
      </c>
      <c r="AC289" s="708"/>
      <c r="AD289" s="708"/>
      <c r="AE289" s="708"/>
      <c r="AF289" s="708"/>
      <c r="AG289" s="708"/>
      <c r="AH289" s="708"/>
      <c r="AI289" s="708"/>
      <c r="AJ289" s="708"/>
      <c r="AK289" s="708"/>
      <c r="AL289" s="708"/>
    </row>
    <row r="290" spans="1:41" ht="33.5">
      <c r="B290" s="700"/>
      <c r="C290" s="690"/>
      <c r="D290" s="700"/>
      <c r="E290" s="690"/>
      <c r="F290" s="700"/>
      <c r="G290" s="690"/>
      <c r="H290" s="700"/>
      <c r="I290" s="690"/>
      <c r="J290" s="700"/>
      <c r="K290" s="690"/>
      <c r="L290" s="700"/>
      <c r="M290" s="690"/>
      <c r="N290" s="700"/>
      <c r="O290" s="690"/>
      <c r="P290" s="700"/>
      <c r="Q290" s="708"/>
      <c r="R290" s="700"/>
      <c r="S290" s="690"/>
      <c r="T290" s="700"/>
      <c r="U290" s="690"/>
      <c r="V290" s="700"/>
      <c r="W290" s="690"/>
      <c r="X290" s="700"/>
      <c r="Y290" s="690"/>
      <c r="Z290" s="700"/>
      <c r="AA290" s="690"/>
      <c r="AB290" s="700"/>
      <c r="AC290" s="708"/>
      <c r="AD290" s="708"/>
      <c r="AE290" s="711"/>
      <c r="AF290" s="711"/>
      <c r="AG290" s="711"/>
      <c r="AH290" s="708"/>
      <c r="AI290" s="708"/>
      <c r="AJ290" s="708"/>
      <c r="AK290" s="708"/>
      <c r="AL290" s="708"/>
    </row>
    <row r="291" spans="1:41" ht="16.5" customHeight="1" thickBot="1">
      <c r="B291" s="702"/>
      <c r="C291" s="690"/>
      <c r="D291" s="702"/>
      <c r="E291" s="690"/>
      <c r="F291" s="702"/>
      <c r="G291" s="690"/>
      <c r="H291" s="702"/>
      <c r="I291" s="690"/>
      <c r="J291" s="702"/>
      <c r="K291" s="690"/>
      <c r="L291" s="702"/>
      <c r="M291" s="690"/>
      <c r="N291" s="702"/>
      <c r="O291" s="690"/>
      <c r="P291" s="702"/>
      <c r="Q291" s="708"/>
      <c r="R291" s="702"/>
      <c r="S291" s="690"/>
      <c r="T291" s="702"/>
      <c r="U291" s="690"/>
      <c r="V291" s="702"/>
      <c r="W291" s="690"/>
      <c r="X291" s="702"/>
      <c r="Y291" s="690"/>
      <c r="Z291" s="702"/>
      <c r="AA291" s="690"/>
      <c r="AB291" s="702"/>
      <c r="AC291" s="708"/>
      <c r="AD291" s="708"/>
      <c r="AE291" s="711"/>
      <c r="AF291" s="711"/>
      <c r="AG291" s="711"/>
      <c r="AH291" s="708"/>
      <c r="AI291" s="708"/>
      <c r="AJ291" s="708"/>
      <c r="AK291" s="708"/>
      <c r="AL291" s="708"/>
    </row>
    <row r="292" spans="1:41" ht="100" customHeight="1" thickBot="1">
      <c r="B292" s="721"/>
      <c r="C292" s="695">
        <v>392</v>
      </c>
      <c r="D292" s="721"/>
      <c r="E292" s="695">
        <v>422</v>
      </c>
      <c r="F292" s="721"/>
      <c r="G292" s="695">
        <v>409.46</v>
      </c>
      <c r="H292" s="721"/>
      <c r="I292" s="695">
        <v>373.69</v>
      </c>
      <c r="J292" s="721"/>
      <c r="K292" s="695">
        <v>381.62</v>
      </c>
      <c r="L292" s="721"/>
      <c r="M292" s="695">
        <v>381.82</v>
      </c>
      <c r="N292" s="721"/>
      <c r="O292" s="695">
        <v>391.44</v>
      </c>
      <c r="P292" s="721"/>
      <c r="Q292" s="732">
        <v>385.78</v>
      </c>
      <c r="R292" s="721"/>
      <c r="S292" s="695">
        <v>367.45</v>
      </c>
      <c r="T292" s="721"/>
      <c r="U292" s="695">
        <v>379.63</v>
      </c>
      <c r="V292" s="721"/>
      <c r="W292" s="695">
        <v>380.46</v>
      </c>
      <c r="X292" s="721"/>
      <c r="Y292" s="695">
        <v>382.98</v>
      </c>
      <c r="Z292" s="721"/>
      <c r="AA292" s="695">
        <v>241.5</v>
      </c>
      <c r="AB292" s="679" t="s">
        <v>228</v>
      </c>
      <c r="AC292" s="775">
        <v>363.92</v>
      </c>
      <c r="AD292" s="708"/>
      <c r="AE292" s="711"/>
      <c r="AF292" s="711"/>
      <c r="AG292" s="711"/>
      <c r="AH292" s="708"/>
      <c r="AI292" s="708"/>
      <c r="AJ292" s="708"/>
      <c r="AK292" s="708"/>
      <c r="AL292" s="708"/>
      <c r="AM292" s="871">
        <f>COUNTIF(B292:AB292,"U/P")</f>
        <v>0</v>
      </c>
      <c r="AN292" s="871">
        <f>COUNTIF(C292:AC292,"ROW")</f>
        <v>1</v>
      </c>
      <c r="AO292" s="871">
        <f>COUNTIF(D292:AD292,"C")</f>
        <v>0</v>
      </c>
    </row>
    <row r="293" spans="1:41" ht="16.5" customHeight="1" thickBot="1">
      <c r="B293" s="698"/>
      <c r="C293" s="708"/>
      <c r="D293" s="698"/>
      <c r="E293" s="708"/>
      <c r="F293" s="698"/>
      <c r="G293" s="708"/>
      <c r="H293" s="698"/>
      <c r="I293" s="708"/>
      <c r="J293" s="698"/>
      <c r="K293" s="708"/>
      <c r="L293" s="698"/>
      <c r="M293" s="708"/>
      <c r="N293" s="698"/>
      <c r="O293" s="708"/>
      <c r="P293" s="698"/>
      <c r="Q293" s="708"/>
      <c r="R293" s="698"/>
      <c r="S293" s="708"/>
      <c r="T293" s="698"/>
      <c r="U293" s="708"/>
      <c r="V293" s="698"/>
      <c r="W293" s="708"/>
      <c r="X293" s="698"/>
      <c r="Y293" s="708"/>
      <c r="Z293" s="698"/>
      <c r="AA293" s="708"/>
      <c r="AB293" s="698"/>
      <c r="AC293" s="708"/>
      <c r="AD293" s="708"/>
      <c r="AE293" s="711"/>
      <c r="AF293" s="711"/>
      <c r="AG293" s="711"/>
      <c r="AH293" s="708"/>
      <c r="AI293" s="708"/>
      <c r="AJ293" s="708"/>
      <c r="AK293" s="708"/>
      <c r="AL293" s="708"/>
    </row>
    <row r="294" spans="1:41" ht="33.5">
      <c r="B294" s="687" t="s">
        <v>115</v>
      </c>
      <c r="C294" s="686"/>
      <c r="D294" s="686" t="s">
        <v>185</v>
      </c>
      <c r="E294" s="686"/>
      <c r="F294" s="686" t="s">
        <v>182</v>
      </c>
      <c r="G294" s="686"/>
      <c r="H294" s="687" t="s">
        <v>115</v>
      </c>
      <c r="I294" s="686"/>
      <c r="J294" s="686" t="s">
        <v>182</v>
      </c>
      <c r="K294" s="686"/>
      <c r="L294" s="686" t="s">
        <v>182</v>
      </c>
      <c r="M294" s="686"/>
      <c r="N294" s="686" t="s">
        <v>182</v>
      </c>
      <c r="O294" s="690"/>
      <c r="P294" s="686" t="s">
        <v>182</v>
      </c>
      <c r="Q294" s="708"/>
      <c r="R294" s="703" t="s">
        <v>182</v>
      </c>
      <c r="S294" s="708"/>
      <c r="T294" s="703" t="s">
        <v>182</v>
      </c>
      <c r="U294" s="703"/>
      <c r="V294" s="703" t="s">
        <v>182</v>
      </c>
      <c r="W294" s="703"/>
      <c r="X294" s="703" t="s">
        <v>182</v>
      </c>
      <c r="Y294" s="703"/>
      <c r="Z294" s="703" t="s">
        <v>182</v>
      </c>
      <c r="AA294" s="703"/>
      <c r="AB294" s="687" t="s">
        <v>119</v>
      </c>
      <c r="AC294" s="708"/>
      <c r="AD294" s="708"/>
      <c r="AE294" s="711"/>
      <c r="AF294" s="711"/>
      <c r="AG294" s="711"/>
      <c r="AH294" s="708"/>
      <c r="AI294" s="708"/>
      <c r="AJ294" s="708"/>
      <c r="AK294" s="708"/>
      <c r="AL294" s="708"/>
      <c r="AM294" s="873"/>
    </row>
    <row r="295" spans="1:41" ht="46">
      <c r="A295" s="723"/>
      <c r="B295" s="750"/>
      <c r="C295" s="723"/>
      <c r="D295" s="723"/>
      <c r="E295" s="723"/>
      <c r="F295" s="723"/>
      <c r="G295" s="723"/>
      <c r="H295" s="723"/>
      <c r="I295" s="723"/>
      <c r="J295" s="723"/>
      <c r="K295" s="723"/>
      <c r="L295" s="723"/>
      <c r="M295" s="723"/>
      <c r="N295" s="723"/>
      <c r="O295" s="723"/>
      <c r="P295" s="723"/>
      <c r="Q295" s="723"/>
      <c r="R295" s="723"/>
      <c r="S295" s="723"/>
      <c r="T295" s="750"/>
      <c r="U295" s="723"/>
      <c r="V295" s="723"/>
      <c r="W295" s="723"/>
      <c r="X295" s="723"/>
      <c r="Y295" s="723"/>
      <c r="Z295" s="750"/>
      <c r="AA295" s="750"/>
      <c r="AB295" s="881" t="s">
        <v>228</v>
      </c>
      <c r="AC295" s="723"/>
      <c r="AD295" s="723"/>
      <c r="AE295" s="723"/>
      <c r="AF295" s="723"/>
      <c r="AG295" s="723"/>
      <c r="AH295" s="723"/>
      <c r="AI295" s="723"/>
      <c r="AJ295" s="723"/>
      <c r="AK295" s="723"/>
      <c r="AL295" s="723"/>
    </row>
    <row r="296" spans="1:41" ht="15" customHeight="1">
      <c r="B296" s="704"/>
      <c r="C296" s="704"/>
      <c r="D296" s="704"/>
      <c r="E296" s="704"/>
      <c r="F296" s="704"/>
      <c r="G296" s="704"/>
      <c r="H296" s="704"/>
      <c r="I296" s="704"/>
      <c r="J296" s="704"/>
      <c r="K296" s="704"/>
      <c r="L296" s="704"/>
      <c r="M296" s="704"/>
      <c r="N296" s="704"/>
      <c r="O296" s="693"/>
      <c r="P296" s="704"/>
      <c r="Q296" s="691"/>
      <c r="R296" s="724"/>
      <c r="S296" s="691"/>
      <c r="T296" s="724"/>
      <c r="U296" s="724"/>
      <c r="V296" s="724"/>
      <c r="W296" s="724"/>
      <c r="X296" s="724"/>
      <c r="Y296" s="724"/>
      <c r="Z296" s="724"/>
      <c r="AA296" s="724"/>
      <c r="AB296" s="724"/>
      <c r="AC296" s="691"/>
      <c r="AD296" s="691"/>
      <c r="AE296" s="683"/>
      <c r="AF296" s="684"/>
      <c r="AG296" s="684"/>
    </row>
    <row r="297" spans="1:41" ht="33.5">
      <c r="A297" s="503"/>
      <c r="B297" s="732" t="s">
        <v>818</v>
      </c>
      <c r="C297" s="732"/>
      <c r="D297" s="732" t="s">
        <v>819</v>
      </c>
      <c r="E297" s="732"/>
      <c r="F297" s="732" t="s">
        <v>820</v>
      </c>
      <c r="G297" s="732"/>
      <c r="H297" s="732" t="s">
        <v>821</v>
      </c>
      <c r="I297" s="732"/>
      <c r="J297" s="732" t="s">
        <v>822</v>
      </c>
      <c r="K297" s="732"/>
      <c r="L297" s="732" t="s">
        <v>823</v>
      </c>
      <c r="M297" s="732"/>
      <c r="N297" s="732" t="s">
        <v>824</v>
      </c>
      <c r="O297" s="732"/>
      <c r="P297" s="732" t="s">
        <v>827</v>
      </c>
      <c r="Q297" s="732"/>
      <c r="R297" s="732" t="s">
        <v>1363</v>
      </c>
      <c r="S297" s="732"/>
      <c r="T297" s="732" t="s">
        <v>1364</v>
      </c>
      <c r="U297" s="732"/>
      <c r="V297" s="732" t="s">
        <v>1365</v>
      </c>
      <c r="W297" s="732"/>
      <c r="X297" s="732" t="s">
        <v>1366</v>
      </c>
      <c r="Y297" s="732"/>
      <c r="Z297" s="732" t="s">
        <v>1367</v>
      </c>
      <c r="AA297" s="708"/>
      <c r="AB297" s="732" t="s">
        <v>830</v>
      </c>
      <c r="AC297" s="732"/>
      <c r="AD297" s="732" t="s">
        <v>831</v>
      </c>
      <c r="AE297" s="708"/>
      <c r="AF297" s="708"/>
      <c r="AG297" s="708"/>
      <c r="AH297" s="708"/>
      <c r="AI297" s="708"/>
      <c r="AJ297" s="708"/>
      <c r="AK297" s="708"/>
      <c r="AL297" s="708"/>
    </row>
    <row r="298" spans="1:41" ht="33.5">
      <c r="B298" s="700"/>
      <c r="C298" s="690"/>
      <c r="D298" s="700"/>
      <c r="E298" s="690"/>
      <c r="F298" s="700"/>
      <c r="G298" s="690"/>
      <c r="H298" s="700"/>
      <c r="I298" s="690"/>
      <c r="J298" s="700"/>
      <c r="K298" s="690"/>
      <c r="L298" s="700"/>
      <c r="M298" s="690"/>
      <c r="N298" s="700"/>
      <c r="O298" s="690"/>
      <c r="P298" s="700"/>
      <c r="Q298" s="708"/>
      <c r="R298" s="700"/>
      <c r="S298" s="690"/>
      <c r="T298" s="700"/>
      <c r="U298" s="690"/>
      <c r="V298" s="700"/>
      <c r="W298" s="690"/>
      <c r="X298" s="700"/>
      <c r="Y298" s="690"/>
      <c r="Z298" s="700"/>
      <c r="AA298" s="708"/>
      <c r="AB298" s="700"/>
      <c r="AC298" s="690"/>
      <c r="AD298" s="700"/>
      <c r="AE298" s="708"/>
      <c r="AF298" s="711"/>
      <c r="AG298" s="711"/>
      <c r="AH298" s="708"/>
      <c r="AI298" s="708"/>
      <c r="AJ298" s="708"/>
      <c r="AK298" s="708"/>
      <c r="AL298" s="708"/>
    </row>
    <row r="299" spans="1:41" ht="16.5" customHeight="1" thickBot="1">
      <c r="B299" s="702"/>
      <c r="C299" s="690"/>
      <c r="D299" s="702"/>
      <c r="E299" s="690"/>
      <c r="F299" s="702"/>
      <c r="G299" s="690"/>
      <c r="H299" s="702"/>
      <c r="I299" s="690"/>
      <c r="J299" s="702"/>
      <c r="K299" s="690"/>
      <c r="L299" s="702"/>
      <c r="M299" s="690"/>
      <c r="N299" s="702"/>
      <c r="O299" s="690"/>
      <c r="P299" s="702"/>
      <c r="Q299" s="708"/>
      <c r="R299" s="702"/>
      <c r="S299" s="690"/>
      <c r="T299" s="702"/>
      <c r="U299" s="690"/>
      <c r="V299" s="702"/>
      <c r="W299" s="690"/>
      <c r="X299" s="702"/>
      <c r="Y299" s="690"/>
      <c r="Z299" s="702"/>
      <c r="AA299" s="708"/>
      <c r="AB299" s="702"/>
      <c r="AC299" s="690"/>
      <c r="AD299" s="702"/>
      <c r="AE299" s="708"/>
      <c r="AF299" s="711"/>
      <c r="AG299" s="711"/>
      <c r="AH299" s="708"/>
      <c r="AI299" s="708"/>
      <c r="AJ299" s="708"/>
      <c r="AK299" s="708"/>
      <c r="AL299" s="708"/>
    </row>
    <row r="300" spans="1:41" ht="100" customHeight="1" thickBot="1">
      <c r="B300" s="721"/>
      <c r="C300" s="695">
        <v>359.14</v>
      </c>
      <c r="D300" s="721"/>
      <c r="E300" s="695">
        <v>384.88</v>
      </c>
      <c r="F300" s="721"/>
      <c r="G300" s="695">
        <v>381.91</v>
      </c>
      <c r="H300" s="721"/>
      <c r="I300" s="695">
        <v>397.15</v>
      </c>
      <c r="J300" s="721"/>
      <c r="K300" s="695">
        <v>387.13</v>
      </c>
      <c r="L300" s="721"/>
      <c r="M300" s="695">
        <v>392.12</v>
      </c>
      <c r="N300" s="721"/>
      <c r="O300" s="695">
        <v>364.62</v>
      </c>
      <c r="P300" s="721"/>
      <c r="Q300" s="732">
        <v>188.37</v>
      </c>
      <c r="R300" s="751"/>
      <c r="S300" s="695">
        <v>395.54</v>
      </c>
      <c r="T300" s="721"/>
      <c r="U300" s="695">
        <v>425</v>
      </c>
      <c r="V300" s="721"/>
      <c r="W300" s="695">
        <v>407</v>
      </c>
      <c r="X300" s="721"/>
      <c r="Y300" s="695">
        <v>433</v>
      </c>
      <c r="Z300" s="679" t="s">
        <v>390</v>
      </c>
      <c r="AA300" s="695">
        <v>489.23</v>
      </c>
      <c r="AB300" s="679" t="s">
        <v>71</v>
      </c>
      <c r="AC300" s="695">
        <v>290</v>
      </c>
      <c r="AD300" s="679"/>
      <c r="AE300" s="775">
        <v>419.40300000000002</v>
      </c>
      <c r="AF300" s="711"/>
      <c r="AG300" s="711"/>
      <c r="AH300" s="708"/>
      <c r="AI300" s="708"/>
      <c r="AJ300" s="708"/>
      <c r="AK300" s="708"/>
      <c r="AL300" s="708"/>
      <c r="AM300" s="871">
        <f>COUNTIF(B300:AB300,"U/P")</f>
        <v>1</v>
      </c>
      <c r="AN300" s="871">
        <f>COUNTIF(C300:AC300,"ROW")</f>
        <v>0</v>
      </c>
      <c r="AO300" s="871">
        <f>COUNTIF(B300:AD300,"C")</f>
        <v>1</v>
      </c>
    </row>
    <row r="301" spans="1:41" ht="16.5" customHeight="1" thickBot="1">
      <c r="B301" s="698"/>
      <c r="C301" s="708"/>
      <c r="D301" s="698"/>
      <c r="E301" s="708"/>
      <c r="F301" s="698"/>
      <c r="G301" s="708"/>
      <c r="H301" s="698"/>
      <c r="I301" s="708"/>
      <c r="J301" s="698"/>
      <c r="K301" s="708"/>
      <c r="L301" s="698"/>
      <c r="M301" s="708"/>
      <c r="N301" s="698"/>
      <c r="O301" s="708"/>
      <c r="P301" s="698"/>
      <c r="Q301" s="708"/>
      <c r="R301" s="698"/>
      <c r="S301" s="708"/>
      <c r="T301" s="698"/>
      <c r="U301" s="708"/>
      <c r="V301" s="698"/>
      <c r="W301" s="708"/>
      <c r="X301" s="698"/>
      <c r="Y301" s="708"/>
      <c r="Z301" s="698"/>
      <c r="AA301" s="708"/>
      <c r="AB301" s="698"/>
      <c r="AC301" s="708"/>
      <c r="AD301" s="776"/>
      <c r="AE301" s="708"/>
      <c r="AF301" s="711"/>
      <c r="AG301" s="711"/>
      <c r="AH301" s="708"/>
      <c r="AI301" s="708"/>
      <c r="AJ301" s="708"/>
      <c r="AK301" s="708"/>
      <c r="AL301" s="708"/>
    </row>
    <row r="302" spans="1:41" ht="33.5">
      <c r="B302" s="686" t="s">
        <v>182</v>
      </c>
      <c r="C302" s="686"/>
      <c r="D302" s="686" t="s">
        <v>182</v>
      </c>
      <c r="E302" s="686"/>
      <c r="F302" s="686" t="s">
        <v>182</v>
      </c>
      <c r="G302" s="686"/>
      <c r="H302" s="686" t="s">
        <v>182</v>
      </c>
      <c r="I302" s="686"/>
      <c r="J302" s="686" t="s">
        <v>182</v>
      </c>
      <c r="K302" s="686"/>
      <c r="L302" s="686" t="s">
        <v>182</v>
      </c>
      <c r="M302" s="686"/>
      <c r="N302" s="686" t="s">
        <v>182</v>
      </c>
      <c r="O302" s="690"/>
      <c r="P302" s="686" t="s">
        <v>125</v>
      </c>
      <c r="Q302" s="708"/>
      <c r="R302" s="777" t="s">
        <v>125</v>
      </c>
      <c r="S302" s="708"/>
      <c r="T302" s="687" t="s">
        <v>188</v>
      </c>
      <c r="U302" s="708"/>
      <c r="V302" s="708" t="s">
        <v>185</v>
      </c>
      <c r="W302" s="708"/>
      <c r="X302" s="778" t="s">
        <v>182</v>
      </c>
      <c r="Y302" s="708"/>
      <c r="Z302" s="687" t="s">
        <v>132</v>
      </c>
      <c r="AA302" s="708"/>
      <c r="AB302" s="687" t="s">
        <v>147</v>
      </c>
      <c r="AC302" s="708"/>
      <c r="AD302" s="687" t="s">
        <v>147</v>
      </c>
      <c r="AE302" s="708"/>
      <c r="AF302" s="711"/>
      <c r="AG302" s="711"/>
      <c r="AH302" s="708"/>
      <c r="AI302" s="708"/>
      <c r="AJ302" s="708"/>
      <c r="AK302" s="708"/>
      <c r="AL302" s="708"/>
    </row>
    <row r="303" spans="1:41" ht="4.5" customHeight="1">
      <c r="B303" s="691"/>
      <c r="C303" s="691"/>
      <c r="D303" s="691"/>
      <c r="E303" s="691"/>
      <c r="F303" s="691"/>
      <c r="G303" s="691"/>
      <c r="H303" s="691"/>
      <c r="I303" s="691"/>
      <c r="J303" s="691"/>
      <c r="K303" s="691"/>
      <c r="L303" s="691"/>
      <c r="M303" s="691"/>
      <c r="N303" s="691"/>
      <c r="O303" s="691"/>
      <c r="P303" s="691"/>
      <c r="Q303" s="691"/>
      <c r="R303" s="691"/>
      <c r="S303" s="691"/>
      <c r="T303" s="691"/>
      <c r="U303" s="691"/>
      <c r="V303" s="691"/>
      <c r="W303" s="691"/>
      <c r="X303" s="691"/>
      <c r="Y303" s="691"/>
      <c r="Z303" s="691"/>
      <c r="AA303" s="691"/>
      <c r="AB303" s="691"/>
      <c r="AC303" s="691"/>
      <c r="AD303" s="691"/>
      <c r="AE303" s="769"/>
      <c r="AF303" s="674"/>
      <c r="AG303" s="674"/>
    </row>
    <row r="304" spans="1:41" ht="30" customHeight="1">
      <c r="A304" s="723"/>
      <c r="B304" s="723"/>
      <c r="C304" s="723"/>
      <c r="D304" s="750"/>
      <c r="E304" s="723"/>
      <c r="F304" s="723"/>
      <c r="G304" s="723"/>
      <c r="H304" s="723"/>
      <c r="I304" s="723"/>
      <c r="J304" s="1612"/>
      <c r="K304" s="1612"/>
      <c r="L304" s="1612"/>
      <c r="M304" s="1612"/>
      <c r="N304" s="1612"/>
      <c r="O304" s="1612"/>
      <c r="P304" s="1612"/>
      <c r="Q304" s="1612"/>
      <c r="R304" s="1612"/>
      <c r="S304" s="1612"/>
      <c r="T304" s="1612"/>
      <c r="U304" s="1612"/>
      <c r="V304" s="1612"/>
      <c r="W304" s="1612"/>
      <c r="X304" s="1612"/>
      <c r="Y304" s="1612"/>
      <c r="Z304" s="1580" t="s">
        <v>1541</v>
      </c>
      <c r="AA304" s="1580"/>
      <c r="AB304" s="1580"/>
      <c r="AC304" s="1580"/>
      <c r="AD304" s="1580"/>
      <c r="AE304" s="1580"/>
      <c r="AF304" s="1600"/>
      <c r="AG304" s="828"/>
      <c r="AH304" s="870"/>
      <c r="AI304" s="881"/>
      <c r="AJ304" s="881"/>
      <c r="AK304" s="881"/>
      <c r="AL304" s="881"/>
    </row>
    <row r="305" spans="1:41" ht="33.5">
      <c r="A305" s="503"/>
      <c r="B305" s="732" t="s">
        <v>832</v>
      </c>
      <c r="C305" s="732"/>
      <c r="D305" s="732" t="s">
        <v>833</v>
      </c>
      <c r="E305" s="732"/>
      <c r="F305" s="732" t="s">
        <v>1288</v>
      </c>
      <c r="G305" s="732"/>
      <c r="H305" s="732" t="s">
        <v>835</v>
      </c>
      <c r="I305" s="732"/>
      <c r="J305" s="732" t="s">
        <v>836</v>
      </c>
      <c r="K305" s="732"/>
      <c r="L305" s="732" t="s">
        <v>837</v>
      </c>
      <c r="M305" s="732"/>
      <c r="N305" s="732" t="s">
        <v>838</v>
      </c>
      <c r="O305" s="732"/>
      <c r="P305" s="1624" t="s">
        <v>1515</v>
      </c>
      <c r="Q305" s="1624"/>
      <c r="R305" s="708"/>
      <c r="S305" s="691"/>
      <c r="T305" s="1034">
        <v>1</v>
      </c>
      <c r="U305" s="1625" t="s">
        <v>1535</v>
      </c>
      <c r="V305" s="1625"/>
      <c r="W305" s="1625"/>
      <c r="X305" s="1625"/>
      <c r="Y305" s="1625"/>
      <c r="Z305" s="1618"/>
      <c r="AA305" s="1618"/>
      <c r="AB305" s="1621"/>
      <c r="AC305" s="1621"/>
      <c r="AD305" s="1626"/>
      <c r="AE305" s="1627"/>
      <c r="AF305" s="1627"/>
      <c r="AG305" s="1627"/>
      <c r="AH305" s="1627"/>
      <c r="AI305" s="888"/>
      <c r="AJ305" s="888"/>
      <c r="AK305" s="888"/>
      <c r="AL305" s="888"/>
    </row>
    <row r="306" spans="1:41" ht="33.5" customHeight="1">
      <c r="B306" s="700"/>
      <c r="C306" s="690"/>
      <c r="D306" s="700"/>
      <c r="E306" s="690"/>
      <c r="F306" s="700"/>
      <c r="G306" s="690"/>
      <c r="H306" s="700"/>
      <c r="I306" s="690"/>
      <c r="J306" s="700"/>
      <c r="K306" s="690"/>
      <c r="L306" s="700"/>
      <c r="M306" s="690"/>
      <c r="N306" s="700"/>
      <c r="O306" s="690"/>
      <c r="P306" s="708"/>
      <c r="Q306" s="708"/>
      <c r="R306" s="700"/>
      <c r="S306" s="693"/>
      <c r="T306" s="780">
        <v>2</v>
      </c>
      <c r="U306" s="1618" t="s">
        <v>1536</v>
      </c>
      <c r="V306" s="1618"/>
      <c r="W306" s="1618"/>
      <c r="X306" s="1618"/>
      <c r="Y306" s="1618"/>
      <c r="Z306" s="1618"/>
      <c r="AA306" s="1618"/>
      <c r="AB306" s="1619"/>
      <c r="AC306" s="1619"/>
      <c r="AD306" s="1628">
        <f>AB306+AB307+AB308</f>
        <v>0</v>
      </c>
      <c r="AE306" s="1628"/>
      <c r="AF306" s="1628"/>
      <c r="AG306" s="1628"/>
      <c r="AH306" s="1628"/>
      <c r="AI306" s="880"/>
      <c r="AJ306" s="880"/>
      <c r="AK306" s="880"/>
      <c r="AL306" s="880"/>
    </row>
    <row r="307" spans="1:41" ht="32.5" customHeight="1" thickBot="1">
      <c r="A307" s="467"/>
      <c r="B307" s="702"/>
      <c r="C307" s="690"/>
      <c r="D307" s="702"/>
      <c r="E307" s="690"/>
      <c r="F307" s="702"/>
      <c r="G307" s="690"/>
      <c r="H307" s="702"/>
      <c r="I307" s="690"/>
      <c r="J307" s="702"/>
      <c r="K307" s="690"/>
      <c r="L307" s="702"/>
      <c r="M307" s="690"/>
      <c r="N307" s="702"/>
      <c r="O307" s="690"/>
      <c r="P307" s="702"/>
      <c r="Q307" s="708"/>
      <c r="R307" s="702"/>
      <c r="S307" s="693"/>
      <c r="T307" s="781">
        <v>3</v>
      </c>
      <c r="U307" s="1629" t="s">
        <v>1537</v>
      </c>
      <c r="V307" s="1630"/>
      <c r="W307" s="1630"/>
      <c r="X307" s="1630"/>
      <c r="Y307" s="1630"/>
      <c r="Z307" s="1630"/>
      <c r="AA307" s="1631"/>
      <c r="AB307" s="1619"/>
      <c r="AC307" s="1619"/>
      <c r="AD307" s="1628"/>
      <c r="AE307" s="1628"/>
      <c r="AF307" s="1628"/>
      <c r="AG307" s="1628"/>
      <c r="AH307" s="1628"/>
      <c r="AI307" s="880"/>
      <c r="AJ307" s="880"/>
      <c r="AK307" s="880"/>
      <c r="AL307" s="880"/>
    </row>
    <row r="308" spans="1:41" ht="100" customHeight="1" thickBot="1">
      <c r="A308" s="467"/>
      <c r="B308" s="751"/>
      <c r="C308" s="695">
        <v>242.63</v>
      </c>
      <c r="D308" s="679" t="s">
        <v>390</v>
      </c>
      <c r="E308" s="695">
        <v>342.72699999999998</v>
      </c>
      <c r="F308" s="721"/>
      <c r="G308" s="695">
        <v>389.221</v>
      </c>
      <c r="H308" s="679"/>
      <c r="I308" s="695">
        <v>220.25299999999999</v>
      </c>
      <c r="J308" s="679"/>
      <c r="K308" s="695">
        <v>241.31200000000001</v>
      </c>
      <c r="L308" s="679"/>
      <c r="M308" s="695">
        <v>214.90199999999999</v>
      </c>
      <c r="N308" s="679"/>
      <c r="O308" s="686">
        <v>113.742</v>
      </c>
      <c r="P308" s="782"/>
      <c r="Q308" s="708"/>
      <c r="R308" s="783"/>
      <c r="S308" s="696"/>
      <c r="T308" s="780">
        <v>4</v>
      </c>
      <c r="U308" s="1618" t="s">
        <v>1538</v>
      </c>
      <c r="V308" s="1618"/>
      <c r="W308" s="1618"/>
      <c r="X308" s="1618"/>
      <c r="Y308" s="1618"/>
      <c r="Z308" s="1618"/>
      <c r="AA308" s="1618"/>
      <c r="AB308" s="1632"/>
      <c r="AC308" s="1633"/>
      <c r="AD308" s="1628"/>
      <c r="AE308" s="1628"/>
      <c r="AF308" s="1628"/>
      <c r="AG308" s="1628"/>
      <c r="AH308" s="1628"/>
      <c r="AI308" s="880"/>
      <c r="AJ308" s="880"/>
      <c r="AK308" s="880"/>
      <c r="AL308" s="880"/>
      <c r="AM308" s="871">
        <f>COUNTIF(B308:AB308,"U/P")</f>
        <v>1</v>
      </c>
      <c r="AN308" s="871">
        <f>COUNTIF(C308:AC308,"ROW")</f>
        <v>0</v>
      </c>
      <c r="AO308" s="871">
        <f>COUNTIF(D308:AD308,"C")</f>
        <v>0</v>
      </c>
    </row>
    <row r="309" spans="1:41" ht="26.5" customHeight="1" thickBot="1">
      <c r="A309" s="467"/>
      <c r="B309" s="698"/>
      <c r="C309" s="708"/>
      <c r="D309" s="698"/>
      <c r="E309" s="708"/>
      <c r="F309" s="698"/>
      <c r="G309" s="708"/>
      <c r="H309" s="698"/>
      <c r="I309" s="708"/>
      <c r="J309" s="698"/>
      <c r="K309" s="708"/>
      <c r="L309" s="698"/>
      <c r="M309" s="708"/>
      <c r="N309" s="698"/>
      <c r="O309" s="708"/>
      <c r="P309" s="784"/>
      <c r="Q309" s="708"/>
      <c r="R309" s="700"/>
      <c r="S309" s="691"/>
      <c r="T309" s="712">
        <v>5</v>
      </c>
      <c r="U309" s="1618" t="s">
        <v>1539</v>
      </c>
      <c r="V309" s="1618"/>
      <c r="W309" s="1618"/>
      <c r="X309" s="1618"/>
      <c r="Y309" s="1618"/>
      <c r="Z309" s="1618"/>
      <c r="AA309" s="1618"/>
      <c r="AB309" s="1619"/>
      <c r="AC309" s="1619"/>
      <c r="AD309" s="1620">
        <f>AB309+AB310</f>
        <v>0</v>
      </c>
      <c r="AE309" s="1620"/>
      <c r="AF309" s="1620"/>
      <c r="AG309" s="1620"/>
      <c r="AH309" s="1620"/>
      <c r="AI309" s="879"/>
      <c r="AJ309" s="879"/>
      <c r="AK309" s="879"/>
      <c r="AL309" s="879"/>
      <c r="AM309" s="686">
        <f>SUM(AM19:AM308)</f>
        <v>9</v>
      </c>
      <c r="AN309" s="686">
        <f>SUM(AN20:AN308)</f>
        <v>21</v>
      </c>
      <c r="AO309" s="686">
        <f>SUM(AO20:AO308)</f>
        <v>2</v>
      </c>
    </row>
    <row r="310" spans="1:41" ht="35" customHeight="1">
      <c r="A310" s="467"/>
      <c r="B310" s="687" t="s">
        <v>117</v>
      </c>
      <c r="C310" s="686"/>
      <c r="D310" s="687" t="s">
        <v>117</v>
      </c>
      <c r="E310" s="686"/>
      <c r="F310" s="687" t="s">
        <v>119</v>
      </c>
      <c r="G310" s="686"/>
      <c r="H310" s="687" t="s">
        <v>125</v>
      </c>
      <c r="I310" s="686"/>
      <c r="J310" s="687" t="s">
        <v>125</v>
      </c>
      <c r="K310" s="686"/>
      <c r="L310" s="687" t="s">
        <v>147</v>
      </c>
      <c r="M310" s="686"/>
      <c r="N310" s="687" t="s">
        <v>125</v>
      </c>
      <c r="O310" s="690"/>
      <c r="P310" s="690"/>
      <c r="Q310" s="708"/>
      <c r="R310" s="708"/>
      <c r="S310" s="691"/>
      <c r="T310" s="785">
        <v>6</v>
      </c>
      <c r="U310" s="1618" t="s">
        <v>1540</v>
      </c>
      <c r="V310" s="1618"/>
      <c r="W310" s="1618"/>
      <c r="X310" s="1618"/>
      <c r="Y310" s="1618"/>
      <c r="Z310" s="1618"/>
      <c r="AA310" s="1618"/>
      <c r="AB310" s="1621"/>
      <c r="AC310" s="1621"/>
      <c r="AD310" s="1620"/>
      <c r="AE310" s="1620"/>
      <c r="AF310" s="1620"/>
      <c r="AG310" s="1620"/>
      <c r="AH310" s="1620"/>
      <c r="AI310" s="879"/>
      <c r="AJ310" s="879"/>
      <c r="AK310" s="879"/>
      <c r="AL310" s="879"/>
      <c r="AM310" s="726" t="s">
        <v>390</v>
      </c>
      <c r="AN310" s="726" t="s">
        <v>228</v>
      </c>
      <c r="AO310" s="726" t="s">
        <v>375</v>
      </c>
    </row>
    <row r="311" spans="1:41" ht="39.5" customHeight="1">
      <c r="A311" s="1043"/>
      <c r="B311" s="1043"/>
      <c r="C311" s="1043"/>
      <c r="D311" s="1043" t="s">
        <v>228</v>
      </c>
      <c r="E311" s="1043"/>
      <c r="F311" s="1043"/>
      <c r="G311" s="1043"/>
      <c r="J311" s="870" t="s">
        <v>1541</v>
      </c>
      <c r="K311" s="1027"/>
      <c r="L311" s="1027"/>
      <c r="M311" s="1027"/>
      <c r="N311" s="1027"/>
      <c r="O311" s="1027"/>
      <c r="P311" s="1027"/>
      <c r="Q311" s="1027"/>
      <c r="R311" s="1056"/>
      <c r="S311" s="723"/>
      <c r="T311" s="860">
        <v>7</v>
      </c>
      <c r="U311" s="1622" t="s">
        <v>1542</v>
      </c>
      <c r="V311" s="1622"/>
      <c r="W311" s="1622"/>
      <c r="X311" s="1622"/>
      <c r="Y311" s="1622"/>
      <c r="Z311" s="1622"/>
      <c r="AA311" s="1622"/>
      <c r="AB311" s="1623"/>
      <c r="AC311" s="1623"/>
      <c r="AD311" s="1620"/>
      <c r="AE311" s="1620"/>
      <c r="AF311" s="1620"/>
      <c r="AG311" s="1620"/>
      <c r="AH311" s="1620"/>
      <c r="AI311" s="879"/>
      <c r="AJ311" s="879"/>
      <c r="AK311" s="879"/>
      <c r="AL311" s="879"/>
    </row>
    <row r="312" spans="1:41" ht="14.5">
      <c r="AE312" s="674"/>
      <c r="AF312" s="674"/>
      <c r="AG312" s="674"/>
    </row>
    <row r="313" spans="1:41" ht="14.5">
      <c r="A313" s="467"/>
      <c r="B313" s="472"/>
      <c r="C313" s="473"/>
      <c r="D313" s="472"/>
      <c r="E313" s="473"/>
      <c r="F313" s="472"/>
      <c r="G313" s="473"/>
      <c r="H313" s="472"/>
      <c r="I313" s="473"/>
      <c r="J313" s="472"/>
      <c r="K313" s="473"/>
      <c r="L313" s="472"/>
      <c r="M313" s="473"/>
      <c r="N313" s="472"/>
      <c r="O313" s="473"/>
      <c r="P313" s="472"/>
      <c r="R313" s="472"/>
      <c r="S313" s="473"/>
      <c r="T313" s="472"/>
      <c r="U313" s="473"/>
      <c r="V313" s="472"/>
      <c r="W313" s="473"/>
      <c r="X313" s="472"/>
      <c r="Y313" s="473"/>
      <c r="Z313" s="472"/>
      <c r="AA313" s="473"/>
      <c r="AB313" s="472"/>
      <c r="AE313" s="684"/>
      <c r="AF313" s="684"/>
      <c r="AG313" s="684"/>
    </row>
    <row r="314" spans="1:41" ht="16.5" customHeight="1">
      <c r="A314" s="467"/>
      <c r="B314" s="444"/>
      <c r="C314" s="473"/>
      <c r="D314" s="444"/>
      <c r="E314" s="473"/>
      <c r="F314" s="444"/>
      <c r="G314" s="473"/>
      <c r="H314" s="444"/>
      <c r="I314" s="473"/>
      <c r="J314" s="444"/>
      <c r="K314" s="473"/>
      <c r="L314" s="444"/>
      <c r="M314" s="473"/>
      <c r="N314" s="444"/>
      <c r="O314" s="473"/>
      <c r="P314" s="444"/>
      <c r="R314" s="444"/>
      <c r="S314" s="473"/>
      <c r="T314" s="444"/>
      <c r="U314" s="473"/>
      <c r="V314" s="444"/>
      <c r="W314" s="473"/>
      <c r="X314" s="444"/>
      <c r="Y314" s="473"/>
      <c r="Z314" s="444"/>
      <c r="AA314" s="473"/>
      <c r="AB314" s="444"/>
      <c r="AE314" s="475"/>
      <c r="AF314" s="475"/>
      <c r="AG314" s="475"/>
    </row>
    <row r="315" spans="1:41" ht="42.75" customHeight="1">
      <c r="A315" s="467"/>
      <c r="B315" s="452"/>
      <c r="C315" s="477"/>
      <c r="D315" s="452"/>
      <c r="E315" s="477"/>
      <c r="F315" s="452"/>
      <c r="G315" s="477"/>
      <c r="H315" s="452"/>
      <c r="I315" s="477"/>
      <c r="J315" s="452"/>
      <c r="K315" s="477"/>
      <c r="L315" s="452"/>
      <c r="M315" s="477"/>
      <c r="N315" s="452"/>
      <c r="O315" s="473"/>
      <c r="P315" s="452"/>
      <c r="R315" s="452"/>
      <c r="S315" s="477"/>
      <c r="T315" s="452"/>
      <c r="U315" s="477"/>
      <c r="V315" s="452"/>
      <c r="W315" s="477"/>
      <c r="X315" s="452"/>
      <c r="Y315" s="477"/>
      <c r="Z315" s="452"/>
      <c r="AA315" s="477"/>
      <c r="AB315" s="452"/>
      <c r="AE315" s="475"/>
      <c r="AF315" s="475"/>
      <c r="AG315" s="475"/>
    </row>
    <row r="316" spans="1:41" ht="16.5" customHeight="1">
      <c r="A316" s="467"/>
      <c r="B316" s="472"/>
      <c r="D316" s="472"/>
      <c r="F316" s="472"/>
      <c r="H316" s="472"/>
      <c r="J316" s="472"/>
      <c r="L316" s="472"/>
      <c r="N316" s="472"/>
      <c r="P316" s="472"/>
      <c r="R316" s="472"/>
      <c r="T316" s="472"/>
      <c r="V316" s="472"/>
      <c r="X316" s="472"/>
      <c r="Z316" s="472"/>
      <c r="AB316" s="472"/>
      <c r="AE316" s="475"/>
      <c r="AF316" s="475"/>
      <c r="AG316" s="475"/>
    </row>
    <row r="317" spans="1:41">
      <c r="A317" s="467"/>
      <c r="B317" s="450"/>
      <c r="C317" s="450"/>
      <c r="D317" s="450"/>
      <c r="E317" s="450"/>
      <c r="F317" s="450"/>
      <c r="G317" s="450"/>
      <c r="H317" s="450"/>
      <c r="I317" s="450"/>
      <c r="J317" s="450"/>
      <c r="K317" s="450"/>
      <c r="L317" s="450"/>
      <c r="M317" s="450"/>
      <c r="N317" s="450"/>
      <c r="O317" s="473"/>
      <c r="P317" s="473"/>
      <c r="AE317" s="475"/>
      <c r="AF317" s="475"/>
      <c r="AG317" s="475"/>
    </row>
    <row r="319" spans="1:41">
      <c r="AE319" s="475"/>
      <c r="AF319" s="475"/>
      <c r="AG319" s="475"/>
    </row>
  </sheetData>
  <mergeCells count="254">
    <mergeCell ref="U309:AA309"/>
    <mergeCell ref="AB309:AC309"/>
    <mergeCell ref="AD309:AH311"/>
    <mergeCell ref="U310:AA310"/>
    <mergeCell ref="AB310:AC310"/>
    <mergeCell ref="U311:AA311"/>
    <mergeCell ref="AB311:AC311"/>
    <mergeCell ref="P305:Q305"/>
    <mergeCell ref="U305:AA305"/>
    <mergeCell ref="AB305:AC305"/>
    <mergeCell ref="AD305:AH305"/>
    <mergeCell ref="U306:AA306"/>
    <mergeCell ref="AB306:AC306"/>
    <mergeCell ref="AD306:AH308"/>
    <mergeCell ref="U307:AA307"/>
    <mergeCell ref="AB307:AC307"/>
    <mergeCell ref="U308:AA308"/>
    <mergeCell ref="AB308:AC308"/>
    <mergeCell ref="V249:W249"/>
    <mergeCell ref="J255:N255"/>
    <mergeCell ref="L279:P279"/>
    <mergeCell ref="J304:Y304"/>
    <mergeCell ref="AB241:AC241"/>
    <mergeCell ref="O247:S247"/>
    <mergeCell ref="U247:W247"/>
    <mergeCell ref="X247:AH247"/>
    <mergeCell ref="V241:W241"/>
    <mergeCell ref="X241:Y241"/>
    <mergeCell ref="Z241:AA241"/>
    <mergeCell ref="Z304:AF304"/>
    <mergeCell ref="D249:E249"/>
    <mergeCell ref="F249:G249"/>
    <mergeCell ref="H249:I249"/>
    <mergeCell ref="L249:M249"/>
    <mergeCell ref="N249:O249"/>
    <mergeCell ref="P249:Q249"/>
    <mergeCell ref="P241:Q241"/>
    <mergeCell ref="R241:S241"/>
    <mergeCell ref="T241:U241"/>
    <mergeCell ref="R249:S249"/>
    <mergeCell ref="T249:U249"/>
    <mergeCell ref="Z232:AA232"/>
    <mergeCell ref="AB232:AC232"/>
    <mergeCell ref="V239:AB239"/>
    <mergeCell ref="AC239:AF239"/>
    <mergeCell ref="A241:B241"/>
    <mergeCell ref="D241:E241"/>
    <mergeCell ref="F241:G241"/>
    <mergeCell ref="H241:I241"/>
    <mergeCell ref="K241:L241"/>
    <mergeCell ref="N241:O241"/>
    <mergeCell ref="N232:O232"/>
    <mergeCell ref="P232:Q232"/>
    <mergeCell ref="R232:S232"/>
    <mergeCell ref="T232:U232"/>
    <mergeCell ref="V232:W232"/>
    <mergeCell ref="X232:Y232"/>
    <mergeCell ref="A232:B232"/>
    <mergeCell ref="D232:E232"/>
    <mergeCell ref="F232:G232"/>
    <mergeCell ref="H232:I232"/>
    <mergeCell ref="J232:K232"/>
    <mergeCell ref="L232:M232"/>
    <mergeCell ref="A230:G230"/>
    <mergeCell ref="H230:P230"/>
    <mergeCell ref="Q230:X230"/>
    <mergeCell ref="Y230:AD230"/>
    <mergeCell ref="L223:M223"/>
    <mergeCell ref="N223:O223"/>
    <mergeCell ref="P223:Q223"/>
    <mergeCell ref="R223:S223"/>
    <mergeCell ref="T223:U223"/>
    <mergeCell ref="V223:W223"/>
    <mergeCell ref="AB215:AC215"/>
    <mergeCell ref="R221:S221"/>
    <mergeCell ref="F222:J222"/>
    <mergeCell ref="R222:T222"/>
    <mergeCell ref="Z222:AC222"/>
    <mergeCell ref="A223:B223"/>
    <mergeCell ref="C223:D223"/>
    <mergeCell ref="F223:G223"/>
    <mergeCell ref="H223:I223"/>
    <mergeCell ref="J223:K223"/>
    <mergeCell ref="P215:Q215"/>
    <mergeCell ref="R215:S215"/>
    <mergeCell ref="T215:U215"/>
    <mergeCell ref="V215:W215"/>
    <mergeCell ref="X215:Y215"/>
    <mergeCell ref="Z215:AA215"/>
    <mergeCell ref="Y223:Z223"/>
    <mergeCell ref="AB223:AC223"/>
    <mergeCell ref="P207:Q207"/>
    <mergeCell ref="T207:U207"/>
    <mergeCell ref="V207:W207"/>
    <mergeCell ref="F214:H214"/>
    <mergeCell ref="R214:T214"/>
    <mergeCell ref="D215:E215"/>
    <mergeCell ref="F215:G215"/>
    <mergeCell ref="H215:I215"/>
    <mergeCell ref="L215:M215"/>
    <mergeCell ref="N215:O215"/>
    <mergeCell ref="L199:M199"/>
    <mergeCell ref="N199:O199"/>
    <mergeCell ref="P199:Q199"/>
    <mergeCell ref="X199:Y199"/>
    <mergeCell ref="Z199:AA199"/>
    <mergeCell ref="H205:L205"/>
    <mergeCell ref="AB162:AH162"/>
    <mergeCell ref="A163:T163"/>
    <mergeCell ref="W163:AH163"/>
    <mergeCell ref="A171:C171"/>
    <mergeCell ref="A188:B188"/>
    <mergeCell ref="T197:AB197"/>
    <mergeCell ref="A136:J136"/>
    <mergeCell ref="U136:AF136"/>
    <mergeCell ref="A145:S145"/>
    <mergeCell ref="B154:D154"/>
    <mergeCell ref="P154:T154"/>
    <mergeCell ref="Q156:R156"/>
    <mergeCell ref="S156:T156"/>
    <mergeCell ref="A119:P119"/>
    <mergeCell ref="Q119:AF119"/>
    <mergeCell ref="A127:F127"/>
    <mergeCell ref="G127:O127"/>
    <mergeCell ref="S127:AH127"/>
    <mergeCell ref="F129:G129"/>
    <mergeCell ref="T129:U129"/>
    <mergeCell ref="V129:W129"/>
    <mergeCell ref="A102:AH102"/>
    <mergeCell ref="W110:Y110"/>
    <mergeCell ref="A111:AH111"/>
    <mergeCell ref="L112:M112"/>
    <mergeCell ref="P112:Q112"/>
    <mergeCell ref="Z112:AA112"/>
    <mergeCell ref="T79:U79"/>
    <mergeCell ref="V79:W79"/>
    <mergeCell ref="X79:Y79"/>
    <mergeCell ref="A85:H85"/>
    <mergeCell ref="I85:AF85"/>
    <mergeCell ref="A93:AH93"/>
    <mergeCell ref="A77:W77"/>
    <mergeCell ref="X77:AH77"/>
    <mergeCell ref="D79:E79"/>
    <mergeCell ref="F79:G79"/>
    <mergeCell ref="H79:I79"/>
    <mergeCell ref="J79:K79"/>
    <mergeCell ref="L79:M79"/>
    <mergeCell ref="N79:O79"/>
    <mergeCell ref="P79:Q79"/>
    <mergeCell ref="R79:S79"/>
    <mergeCell ref="A61:AH61"/>
    <mergeCell ref="M68:N68"/>
    <mergeCell ref="X68:Y68"/>
    <mergeCell ref="A69:AH69"/>
    <mergeCell ref="N70:O70"/>
    <mergeCell ref="P70:Q70"/>
    <mergeCell ref="A52:AH52"/>
    <mergeCell ref="N54:O54"/>
    <mergeCell ref="V54:W54"/>
    <mergeCell ref="Z54:AA54"/>
    <mergeCell ref="I60:J60"/>
    <mergeCell ref="L60:M60"/>
    <mergeCell ref="A44:AH44"/>
    <mergeCell ref="L45:M45"/>
    <mergeCell ref="N45:O45"/>
    <mergeCell ref="P45:Q45"/>
    <mergeCell ref="R45:S45"/>
    <mergeCell ref="T45:U45"/>
    <mergeCell ref="V45:W45"/>
    <mergeCell ref="AB16:AD16"/>
    <mergeCell ref="A17:B17"/>
    <mergeCell ref="F17:G17"/>
    <mergeCell ref="A23:AH23"/>
    <mergeCell ref="A30:AH30"/>
    <mergeCell ref="A37:AH37"/>
    <mergeCell ref="S15:T15"/>
    <mergeCell ref="A16:B16"/>
    <mergeCell ref="C16:E16"/>
    <mergeCell ref="F16:G16"/>
    <mergeCell ref="H16:J16"/>
    <mergeCell ref="K16:M16"/>
    <mergeCell ref="N16:P16"/>
    <mergeCell ref="A15:B15"/>
    <mergeCell ref="C15:E15"/>
    <mergeCell ref="F15:G15"/>
    <mergeCell ref="H15:J15"/>
    <mergeCell ref="K15:M15"/>
    <mergeCell ref="N15:P15"/>
    <mergeCell ref="A14:B14"/>
    <mergeCell ref="C14:E14"/>
    <mergeCell ref="F14:G14"/>
    <mergeCell ref="H14:J14"/>
    <mergeCell ref="K14:M14"/>
    <mergeCell ref="N14:P14"/>
    <mergeCell ref="V12:X12"/>
    <mergeCell ref="A13:B13"/>
    <mergeCell ref="C13:E13"/>
    <mergeCell ref="F13:G13"/>
    <mergeCell ref="H13:J13"/>
    <mergeCell ref="K13:M13"/>
    <mergeCell ref="N13:P13"/>
    <mergeCell ref="V13:X13"/>
    <mergeCell ref="A12:B12"/>
    <mergeCell ref="C12:E12"/>
    <mergeCell ref="F12:G12"/>
    <mergeCell ref="H12:J12"/>
    <mergeCell ref="K12:M12"/>
    <mergeCell ref="N12:P12"/>
    <mergeCell ref="A11:B11"/>
    <mergeCell ref="C11:E11"/>
    <mergeCell ref="F11:G11"/>
    <mergeCell ref="H11:J11"/>
    <mergeCell ref="K11:M11"/>
    <mergeCell ref="N11:P11"/>
    <mergeCell ref="A10:B10"/>
    <mergeCell ref="C10:E10"/>
    <mergeCell ref="F10:G10"/>
    <mergeCell ref="H10:J10"/>
    <mergeCell ref="K10:M10"/>
    <mergeCell ref="N10:P10"/>
    <mergeCell ref="A9:B9"/>
    <mergeCell ref="C9:E9"/>
    <mergeCell ref="F9:G9"/>
    <mergeCell ref="H9:J9"/>
    <mergeCell ref="K9:M9"/>
    <mergeCell ref="N9:P9"/>
    <mergeCell ref="A8:B8"/>
    <mergeCell ref="C8:E8"/>
    <mergeCell ref="F8:G8"/>
    <mergeCell ref="H8:J8"/>
    <mergeCell ref="K8:M8"/>
    <mergeCell ref="N8:P8"/>
    <mergeCell ref="AA5:AC5"/>
    <mergeCell ref="A7:B7"/>
    <mergeCell ref="C7:E7"/>
    <mergeCell ref="F7:G7"/>
    <mergeCell ref="H7:J7"/>
    <mergeCell ref="K7:M7"/>
    <mergeCell ref="N7:P7"/>
    <mergeCell ref="A5:B6"/>
    <mergeCell ref="C5:E6"/>
    <mergeCell ref="F5:G6"/>
    <mergeCell ref="H5:J6"/>
    <mergeCell ref="K5:M6"/>
    <mergeCell ref="N5:P6"/>
    <mergeCell ref="A1:AD1"/>
    <mergeCell ref="A2:Y2"/>
    <mergeCell ref="Z2:AA2"/>
    <mergeCell ref="AB2:AD2"/>
    <mergeCell ref="A3:P4"/>
    <mergeCell ref="S3:U3"/>
    <mergeCell ref="W3:Z3"/>
    <mergeCell ref="S4:U4"/>
    <mergeCell ref="W4:Z4"/>
  </mergeCells>
  <conditionalFormatting sqref="A118">
    <cfRule type="cellIs" dxfId="3166" priority="459" operator="equal">
      <formula>0</formula>
    </cfRule>
  </conditionalFormatting>
  <conditionalFormatting sqref="A171">
    <cfRule type="cellIs" dxfId="3165" priority="409" operator="equal">
      <formula>0</formula>
    </cfRule>
  </conditionalFormatting>
  <conditionalFormatting sqref="A188 D188 F188 H188 J188 L188 N188 P188 R188 T188 V188 X188 Z188 AB188">
    <cfRule type="cellIs" dxfId="3164" priority="1453" operator="equal">
      <formula>0</formula>
    </cfRule>
  </conditionalFormatting>
  <conditionalFormatting sqref="B20">
    <cfRule type="cellIs" dxfId="3163" priority="1517" operator="equal">
      <formula>"U/P"</formula>
    </cfRule>
    <cfRule type="cellIs" dxfId="3162" priority="1518" operator="equal">
      <formula>"F"</formula>
    </cfRule>
    <cfRule type="cellIs" dxfId="3161" priority="1519" operator="equal">
      <formula>"F"</formula>
    </cfRule>
  </conditionalFormatting>
  <conditionalFormatting sqref="B27">
    <cfRule type="cellIs" dxfId="3160" priority="1414" operator="equal">
      <formula>"F"</formula>
    </cfRule>
    <cfRule type="cellIs" dxfId="3159" priority="1413" operator="equal">
      <formula>"U/P"</formula>
    </cfRule>
    <cfRule type="cellIs" dxfId="3158" priority="1415" operator="equal">
      <formula>"F"</formula>
    </cfRule>
  </conditionalFormatting>
  <conditionalFormatting sqref="B34">
    <cfRule type="cellIs" dxfId="3157" priority="1373" operator="equal">
      <formula>"F"</formula>
    </cfRule>
    <cfRule type="cellIs" dxfId="3156" priority="1372" operator="equal">
      <formula>"F"</formula>
    </cfRule>
    <cfRule type="cellIs" dxfId="3155" priority="1371" operator="equal">
      <formula>"U/P"</formula>
    </cfRule>
  </conditionalFormatting>
  <conditionalFormatting sqref="B41">
    <cfRule type="cellIs" dxfId="3154" priority="1333" operator="equal">
      <formula>"F"</formula>
    </cfRule>
    <cfRule type="cellIs" dxfId="3153" priority="1334" operator="equal">
      <formula>"F"</formula>
    </cfRule>
    <cfRule type="cellIs" dxfId="3152" priority="1332" operator="equal">
      <formula>"U/P"</formula>
    </cfRule>
  </conditionalFormatting>
  <conditionalFormatting sqref="B48">
    <cfRule type="cellIs" dxfId="3151" priority="1292" operator="equal">
      <formula>"F"</formula>
    </cfRule>
    <cfRule type="cellIs" dxfId="3150" priority="1291" operator="equal">
      <formula>"F"</formula>
    </cfRule>
    <cfRule type="cellIs" dxfId="3149" priority="1290" operator="equal">
      <formula>"U/P"</formula>
    </cfRule>
  </conditionalFormatting>
  <conditionalFormatting sqref="B51 D51 F51 H51 J51 L51 N51 P51 R51 T51 V51 X51 Z51 AB51">
    <cfRule type="cellIs" dxfId="3148" priority="1513" operator="equal">
      <formula>0</formula>
    </cfRule>
  </conditionalFormatting>
  <conditionalFormatting sqref="B57">
    <cfRule type="cellIs" dxfId="3147" priority="1250" operator="equal">
      <formula>"F"</formula>
    </cfRule>
    <cfRule type="cellIs" dxfId="3146" priority="1249" operator="equal">
      <formula>"F"</formula>
    </cfRule>
    <cfRule type="cellIs" dxfId="3145" priority="1248" operator="equal">
      <formula>"U/P"</formula>
    </cfRule>
  </conditionalFormatting>
  <conditionalFormatting sqref="B60 D60 F60 N60 P60 R60 T60 V60 X60 Z60 AB60">
    <cfRule type="cellIs" dxfId="3144" priority="1512" operator="equal">
      <formula>0</formula>
    </cfRule>
  </conditionalFormatting>
  <conditionalFormatting sqref="B65">
    <cfRule type="cellIs" dxfId="3143" priority="1208" operator="equal">
      <formula>"F"</formula>
    </cfRule>
    <cfRule type="cellIs" dxfId="3142" priority="1207" operator="equal">
      <formula>"F"</formula>
    </cfRule>
    <cfRule type="cellIs" dxfId="3141" priority="1206" operator="equal">
      <formula>"U/P"</formula>
    </cfRule>
  </conditionalFormatting>
  <conditionalFormatting sqref="B68 D68 F68 H68 J68 L68:M68 P68 R68 T68 V68 X68 Z68 AB68">
    <cfRule type="cellIs" dxfId="3140" priority="1511" operator="equal">
      <formula>0</formula>
    </cfRule>
  </conditionalFormatting>
  <conditionalFormatting sqref="B73">
    <cfRule type="cellIs" dxfId="3139" priority="1164" operator="equal">
      <formula>"U/P"</formula>
    </cfRule>
    <cfRule type="cellIs" dxfId="3138" priority="1165" operator="equal">
      <formula>"F"</formula>
    </cfRule>
    <cfRule type="cellIs" dxfId="3137" priority="1166" operator="equal">
      <formula>"F"</formula>
    </cfRule>
  </conditionalFormatting>
  <conditionalFormatting sqref="B82">
    <cfRule type="cellIs" dxfId="3136" priority="1122" operator="equal">
      <formula>"U/P"</formula>
    </cfRule>
    <cfRule type="cellIs" dxfId="3135" priority="1123" operator="equal">
      <formula>"F"</formula>
    </cfRule>
    <cfRule type="cellIs" dxfId="3134" priority="1124" operator="equal">
      <formula>"F"</formula>
    </cfRule>
  </conditionalFormatting>
  <conditionalFormatting sqref="B86 D86 F86 H86 J86 L86 N86 P86 R86 T86 V86 X86 Z86 AB86">
    <cfRule type="cellIs" dxfId="3133" priority="1501" operator="equal">
      <formula>0</formula>
    </cfRule>
  </conditionalFormatting>
  <conditionalFormatting sqref="B90">
    <cfRule type="cellIs" dxfId="3132" priority="1087" operator="equal">
      <formula>"F"</formula>
    </cfRule>
    <cfRule type="cellIs" dxfId="3131" priority="1088" operator="equal">
      <formula>"F"</formula>
    </cfRule>
    <cfRule type="cellIs" dxfId="3130" priority="1086" operator="equal">
      <formula>"U/P"</formula>
    </cfRule>
  </conditionalFormatting>
  <conditionalFormatting sqref="B94 D94 F94 H94 J94 L94 N94 P94 R94 T94 V94 X94 Z94 AB94">
    <cfRule type="cellIs" dxfId="3129" priority="1500" operator="equal">
      <formula>0</formula>
    </cfRule>
  </conditionalFormatting>
  <conditionalFormatting sqref="B99">
    <cfRule type="cellIs" dxfId="3128" priority="1044" operator="equal">
      <formula>"U/P"</formula>
    </cfRule>
    <cfRule type="cellIs" dxfId="3127" priority="1045" operator="equal">
      <formula>"F"</formula>
    </cfRule>
    <cfRule type="cellIs" dxfId="3126" priority="1046" operator="equal">
      <formula>"F"</formula>
    </cfRule>
  </conditionalFormatting>
  <conditionalFormatting sqref="B103 D103 F103 H103 J103 L103 N103 P103 R103 T103 V103 X103 Z103 AB103">
    <cfRule type="cellIs" dxfId="3125" priority="1499" operator="equal">
      <formula>0</formula>
    </cfRule>
  </conditionalFormatting>
  <conditionalFormatting sqref="B107">
    <cfRule type="cellIs" dxfId="3124" priority="1007" operator="equal">
      <formula>"F"</formula>
    </cfRule>
    <cfRule type="cellIs" dxfId="3123" priority="1006" operator="equal">
      <formula>"F"</formula>
    </cfRule>
    <cfRule type="cellIs" dxfId="3122" priority="1005" operator="equal">
      <formula>"U/P"</formula>
    </cfRule>
  </conditionalFormatting>
  <conditionalFormatting sqref="B110 D110 F110 H110 J110 L110 N110 P110 T110 AB110">
    <cfRule type="cellIs" dxfId="3121" priority="1498" operator="equal">
      <formula>0</formula>
    </cfRule>
  </conditionalFormatting>
  <conditionalFormatting sqref="B115">
    <cfRule type="cellIs" dxfId="3120" priority="979" operator="equal">
      <formula>"F"</formula>
    </cfRule>
    <cfRule type="cellIs" dxfId="3119" priority="980" operator="equal">
      <formula>"F"</formula>
    </cfRule>
    <cfRule type="cellIs" dxfId="3118" priority="978" operator="equal">
      <formula>"U/P"</formula>
    </cfRule>
  </conditionalFormatting>
  <conditionalFormatting sqref="B123">
    <cfRule type="cellIs" dxfId="3117" priority="936" operator="equal">
      <formula>"U/P"</formula>
    </cfRule>
    <cfRule type="cellIs" dxfId="3116" priority="937" operator="equal">
      <formula>"F"</formula>
    </cfRule>
    <cfRule type="cellIs" dxfId="3115" priority="938" operator="equal">
      <formula>"F"</formula>
    </cfRule>
  </conditionalFormatting>
  <conditionalFormatting sqref="B132">
    <cfRule type="cellIs" dxfId="3114" priority="909" operator="equal">
      <formula>"U/P"</formula>
    </cfRule>
    <cfRule type="cellIs" dxfId="3113" priority="911" operator="equal">
      <formula>"F"</formula>
    </cfRule>
    <cfRule type="cellIs" dxfId="3112" priority="910" operator="equal">
      <formula>"F"</formula>
    </cfRule>
  </conditionalFormatting>
  <conditionalFormatting sqref="B135 D135 F135 H135 J135 L135 N135 P135 R135 T135 V135 X135 Z135 AB135">
    <cfRule type="cellIs" dxfId="3111" priority="1476" operator="equal">
      <formula>0</formula>
    </cfRule>
  </conditionalFormatting>
  <conditionalFormatting sqref="B141">
    <cfRule type="cellIs" dxfId="3110" priority="1486" operator="equal">
      <formula>"U/P"</formula>
    </cfRule>
    <cfRule type="cellIs" dxfId="3109" priority="1487" operator="equal">
      <formula>"F"</formula>
    </cfRule>
    <cfRule type="cellIs" dxfId="3108" priority="1488" operator="equal">
      <formula>"F"</formula>
    </cfRule>
  </conditionalFormatting>
  <conditionalFormatting sqref="B150">
    <cfRule type="cellIs" dxfId="3107" priority="886" operator="equal">
      <formula>"F"</formula>
    </cfRule>
    <cfRule type="cellIs" dxfId="3106" priority="887" operator="equal">
      <formula>"F"</formula>
    </cfRule>
    <cfRule type="cellIs" dxfId="3105" priority="885" operator="equal">
      <formula>"U/P"</formula>
    </cfRule>
  </conditionalFormatting>
  <conditionalFormatting sqref="B153 D153 F153 H153 J153 L153 N153 P153 R153 T153 V153 X153 Z153 AB153">
    <cfRule type="cellIs" dxfId="3104" priority="1475" operator="equal">
      <formula>0</formula>
    </cfRule>
  </conditionalFormatting>
  <conditionalFormatting sqref="B159">
    <cfRule type="cellIs" dxfId="3103" priority="852" operator="equal">
      <formula>"U/P"</formula>
    </cfRule>
    <cfRule type="cellIs" dxfId="3102" priority="854" operator="equal">
      <formula>"F"</formula>
    </cfRule>
    <cfRule type="cellIs" dxfId="3101" priority="853" operator="equal">
      <formula>"F"</formula>
    </cfRule>
  </conditionalFormatting>
  <conditionalFormatting sqref="B162 D162 F162 H162 J162 L162 N162 P162 R162 T162 V162 X162 Z162 AB162 B164 D164 F164 H164 J164 L164 N164 P164 R164 T164 V164 X164 Z164 AB164">
    <cfRule type="cellIs" dxfId="3100" priority="1474" operator="equal">
      <formula>0</formula>
    </cfRule>
  </conditionalFormatting>
  <conditionalFormatting sqref="B168">
    <cfRule type="cellIs" dxfId="3099" priority="30" operator="equal">
      <formula>"F"</formula>
    </cfRule>
    <cfRule type="cellIs" dxfId="3098" priority="29" operator="equal">
      <formula>"F"</formula>
    </cfRule>
    <cfRule type="cellIs" dxfId="3097" priority="28" operator="equal">
      <formula>"U/P"</formula>
    </cfRule>
  </conditionalFormatting>
  <conditionalFormatting sqref="B176">
    <cfRule type="cellIs" dxfId="3096" priority="789" operator="equal">
      <formula>"U/P"</formula>
    </cfRule>
    <cfRule type="cellIs" dxfId="3095" priority="791" operator="equal">
      <formula>"F"</formula>
    </cfRule>
    <cfRule type="cellIs" dxfId="3094" priority="790" operator="equal">
      <formula>"F"</formula>
    </cfRule>
  </conditionalFormatting>
  <conditionalFormatting sqref="B180 D180 F180 H180 J180 L180 N180 P180 R180 T180 V180 X180 Z180 AB180">
    <cfRule type="cellIs" dxfId="3093" priority="1472" operator="equal">
      <formula>0</formula>
    </cfRule>
  </conditionalFormatting>
  <conditionalFormatting sqref="B185">
    <cfRule type="cellIs" dxfId="3092" priority="276" operator="equal">
      <formula>"F"</formula>
    </cfRule>
    <cfRule type="cellIs" dxfId="3091" priority="275" operator="equal">
      <formula>"F"</formula>
    </cfRule>
    <cfRule type="cellIs" dxfId="3090" priority="274" operator="equal">
      <formula>"U/P"</formula>
    </cfRule>
  </conditionalFormatting>
  <conditionalFormatting sqref="B194">
    <cfRule type="cellIs" dxfId="3089" priority="159" operator="equal">
      <formula>"F"</formula>
    </cfRule>
    <cfRule type="cellIs" dxfId="3088" priority="157" operator="equal">
      <formula>"U/P"</formula>
    </cfRule>
    <cfRule type="cellIs" dxfId="3087" priority="158" operator="equal">
      <formula>"F"</formula>
    </cfRule>
  </conditionalFormatting>
  <conditionalFormatting sqref="B206 D206 F206 H206 J206 L206 N206 P206 R206 T206 V206 X206 Z206 AB206">
    <cfRule type="cellIs" dxfId="3086" priority="1452" operator="equal">
      <formula>0</formula>
    </cfRule>
  </conditionalFormatting>
  <conditionalFormatting sqref="B210">
    <cfRule type="cellIs" dxfId="3085" priority="1458" operator="equal">
      <formula>"F"</formula>
    </cfRule>
    <cfRule type="cellIs" dxfId="3084" priority="1457" operator="equal">
      <formula>"U/P"</formula>
    </cfRule>
    <cfRule type="cellIs" dxfId="3083" priority="1459" operator="equal">
      <formula>"F"</formula>
    </cfRule>
  </conditionalFormatting>
  <conditionalFormatting sqref="B218">
    <cfRule type="cellIs" dxfId="3082" priority="151" operator="equal">
      <formula>"U/P"</formula>
    </cfRule>
    <cfRule type="cellIs" dxfId="3081" priority="152" operator="equal">
      <formula>"F"</formula>
    </cfRule>
    <cfRule type="cellIs" dxfId="3080" priority="153" operator="equal">
      <formula>"F"</formula>
    </cfRule>
  </conditionalFormatting>
  <conditionalFormatting sqref="B226">
    <cfRule type="cellIs" dxfId="3079" priority="723" operator="equal">
      <formula>"U/P"</formula>
    </cfRule>
    <cfRule type="cellIs" dxfId="3078" priority="724" operator="equal">
      <formula>"F"</formula>
    </cfRule>
    <cfRule type="cellIs" dxfId="3077" priority="725" operator="equal">
      <formula>"F"</formula>
    </cfRule>
  </conditionalFormatting>
  <conditionalFormatting sqref="B235">
    <cfRule type="cellIs" dxfId="3076" priority="702" operator="equal">
      <formula>"U/P"</formula>
    </cfRule>
    <cfRule type="cellIs" dxfId="3075" priority="703" operator="equal">
      <formula>"F"</formula>
    </cfRule>
    <cfRule type="cellIs" dxfId="3074" priority="704" operator="equal">
      <formula>"F"</formula>
    </cfRule>
  </conditionalFormatting>
  <conditionalFormatting sqref="B244">
    <cfRule type="cellIs" dxfId="3073" priority="465" operator="equal">
      <formula>"U/P"</formula>
    </cfRule>
    <cfRule type="cellIs" dxfId="3072" priority="466" operator="equal">
      <formula>"F"</formula>
    </cfRule>
    <cfRule type="cellIs" dxfId="3071" priority="467" operator="equal">
      <formula>"F"</formula>
    </cfRule>
  </conditionalFormatting>
  <conditionalFormatting sqref="B252">
    <cfRule type="cellIs" dxfId="3070" priority="50" operator="equal">
      <formula>"F"</formula>
    </cfRule>
    <cfRule type="cellIs" dxfId="3069" priority="51" operator="equal">
      <formula>"F"</formula>
    </cfRule>
    <cfRule type="cellIs" dxfId="3068" priority="49" operator="equal">
      <formula>"U/P"</formula>
    </cfRule>
  </conditionalFormatting>
  <conditionalFormatting sqref="B260">
    <cfRule type="cellIs" dxfId="3067" priority="63" operator="equal">
      <formula>"F"</formula>
    </cfRule>
    <cfRule type="cellIs" dxfId="3066" priority="61" operator="equal">
      <formula>"U/P"</formula>
    </cfRule>
    <cfRule type="cellIs" dxfId="3065" priority="62" operator="equal">
      <formula>"F"</formula>
    </cfRule>
  </conditionalFormatting>
  <conditionalFormatting sqref="B268">
    <cfRule type="cellIs" dxfId="3064" priority="337" operator="equal">
      <formula>"U/P"</formula>
    </cfRule>
    <cfRule type="cellIs" dxfId="3063" priority="339" operator="equal">
      <formula>"F"</formula>
    </cfRule>
    <cfRule type="cellIs" dxfId="3062" priority="338" operator="equal">
      <formula>"F"</formula>
    </cfRule>
  </conditionalFormatting>
  <conditionalFormatting sqref="B276">
    <cfRule type="cellIs" dxfId="3061" priority="96" operator="equal">
      <formula>"F"</formula>
    </cfRule>
    <cfRule type="cellIs" dxfId="3060" priority="94" operator="equal">
      <formula>"U/P"</formula>
    </cfRule>
    <cfRule type="cellIs" dxfId="3059" priority="95" operator="equal">
      <formula>"F"</formula>
    </cfRule>
  </conditionalFormatting>
  <conditionalFormatting sqref="B284">
    <cfRule type="cellIs" dxfId="3058" priority="293" operator="equal">
      <formula>"F"</formula>
    </cfRule>
    <cfRule type="cellIs" dxfId="3057" priority="292" operator="equal">
      <formula>"U/P"</formula>
    </cfRule>
    <cfRule type="cellIs" dxfId="3056" priority="294" operator="equal">
      <formula>"F"</formula>
    </cfRule>
  </conditionalFormatting>
  <conditionalFormatting sqref="B292">
    <cfRule type="cellIs" dxfId="3055" priority="382" operator="equal">
      <formula>"U/P"</formula>
    </cfRule>
    <cfRule type="cellIs" dxfId="3054" priority="384" operator="equal">
      <formula>"F"</formula>
    </cfRule>
    <cfRule type="cellIs" dxfId="3053" priority="383" operator="equal">
      <formula>"F"</formula>
    </cfRule>
  </conditionalFormatting>
  <conditionalFormatting sqref="B300">
    <cfRule type="cellIs" dxfId="3052" priority="385" operator="equal">
      <formula>"U/P"</formula>
    </cfRule>
    <cfRule type="cellIs" dxfId="3051" priority="387" operator="equal">
      <formula>"F"</formula>
    </cfRule>
    <cfRule type="cellIs" dxfId="3050" priority="386" operator="equal">
      <formula>"F"</formula>
    </cfRule>
  </conditionalFormatting>
  <conditionalFormatting sqref="B308">
    <cfRule type="cellIs" dxfId="3049" priority="10" operator="equal">
      <formula>"U/P"</formula>
    </cfRule>
    <cfRule type="cellIs" dxfId="3048" priority="11" operator="equal">
      <formula>"F"</formula>
    </cfRule>
    <cfRule type="cellIs" dxfId="3047" priority="12" operator="equal">
      <formula>"F"</formula>
    </cfRule>
  </conditionalFormatting>
  <conditionalFormatting sqref="B315">
    <cfRule type="cellIs" dxfId="3046" priority="604" operator="equal">
      <formula>"F"</formula>
    </cfRule>
    <cfRule type="cellIs" dxfId="3045" priority="603" operator="equal">
      <formula>"U/P"</formula>
    </cfRule>
    <cfRule type="cellIs" dxfId="3044" priority="605" operator="equal">
      <formula>"F"</formula>
    </cfRule>
  </conditionalFormatting>
  <conditionalFormatting sqref="D20">
    <cfRule type="cellIs" dxfId="3043" priority="1516" operator="equal">
      <formula>"F"</formula>
    </cfRule>
    <cfRule type="cellIs" dxfId="3042" priority="1515" operator="equal">
      <formula>"F"</formula>
    </cfRule>
    <cfRule type="cellIs" dxfId="3041" priority="1514" operator="equal">
      <formula>"U/P"</formula>
    </cfRule>
  </conditionalFormatting>
  <conditionalFormatting sqref="D27">
    <cfRule type="cellIs" dxfId="3040" priority="1410" operator="equal">
      <formula>"U/P"</formula>
    </cfRule>
    <cfRule type="cellIs" dxfId="3039" priority="1411" operator="equal">
      <formula>"F"</formula>
    </cfRule>
    <cfRule type="cellIs" dxfId="3038" priority="1412" operator="equal">
      <formula>"F"</formula>
    </cfRule>
  </conditionalFormatting>
  <conditionalFormatting sqref="D41">
    <cfRule type="cellIs" dxfId="3037" priority="1329" operator="equal">
      <formula>"U/P"</formula>
    </cfRule>
    <cfRule type="cellIs" dxfId="3036" priority="1331" operator="equal">
      <formula>"F"</formula>
    </cfRule>
    <cfRule type="cellIs" dxfId="3035" priority="1330" operator="equal">
      <formula>"F"</formula>
    </cfRule>
  </conditionalFormatting>
  <conditionalFormatting sqref="D48">
    <cfRule type="cellIs" dxfId="3034" priority="1287" operator="equal">
      <formula>"U/P"</formula>
    </cfRule>
    <cfRule type="cellIs" dxfId="3033" priority="1289" operator="equal">
      <formula>"F"</formula>
    </cfRule>
    <cfRule type="cellIs" dxfId="3032" priority="1288" operator="equal">
      <formula>"F"</formula>
    </cfRule>
  </conditionalFormatting>
  <conditionalFormatting sqref="D57">
    <cfRule type="cellIs" dxfId="3031" priority="1245" operator="equal">
      <formula>"U/P"</formula>
    </cfRule>
    <cfRule type="cellIs" dxfId="3030" priority="1246" operator="equal">
      <formula>"F"</formula>
    </cfRule>
    <cfRule type="cellIs" dxfId="3029" priority="1247" operator="equal">
      <formula>"F"</formula>
    </cfRule>
  </conditionalFormatting>
  <conditionalFormatting sqref="D65">
    <cfRule type="cellIs" dxfId="3028" priority="1205" operator="equal">
      <formula>"F"</formula>
    </cfRule>
    <cfRule type="cellIs" dxfId="3027" priority="1204" operator="equal">
      <formula>"F"</formula>
    </cfRule>
    <cfRule type="cellIs" dxfId="3026" priority="1203" operator="equal">
      <formula>"U/P"</formula>
    </cfRule>
  </conditionalFormatting>
  <conditionalFormatting sqref="D73">
    <cfRule type="cellIs" dxfId="3025" priority="1162" operator="equal">
      <formula>"F"</formula>
    </cfRule>
    <cfRule type="cellIs" dxfId="3024" priority="1163" operator="equal">
      <formula>"F"</formula>
    </cfRule>
    <cfRule type="cellIs" dxfId="3023" priority="1161" operator="equal">
      <formula>"U/P"</formula>
    </cfRule>
  </conditionalFormatting>
  <conditionalFormatting sqref="D82">
    <cfRule type="cellIs" dxfId="3022" priority="1121" operator="equal">
      <formula>"F"</formula>
    </cfRule>
    <cfRule type="cellIs" dxfId="3021" priority="1119" operator="equal">
      <formula>"U/P"</formula>
    </cfRule>
    <cfRule type="cellIs" dxfId="3020" priority="1120" operator="equal">
      <formula>"F"</formula>
    </cfRule>
  </conditionalFormatting>
  <conditionalFormatting sqref="D90">
    <cfRule type="cellIs" dxfId="3019" priority="1085" operator="equal">
      <formula>"F"</formula>
    </cfRule>
    <cfRule type="cellIs" dxfId="3018" priority="1084" operator="equal">
      <formula>"F"</formula>
    </cfRule>
    <cfRule type="cellIs" dxfId="3017" priority="1083" operator="equal">
      <formula>"U/P"</formula>
    </cfRule>
  </conditionalFormatting>
  <conditionalFormatting sqref="D99">
    <cfRule type="cellIs" dxfId="3016" priority="1043" operator="equal">
      <formula>"F"</formula>
    </cfRule>
    <cfRule type="cellIs" dxfId="3015" priority="1042" operator="equal">
      <formula>"F"</formula>
    </cfRule>
    <cfRule type="cellIs" dxfId="3014" priority="1041" operator="equal">
      <formula>"U/P"</formula>
    </cfRule>
  </conditionalFormatting>
  <conditionalFormatting sqref="D107">
    <cfRule type="cellIs" dxfId="3013" priority="1004" operator="equal">
      <formula>"F"</formula>
    </cfRule>
    <cfRule type="cellIs" dxfId="3012" priority="1003" operator="equal">
      <formula>"F"</formula>
    </cfRule>
    <cfRule type="cellIs" dxfId="3011" priority="1002" operator="equal">
      <formula>"U/P"</formula>
    </cfRule>
  </conditionalFormatting>
  <conditionalFormatting sqref="D115">
    <cfRule type="cellIs" dxfId="3010" priority="977" operator="equal">
      <formula>"F"</formula>
    </cfRule>
    <cfRule type="cellIs" dxfId="3009" priority="975" operator="equal">
      <formula>"U/P"</formula>
    </cfRule>
    <cfRule type="cellIs" dxfId="3008" priority="976" operator="equal">
      <formula>"F"</formula>
    </cfRule>
  </conditionalFormatting>
  <conditionalFormatting sqref="D118">
    <cfRule type="cellIs" dxfId="3007" priority="458" operator="equal">
      <formula>0</formula>
    </cfRule>
  </conditionalFormatting>
  <conditionalFormatting sqref="D123">
    <cfRule type="cellIs" dxfId="3006" priority="1504" operator="equal">
      <formula>"F"</formula>
    </cfRule>
    <cfRule type="cellIs" dxfId="3005" priority="1503" operator="equal">
      <formula>"F"</formula>
    </cfRule>
    <cfRule type="cellIs" dxfId="3004" priority="1502" operator="equal">
      <formula>"U/P"</formula>
    </cfRule>
  </conditionalFormatting>
  <conditionalFormatting sqref="D132">
    <cfRule type="cellIs" dxfId="3003" priority="908" operator="equal">
      <formula>"F"</formula>
    </cfRule>
    <cfRule type="cellIs" dxfId="3002" priority="907" operator="equal">
      <formula>"F"</formula>
    </cfRule>
    <cfRule type="cellIs" dxfId="3001" priority="906" operator="equal">
      <formula>"U/P"</formula>
    </cfRule>
  </conditionalFormatting>
  <conditionalFormatting sqref="D141">
    <cfRule type="cellIs" dxfId="3000" priority="726" operator="equal">
      <formula>"U/P"</formula>
    </cfRule>
    <cfRule type="cellIs" dxfId="2999" priority="727" operator="equal">
      <formula>"F"</formula>
    </cfRule>
    <cfRule type="cellIs" dxfId="2998" priority="728" operator="equal">
      <formula>"F"</formula>
    </cfRule>
  </conditionalFormatting>
  <conditionalFormatting sqref="D150">
    <cfRule type="cellIs" dxfId="2997" priority="92" operator="equal">
      <formula>"F"</formula>
    </cfRule>
    <cfRule type="cellIs" dxfId="2996" priority="93" operator="equal">
      <formula>"F"</formula>
    </cfRule>
    <cfRule type="cellIs" dxfId="2995" priority="91" operator="equal">
      <formula>"U/P"</formula>
    </cfRule>
  </conditionalFormatting>
  <conditionalFormatting sqref="D159">
    <cfRule type="cellIs" dxfId="2994" priority="849" operator="equal">
      <formula>"U/P"</formula>
    </cfRule>
    <cfRule type="cellIs" dxfId="2993" priority="850" operator="equal">
      <formula>"F"</formula>
    </cfRule>
    <cfRule type="cellIs" dxfId="2992" priority="851" operator="equal">
      <formula>"F"</formula>
    </cfRule>
  </conditionalFormatting>
  <conditionalFormatting sqref="D168">
    <cfRule type="cellIs" dxfId="2991" priority="407" operator="equal">
      <formula>"F"</formula>
    </cfRule>
    <cfRule type="cellIs" dxfId="2990" priority="406" operator="equal">
      <formula>"U/P"</formula>
    </cfRule>
    <cfRule type="cellIs" dxfId="2989" priority="408" operator="equal">
      <formula>"F"</formula>
    </cfRule>
  </conditionalFormatting>
  <conditionalFormatting sqref="D176">
    <cfRule type="cellIs" dxfId="2988" priority="787" operator="equal">
      <formula>"F"</formula>
    </cfRule>
    <cfRule type="cellIs" dxfId="2987" priority="786" operator="equal">
      <formula>"U/P"</formula>
    </cfRule>
    <cfRule type="cellIs" dxfId="2986" priority="788" operator="equal">
      <formula>"F"</formula>
    </cfRule>
  </conditionalFormatting>
  <conditionalFormatting sqref="D185">
    <cfRule type="cellIs" dxfId="2985" priority="381" operator="equal">
      <formula>"F"</formula>
    </cfRule>
    <cfRule type="cellIs" dxfId="2984" priority="379" operator="equal">
      <formula>"U/P"</formula>
    </cfRule>
    <cfRule type="cellIs" dxfId="2983" priority="380" operator="equal">
      <formula>"F"</formula>
    </cfRule>
  </conditionalFormatting>
  <conditionalFormatting sqref="D194">
    <cfRule type="cellIs" dxfId="2982" priority="72" operator="equal">
      <formula>"F"</formula>
    </cfRule>
    <cfRule type="cellIs" dxfId="2981" priority="70" operator="equal">
      <formula>"U/P"</formula>
    </cfRule>
    <cfRule type="cellIs" dxfId="2980" priority="71" operator="equal">
      <formula>"F"</formula>
    </cfRule>
  </conditionalFormatting>
  <conditionalFormatting sqref="D202">
    <cfRule type="cellIs" dxfId="2979" priority="560" operator="equal">
      <formula>"F"</formula>
    </cfRule>
    <cfRule type="cellIs" dxfId="2978" priority="559" operator="equal">
      <formula>"F"</formula>
    </cfRule>
    <cfRule type="cellIs" dxfId="2977" priority="558" operator="equal">
      <formula>"U/P"</formula>
    </cfRule>
  </conditionalFormatting>
  <conditionalFormatting sqref="D210">
    <cfRule type="cellIs" dxfId="2976" priority="514" operator="equal">
      <formula>"F"</formula>
    </cfRule>
    <cfRule type="cellIs" dxfId="2975" priority="515" operator="equal">
      <formula>"F"</formula>
    </cfRule>
    <cfRule type="cellIs" dxfId="2974" priority="513" operator="equal">
      <formula>"U/P"</formula>
    </cfRule>
  </conditionalFormatting>
  <conditionalFormatting sqref="D218">
    <cfRule type="cellIs" dxfId="2973" priority="77" operator="equal">
      <formula>"F"</formula>
    </cfRule>
    <cfRule type="cellIs" dxfId="2972" priority="78" operator="equal">
      <formula>"F"</formula>
    </cfRule>
    <cfRule type="cellIs" dxfId="2971" priority="76" operator="equal">
      <formula>"U/P"</formula>
    </cfRule>
  </conditionalFormatting>
  <conditionalFormatting sqref="D226">
    <cfRule type="cellIs" dxfId="2970" priority="720" operator="equal">
      <formula>"U/P"</formula>
    </cfRule>
    <cfRule type="cellIs" dxfId="2969" priority="721" operator="equal">
      <formula>"F"</formula>
    </cfRule>
    <cfRule type="cellIs" dxfId="2968" priority="722" operator="equal">
      <formula>"F"</formula>
    </cfRule>
  </conditionalFormatting>
  <conditionalFormatting sqref="D235">
    <cfRule type="cellIs" dxfId="2967" priority="197" operator="equal">
      <formula>"F"</formula>
    </cfRule>
    <cfRule type="cellIs" dxfId="2966" priority="196" operator="equal">
      <formula>"U/P"</formula>
    </cfRule>
    <cfRule type="cellIs" dxfId="2965" priority="198" operator="equal">
      <formula>"F"</formula>
    </cfRule>
  </conditionalFormatting>
  <conditionalFormatting sqref="D244">
    <cfRule type="cellIs" dxfId="2964" priority="550" operator="equal">
      <formula>"F"</formula>
    </cfRule>
    <cfRule type="cellIs" dxfId="2963" priority="549" operator="equal">
      <formula>"U/P"</formula>
    </cfRule>
    <cfRule type="cellIs" dxfId="2962" priority="551" operator="equal">
      <formula>"F"</formula>
    </cfRule>
  </conditionalFormatting>
  <conditionalFormatting sqref="D252">
    <cfRule type="cellIs" dxfId="2961" priority="170" operator="equal">
      <formula>"F"</formula>
    </cfRule>
    <cfRule type="cellIs" dxfId="2960" priority="171" operator="equal">
      <formula>"F"</formula>
    </cfRule>
    <cfRule type="cellIs" dxfId="2959" priority="169" operator="equal">
      <formula>"U/P"</formula>
    </cfRule>
  </conditionalFormatting>
  <conditionalFormatting sqref="D268">
    <cfRule type="cellIs" dxfId="2958" priority="244" operator="equal">
      <formula>"U/P"</formula>
    </cfRule>
    <cfRule type="cellIs" dxfId="2957" priority="245" operator="equal">
      <formula>"F"</formula>
    </cfRule>
    <cfRule type="cellIs" dxfId="2956" priority="246" operator="equal">
      <formula>"F"</formula>
    </cfRule>
  </conditionalFormatting>
  <conditionalFormatting sqref="D276">
    <cfRule type="cellIs" dxfId="2955" priority="142" operator="equal">
      <formula>"U/P"</formula>
    </cfRule>
    <cfRule type="cellIs" dxfId="2954" priority="143" operator="equal">
      <formula>"F"</formula>
    </cfRule>
    <cfRule type="cellIs" dxfId="2953" priority="144" operator="equal">
      <formula>"F"</formula>
    </cfRule>
  </conditionalFormatting>
  <conditionalFormatting sqref="D284">
    <cfRule type="cellIs" dxfId="2952" priority="259" operator="equal">
      <formula>"U/P"</formula>
    </cfRule>
    <cfRule type="cellIs" dxfId="2951" priority="260" operator="equal">
      <formula>"F"</formula>
    </cfRule>
    <cfRule type="cellIs" dxfId="2950" priority="261" operator="equal">
      <formula>"F"</formula>
    </cfRule>
  </conditionalFormatting>
  <conditionalFormatting sqref="D292">
    <cfRule type="cellIs" dxfId="2949" priority="400" operator="equal">
      <formula>"U/P"</formula>
    </cfRule>
    <cfRule type="cellIs" dxfId="2948" priority="402" operator="equal">
      <formula>"F"</formula>
    </cfRule>
    <cfRule type="cellIs" dxfId="2947" priority="401" operator="equal">
      <formula>"F"</formula>
    </cfRule>
  </conditionalFormatting>
  <conditionalFormatting sqref="D300">
    <cfRule type="cellIs" dxfId="2946" priority="374" operator="equal">
      <formula>"F"</formula>
    </cfRule>
    <cfRule type="cellIs" dxfId="2945" priority="375" operator="equal">
      <formula>"F"</formula>
    </cfRule>
    <cfRule type="cellIs" dxfId="2944" priority="373" operator="equal">
      <formula>"U/P"</formula>
    </cfRule>
  </conditionalFormatting>
  <conditionalFormatting sqref="D308">
    <cfRule type="cellIs" dxfId="2943" priority="621" operator="equal">
      <formula>"U/P"</formula>
    </cfRule>
    <cfRule type="cellIs" dxfId="2942" priority="622" operator="equal">
      <formula>"F"</formula>
    </cfRule>
    <cfRule type="cellIs" dxfId="2941" priority="623" operator="equal">
      <formula>"F"</formula>
    </cfRule>
  </conditionalFormatting>
  <conditionalFormatting sqref="D315">
    <cfRule type="cellIs" dxfId="2940" priority="596" operator="equal">
      <formula>"F"</formula>
    </cfRule>
    <cfRule type="cellIs" dxfId="2939" priority="594" operator="equal">
      <formula>"U/P"</formula>
    </cfRule>
    <cfRule type="cellIs" dxfId="2938" priority="595" operator="equal">
      <formula>"F"</formula>
    </cfRule>
  </conditionalFormatting>
  <conditionalFormatting sqref="F20">
    <cfRule type="cellIs" dxfId="2937" priority="1450" operator="equal">
      <formula>"F"</formula>
    </cfRule>
    <cfRule type="cellIs" dxfId="2936" priority="1449" operator="equal">
      <formula>"U/P"</formula>
    </cfRule>
    <cfRule type="cellIs" dxfId="2935" priority="1451" operator="equal">
      <formula>"F"</formula>
    </cfRule>
  </conditionalFormatting>
  <conditionalFormatting sqref="F27">
    <cfRule type="cellIs" dxfId="2934" priority="1409" operator="equal">
      <formula>"F"</formula>
    </cfRule>
    <cfRule type="cellIs" dxfId="2933" priority="1407" operator="equal">
      <formula>"U/P"</formula>
    </cfRule>
    <cfRule type="cellIs" dxfId="2932" priority="1408" operator="equal">
      <formula>"F"</formula>
    </cfRule>
  </conditionalFormatting>
  <conditionalFormatting sqref="F34">
    <cfRule type="cellIs" dxfId="2931" priority="1370" operator="equal">
      <formula>"F"</formula>
    </cfRule>
    <cfRule type="cellIs" dxfId="2930" priority="1368" operator="equal">
      <formula>"U/P"</formula>
    </cfRule>
    <cfRule type="cellIs" dxfId="2929" priority="1369" operator="equal">
      <formula>"F"</formula>
    </cfRule>
  </conditionalFormatting>
  <conditionalFormatting sqref="F41">
    <cfRule type="cellIs" dxfId="2928" priority="1326" operator="equal">
      <formula>"U/P"</formula>
    </cfRule>
    <cfRule type="cellIs" dxfId="2927" priority="1327" operator="equal">
      <formula>"F"</formula>
    </cfRule>
    <cfRule type="cellIs" dxfId="2926" priority="1328" operator="equal">
      <formula>"F"</formula>
    </cfRule>
  </conditionalFormatting>
  <conditionalFormatting sqref="F48">
    <cfRule type="cellIs" dxfId="2925" priority="1286" operator="equal">
      <formula>"F"</formula>
    </cfRule>
    <cfRule type="cellIs" dxfId="2924" priority="1284" operator="equal">
      <formula>"U/P"</formula>
    </cfRule>
    <cfRule type="cellIs" dxfId="2923" priority="1285" operator="equal">
      <formula>"F"</formula>
    </cfRule>
  </conditionalFormatting>
  <conditionalFormatting sqref="F57">
    <cfRule type="cellIs" dxfId="2922" priority="1243" operator="equal">
      <formula>"F"</formula>
    </cfRule>
    <cfRule type="cellIs" dxfId="2921" priority="1242" operator="equal">
      <formula>"U/P"</formula>
    </cfRule>
    <cfRule type="cellIs" dxfId="2920" priority="1244" operator="equal">
      <formula>"F"</formula>
    </cfRule>
  </conditionalFormatting>
  <conditionalFormatting sqref="F65">
    <cfRule type="cellIs" dxfId="2919" priority="1202" operator="equal">
      <formula>"F"</formula>
    </cfRule>
    <cfRule type="cellIs" dxfId="2918" priority="1200" operator="equal">
      <formula>"U/P"</formula>
    </cfRule>
    <cfRule type="cellIs" dxfId="2917" priority="1201" operator="equal">
      <formula>"F"</formula>
    </cfRule>
  </conditionalFormatting>
  <conditionalFormatting sqref="F73">
    <cfRule type="cellIs" dxfId="2916" priority="1159" operator="equal">
      <formula>"F"</formula>
    </cfRule>
    <cfRule type="cellIs" dxfId="2915" priority="1158" operator="equal">
      <formula>"U/P"</formula>
    </cfRule>
    <cfRule type="cellIs" dxfId="2914" priority="1160" operator="equal">
      <formula>"F"</formula>
    </cfRule>
  </conditionalFormatting>
  <conditionalFormatting sqref="F82">
    <cfRule type="cellIs" dxfId="2913" priority="319" operator="equal">
      <formula>"U/P"</formula>
    </cfRule>
    <cfRule type="cellIs" dxfId="2912" priority="321" operator="equal">
      <formula>"F"</formula>
    </cfRule>
    <cfRule type="cellIs" dxfId="2911" priority="320" operator="equal">
      <formula>"F"</formula>
    </cfRule>
  </conditionalFormatting>
  <conditionalFormatting sqref="F90">
    <cfRule type="cellIs" dxfId="2910" priority="315" operator="equal">
      <formula>"F"</formula>
    </cfRule>
    <cfRule type="cellIs" dxfId="2909" priority="313" operator="equal">
      <formula>"U/P"</formula>
    </cfRule>
    <cfRule type="cellIs" dxfId="2908" priority="314" operator="equal">
      <formula>"F"</formula>
    </cfRule>
  </conditionalFormatting>
  <conditionalFormatting sqref="F99">
    <cfRule type="cellIs" dxfId="2907" priority="1038" operator="equal">
      <formula>"U/P"</formula>
    </cfRule>
    <cfRule type="cellIs" dxfId="2906" priority="1039" operator="equal">
      <formula>"F"</formula>
    </cfRule>
    <cfRule type="cellIs" dxfId="2905" priority="1040" operator="equal">
      <formula>"F"</formula>
    </cfRule>
  </conditionalFormatting>
  <conditionalFormatting sqref="F107">
    <cfRule type="cellIs" dxfId="2904" priority="999" operator="equal">
      <formula>"U/P"</formula>
    </cfRule>
    <cfRule type="cellIs" dxfId="2903" priority="1000" operator="equal">
      <formula>"F"</formula>
    </cfRule>
    <cfRule type="cellIs" dxfId="2902" priority="1001" operator="equal">
      <formula>"F"</formula>
    </cfRule>
  </conditionalFormatting>
  <conditionalFormatting sqref="F115">
    <cfRule type="cellIs" dxfId="2901" priority="972" operator="equal">
      <formula>"U/P"</formula>
    </cfRule>
    <cfRule type="cellIs" dxfId="2900" priority="974" operator="equal">
      <formula>"F"</formula>
    </cfRule>
    <cfRule type="cellIs" dxfId="2899" priority="973" operator="equal">
      <formula>"F"</formula>
    </cfRule>
  </conditionalFormatting>
  <conditionalFormatting sqref="F123">
    <cfRule type="cellIs" dxfId="2898" priority="14" operator="equal">
      <formula>"F"</formula>
    </cfRule>
    <cfRule type="cellIs" dxfId="2897" priority="15" operator="equal">
      <formula>"F"</formula>
    </cfRule>
    <cfRule type="cellIs" dxfId="2896" priority="13" operator="equal">
      <formula>"U/P"</formula>
    </cfRule>
  </conditionalFormatting>
  <conditionalFormatting sqref="F132">
    <cfRule type="cellIs" dxfId="2895" priority="903" operator="equal">
      <formula>"U/P"</formula>
    </cfRule>
    <cfRule type="cellIs" dxfId="2894" priority="905" operator="equal">
      <formula>"F"</formula>
    </cfRule>
    <cfRule type="cellIs" dxfId="2893" priority="904" operator="equal">
      <formula>"F"</formula>
    </cfRule>
  </conditionalFormatting>
  <conditionalFormatting sqref="F141">
    <cfRule type="cellIs" dxfId="2892" priority="1483" operator="equal">
      <formula>"U/P"</formula>
    </cfRule>
    <cfRule type="cellIs" dxfId="2891" priority="1484" operator="equal">
      <formula>"F"</formula>
    </cfRule>
    <cfRule type="cellIs" dxfId="2890" priority="1485" operator="equal">
      <formula>"F"</formula>
    </cfRule>
  </conditionalFormatting>
  <conditionalFormatting sqref="F150">
    <cfRule type="cellIs" dxfId="2889" priority="884" operator="equal">
      <formula>"F"</formula>
    </cfRule>
    <cfRule type="cellIs" dxfId="2888" priority="883" operator="equal">
      <formula>"F"</formula>
    </cfRule>
    <cfRule type="cellIs" dxfId="2887" priority="882" operator="equal">
      <formula>"U/P"</formula>
    </cfRule>
  </conditionalFormatting>
  <conditionalFormatting sqref="F159">
    <cfRule type="cellIs" dxfId="2886" priority="848" operator="equal">
      <formula>"F"</formula>
    </cfRule>
    <cfRule type="cellIs" dxfId="2885" priority="846" operator="equal">
      <formula>"U/P"</formula>
    </cfRule>
    <cfRule type="cellIs" dxfId="2884" priority="847" operator="equal">
      <formula>"F"</formula>
    </cfRule>
  </conditionalFormatting>
  <conditionalFormatting sqref="F168">
    <cfRule type="cellIs" dxfId="2883" priority="412" operator="equal">
      <formula>"F"</formula>
    </cfRule>
    <cfRule type="cellIs" dxfId="2882" priority="411" operator="equal">
      <formula>"U/P"</formula>
    </cfRule>
    <cfRule type="cellIs" dxfId="2881" priority="413" operator="equal">
      <formula>"F"</formula>
    </cfRule>
  </conditionalFormatting>
  <conditionalFormatting sqref="F176">
    <cfRule type="cellIs" dxfId="2880" priority="227" operator="equal">
      <formula>"F"</formula>
    </cfRule>
    <cfRule type="cellIs" dxfId="2879" priority="226" operator="equal">
      <formula>"U/P"</formula>
    </cfRule>
    <cfRule type="cellIs" dxfId="2878" priority="228" operator="equal">
      <formula>"F"</formula>
    </cfRule>
  </conditionalFormatting>
  <conditionalFormatting sqref="F185">
    <cfRule type="cellIs" dxfId="2877" priority="1478" operator="equal">
      <formula>"F"</formula>
    </cfRule>
    <cfRule type="cellIs" dxfId="2876" priority="1479" operator="equal">
      <formula>"F"</formula>
    </cfRule>
    <cfRule type="cellIs" dxfId="2875" priority="1477" operator="equal">
      <formula>"U/P"</formula>
    </cfRule>
  </conditionalFormatting>
  <conditionalFormatting sqref="F194">
    <cfRule type="cellIs" dxfId="2874" priority="757" operator="equal">
      <formula>"F"</formula>
    </cfRule>
    <cfRule type="cellIs" dxfId="2873" priority="758" operator="equal">
      <formula>"F"</formula>
    </cfRule>
    <cfRule type="cellIs" dxfId="2872" priority="756" operator="equal">
      <formula>"U/P"</formula>
    </cfRule>
  </conditionalFormatting>
  <conditionalFormatting sqref="F202">
    <cfRule type="cellIs" dxfId="2871" priority="555" operator="equal">
      <formula>"U/P"</formula>
    </cfRule>
    <cfRule type="cellIs" dxfId="2870" priority="556" operator="equal">
      <formula>"F"</formula>
    </cfRule>
    <cfRule type="cellIs" dxfId="2869" priority="557" operator="equal">
      <formula>"F"</formula>
    </cfRule>
  </conditionalFormatting>
  <conditionalFormatting sqref="F210">
    <cfRule type="cellIs" dxfId="2868" priority="223" operator="equal">
      <formula>"U/P"</formula>
    </cfRule>
    <cfRule type="cellIs" dxfId="2867" priority="224" operator="equal">
      <formula>"F"</formula>
    </cfRule>
    <cfRule type="cellIs" dxfId="2866" priority="225" operator="equal">
      <formula>"F"</formula>
    </cfRule>
  </conditionalFormatting>
  <conditionalFormatting sqref="F218 H218 J218 N218">
    <cfRule type="cellIs" dxfId="2865" priority="353" operator="equal">
      <formula>"F"</formula>
    </cfRule>
    <cfRule type="cellIs" dxfId="2864" priority="352" operator="equal">
      <formula>"U/P"</formula>
    </cfRule>
    <cfRule type="cellIs" dxfId="2863" priority="354" operator="equal">
      <formula>"F"</formula>
    </cfRule>
  </conditionalFormatting>
  <conditionalFormatting sqref="F226">
    <cfRule type="cellIs" dxfId="2862" priority="717" operator="equal">
      <formula>"U/P"</formula>
    </cfRule>
    <cfRule type="cellIs" dxfId="2861" priority="718" operator="equal">
      <formula>"F"</formula>
    </cfRule>
    <cfRule type="cellIs" dxfId="2860" priority="719" operator="equal">
      <formula>"F"</formula>
    </cfRule>
  </conditionalFormatting>
  <conditionalFormatting sqref="F235">
    <cfRule type="cellIs" dxfId="2859" priority="701" operator="equal">
      <formula>"F"</formula>
    </cfRule>
    <cfRule type="cellIs" dxfId="2858" priority="699" operator="equal">
      <formula>"U/P"</formula>
    </cfRule>
    <cfRule type="cellIs" dxfId="2857" priority="700" operator="equal">
      <formula>"F"</formula>
    </cfRule>
  </conditionalFormatting>
  <conditionalFormatting sqref="F244">
    <cfRule type="cellIs" dxfId="2856" priority="548" operator="equal">
      <formula>"F"</formula>
    </cfRule>
    <cfRule type="cellIs" dxfId="2855" priority="546" operator="equal">
      <formula>"U/P"</formula>
    </cfRule>
    <cfRule type="cellIs" dxfId="2854" priority="547" operator="equal">
      <formula>"F"</formula>
    </cfRule>
  </conditionalFormatting>
  <conditionalFormatting sqref="F252">
    <cfRule type="cellIs" dxfId="2853" priority="238" operator="equal">
      <formula>"U/P"</formula>
    </cfRule>
    <cfRule type="cellIs" dxfId="2852" priority="239" operator="equal">
      <formula>"F"</formula>
    </cfRule>
    <cfRule type="cellIs" dxfId="2851" priority="240" operator="equal">
      <formula>"F"</formula>
    </cfRule>
  </conditionalFormatting>
  <conditionalFormatting sqref="F268">
    <cfRule type="cellIs" dxfId="2850" priority="271" operator="equal">
      <formula>"U/P"</formula>
    </cfRule>
    <cfRule type="cellIs" dxfId="2849" priority="272" operator="equal">
      <formula>"F"</formula>
    </cfRule>
    <cfRule type="cellIs" dxfId="2848" priority="273" operator="equal">
      <formula>"F"</formula>
    </cfRule>
  </conditionalFormatting>
  <conditionalFormatting sqref="F276">
    <cfRule type="cellIs" dxfId="2847" priority="111" operator="equal">
      <formula>"F"</formula>
    </cfRule>
    <cfRule type="cellIs" dxfId="2846" priority="110" operator="equal">
      <formula>"F"</formula>
    </cfRule>
    <cfRule type="cellIs" dxfId="2845" priority="109" operator="equal">
      <formula>"U/P"</formula>
    </cfRule>
  </conditionalFormatting>
  <conditionalFormatting sqref="F284">
    <cfRule type="cellIs" dxfId="2844" priority="208" operator="equal">
      <formula>"U/P"</formula>
    </cfRule>
    <cfRule type="cellIs" dxfId="2843" priority="209" operator="equal">
      <formula>"F"</formula>
    </cfRule>
    <cfRule type="cellIs" dxfId="2842" priority="210" operator="equal">
      <formula>"F"</formula>
    </cfRule>
  </conditionalFormatting>
  <conditionalFormatting sqref="F292">
    <cfRule type="cellIs" dxfId="2841" priority="434" operator="equal">
      <formula>"F"</formula>
    </cfRule>
    <cfRule type="cellIs" dxfId="2840" priority="435" operator="equal">
      <formula>"F"</formula>
    </cfRule>
    <cfRule type="cellIs" dxfId="2839" priority="433" operator="equal">
      <formula>"U/P"</formula>
    </cfRule>
  </conditionalFormatting>
  <conditionalFormatting sqref="F300">
    <cfRule type="cellIs" dxfId="2838" priority="388" operator="equal">
      <formula>"U/P"</formula>
    </cfRule>
    <cfRule type="cellIs" dxfId="2837" priority="389" operator="equal">
      <formula>"F"</formula>
    </cfRule>
    <cfRule type="cellIs" dxfId="2836" priority="390" operator="equal">
      <formula>"F"</formula>
    </cfRule>
  </conditionalFormatting>
  <conditionalFormatting sqref="F308">
    <cfRule type="cellIs" dxfId="2835" priority="9" operator="equal">
      <formula>"F"</formula>
    </cfRule>
    <cfRule type="cellIs" dxfId="2834" priority="8" operator="equal">
      <formula>"F"</formula>
    </cfRule>
    <cfRule type="cellIs" dxfId="2833" priority="7" operator="equal">
      <formula>"U/P"</formula>
    </cfRule>
  </conditionalFormatting>
  <conditionalFormatting sqref="F315">
    <cfRule type="cellIs" dxfId="2832" priority="569" operator="equal">
      <formula>"F"</formula>
    </cfRule>
    <cfRule type="cellIs" dxfId="2831" priority="568" operator="equal">
      <formula>"F"</formula>
    </cfRule>
    <cfRule type="cellIs" dxfId="2830" priority="567" operator="equal">
      <formula>"U/P"</formula>
    </cfRule>
  </conditionalFormatting>
  <conditionalFormatting sqref="H20">
    <cfRule type="cellIs" dxfId="2829" priority="1446" operator="equal">
      <formula>"U/P"</formula>
    </cfRule>
    <cfRule type="cellIs" dxfId="2828" priority="1447" operator="equal">
      <formula>"F"</formula>
    </cfRule>
    <cfRule type="cellIs" dxfId="2827" priority="1448" operator="equal">
      <formula>"F"</formula>
    </cfRule>
  </conditionalFormatting>
  <conditionalFormatting sqref="H27">
    <cfRule type="cellIs" dxfId="2826" priority="1404" operator="equal">
      <formula>"U/P"</formula>
    </cfRule>
    <cfRule type="cellIs" dxfId="2825" priority="1405" operator="equal">
      <formula>"F"</formula>
    </cfRule>
    <cfRule type="cellIs" dxfId="2824" priority="1406" operator="equal">
      <formula>"F"</formula>
    </cfRule>
  </conditionalFormatting>
  <conditionalFormatting sqref="H34">
    <cfRule type="cellIs" dxfId="2823" priority="1366" operator="equal">
      <formula>"F"</formula>
    </cfRule>
    <cfRule type="cellIs" dxfId="2822" priority="1367" operator="equal">
      <formula>"F"</formula>
    </cfRule>
    <cfRule type="cellIs" dxfId="2821" priority="1365" operator="equal">
      <formula>"U/P"</formula>
    </cfRule>
  </conditionalFormatting>
  <conditionalFormatting sqref="H41">
    <cfRule type="cellIs" dxfId="2820" priority="1324" operator="equal">
      <formula>"F"</formula>
    </cfRule>
    <cfRule type="cellIs" dxfId="2819" priority="1323" operator="equal">
      <formula>"U/P"</formula>
    </cfRule>
    <cfRule type="cellIs" dxfId="2818" priority="1325" operator="equal">
      <formula>"F"</formula>
    </cfRule>
  </conditionalFormatting>
  <conditionalFormatting sqref="H48">
    <cfRule type="cellIs" dxfId="2817" priority="1283" operator="equal">
      <formula>"F"</formula>
    </cfRule>
    <cfRule type="cellIs" dxfId="2816" priority="1281" operator="equal">
      <formula>"U/P"</formula>
    </cfRule>
    <cfRule type="cellIs" dxfId="2815" priority="1282" operator="equal">
      <formula>"F"</formula>
    </cfRule>
  </conditionalFormatting>
  <conditionalFormatting sqref="H57">
    <cfRule type="cellIs" dxfId="2814" priority="1240" operator="equal">
      <formula>"F"</formula>
    </cfRule>
    <cfRule type="cellIs" dxfId="2813" priority="1239" operator="equal">
      <formula>"U/P"</formula>
    </cfRule>
    <cfRule type="cellIs" dxfId="2812" priority="1241" operator="equal">
      <formula>"F"</formula>
    </cfRule>
  </conditionalFormatting>
  <conditionalFormatting sqref="H65">
    <cfRule type="cellIs" dxfId="2811" priority="1197" operator="equal">
      <formula>"U/P"</formula>
    </cfRule>
    <cfRule type="cellIs" dxfId="2810" priority="1198" operator="equal">
      <formula>"F"</formula>
    </cfRule>
    <cfRule type="cellIs" dxfId="2809" priority="1199" operator="equal">
      <formula>"F"</formula>
    </cfRule>
  </conditionalFormatting>
  <conditionalFormatting sqref="H73">
    <cfRule type="cellIs" dxfId="2808" priority="1156" operator="equal">
      <formula>"F"</formula>
    </cfRule>
    <cfRule type="cellIs" dxfId="2807" priority="1157" operator="equal">
      <formula>"F"</formula>
    </cfRule>
    <cfRule type="cellIs" dxfId="2806" priority="1155" operator="equal">
      <formula>"U/P"</formula>
    </cfRule>
  </conditionalFormatting>
  <conditionalFormatting sqref="H82">
    <cfRule type="cellIs" dxfId="2805" priority="1116" operator="equal">
      <formula>"U/P"</formula>
    </cfRule>
    <cfRule type="cellIs" dxfId="2804" priority="1118" operator="equal">
      <formula>"F"</formula>
    </cfRule>
    <cfRule type="cellIs" dxfId="2803" priority="1117" operator="equal">
      <formula>"F"</formula>
    </cfRule>
  </conditionalFormatting>
  <conditionalFormatting sqref="H90">
    <cfRule type="cellIs" dxfId="2802" priority="1081" operator="equal">
      <formula>"F"</formula>
    </cfRule>
    <cfRule type="cellIs" dxfId="2801" priority="1082" operator="equal">
      <formula>"F"</formula>
    </cfRule>
    <cfRule type="cellIs" dxfId="2800" priority="1080" operator="equal">
      <formula>"U/P"</formula>
    </cfRule>
  </conditionalFormatting>
  <conditionalFormatting sqref="H99">
    <cfRule type="cellIs" dxfId="2799" priority="1037" operator="equal">
      <formula>"F"</formula>
    </cfRule>
    <cfRule type="cellIs" dxfId="2798" priority="1036" operator="equal">
      <formula>"F"</formula>
    </cfRule>
    <cfRule type="cellIs" dxfId="2797" priority="1035" operator="equal">
      <formula>"U/P"</formula>
    </cfRule>
  </conditionalFormatting>
  <conditionalFormatting sqref="H115">
    <cfRule type="cellIs" dxfId="2796" priority="969" operator="equal">
      <formula>"U/P"</formula>
    </cfRule>
    <cfRule type="cellIs" dxfId="2795" priority="971" operator="equal">
      <formula>"F"</formula>
    </cfRule>
    <cfRule type="cellIs" dxfId="2794" priority="970" operator="equal">
      <formula>"F"</formula>
    </cfRule>
  </conditionalFormatting>
  <conditionalFormatting sqref="H118">
    <cfRule type="cellIs" dxfId="2793" priority="457" operator="equal">
      <formula>0</formula>
    </cfRule>
  </conditionalFormatting>
  <conditionalFormatting sqref="H123">
    <cfRule type="cellIs" dxfId="2792" priority="933" operator="equal">
      <formula>"U/P"</formula>
    </cfRule>
    <cfRule type="cellIs" dxfId="2791" priority="934" operator="equal">
      <formula>"F"</formula>
    </cfRule>
    <cfRule type="cellIs" dxfId="2790" priority="935" operator="equal">
      <formula>"F"</formula>
    </cfRule>
  </conditionalFormatting>
  <conditionalFormatting sqref="H132">
    <cfRule type="cellIs" dxfId="2789" priority="1497" operator="equal">
      <formula>"F"</formula>
    </cfRule>
    <cfRule type="cellIs" dxfId="2788" priority="1495" operator="equal">
      <formula>"U/P"</formula>
    </cfRule>
    <cfRule type="cellIs" dxfId="2787" priority="1496" operator="equal">
      <formula>"F"</formula>
    </cfRule>
  </conditionalFormatting>
  <conditionalFormatting sqref="H141">
    <cfRule type="cellIs" dxfId="2786" priority="1482" operator="equal">
      <formula>"F"</formula>
    </cfRule>
    <cfRule type="cellIs" dxfId="2785" priority="1481" operator="equal">
      <formula>"F"</formula>
    </cfRule>
    <cfRule type="cellIs" dxfId="2784" priority="1480" operator="equal">
      <formula>"U/P"</formula>
    </cfRule>
  </conditionalFormatting>
  <conditionalFormatting sqref="H150">
    <cfRule type="cellIs" dxfId="2783" priority="881" operator="equal">
      <formula>"F"</formula>
    </cfRule>
    <cfRule type="cellIs" dxfId="2782" priority="880" operator="equal">
      <formula>"F"</formula>
    </cfRule>
    <cfRule type="cellIs" dxfId="2781" priority="879" operator="equal">
      <formula>"U/P"</formula>
    </cfRule>
  </conditionalFormatting>
  <conditionalFormatting sqref="H159">
    <cfRule type="cellIs" dxfId="2780" priority="844" operator="equal">
      <formula>"F"</formula>
    </cfRule>
    <cfRule type="cellIs" dxfId="2779" priority="845" operator="equal">
      <formula>"F"</formula>
    </cfRule>
    <cfRule type="cellIs" dxfId="2778" priority="843" operator="equal">
      <formula>"U/P"</formula>
    </cfRule>
  </conditionalFormatting>
  <conditionalFormatting sqref="H168">
    <cfRule type="cellIs" dxfId="2777" priority="425" operator="equal">
      <formula>"F"</formula>
    </cfRule>
    <cfRule type="cellIs" dxfId="2776" priority="424" operator="equal">
      <formula>"F"</formula>
    </cfRule>
    <cfRule type="cellIs" dxfId="2775" priority="423" operator="equal">
      <formula>"U/P"</formula>
    </cfRule>
  </conditionalFormatting>
  <conditionalFormatting sqref="H171">
    <cfRule type="cellIs" dxfId="2774" priority="410" operator="equal">
      <formula>0</formula>
    </cfRule>
  </conditionalFormatting>
  <conditionalFormatting sqref="H176">
    <cfRule type="cellIs" dxfId="2773" priority="785" operator="equal">
      <formula>"F"</formula>
    </cfRule>
    <cfRule type="cellIs" dxfId="2772" priority="784" operator="equal">
      <formula>"F"</formula>
    </cfRule>
    <cfRule type="cellIs" dxfId="2771" priority="783" operator="equal">
      <formula>"U/P"</formula>
    </cfRule>
  </conditionalFormatting>
  <conditionalFormatting sqref="H185">
    <cfRule type="cellIs" dxfId="2770" priority="24" operator="equal">
      <formula>"F"</formula>
    </cfRule>
    <cfRule type="cellIs" dxfId="2769" priority="22" operator="equal">
      <formula>"U/P"</formula>
    </cfRule>
    <cfRule type="cellIs" dxfId="2768" priority="23" operator="equal">
      <formula>"F"</formula>
    </cfRule>
  </conditionalFormatting>
  <conditionalFormatting sqref="H194">
    <cfRule type="cellIs" dxfId="2767" priority="416" operator="equal">
      <formula>"F"</formula>
    </cfRule>
    <cfRule type="cellIs" dxfId="2766" priority="415" operator="equal">
      <formula>"F"</formula>
    </cfRule>
    <cfRule type="cellIs" dxfId="2765" priority="414" operator="equal">
      <formula>"U/P"</formula>
    </cfRule>
  </conditionalFormatting>
  <conditionalFormatting sqref="H210">
    <cfRule type="cellIs" dxfId="2764" priority="221" operator="equal">
      <formula>"F"</formula>
    </cfRule>
    <cfRule type="cellIs" dxfId="2763" priority="220" operator="equal">
      <formula>"U/P"</formula>
    </cfRule>
    <cfRule type="cellIs" dxfId="2762" priority="222" operator="equal">
      <formula>"F"</formula>
    </cfRule>
  </conditionalFormatting>
  <conditionalFormatting sqref="H226">
    <cfRule type="cellIs" dxfId="2761" priority="529" operator="equal">
      <formula>"F"</formula>
    </cfRule>
    <cfRule type="cellIs" dxfId="2760" priority="528" operator="equal">
      <formula>"U/P"</formula>
    </cfRule>
    <cfRule type="cellIs" dxfId="2759" priority="530" operator="equal">
      <formula>"F"</formula>
    </cfRule>
  </conditionalFormatting>
  <conditionalFormatting sqref="H235">
    <cfRule type="cellIs" dxfId="2758" priority="333" operator="equal">
      <formula>"F"</formula>
    </cfRule>
    <cfRule type="cellIs" dxfId="2757" priority="331" operator="equal">
      <formula>"U/P"</formula>
    </cfRule>
    <cfRule type="cellIs" dxfId="2756" priority="332" operator="equal">
      <formula>"F"</formula>
    </cfRule>
  </conditionalFormatting>
  <conditionalFormatting sqref="H244">
    <cfRule type="cellIs" dxfId="2755" priority="684" operator="equal">
      <formula>"U/P"</formula>
    </cfRule>
    <cfRule type="cellIs" dxfId="2754" priority="685" operator="equal">
      <formula>"F"</formula>
    </cfRule>
    <cfRule type="cellIs" dxfId="2753" priority="686" operator="equal">
      <formula>"F"</formula>
    </cfRule>
  </conditionalFormatting>
  <conditionalFormatting sqref="H252">
    <cfRule type="cellIs" dxfId="2752" priority="673" operator="equal">
      <formula>"F"</formula>
    </cfRule>
    <cfRule type="cellIs" dxfId="2751" priority="674" operator="equal">
      <formula>"F"</formula>
    </cfRule>
    <cfRule type="cellIs" dxfId="2750" priority="672" operator="equal">
      <formula>"U/P"</formula>
    </cfRule>
  </conditionalFormatting>
  <conditionalFormatting sqref="H260">
    <cfRule type="cellIs" dxfId="2749" priority="664" operator="equal">
      <formula>"F"</formula>
    </cfRule>
    <cfRule type="cellIs" dxfId="2748" priority="663" operator="equal">
      <formula>"U/P"</formula>
    </cfRule>
    <cfRule type="cellIs" dxfId="2747" priority="665" operator="equal">
      <formula>"F"</formula>
    </cfRule>
  </conditionalFormatting>
  <conditionalFormatting sqref="H268">
    <cfRule type="cellIs" dxfId="2746" priority="85" operator="equal">
      <formula>"U/P"</formula>
    </cfRule>
    <cfRule type="cellIs" dxfId="2745" priority="86" operator="equal">
      <formula>"F"</formula>
    </cfRule>
    <cfRule type="cellIs" dxfId="2744" priority="87" operator="equal">
      <formula>"F"</formula>
    </cfRule>
  </conditionalFormatting>
  <conditionalFormatting sqref="H276">
    <cfRule type="cellIs" dxfId="2743" priority="82" operator="equal">
      <formula>"U/P"</formula>
    </cfRule>
    <cfRule type="cellIs" dxfId="2742" priority="83" operator="equal">
      <formula>"F"</formula>
    </cfRule>
    <cfRule type="cellIs" dxfId="2741" priority="84" operator="equal">
      <formula>"F"</formula>
    </cfRule>
  </conditionalFormatting>
  <conditionalFormatting sqref="H284">
    <cfRule type="cellIs" dxfId="2740" priority="644" operator="equal">
      <formula>"F"</formula>
    </cfRule>
    <cfRule type="cellIs" dxfId="2739" priority="643" operator="equal">
      <formula>"F"</formula>
    </cfRule>
    <cfRule type="cellIs" dxfId="2738" priority="642" operator="equal">
      <formula>"U/P"</formula>
    </cfRule>
  </conditionalFormatting>
  <conditionalFormatting sqref="H292">
    <cfRule type="cellIs" dxfId="2737" priority="472" operator="equal">
      <formula>"F"</formula>
    </cfRule>
    <cfRule type="cellIs" dxfId="2736" priority="471" operator="equal">
      <formula>"U/P"</formula>
    </cfRule>
    <cfRule type="cellIs" dxfId="2735" priority="473" operator="equal">
      <formula>"F"</formula>
    </cfRule>
  </conditionalFormatting>
  <conditionalFormatting sqref="H300">
    <cfRule type="cellIs" dxfId="2734" priority="372" operator="equal">
      <formula>"F"</formula>
    </cfRule>
    <cfRule type="cellIs" dxfId="2733" priority="370" operator="equal">
      <formula>"U/P"</formula>
    </cfRule>
    <cfRule type="cellIs" dxfId="2732" priority="371" operator="equal">
      <formula>"F"</formula>
    </cfRule>
  </conditionalFormatting>
  <conditionalFormatting sqref="H308">
    <cfRule type="cellIs" dxfId="2731" priority="620" operator="equal">
      <formula>"F"</formula>
    </cfRule>
    <cfRule type="cellIs" dxfId="2730" priority="619" operator="equal">
      <formula>"F"</formula>
    </cfRule>
    <cfRule type="cellIs" dxfId="2729" priority="618" operator="equal">
      <formula>"U/P"</formula>
    </cfRule>
  </conditionalFormatting>
  <conditionalFormatting sqref="H315">
    <cfRule type="cellIs" dxfId="2728" priority="566" operator="equal">
      <formula>"F"</formula>
    </cfRule>
    <cfRule type="cellIs" dxfId="2727" priority="564" operator="equal">
      <formula>"U/P"</formula>
    </cfRule>
    <cfRule type="cellIs" dxfId="2726" priority="565" operator="equal">
      <formula>"F"</formula>
    </cfRule>
  </conditionalFormatting>
  <conditionalFormatting sqref="H60:I60">
    <cfRule type="cellIs" dxfId="2725" priority="463" operator="equal">
      <formula>0</formula>
    </cfRule>
  </conditionalFormatting>
  <conditionalFormatting sqref="I107">
    <cfRule type="cellIs" dxfId="2724" priority="996" operator="equal">
      <formula>"U/P"</formula>
    </cfRule>
    <cfRule type="cellIs" dxfId="2723" priority="998" operator="equal">
      <formula>"F"</formula>
    </cfRule>
    <cfRule type="cellIs" dxfId="2722" priority="997" operator="equal">
      <formula>"F"</formula>
    </cfRule>
  </conditionalFormatting>
  <conditionalFormatting sqref="J20">
    <cfRule type="cellIs" dxfId="2721" priority="1443" operator="equal">
      <formula>"U/P"</formula>
    </cfRule>
    <cfRule type="cellIs" dxfId="2720" priority="1445" operator="equal">
      <formula>"F"</formula>
    </cfRule>
    <cfRule type="cellIs" dxfId="2719" priority="1444" operator="equal">
      <formula>"F"</formula>
    </cfRule>
  </conditionalFormatting>
  <conditionalFormatting sqref="J27">
    <cfRule type="cellIs" dxfId="2718" priority="1402" operator="equal">
      <formula>"F"</formula>
    </cfRule>
    <cfRule type="cellIs" dxfId="2717" priority="1401" operator="equal">
      <formula>"U/P"</formula>
    </cfRule>
    <cfRule type="cellIs" dxfId="2716" priority="1403" operator="equal">
      <formula>"F"</formula>
    </cfRule>
  </conditionalFormatting>
  <conditionalFormatting sqref="J34">
    <cfRule type="cellIs" dxfId="2715" priority="1363" operator="equal">
      <formula>"F"</formula>
    </cfRule>
    <cfRule type="cellIs" dxfId="2714" priority="1362" operator="equal">
      <formula>"U/P"</formula>
    </cfRule>
    <cfRule type="cellIs" dxfId="2713" priority="1364" operator="equal">
      <formula>"F"</formula>
    </cfRule>
  </conditionalFormatting>
  <conditionalFormatting sqref="J41">
    <cfRule type="cellIs" dxfId="2712" priority="1322" operator="equal">
      <formula>"F"</formula>
    </cfRule>
    <cfRule type="cellIs" dxfId="2711" priority="1321" operator="equal">
      <formula>"F"</formula>
    </cfRule>
    <cfRule type="cellIs" dxfId="2710" priority="1320" operator="equal">
      <formula>"U/P"</formula>
    </cfRule>
  </conditionalFormatting>
  <conditionalFormatting sqref="J48">
    <cfRule type="cellIs" dxfId="2709" priority="1280" operator="equal">
      <formula>"F"</formula>
    </cfRule>
    <cfRule type="cellIs" dxfId="2708" priority="1279" operator="equal">
      <formula>"F"</formula>
    </cfRule>
    <cfRule type="cellIs" dxfId="2707" priority="1278" operator="equal">
      <formula>"U/P"</formula>
    </cfRule>
  </conditionalFormatting>
  <conditionalFormatting sqref="J57">
    <cfRule type="cellIs" dxfId="2706" priority="1236" operator="equal">
      <formula>"U/P"</formula>
    </cfRule>
    <cfRule type="cellIs" dxfId="2705" priority="1238" operator="equal">
      <formula>"F"</formula>
    </cfRule>
    <cfRule type="cellIs" dxfId="2704" priority="1237" operator="equal">
      <formula>"F"</formula>
    </cfRule>
  </conditionalFormatting>
  <conditionalFormatting sqref="J65">
    <cfRule type="cellIs" dxfId="2703" priority="1194" operator="equal">
      <formula>"U/P"</formula>
    </cfRule>
    <cfRule type="cellIs" dxfId="2702" priority="1196" operator="equal">
      <formula>"F"</formula>
    </cfRule>
    <cfRule type="cellIs" dxfId="2701" priority="1195" operator="equal">
      <formula>"F"</formula>
    </cfRule>
  </conditionalFormatting>
  <conditionalFormatting sqref="J73">
    <cfRule type="cellIs" dxfId="2700" priority="1152" operator="equal">
      <formula>"U/P"</formula>
    </cfRule>
    <cfRule type="cellIs" dxfId="2699" priority="1154" operator="equal">
      <formula>"F"</formula>
    </cfRule>
    <cfRule type="cellIs" dxfId="2698" priority="1153" operator="equal">
      <formula>"F"</formula>
    </cfRule>
  </conditionalFormatting>
  <conditionalFormatting sqref="J82">
    <cfRule type="cellIs" dxfId="2697" priority="318" operator="equal">
      <formula>"F"</formula>
    </cfRule>
    <cfRule type="cellIs" dxfId="2696" priority="317" operator="equal">
      <formula>"F"</formula>
    </cfRule>
    <cfRule type="cellIs" dxfId="2695" priority="316" operator="equal">
      <formula>"U/P"</formula>
    </cfRule>
  </conditionalFormatting>
  <conditionalFormatting sqref="J90">
    <cfRule type="cellIs" dxfId="2694" priority="1078" operator="equal">
      <formula>"F"</formula>
    </cfRule>
    <cfRule type="cellIs" dxfId="2693" priority="1077" operator="equal">
      <formula>"U/P"</formula>
    </cfRule>
    <cfRule type="cellIs" dxfId="2692" priority="1079" operator="equal">
      <formula>"F"</formula>
    </cfRule>
  </conditionalFormatting>
  <conditionalFormatting sqref="J99">
    <cfRule type="cellIs" dxfId="2691" priority="1032" operator="equal">
      <formula>"U/P"</formula>
    </cfRule>
    <cfRule type="cellIs" dxfId="2690" priority="1033" operator="equal">
      <formula>"F"</formula>
    </cfRule>
    <cfRule type="cellIs" dxfId="2689" priority="1034" operator="equal">
      <formula>"F"</formula>
    </cfRule>
  </conditionalFormatting>
  <conditionalFormatting sqref="J115">
    <cfRule type="cellIs" dxfId="2688" priority="968" operator="equal">
      <formula>"F"</formula>
    </cfRule>
    <cfRule type="cellIs" dxfId="2687" priority="967" operator="equal">
      <formula>"F"</formula>
    </cfRule>
    <cfRule type="cellIs" dxfId="2686" priority="966" operator="equal">
      <formula>"U/P"</formula>
    </cfRule>
  </conditionalFormatting>
  <conditionalFormatting sqref="J123">
    <cfRule type="cellIs" dxfId="2685" priority="930" operator="equal">
      <formula>"U/P"</formula>
    </cfRule>
    <cfRule type="cellIs" dxfId="2684" priority="932" operator="equal">
      <formula>"F"</formula>
    </cfRule>
    <cfRule type="cellIs" dxfId="2683" priority="931" operator="equal">
      <formula>"F"</formula>
    </cfRule>
  </conditionalFormatting>
  <conditionalFormatting sqref="J132">
    <cfRule type="cellIs" dxfId="2682" priority="32" operator="equal">
      <formula>"F"</formula>
    </cfRule>
    <cfRule type="cellIs" dxfId="2681" priority="31" operator="equal">
      <formula>"U/P"</formula>
    </cfRule>
    <cfRule type="cellIs" dxfId="2680" priority="33" operator="equal">
      <formula>"F"</formula>
    </cfRule>
  </conditionalFormatting>
  <conditionalFormatting sqref="J141">
    <cfRule type="cellIs" dxfId="2679" priority="426" operator="equal">
      <formula>"U/P"</formula>
    </cfRule>
    <cfRule type="cellIs" dxfId="2678" priority="427" operator="equal">
      <formula>"F"</formula>
    </cfRule>
    <cfRule type="cellIs" dxfId="2677" priority="428" operator="equal">
      <formula>"F"</formula>
    </cfRule>
  </conditionalFormatting>
  <conditionalFormatting sqref="J150">
    <cfRule type="cellIs" dxfId="2676" priority="876" operator="equal">
      <formula>"U/P"</formula>
    </cfRule>
    <cfRule type="cellIs" dxfId="2675" priority="878" operator="equal">
      <formula>"F"</formula>
    </cfRule>
    <cfRule type="cellIs" dxfId="2674" priority="877" operator="equal">
      <formula>"F"</formula>
    </cfRule>
  </conditionalFormatting>
  <conditionalFormatting sqref="J159">
    <cfRule type="cellIs" dxfId="2673" priority="841" operator="equal">
      <formula>"F"</formula>
    </cfRule>
    <cfRule type="cellIs" dxfId="2672" priority="842" operator="equal">
      <formula>"F"</formula>
    </cfRule>
    <cfRule type="cellIs" dxfId="2671" priority="840" operator="equal">
      <formula>"U/P"</formula>
    </cfRule>
  </conditionalFormatting>
  <conditionalFormatting sqref="J168">
    <cfRule type="cellIs" dxfId="2670" priority="814" operator="equal">
      <formula>"F"</formula>
    </cfRule>
    <cfRule type="cellIs" dxfId="2669" priority="815" operator="equal">
      <formula>"F"</formula>
    </cfRule>
    <cfRule type="cellIs" dxfId="2668" priority="813" operator="equal">
      <formula>"U/P"</formula>
    </cfRule>
  </conditionalFormatting>
  <conditionalFormatting sqref="J176">
    <cfRule type="cellIs" dxfId="2667" priority="298" operator="equal">
      <formula>"U/P"</formula>
    </cfRule>
    <cfRule type="cellIs" dxfId="2666" priority="300" operator="equal">
      <formula>"F"</formula>
    </cfRule>
    <cfRule type="cellIs" dxfId="2665" priority="299" operator="equal">
      <formula>"F"</formula>
    </cfRule>
  </conditionalFormatting>
  <conditionalFormatting sqref="J185">
    <cfRule type="cellIs" dxfId="2664" priority="420" operator="equal">
      <formula>"U/P"</formula>
    </cfRule>
    <cfRule type="cellIs" dxfId="2663" priority="421" operator="equal">
      <formula>"F"</formula>
    </cfRule>
    <cfRule type="cellIs" dxfId="2662" priority="422" operator="equal">
      <formula>"F"</formula>
    </cfRule>
  </conditionalFormatting>
  <conditionalFormatting sqref="J194">
    <cfRule type="cellIs" dxfId="2661" priority="1470" operator="equal">
      <formula>"F"</formula>
    </cfRule>
    <cfRule type="cellIs" dxfId="2660" priority="1469" operator="equal">
      <formula>"U/P"</formula>
    </cfRule>
    <cfRule type="cellIs" dxfId="2659" priority="1471" operator="equal">
      <formula>"F"</formula>
    </cfRule>
  </conditionalFormatting>
  <conditionalFormatting sqref="J202">
    <cfRule type="cellIs" dxfId="2658" priority="749" operator="equal">
      <formula>"F"</formula>
    </cfRule>
    <cfRule type="cellIs" dxfId="2657" priority="748" operator="equal">
      <formula>"F"</formula>
    </cfRule>
    <cfRule type="cellIs" dxfId="2656" priority="747" operator="equal">
      <formula>"U/P"</formula>
    </cfRule>
  </conditionalFormatting>
  <conditionalFormatting sqref="J210">
    <cfRule type="cellIs" dxfId="2655" priority="1456" operator="equal">
      <formula>"F"</formula>
    </cfRule>
    <cfRule type="cellIs" dxfId="2654" priority="1455" operator="equal">
      <formula>"F"</formula>
    </cfRule>
    <cfRule type="cellIs" dxfId="2653" priority="1454" operator="equal">
      <formula>"U/P"</formula>
    </cfRule>
  </conditionalFormatting>
  <conditionalFormatting sqref="J226">
    <cfRule type="cellIs" dxfId="2652" priority="523" operator="equal">
      <formula>"F"</formula>
    </cfRule>
    <cfRule type="cellIs" dxfId="2651" priority="524" operator="equal">
      <formula>"F"</formula>
    </cfRule>
    <cfRule type="cellIs" dxfId="2650" priority="522" operator="equal">
      <formula>"U/P"</formula>
    </cfRule>
  </conditionalFormatting>
  <conditionalFormatting sqref="J235">
    <cfRule type="cellIs" dxfId="2649" priority="403" operator="equal">
      <formula>"U/P"</formula>
    </cfRule>
    <cfRule type="cellIs" dxfId="2648" priority="404" operator="equal">
      <formula>"F"</formula>
    </cfRule>
    <cfRule type="cellIs" dxfId="2647" priority="405" operator="equal">
      <formula>"F"</formula>
    </cfRule>
  </conditionalFormatting>
  <conditionalFormatting sqref="J244">
    <cfRule type="cellIs" dxfId="2646" priority="488" operator="equal">
      <formula>"F"</formula>
    </cfRule>
    <cfRule type="cellIs" dxfId="2645" priority="487" operator="equal">
      <formula>"F"</formula>
    </cfRule>
    <cfRule type="cellIs" dxfId="2644" priority="486" operator="equal">
      <formula>"U/P"</formula>
    </cfRule>
  </conditionalFormatting>
  <conditionalFormatting sqref="J252">
    <cfRule type="cellIs" dxfId="2643" priority="675" operator="equal">
      <formula>"U/P"</formula>
    </cfRule>
    <cfRule type="cellIs" dxfId="2642" priority="676" operator="equal">
      <formula>"F"</formula>
    </cfRule>
    <cfRule type="cellIs" dxfId="2641" priority="677" operator="equal">
      <formula>"F"</formula>
    </cfRule>
  </conditionalFormatting>
  <conditionalFormatting sqref="J268">
    <cfRule type="cellIs" dxfId="2640" priority="66" operator="equal">
      <formula>"F"</formula>
    </cfRule>
    <cfRule type="cellIs" dxfId="2639" priority="64" operator="equal">
      <formula>"U/P"</formula>
    </cfRule>
    <cfRule type="cellIs" dxfId="2638" priority="65" operator="equal">
      <formula>"F"</formula>
    </cfRule>
  </conditionalFormatting>
  <conditionalFormatting sqref="J276">
    <cfRule type="cellIs" dxfId="2637" priority="54" operator="equal">
      <formula>"F"</formula>
    </cfRule>
    <cfRule type="cellIs" dxfId="2636" priority="52" operator="equal">
      <formula>"U/P"</formula>
    </cfRule>
    <cfRule type="cellIs" dxfId="2635" priority="53" operator="equal">
      <formula>"F"</formula>
    </cfRule>
  </conditionalFormatting>
  <conditionalFormatting sqref="J284">
    <cfRule type="cellIs" dxfId="2634" priority="204" operator="equal">
      <formula>"F"</formula>
    </cfRule>
    <cfRule type="cellIs" dxfId="2633" priority="203" operator="equal">
      <formula>"F"</formula>
    </cfRule>
    <cfRule type="cellIs" dxfId="2632" priority="202" operator="equal">
      <formula>"U/P"</formula>
    </cfRule>
  </conditionalFormatting>
  <conditionalFormatting sqref="J292">
    <cfRule type="cellIs" dxfId="2631" priority="437" operator="equal">
      <formula>"F"</formula>
    </cfRule>
    <cfRule type="cellIs" dxfId="2630" priority="438" operator="equal">
      <formula>"F"</formula>
    </cfRule>
    <cfRule type="cellIs" dxfId="2629" priority="436" operator="equal">
      <formula>"U/P"</formula>
    </cfRule>
  </conditionalFormatting>
  <conditionalFormatting sqref="J300">
    <cfRule type="cellIs" dxfId="2628" priority="343" operator="equal">
      <formula>"U/P"</formula>
    </cfRule>
    <cfRule type="cellIs" dxfId="2627" priority="344" operator="equal">
      <formula>"F"</formula>
    </cfRule>
    <cfRule type="cellIs" dxfId="2626" priority="345" operator="equal">
      <formula>"F"</formula>
    </cfRule>
  </conditionalFormatting>
  <conditionalFormatting sqref="J308">
    <cfRule type="cellIs" dxfId="2625" priority="627" operator="equal">
      <formula>"U/P"</formula>
    </cfRule>
    <cfRule type="cellIs" dxfId="2624" priority="628" operator="equal">
      <formula>"F"</formula>
    </cfRule>
    <cfRule type="cellIs" dxfId="2623" priority="629" operator="equal">
      <formula>"F"</formula>
    </cfRule>
  </conditionalFormatting>
  <conditionalFormatting sqref="J315">
    <cfRule type="cellIs" dxfId="2622" priority="601" operator="equal">
      <formula>"F"</formula>
    </cfRule>
    <cfRule type="cellIs" dxfId="2621" priority="602" operator="equal">
      <formula>"F"</formula>
    </cfRule>
    <cfRule type="cellIs" dxfId="2620" priority="600" operator="equal">
      <formula>"U/P"</formula>
    </cfRule>
  </conditionalFormatting>
  <conditionalFormatting sqref="K107">
    <cfRule type="cellIs" dxfId="2619" priority="993" operator="equal">
      <formula>"U/P"</formula>
    </cfRule>
    <cfRule type="cellIs" dxfId="2618" priority="994" operator="equal">
      <formula>"F"</formula>
    </cfRule>
    <cfRule type="cellIs" dxfId="2617" priority="995" operator="equal">
      <formula>"F"</formula>
    </cfRule>
  </conditionalFormatting>
  <conditionalFormatting sqref="L20">
    <cfRule type="cellIs" dxfId="2616" priority="1440" operator="equal">
      <formula>"U/P"</formula>
    </cfRule>
    <cfRule type="cellIs" dxfId="2615" priority="1442" operator="equal">
      <formula>"F"</formula>
    </cfRule>
    <cfRule type="cellIs" dxfId="2614" priority="1441" operator="equal">
      <formula>"F"</formula>
    </cfRule>
  </conditionalFormatting>
  <conditionalFormatting sqref="L27">
    <cfRule type="cellIs" dxfId="2613" priority="1400" operator="equal">
      <formula>"F"</formula>
    </cfRule>
    <cfRule type="cellIs" dxfId="2612" priority="1399" operator="equal">
      <formula>"F"</formula>
    </cfRule>
    <cfRule type="cellIs" dxfId="2611" priority="1398" operator="equal">
      <formula>"U/P"</formula>
    </cfRule>
  </conditionalFormatting>
  <conditionalFormatting sqref="L34">
    <cfRule type="cellIs" dxfId="2610" priority="1359" operator="equal">
      <formula>"U/P"</formula>
    </cfRule>
    <cfRule type="cellIs" dxfId="2609" priority="1360" operator="equal">
      <formula>"F"</formula>
    </cfRule>
    <cfRule type="cellIs" dxfId="2608" priority="1361" operator="equal">
      <formula>"F"</formula>
    </cfRule>
  </conditionalFormatting>
  <conditionalFormatting sqref="L41">
    <cfRule type="cellIs" dxfId="2607" priority="1317" operator="equal">
      <formula>"U/P"</formula>
    </cfRule>
    <cfRule type="cellIs" dxfId="2606" priority="1318" operator="equal">
      <formula>"F"</formula>
    </cfRule>
    <cfRule type="cellIs" dxfId="2605" priority="1319" operator="equal">
      <formula>"F"</formula>
    </cfRule>
  </conditionalFormatting>
  <conditionalFormatting sqref="L48">
    <cfRule type="cellIs" dxfId="2604" priority="1275" operator="equal">
      <formula>"U/P"</formula>
    </cfRule>
    <cfRule type="cellIs" dxfId="2603" priority="1276" operator="equal">
      <formula>"F"</formula>
    </cfRule>
    <cfRule type="cellIs" dxfId="2602" priority="1277" operator="equal">
      <formula>"F"</formula>
    </cfRule>
  </conditionalFormatting>
  <conditionalFormatting sqref="L57">
    <cfRule type="cellIs" dxfId="2601" priority="1235" operator="equal">
      <formula>"F"</formula>
    </cfRule>
    <cfRule type="cellIs" dxfId="2600" priority="1234" operator="equal">
      <formula>"F"</formula>
    </cfRule>
    <cfRule type="cellIs" dxfId="2599" priority="1233" operator="equal">
      <formula>"U/P"</formula>
    </cfRule>
  </conditionalFormatting>
  <conditionalFormatting sqref="L60">
    <cfRule type="cellIs" dxfId="2598" priority="464" operator="equal">
      <formula>0</formula>
    </cfRule>
  </conditionalFormatting>
  <conditionalFormatting sqref="L65">
    <cfRule type="cellIs" dxfId="2597" priority="1191" operator="equal">
      <formula>"U/P"</formula>
    </cfRule>
    <cfRule type="cellIs" dxfId="2596" priority="1192" operator="equal">
      <formula>"F"</formula>
    </cfRule>
    <cfRule type="cellIs" dxfId="2595" priority="1193" operator="equal">
      <formula>"F"</formula>
    </cfRule>
  </conditionalFormatting>
  <conditionalFormatting sqref="L73">
    <cfRule type="cellIs" dxfId="2594" priority="1149" operator="equal">
      <formula>"U/P"</formula>
    </cfRule>
    <cfRule type="cellIs" dxfId="2593" priority="1150" operator="equal">
      <formula>"F"</formula>
    </cfRule>
    <cfRule type="cellIs" dxfId="2592" priority="1151" operator="equal">
      <formula>"F"</formula>
    </cfRule>
  </conditionalFormatting>
  <conditionalFormatting sqref="L82">
    <cfRule type="cellIs" dxfId="2591" priority="1113" operator="equal">
      <formula>"U/P"</formula>
    </cfRule>
    <cfRule type="cellIs" dxfId="2590" priority="1114" operator="equal">
      <formula>"F"</formula>
    </cfRule>
    <cfRule type="cellIs" dxfId="2589" priority="1115" operator="equal">
      <formula>"F"</formula>
    </cfRule>
  </conditionalFormatting>
  <conditionalFormatting sqref="L90">
    <cfRule type="cellIs" dxfId="2588" priority="1074" operator="equal">
      <formula>"U/P"</formula>
    </cfRule>
    <cfRule type="cellIs" dxfId="2587" priority="1075" operator="equal">
      <formula>"F"</formula>
    </cfRule>
    <cfRule type="cellIs" dxfId="2586" priority="1076" operator="equal">
      <formula>"F"</formula>
    </cfRule>
  </conditionalFormatting>
  <conditionalFormatting sqref="L99">
    <cfRule type="cellIs" dxfId="2585" priority="470" operator="equal">
      <formula>"F"</formula>
    </cfRule>
    <cfRule type="cellIs" dxfId="2584" priority="469" operator="equal">
      <formula>"F"</formula>
    </cfRule>
    <cfRule type="cellIs" dxfId="2583" priority="468" operator="equal">
      <formula>"U/P"</formula>
    </cfRule>
  </conditionalFormatting>
  <conditionalFormatting sqref="L115">
    <cfRule type="cellIs" dxfId="2582" priority="963" operator="equal">
      <formula>"U/P"</formula>
    </cfRule>
    <cfRule type="cellIs" dxfId="2581" priority="964" operator="equal">
      <formula>"F"</formula>
    </cfRule>
    <cfRule type="cellIs" dxfId="2580" priority="965" operator="equal">
      <formula>"F"</formula>
    </cfRule>
  </conditionalFormatting>
  <conditionalFormatting sqref="L123">
    <cfRule type="cellIs" dxfId="2579" priority="927" operator="equal">
      <formula>"U/P"</formula>
    </cfRule>
    <cfRule type="cellIs" dxfId="2578" priority="928" operator="equal">
      <formula>"F"</formula>
    </cfRule>
    <cfRule type="cellIs" dxfId="2577" priority="929" operator="equal">
      <formula>"F"</formula>
    </cfRule>
  </conditionalFormatting>
  <conditionalFormatting sqref="L132">
    <cfRule type="cellIs" dxfId="2576" priority="100" operator="equal">
      <formula>"U/P"</formula>
    </cfRule>
    <cfRule type="cellIs" dxfId="2575" priority="101" operator="equal">
      <formula>"F"</formula>
    </cfRule>
    <cfRule type="cellIs" dxfId="2574" priority="102" operator="equal">
      <formula>"F"</formula>
    </cfRule>
  </conditionalFormatting>
  <conditionalFormatting sqref="L141">
    <cfRule type="cellIs" dxfId="2573" priority="900" operator="equal">
      <formula>"U/P"</formula>
    </cfRule>
    <cfRule type="cellIs" dxfId="2572" priority="901" operator="equal">
      <formula>"F"</formula>
    </cfRule>
    <cfRule type="cellIs" dxfId="2571" priority="902" operator="equal">
      <formula>"F"</formula>
    </cfRule>
  </conditionalFormatting>
  <conditionalFormatting sqref="L150">
    <cfRule type="cellIs" dxfId="2570" priority="875" operator="equal">
      <formula>"F"</formula>
    </cfRule>
    <cfRule type="cellIs" dxfId="2569" priority="874" operator="equal">
      <formula>"F"</formula>
    </cfRule>
    <cfRule type="cellIs" dxfId="2568" priority="873" operator="equal">
      <formula>"U/P"</formula>
    </cfRule>
  </conditionalFormatting>
  <conditionalFormatting sqref="L159">
    <cfRule type="cellIs" dxfId="2567" priority="837" operator="equal">
      <formula>"U/P"</formula>
    </cfRule>
    <cfRule type="cellIs" dxfId="2566" priority="838" operator="equal">
      <formula>"F"</formula>
    </cfRule>
    <cfRule type="cellIs" dxfId="2565" priority="839" operator="equal">
      <formula>"F"</formula>
    </cfRule>
  </conditionalFormatting>
  <conditionalFormatting sqref="L168">
    <cfRule type="cellIs" dxfId="2564" priority="812" operator="equal">
      <formula>"F"</formula>
    </cfRule>
    <cfRule type="cellIs" dxfId="2563" priority="810" operator="equal">
      <formula>"U/P"</formula>
    </cfRule>
    <cfRule type="cellIs" dxfId="2562" priority="811" operator="equal">
      <formula>"F"</formula>
    </cfRule>
  </conditionalFormatting>
  <conditionalFormatting sqref="L171 N171 P171 R171 V171 X171 Z171 AB171">
    <cfRule type="cellIs" dxfId="2561" priority="1473" operator="equal">
      <formula>0</formula>
    </cfRule>
  </conditionalFormatting>
  <conditionalFormatting sqref="L176">
    <cfRule type="cellIs" dxfId="2560" priority="780" operator="equal">
      <formula>"U/P"</formula>
    </cfRule>
    <cfRule type="cellIs" dxfId="2559" priority="782" operator="equal">
      <formula>"F"</formula>
    </cfRule>
    <cfRule type="cellIs" dxfId="2558" priority="781" operator="equal">
      <formula>"F"</formula>
    </cfRule>
  </conditionalFormatting>
  <conditionalFormatting sqref="L185">
    <cfRule type="cellIs" dxfId="2557" priority="761" operator="equal">
      <formula>"F"</formula>
    </cfRule>
    <cfRule type="cellIs" dxfId="2556" priority="760" operator="equal">
      <formula>"F"</formula>
    </cfRule>
    <cfRule type="cellIs" dxfId="2555" priority="759" operator="equal">
      <formula>"U/P"</formula>
    </cfRule>
  </conditionalFormatting>
  <conditionalFormatting sqref="L194">
    <cfRule type="cellIs" dxfId="2554" priority="1466" operator="equal">
      <formula>"U/P"</formula>
    </cfRule>
    <cfRule type="cellIs" dxfId="2553" priority="1468" operator="equal">
      <formula>"F"</formula>
    </cfRule>
    <cfRule type="cellIs" dxfId="2552" priority="1467" operator="equal">
      <formula>"F"</formula>
    </cfRule>
  </conditionalFormatting>
  <conditionalFormatting sqref="L202">
    <cfRule type="cellIs" dxfId="2551" priority="746" operator="equal">
      <formula>"F"</formula>
    </cfRule>
    <cfRule type="cellIs" dxfId="2550" priority="744" operator="equal">
      <formula>"U/P"</formula>
    </cfRule>
    <cfRule type="cellIs" dxfId="2549" priority="745" operator="equal">
      <formula>"F"</formula>
    </cfRule>
  </conditionalFormatting>
  <conditionalFormatting sqref="L210">
    <cfRule type="cellIs" dxfId="2548" priority="510" operator="equal">
      <formula>"U/P"</formula>
    </cfRule>
    <cfRule type="cellIs" dxfId="2547" priority="512" operator="equal">
      <formula>"F"</formula>
    </cfRule>
    <cfRule type="cellIs" dxfId="2546" priority="511" operator="equal">
      <formula>"F"</formula>
    </cfRule>
  </conditionalFormatting>
  <conditionalFormatting sqref="L218">
    <cfRule type="cellIs" dxfId="2545" priority="497" operator="equal">
      <formula>"F"</formula>
    </cfRule>
    <cfRule type="cellIs" dxfId="2544" priority="496" operator="equal">
      <formula>"F"</formula>
    </cfRule>
    <cfRule type="cellIs" dxfId="2543" priority="495" operator="equal">
      <formula>"U/P"</formula>
    </cfRule>
  </conditionalFormatting>
  <conditionalFormatting sqref="L226">
    <cfRule type="cellIs" dxfId="2542" priority="508" operator="equal">
      <formula>"F"</formula>
    </cfRule>
    <cfRule type="cellIs" dxfId="2541" priority="507" operator="equal">
      <formula>"U/P"</formula>
    </cfRule>
    <cfRule type="cellIs" dxfId="2540" priority="509" operator="equal">
      <formula>"F"</formula>
    </cfRule>
  </conditionalFormatting>
  <conditionalFormatting sqref="L235">
    <cfRule type="cellIs" dxfId="2539" priority="376" operator="equal">
      <formula>"U/P"</formula>
    </cfRule>
    <cfRule type="cellIs" dxfId="2538" priority="377" operator="equal">
      <formula>"F"</formula>
    </cfRule>
    <cfRule type="cellIs" dxfId="2537" priority="378" operator="equal">
      <formula>"F"</formula>
    </cfRule>
  </conditionalFormatting>
  <conditionalFormatting sqref="L244">
    <cfRule type="cellIs" dxfId="2536" priority="682" operator="equal">
      <formula>"F"</formula>
    </cfRule>
    <cfRule type="cellIs" dxfId="2535" priority="683" operator="equal">
      <formula>"F"</formula>
    </cfRule>
    <cfRule type="cellIs" dxfId="2534" priority="681" operator="equal">
      <formula>"U/P"</formula>
    </cfRule>
  </conditionalFormatting>
  <conditionalFormatting sqref="L252">
    <cfRule type="cellIs" dxfId="2533" priority="669" operator="equal">
      <formula>"U/P"</formula>
    </cfRule>
    <cfRule type="cellIs" dxfId="2532" priority="670" operator="equal">
      <formula>"F"</formula>
    </cfRule>
    <cfRule type="cellIs" dxfId="2531" priority="671" operator="equal">
      <formula>"F"</formula>
    </cfRule>
  </conditionalFormatting>
  <conditionalFormatting sqref="L260">
    <cfRule type="cellIs" dxfId="2530" priority="662" operator="equal">
      <formula>"F"</formula>
    </cfRule>
    <cfRule type="cellIs" dxfId="2529" priority="661" operator="equal">
      <formula>"F"</formula>
    </cfRule>
    <cfRule type="cellIs" dxfId="2528" priority="660" operator="equal">
      <formula>"U/P"</formula>
    </cfRule>
  </conditionalFormatting>
  <conditionalFormatting sqref="L268">
    <cfRule type="cellIs" dxfId="2527" priority="90" operator="equal">
      <formula>"F"</formula>
    </cfRule>
    <cfRule type="cellIs" dxfId="2526" priority="89" operator="equal">
      <formula>"F"</formula>
    </cfRule>
    <cfRule type="cellIs" dxfId="2525" priority="88" operator="equal">
      <formula>"U/P"</formula>
    </cfRule>
  </conditionalFormatting>
  <conditionalFormatting sqref="L276">
    <cfRule type="cellIs" dxfId="2524" priority="650" operator="equal">
      <formula>"F"</formula>
    </cfRule>
    <cfRule type="cellIs" dxfId="2523" priority="649" operator="equal">
      <formula>"F"</formula>
    </cfRule>
    <cfRule type="cellIs" dxfId="2522" priority="648" operator="equal">
      <formula>"U/P"</formula>
    </cfRule>
  </conditionalFormatting>
  <conditionalFormatting sqref="L284">
    <cfRule type="cellIs" dxfId="2521" priority="230" operator="equal">
      <formula>"F"</formula>
    </cfRule>
    <cfRule type="cellIs" dxfId="2520" priority="229" operator="equal">
      <formula>"U/P"</formula>
    </cfRule>
    <cfRule type="cellIs" dxfId="2519" priority="231" operator="equal">
      <formula>"F"</formula>
    </cfRule>
  </conditionalFormatting>
  <conditionalFormatting sqref="L292">
    <cfRule type="cellIs" dxfId="2518" priority="478" operator="equal">
      <formula>"F"</formula>
    </cfRule>
    <cfRule type="cellIs" dxfId="2517" priority="479" operator="equal">
      <formula>"F"</formula>
    </cfRule>
    <cfRule type="cellIs" dxfId="2516" priority="477" operator="equal">
      <formula>"U/P"</formula>
    </cfRule>
  </conditionalFormatting>
  <conditionalFormatting sqref="L300">
    <cfRule type="cellIs" dxfId="2515" priority="302" operator="equal">
      <formula>"F"</formula>
    </cfRule>
    <cfRule type="cellIs" dxfId="2514" priority="303" operator="equal">
      <formula>"F"</formula>
    </cfRule>
    <cfRule type="cellIs" dxfId="2513" priority="301" operator="equal">
      <formula>"U/P"</formula>
    </cfRule>
  </conditionalFormatting>
  <conditionalFormatting sqref="L308">
    <cfRule type="cellIs" dxfId="2512" priority="615" operator="equal">
      <formula>"U/P"</formula>
    </cfRule>
    <cfRule type="cellIs" dxfId="2511" priority="617" operator="equal">
      <formula>"F"</formula>
    </cfRule>
    <cfRule type="cellIs" dxfId="2510" priority="616" operator="equal">
      <formula>"F"</formula>
    </cfRule>
  </conditionalFormatting>
  <conditionalFormatting sqref="L315">
    <cfRule type="cellIs" dxfId="2509" priority="593" operator="equal">
      <formula>"F"</formula>
    </cfRule>
    <cfRule type="cellIs" dxfId="2508" priority="592" operator="equal">
      <formula>"F"</formula>
    </cfRule>
    <cfRule type="cellIs" dxfId="2507" priority="591" operator="equal">
      <formula>"U/P"</formula>
    </cfRule>
  </conditionalFormatting>
  <conditionalFormatting sqref="M107">
    <cfRule type="cellIs" dxfId="2506" priority="990" operator="equal">
      <formula>"U/P"</formula>
    </cfRule>
    <cfRule type="cellIs" dxfId="2505" priority="991" operator="equal">
      <formula>"F"</formula>
    </cfRule>
    <cfRule type="cellIs" dxfId="2504" priority="992" operator="equal">
      <formula>"F"</formula>
    </cfRule>
  </conditionalFormatting>
  <conditionalFormatting sqref="M213">
    <cfRule type="cellIs" dxfId="2503" priority="358" operator="equal">
      <formula>"U/P"</formula>
    </cfRule>
    <cfRule type="cellIs" dxfId="2502" priority="359" operator="equal">
      <formula>"F"</formula>
    </cfRule>
    <cfRule type="cellIs" dxfId="2501" priority="360" operator="equal">
      <formula>"F"</formula>
    </cfRule>
  </conditionalFormatting>
  <conditionalFormatting sqref="N20">
    <cfRule type="cellIs" dxfId="2500" priority="1439" operator="equal">
      <formula>"F"</formula>
    </cfRule>
    <cfRule type="cellIs" dxfId="2499" priority="1438" operator="equal">
      <formula>"F"</formula>
    </cfRule>
    <cfRule type="cellIs" dxfId="2498" priority="1437" operator="equal">
      <formula>"U/P"</formula>
    </cfRule>
  </conditionalFormatting>
  <conditionalFormatting sqref="N27">
    <cfRule type="cellIs" dxfId="2497" priority="1396" operator="equal">
      <formula>"F"</formula>
    </cfRule>
    <cfRule type="cellIs" dxfId="2496" priority="1397" operator="equal">
      <formula>"F"</formula>
    </cfRule>
    <cfRule type="cellIs" dxfId="2495" priority="1395" operator="equal">
      <formula>"U/P"</formula>
    </cfRule>
  </conditionalFormatting>
  <conditionalFormatting sqref="N34">
    <cfRule type="cellIs" dxfId="2494" priority="1356" operator="equal">
      <formula>"U/P"</formula>
    </cfRule>
    <cfRule type="cellIs" dxfId="2493" priority="1357" operator="equal">
      <formula>"F"</formula>
    </cfRule>
    <cfRule type="cellIs" dxfId="2492" priority="1358" operator="equal">
      <formula>"F"</formula>
    </cfRule>
  </conditionalFormatting>
  <conditionalFormatting sqref="N41">
    <cfRule type="cellIs" dxfId="2491" priority="1314" operator="equal">
      <formula>"U/P"</formula>
    </cfRule>
    <cfRule type="cellIs" dxfId="2490" priority="1315" operator="equal">
      <formula>"F"</formula>
    </cfRule>
    <cfRule type="cellIs" dxfId="2489" priority="1316" operator="equal">
      <formula>"F"</formula>
    </cfRule>
  </conditionalFormatting>
  <conditionalFormatting sqref="N48">
    <cfRule type="cellIs" dxfId="2488" priority="1274" operator="equal">
      <formula>"F"</formula>
    </cfRule>
    <cfRule type="cellIs" dxfId="2487" priority="1273" operator="equal">
      <formula>"F"</formula>
    </cfRule>
    <cfRule type="cellIs" dxfId="2486" priority="1272" operator="equal">
      <formula>"U/P"</formula>
    </cfRule>
  </conditionalFormatting>
  <conditionalFormatting sqref="N57">
    <cfRule type="cellIs" dxfId="2485" priority="1230" operator="equal">
      <formula>"U/P"</formula>
    </cfRule>
    <cfRule type="cellIs" dxfId="2484" priority="1232" operator="equal">
      <formula>"F"</formula>
    </cfRule>
    <cfRule type="cellIs" dxfId="2483" priority="1231" operator="equal">
      <formula>"F"</formula>
    </cfRule>
  </conditionalFormatting>
  <conditionalFormatting sqref="N65">
    <cfRule type="cellIs" dxfId="2482" priority="1188" operator="equal">
      <formula>"U/P"</formula>
    </cfRule>
    <cfRule type="cellIs" dxfId="2481" priority="1189" operator="equal">
      <formula>"F"</formula>
    </cfRule>
    <cfRule type="cellIs" dxfId="2480" priority="1190" operator="equal">
      <formula>"F"</formula>
    </cfRule>
  </conditionalFormatting>
  <conditionalFormatting sqref="N73">
    <cfRule type="cellIs" dxfId="2479" priority="1147" operator="equal">
      <formula>"F"</formula>
    </cfRule>
    <cfRule type="cellIs" dxfId="2478" priority="1146" operator="equal">
      <formula>"U/P"</formula>
    </cfRule>
    <cfRule type="cellIs" dxfId="2477" priority="1148" operator="equal">
      <formula>"F"</formula>
    </cfRule>
  </conditionalFormatting>
  <conditionalFormatting sqref="N82">
    <cfRule type="cellIs" dxfId="2476" priority="1111" operator="equal">
      <formula>"F"</formula>
    </cfRule>
    <cfRule type="cellIs" dxfId="2475" priority="1110" operator="equal">
      <formula>"U/P"</formula>
    </cfRule>
    <cfRule type="cellIs" dxfId="2474" priority="1112" operator="equal">
      <formula>"F"</formula>
    </cfRule>
  </conditionalFormatting>
  <conditionalFormatting sqref="N90">
    <cfRule type="cellIs" dxfId="2473" priority="1071" operator="equal">
      <formula>"U/P"</formula>
    </cfRule>
    <cfRule type="cellIs" dxfId="2472" priority="1072" operator="equal">
      <formula>"F"</formula>
    </cfRule>
    <cfRule type="cellIs" dxfId="2471" priority="1073" operator="equal">
      <formula>"F"</formula>
    </cfRule>
  </conditionalFormatting>
  <conditionalFormatting sqref="N99">
    <cfRule type="cellIs" dxfId="2470" priority="1029" operator="equal">
      <formula>"U/P"</formula>
    </cfRule>
    <cfRule type="cellIs" dxfId="2469" priority="1030" operator="equal">
      <formula>"F"</formula>
    </cfRule>
    <cfRule type="cellIs" dxfId="2468" priority="1031" operator="equal">
      <formula>"F"</formula>
    </cfRule>
  </conditionalFormatting>
  <conditionalFormatting sqref="N115">
    <cfRule type="cellIs" dxfId="2467" priority="962" operator="equal">
      <formula>"F"</formula>
    </cfRule>
    <cfRule type="cellIs" dxfId="2466" priority="961" operator="equal">
      <formula>"F"</formula>
    </cfRule>
    <cfRule type="cellIs" dxfId="2465" priority="960" operator="equal">
      <formula>"U/P"</formula>
    </cfRule>
  </conditionalFormatting>
  <conditionalFormatting sqref="N123">
    <cfRule type="cellIs" dxfId="2464" priority="431" operator="equal">
      <formula>"F"</formula>
    </cfRule>
    <cfRule type="cellIs" dxfId="2463" priority="430" operator="equal">
      <formula>"F"</formula>
    </cfRule>
    <cfRule type="cellIs" dxfId="2462" priority="429" operator="equal">
      <formula>"U/P"</formula>
    </cfRule>
  </conditionalFormatting>
  <conditionalFormatting sqref="N132">
    <cfRule type="cellIs" dxfId="2461" priority="1493" operator="equal">
      <formula>"F"</formula>
    </cfRule>
    <cfRule type="cellIs" dxfId="2460" priority="1494" operator="equal">
      <formula>"F"</formula>
    </cfRule>
    <cfRule type="cellIs" dxfId="2459" priority="1492" operator="equal">
      <formula>"U/P"</formula>
    </cfRule>
  </conditionalFormatting>
  <conditionalFormatting sqref="N141">
    <cfRule type="cellIs" dxfId="2458" priority="898" operator="equal">
      <formula>"F"</formula>
    </cfRule>
    <cfRule type="cellIs" dxfId="2457" priority="899" operator="equal">
      <formula>"F"</formula>
    </cfRule>
    <cfRule type="cellIs" dxfId="2456" priority="897" operator="equal">
      <formula>"U/P"</formula>
    </cfRule>
  </conditionalFormatting>
  <conditionalFormatting sqref="N150">
    <cfRule type="cellIs" dxfId="2455" priority="872" operator="equal">
      <formula>"F"</formula>
    </cfRule>
    <cfRule type="cellIs" dxfId="2454" priority="871" operator="equal">
      <formula>"F"</formula>
    </cfRule>
    <cfRule type="cellIs" dxfId="2453" priority="870" operator="equal">
      <formula>"U/P"</formula>
    </cfRule>
  </conditionalFormatting>
  <conditionalFormatting sqref="N159">
    <cfRule type="cellIs" dxfId="2452" priority="834" operator="equal">
      <formula>"U/P"</formula>
    </cfRule>
    <cfRule type="cellIs" dxfId="2451" priority="835" operator="equal">
      <formula>"F"</formula>
    </cfRule>
    <cfRule type="cellIs" dxfId="2450" priority="836" operator="equal">
      <formula>"F"</formula>
    </cfRule>
  </conditionalFormatting>
  <conditionalFormatting sqref="N168">
    <cfRule type="cellIs" dxfId="2449" priority="456" operator="equal">
      <formula>"F"</formula>
    </cfRule>
    <cfRule type="cellIs" dxfId="2448" priority="454" operator="equal">
      <formula>"U/P"</formula>
    </cfRule>
    <cfRule type="cellIs" dxfId="2447" priority="455" operator="equal">
      <formula>"F"</formula>
    </cfRule>
  </conditionalFormatting>
  <conditionalFormatting sqref="N176">
    <cfRule type="cellIs" dxfId="2446" priority="778" operator="equal">
      <formula>"F"</formula>
    </cfRule>
    <cfRule type="cellIs" dxfId="2445" priority="777" operator="equal">
      <formula>"U/P"</formula>
    </cfRule>
    <cfRule type="cellIs" dxfId="2444" priority="779" operator="equal">
      <formula>"F"</formula>
    </cfRule>
  </conditionalFormatting>
  <conditionalFormatting sqref="N185">
    <cfRule type="cellIs" dxfId="2443" priority="489" operator="equal">
      <formula>"U/P"</formula>
    </cfRule>
    <cfRule type="cellIs" dxfId="2442" priority="491" operator="equal">
      <formula>"F"</formula>
    </cfRule>
    <cfRule type="cellIs" dxfId="2441" priority="490" operator="equal">
      <formula>"F"</formula>
    </cfRule>
  </conditionalFormatting>
  <conditionalFormatting sqref="N194">
    <cfRule type="cellIs" dxfId="2440" priority="156" operator="equal">
      <formula>"F"</formula>
    </cfRule>
    <cfRule type="cellIs" dxfId="2439" priority="154" operator="equal">
      <formula>"U/P"</formula>
    </cfRule>
    <cfRule type="cellIs" dxfId="2438" priority="155" operator="equal">
      <formula>"F"</formula>
    </cfRule>
  </conditionalFormatting>
  <conditionalFormatting sqref="N202">
    <cfRule type="cellIs" dxfId="2437" priority="281" operator="equal">
      <formula>"F"</formula>
    </cfRule>
    <cfRule type="cellIs" dxfId="2436" priority="280" operator="equal">
      <formula>"U/P"</formula>
    </cfRule>
    <cfRule type="cellIs" dxfId="2435" priority="282" operator="equal">
      <formula>"F"</formula>
    </cfRule>
  </conditionalFormatting>
  <conditionalFormatting sqref="N210">
    <cfRule type="cellIs" dxfId="2434" priority="738" operator="equal">
      <formula>"U/P"</formula>
    </cfRule>
    <cfRule type="cellIs" dxfId="2433" priority="739" operator="equal">
      <formula>"F"</formula>
    </cfRule>
    <cfRule type="cellIs" dxfId="2432" priority="740" operator="equal">
      <formula>"F"</formula>
    </cfRule>
  </conditionalFormatting>
  <conditionalFormatting sqref="N226">
    <cfRule type="cellIs" dxfId="2431" priority="519" operator="equal">
      <formula>"U/P"</formula>
    </cfRule>
    <cfRule type="cellIs" dxfId="2430" priority="521" operator="equal">
      <formula>"F"</formula>
    </cfRule>
    <cfRule type="cellIs" dxfId="2429" priority="520" operator="equal">
      <formula>"F"</formula>
    </cfRule>
  </conditionalFormatting>
  <conditionalFormatting sqref="N235">
    <cfRule type="cellIs" dxfId="2428" priority="304" operator="equal">
      <formula>"U/P"</formula>
    </cfRule>
    <cfRule type="cellIs" dxfId="2427" priority="305" operator="equal">
      <formula>"F"</formula>
    </cfRule>
    <cfRule type="cellIs" dxfId="2426" priority="306" operator="equal">
      <formula>"F"</formula>
    </cfRule>
  </conditionalFormatting>
  <conditionalFormatting sqref="N244">
    <cfRule type="cellIs" dxfId="2425" priority="679" operator="equal">
      <formula>"F"</formula>
    </cfRule>
    <cfRule type="cellIs" dxfId="2424" priority="678" operator="equal">
      <formula>"U/P"</formula>
    </cfRule>
    <cfRule type="cellIs" dxfId="2423" priority="680" operator="equal">
      <formula>"F"</formula>
    </cfRule>
  </conditionalFormatting>
  <conditionalFormatting sqref="N252">
    <cfRule type="cellIs" dxfId="2422" priority="132" operator="equal">
      <formula>"F"</formula>
    </cfRule>
    <cfRule type="cellIs" dxfId="2421" priority="131" operator="equal">
      <formula>"F"</formula>
    </cfRule>
    <cfRule type="cellIs" dxfId="2420" priority="130" operator="equal">
      <formula>"U/P"</formula>
    </cfRule>
  </conditionalFormatting>
  <conditionalFormatting sqref="N268">
    <cfRule type="cellIs" dxfId="2419" priority="103" operator="equal">
      <formula>"U/P"</formula>
    </cfRule>
    <cfRule type="cellIs" dxfId="2418" priority="105" operator="equal">
      <formula>"F"</formula>
    </cfRule>
    <cfRule type="cellIs" dxfId="2417" priority="104" operator="equal">
      <formula>"F"</formula>
    </cfRule>
  </conditionalFormatting>
  <conditionalFormatting sqref="N276">
    <cfRule type="cellIs" dxfId="2416" priority="120" operator="equal">
      <formula>"F"</formula>
    </cfRule>
    <cfRule type="cellIs" dxfId="2415" priority="119" operator="equal">
      <formula>"F"</formula>
    </cfRule>
    <cfRule type="cellIs" dxfId="2414" priority="118" operator="equal">
      <formula>"U/P"</formula>
    </cfRule>
  </conditionalFormatting>
  <conditionalFormatting sqref="N284">
    <cfRule type="cellIs" dxfId="2413" priority="641" operator="equal">
      <formula>"F"</formula>
    </cfRule>
    <cfRule type="cellIs" dxfId="2412" priority="640" operator="equal">
      <formula>"F"</formula>
    </cfRule>
    <cfRule type="cellIs" dxfId="2411" priority="639" operator="equal">
      <formula>"U/P"</formula>
    </cfRule>
  </conditionalFormatting>
  <conditionalFormatting sqref="N292">
    <cfRule type="cellIs" dxfId="2410" priority="441" operator="equal">
      <formula>"F"</formula>
    </cfRule>
    <cfRule type="cellIs" dxfId="2409" priority="439" operator="equal">
      <formula>"U/P"</formula>
    </cfRule>
    <cfRule type="cellIs" dxfId="2408" priority="440" operator="equal">
      <formula>"F"</formula>
    </cfRule>
  </conditionalFormatting>
  <conditionalFormatting sqref="N300">
    <cfRule type="cellIs" dxfId="2407" priority="288" operator="equal">
      <formula>"F"</formula>
    </cfRule>
    <cfRule type="cellIs" dxfId="2406" priority="287" operator="equal">
      <formula>"F"</formula>
    </cfRule>
    <cfRule type="cellIs" dxfId="2405" priority="286" operator="equal">
      <formula>"U/P"</formula>
    </cfRule>
  </conditionalFormatting>
  <conditionalFormatting sqref="N308">
    <cfRule type="cellIs" dxfId="2404" priority="612" operator="equal">
      <formula>"U/P"</formula>
    </cfRule>
    <cfRule type="cellIs" dxfId="2403" priority="613" operator="equal">
      <formula>"F"</formula>
    </cfRule>
    <cfRule type="cellIs" dxfId="2402" priority="614" operator="equal">
      <formula>"F"</formula>
    </cfRule>
  </conditionalFormatting>
  <conditionalFormatting sqref="N315">
    <cfRule type="cellIs" dxfId="2401" priority="590" operator="equal">
      <formula>"F"</formula>
    </cfRule>
    <cfRule type="cellIs" dxfId="2400" priority="588" operator="equal">
      <formula>"U/P"</formula>
    </cfRule>
    <cfRule type="cellIs" dxfId="2399" priority="589" operator="equal">
      <formula>"F"</formula>
    </cfRule>
  </conditionalFormatting>
  <conditionalFormatting sqref="O107">
    <cfRule type="cellIs" dxfId="2398" priority="987" operator="equal">
      <formula>"U/P"</formula>
    </cfRule>
    <cfRule type="cellIs" dxfId="2397" priority="988" operator="equal">
      <formula>"F"</formula>
    </cfRule>
    <cfRule type="cellIs" dxfId="2396" priority="989" operator="equal">
      <formula>"F"</formula>
    </cfRule>
  </conditionalFormatting>
  <conditionalFormatting sqref="P20">
    <cfRule type="cellIs" dxfId="2395" priority="1434" operator="equal">
      <formula>"U/P"</formula>
    </cfRule>
    <cfRule type="cellIs" dxfId="2394" priority="1435" operator="equal">
      <formula>"F"</formula>
    </cfRule>
    <cfRule type="cellIs" dxfId="2393" priority="1436" operator="equal">
      <formula>"F"</formula>
    </cfRule>
  </conditionalFormatting>
  <conditionalFormatting sqref="P27">
    <cfRule type="cellIs" dxfId="2392" priority="1394" operator="equal">
      <formula>"F"</formula>
    </cfRule>
    <cfRule type="cellIs" dxfId="2391" priority="1393" operator="equal">
      <formula>"F"</formula>
    </cfRule>
    <cfRule type="cellIs" dxfId="2390" priority="1392" operator="equal">
      <formula>"U/P"</formula>
    </cfRule>
  </conditionalFormatting>
  <conditionalFormatting sqref="P34">
    <cfRule type="cellIs" dxfId="2389" priority="1353" operator="equal">
      <formula>"U/P"</formula>
    </cfRule>
    <cfRule type="cellIs" dxfId="2388" priority="1355" operator="equal">
      <formula>"F"</formula>
    </cfRule>
    <cfRule type="cellIs" dxfId="2387" priority="1354" operator="equal">
      <formula>"F"</formula>
    </cfRule>
  </conditionalFormatting>
  <conditionalFormatting sqref="P41">
    <cfRule type="cellIs" dxfId="2386" priority="1311" operator="equal">
      <formula>"U/P"</formula>
    </cfRule>
    <cfRule type="cellIs" dxfId="2385" priority="1312" operator="equal">
      <formula>"F"</formula>
    </cfRule>
    <cfRule type="cellIs" dxfId="2384" priority="1313" operator="equal">
      <formula>"F"</formula>
    </cfRule>
  </conditionalFormatting>
  <conditionalFormatting sqref="P48">
    <cfRule type="cellIs" dxfId="2383" priority="1271" operator="equal">
      <formula>"F"</formula>
    </cfRule>
    <cfRule type="cellIs" dxfId="2382" priority="1270" operator="equal">
      <formula>"F"</formula>
    </cfRule>
    <cfRule type="cellIs" dxfId="2381" priority="1269" operator="equal">
      <formula>"U/P"</formula>
    </cfRule>
  </conditionalFormatting>
  <conditionalFormatting sqref="P57">
    <cfRule type="cellIs" dxfId="2380" priority="1227" operator="equal">
      <formula>"U/P"</formula>
    </cfRule>
    <cfRule type="cellIs" dxfId="2379" priority="1228" operator="equal">
      <formula>"F"</formula>
    </cfRule>
    <cfRule type="cellIs" dxfId="2378" priority="1229" operator="equal">
      <formula>"F"</formula>
    </cfRule>
  </conditionalFormatting>
  <conditionalFormatting sqref="P65">
    <cfRule type="cellIs" dxfId="2377" priority="1187" operator="equal">
      <formula>"F"</formula>
    </cfRule>
    <cfRule type="cellIs" dxfId="2376" priority="1185" operator="equal">
      <formula>"U/P"</formula>
    </cfRule>
    <cfRule type="cellIs" dxfId="2375" priority="1186" operator="equal">
      <formula>"F"</formula>
    </cfRule>
  </conditionalFormatting>
  <conditionalFormatting sqref="P73">
    <cfRule type="cellIs" dxfId="2374" priority="1145" operator="equal">
      <formula>"F"</formula>
    </cfRule>
    <cfRule type="cellIs" dxfId="2373" priority="1143" operator="equal">
      <formula>"U/P"</formula>
    </cfRule>
    <cfRule type="cellIs" dxfId="2372" priority="1144" operator="equal">
      <formula>"F"</formula>
    </cfRule>
  </conditionalFormatting>
  <conditionalFormatting sqref="P82">
    <cfRule type="cellIs" dxfId="2371" priority="1109" operator="equal">
      <formula>"F"</formula>
    </cfRule>
    <cfRule type="cellIs" dxfId="2370" priority="1108" operator="equal">
      <formula>"F"</formula>
    </cfRule>
    <cfRule type="cellIs" dxfId="2369" priority="1107" operator="equal">
      <formula>"U/P"</formula>
    </cfRule>
  </conditionalFormatting>
  <conditionalFormatting sqref="P90">
    <cfRule type="cellIs" dxfId="2368" priority="1070" operator="equal">
      <formula>"F"</formula>
    </cfRule>
    <cfRule type="cellIs" dxfId="2367" priority="1069" operator="equal">
      <formula>"F"</formula>
    </cfRule>
    <cfRule type="cellIs" dxfId="2366" priority="1068" operator="equal">
      <formula>"U/P"</formula>
    </cfRule>
  </conditionalFormatting>
  <conditionalFormatting sqref="P99">
    <cfRule type="cellIs" dxfId="2365" priority="1026" operator="equal">
      <formula>"U/P"</formula>
    </cfRule>
    <cfRule type="cellIs" dxfId="2364" priority="1027" operator="equal">
      <formula>"F"</formula>
    </cfRule>
    <cfRule type="cellIs" dxfId="2363" priority="1028" operator="equal">
      <formula>"F"</formula>
    </cfRule>
  </conditionalFormatting>
  <conditionalFormatting sqref="P115">
    <cfRule type="cellIs" dxfId="2362" priority="957" operator="equal">
      <formula>"U/P"</formula>
    </cfRule>
    <cfRule type="cellIs" dxfId="2361" priority="958" operator="equal">
      <formula>"F"</formula>
    </cfRule>
    <cfRule type="cellIs" dxfId="2360" priority="959" operator="equal">
      <formula>"F"</formula>
    </cfRule>
  </conditionalFormatting>
  <conditionalFormatting sqref="P123">
    <cfRule type="cellIs" dxfId="2359" priority="545" operator="equal">
      <formula>"F"</formula>
    </cfRule>
    <cfRule type="cellIs" dxfId="2358" priority="543" operator="equal">
      <formula>"U/P"</formula>
    </cfRule>
    <cfRule type="cellIs" dxfId="2357" priority="544" operator="equal">
      <formula>"F"</formula>
    </cfRule>
  </conditionalFormatting>
  <conditionalFormatting sqref="P132">
    <cfRule type="cellIs" dxfId="2356" priority="106" operator="equal">
      <formula>"U/P"</formula>
    </cfRule>
    <cfRule type="cellIs" dxfId="2355" priority="107" operator="equal">
      <formula>"F"</formula>
    </cfRule>
    <cfRule type="cellIs" dxfId="2354" priority="108" operator="equal">
      <formula>"F"</formula>
    </cfRule>
  </conditionalFormatting>
  <conditionalFormatting sqref="P141">
    <cfRule type="cellIs" dxfId="2353" priority="895" operator="equal">
      <formula>"F"</formula>
    </cfRule>
    <cfRule type="cellIs" dxfId="2352" priority="894" operator="equal">
      <formula>"U/P"</formula>
    </cfRule>
    <cfRule type="cellIs" dxfId="2351" priority="896" operator="equal">
      <formula>"F"</formula>
    </cfRule>
  </conditionalFormatting>
  <conditionalFormatting sqref="P150">
    <cfRule type="cellIs" dxfId="2350" priority="868" operator="equal">
      <formula>"F"</formula>
    </cfRule>
    <cfRule type="cellIs" dxfId="2349" priority="869" operator="equal">
      <formula>"F"</formula>
    </cfRule>
    <cfRule type="cellIs" dxfId="2348" priority="867" operator="equal">
      <formula>"U/P"</formula>
    </cfRule>
  </conditionalFormatting>
  <conditionalFormatting sqref="P159">
    <cfRule type="cellIs" dxfId="2347" priority="833" operator="equal">
      <formula>"F"</formula>
    </cfRule>
    <cfRule type="cellIs" dxfId="2346" priority="832" operator="equal">
      <formula>"F"</formula>
    </cfRule>
    <cfRule type="cellIs" dxfId="2345" priority="831" operator="equal">
      <formula>"U/P"</formula>
    </cfRule>
  </conditionalFormatting>
  <conditionalFormatting sqref="P168">
    <cfRule type="cellIs" dxfId="2344" priority="809" operator="equal">
      <formula>"F"</formula>
    </cfRule>
    <cfRule type="cellIs" dxfId="2343" priority="807" operator="equal">
      <formula>"U/P"</formula>
    </cfRule>
    <cfRule type="cellIs" dxfId="2342" priority="808" operator="equal">
      <formula>"F"</formula>
    </cfRule>
  </conditionalFormatting>
  <conditionalFormatting sqref="P176">
    <cfRule type="cellIs" dxfId="2341" priority="774" operator="equal">
      <formula>"U/P"</formula>
    </cfRule>
    <cfRule type="cellIs" dxfId="2340" priority="776" operator="equal">
      <formula>"F"</formula>
    </cfRule>
    <cfRule type="cellIs" dxfId="2339" priority="775" operator="equal">
      <formula>"F"</formula>
    </cfRule>
  </conditionalFormatting>
  <conditionalFormatting sqref="P185">
    <cfRule type="cellIs" dxfId="2338" priority="534" operator="equal">
      <formula>"U/P"</formula>
    </cfRule>
    <cfRule type="cellIs" dxfId="2337" priority="535" operator="equal">
      <formula>"F"</formula>
    </cfRule>
    <cfRule type="cellIs" dxfId="2336" priority="536" operator="equal">
      <formula>"F"</formula>
    </cfRule>
  </conditionalFormatting>
  <conditionalFormatting sqref="P194">
    <cfRule type="cellIs" dxfId="2335" priority="754" operator="equal">
      <formula>"F"</formula>
    </cfRule>
    <cfRule type="cellIs" dxfId="2334" priority="753" operator="equal">
      <formula>"U/P"</formula>
    </cfRule>
    <cfRule type="cellIs" dxfId="2333" priority="755" operator="equal">
      <formula>"F"</formula>
    </cfRule>
  </conditionalFormatting>
  <conditionalFormatting sqref="P202">
    <cfRule type="cellIs" dxfId="2332" priority="364" operator="equal">
      <formula>"U/P"</formula>
    </cfRule>
    <cfRule type="cellIs" dxfId="2331" priority="366" operator="equal">
      <formula>"F"</formula>
    </cfRule>
    <cfRule type="cellIs" dxfId="2330" priority="365" operator="equal">
      <formula>"F"</formula>
    </cfRule>
  </conditionalFormatting>
  <conditionalFormatting sqref="P210">
    <cfRule type="cellIs" dxfId="2329" priority="251" operator="equal">
      <formula>"F"</formula>
    </cfRule>
    <cfRule type="cellIs" dxfId="2328" priority="252" operator="equal">
      <formula>"F"</formula>
    </cfRule>
    <cfRule type="cellIs" dxfId="2327" priority="250" operator="equal">
      <formula>"U/P"</formula>
    </cfRule>
  </conditionalFormatting>
  <conditionalFormatting sqref="P218">
    <cfRule type="cellIs" dxfId="2326" priority="525" operator="equal">
      <formula>"U/P"</formula>
    </cfRule>
    <cfRule type="cellIs" dxfId="2325" priority="526" operator="equal">
      <formula>"F"</formula>
    </cfRule>
    <cfRule type="cellIs" dxfId="2324" priority="527" operator="equal">
      <formula>"F"</formula>
    </cfRule>
  </conditionalFormatting>
  <conditionalFormatting sqref="P226">
    <cfRule type="cellIs" dxfId="2323" priority="391" operator="equal">
      <formula>"U/P"</formula>
    </cfRule>
    <cfRule type="cellIs" dxfId="2322" priority="392" operator="equal">
      <formula>"F"</formula>
    </cfRule>
    <cfRule type="cellIs" dxfId="2321" priority="393" operator="equal">
      <formula>"F"</formula>
    </cfRule>
  </conditionalFormatting>
  <conditionalFormatting sqref="P235">
    <cfRule type="cellIs" dxfId="2320" priority="184" operator="equal">
      <formula>"U/P"</formula>
    </cfRule>
    <cfRule type="cellIs" dxfId="2319" priority="186" operator="equal">
      <formula>"F"</formula>
    </cfRule>
    <cfRule type="cellIs" dxfId="2318" priority="185" operator="equal">
      <formula>"F"</formula>
    </cfRule>
  </conditionalFormatting>
  <conditionalFormatting sqref="P244">
    <cfRule type="cellIs" dxfId="2317" priority="141" operator="equal">
      <formula>"F"</formula>
    </cfRule>
    <cfRule type="cellIs" dxfId="2316" priority="140" operator="equal">
      <formula>"F"</formula>
    </cfRule>
    <cfRule type="cellIs" dxfId="2315" priority="139" operator="equal">
      <formula>"U/P"</formula>
    </cfRule>
  </conditionalFormatting>
  <conditionalFormatting sqref="P252 D260 F260 J260 N260">
    <cfRule type="cellIs" dxfId="2314" priority="59" operator="equal">
      <formula>"F"</formula>
    </cfRule>
    <cfRule type="cellIs" dxfId="2313" priority="58" operator="equal">
      <formula>"U/P"</formula>
    </cfRule>
    <cfRule type="cellIs" dxfId="2312" priority="60" operator="equal">
      <formula>"F"</formula>
    </cfRule>
  </conditionalFormatting>
  <conditionalFormatting sqref="P260">
    <cfRule type="cellIs" dxfId="2311" priority="16" operator="equal">
      <formula>"U/P"</formula>
    </cfRule>
    <cfRule type="cellIs" dxfId="2310" priority="17" operator="equal">
      <formula>"F"</formula>
    </cfRule>
    <cfRule type="cellIs" dxfId="2309" priority="18" operator="equal">
      <formula>"F"</formula>
    </cfRule>
  </conditionalFormatting>
  <conditionalFormatting sqref="P268">
    <cfRule type="cellIs" dxfId="2308" priority="658" operator="equal">
      <formula>"F"</formula>
    </cfRule>
    <cfRule type="cellIs" dxfId="2307" priority="659" operator="equal">
      <formula>"F"</formula>
    </cfRule>
    <cfRule type="cellIs" dxfId="2306" priority="657" operator="equal">
      <formula>"U/P"</formula>
    </cfRule>
  </conditionalFormatting>
  <conditionalFormatting sqref="P276">
    <cfRule type="cellIs" dxfId="2305" priority="653" operator="equal">
      <formula>"F"</formula>
    </cfRule>
    <cfRule type="cellIs" dxfId="2304" priority="652" operator="equal">
      <formula>"F"</formula>
    </cfRule>
    <cfRule type="cellIs" dxfId="2303" priority="651" operator="equal">
      <formula>"U/P"</formula>
    </cfRule>
  </conditionalFormatting>
  <conditionalFormatting sqref="P284">
    <cfRule type="cellIs" dxfId="2302" priority="237" operator="equal">
      <formula>"F"</formula>
    </cfRule>
    <cfRule type="cellIs" dxfId="2301" priority="235" operator="equal">
      <formula>"U/P"</formula>
    </cfRule>
    <cfRule type="cellIs" dxfId="2300" priority="236" operator="equal">
      <formula>"F"</formula>
    </cfRule>
  </conditionalFormatting>
  <conditionalFormatting sqref="P292 R292 V292">
    <cfRule type="cellIs" dxfId="2299" priority="443" operator="equal">
      <formula>"F"</formula>
    </cfRule>
    <cfRule type="cellIs" dxfId="2298" priority="442" operator="equal">
      <formula>"U/P"</formula>
    </cfRule>
    <cfRule type="cellIs" dxfId="2297" priority="444" operator="equal">
      <formula>"F"</formula>
    </cfRule>
  </conditionalFormatting>
  <conditionalFormatting sqref="P300">
    <cfRule type="cellIs" dxfId="2296" priority="98" operator="equal">
      <formula>"F"</formula>
    </cfRule>
    <cfRule type="cellIs" dxfId="2295" priority="97" operator="equal">
      <formula>"U/P"</formula>
    </cfRule>
    <cfRule type="cellIs" dxfId="2294" priority="99" operator="equal">
      <formula>"F"</formula>
    </cfRule>
  </conditionalFormatting>
  <conditionalFormatting sqref="P308">
    <cfRule type="cellIs" dxfId="2293" priority="626" operator="equal">
      <formula>"F"</formula>
    </cfRule>
    <cfRule type="cellIs" dxfId="2292" priority="624" operator="equal">
      <formula>"U/P"</formula>
    </cfRule>
    <cfRule type="cellIs" dxfId="2291" priority="625" operator="equal">
      <formula>"F"</formula>
    </cfRule>
  </conditionalFormatting>
  <conditionalFormatting sqref="P315">
    <cfRule type="cellIs" dxfId="2290" priority="597" operator="equal">
      <formula>"U/P"</formula>
    </cfRule>
    <cfRule type="cellIs" dxfId="2289" priority="598" operator="equal">
      <formula>"F"</formula>
    </cfRule>
    <cfRule type="cellIs" dxfId="2288" priority="599" operator="equal">
      <formula>"F"</formula>
    </cfRule>
  </conditionalFormatting>
  <conditionalFormatting sqref="Q107">
    <cfRule type="cellIs" dxfId="2287" priority="1509" operator="equal">
      <formula>"F"</formula>
    </cfRule>
    <cfRule type="cellIs" dxfId="2286" priority="1508" operator="equal">
      <formula>"U/P"</formula>
    </cfRule>
    <cfRule type="cellIs" dxfId="2285" priority="1510" operator="equal">
      <formula>"F"</formula>
    </cfRule>
  </conditionalFormatting>
  <conditionalFormatting sqref="R20">
    <cfRule type="cellIs" dxfId="2284" priority="1432" operator="equal">
      <formula>"F"</formula>
    </cfRule>
    <cfRule type="cellIs" dxfId="2283" priority="1433" operator="equal">
      <formula>"F"</formula>
    </cfRule>
    <cfRule type="cellIs" dxfId="2282" priority="1431" operator="equal">
      <formula>"U/P"</formula>
    </cfRule>
  </conditionalFormatting>
  <conditionalFormatting sqref="R27">
    <cfRule type="cellIs" dxfId="2281" priority="1391" operator="equal">
      <formula>"F"</formula>
    </cfRule>
    <cfRule type="cellIs" dxfId="2280" priority="1389" operator="equal">
      <formula>"U/P"</formula>
    </cfRule>
    <cfRule type="cellIs" dxfId="2279" priority="1390" operator="equal">
      <formula>"F"</formula>
    </cfRule>
  </conditionalFormatting>
  <conditionalFormatting sqref="R34">
    <cfRule type="cellIs" dxfId="2278" priority="1351" operator="equal">
      <formula>"F"</formula>
    </cfRule>
    <cfRule type="cellIs" dxfId="2277" priority="1352" operator="equal">
      <formula>"F"</formula>
    </cfRule>
    <cfRule type="cellIs" dxfId="2276" priority="1350" operator="equal">
      <formula>"U/P"</formula>
    </cfRule>
  </conditionalFormatting>
  <conditionalFormatting sqref="R41">
    <cfRule type="cellIs" dxfId="2275" priority="1309" operator="equal">
      <formula>"F"</formula>
    </cfRule>
    <cfRule type="cellIs" dxfId="2274" priority="1310" operator="equal">
      <formula>"F"</formula>
    </cfRule>
    <cfRule type="cellIs" dxfId="2273" priority="1308" operator="equal">
      <formula>"U/P"</formula>
    </cfRule>
  </conditionalFormatting>
  <conditionalFormatting sqref="R48">
    <cfRule type="cellIs" dxfId="2272" priority="1266" operator="equal">
      <formula>"U/P"</formula>
    </cfRule>
    <cfRule type="cellIs" dxfId="2271" priority="1268" operator="equal">
      <formula>"F"</formula>
    </cfRule>
    <cfRule type="cellIs" dxfId="2270" priority="1267" operator="equal">
      <formula>"F"</formula>
    </cfRule>
  </conditionalFormatting>
  <conditionalFormatting sqref="R57">
    <cfRule type="cellIs" dxfId="2269" priority="1226" operator="equal">
      <formula>"F"</formula>
    </cfRule>
    <cfRule type="cellIs" dxfId="2268" priority="1225" operator="equal">
      <formula>"F"</formula>
    </cfRule>
    <cfRule type="cellIs" dxfId="2267" priority="1224" operator="equal">
      <formula>"U/P"</formula>
    </cfRule>
  </conditionalFormatting>
  <conditionalFormatting sqref="R65">
    <cfRule type="cellIs" dxfId="2266" priority="1182" operator="equal">
      <formula>"U/P"</formula>
    </cfRule>
    <cfRule type="cellIs" dxfId="2265" priority="1184" operator="equal">
      <formula>"F"</formula>
    </cfRule>
    <cfRule type="cellIs" dxfId="2264" priority="1183" operator="equal">
      <formula>"F"</formula>
    </cfRule>
  </conditionalFormatting>
  <conditionalFormatting sqref="R73">
    <cfRule type="cellIs" dxfId="2263" priority="1141" operator="equal">
      <formula>"F"</formula>
    </cfRule>
    <cfRule type="cellIs" dxfId="2262" priority="1142" operator="equal">
      <formula>"F"</formula>
    </cfRule>
    <cfRule type="cellIs" dxfId="2261" priority="1140" operator="equal">
      <formula>"U/P"</formula>
    </cfRule>
  </conditionalFormatting>
  <conditionalFormatting sqref="R82">
    <cfRule type="cellIs" dxfId="2260" priority="1104" operator="equal">
      <formula>"U/P"</formula>
    </cfRule>
    <cfRule type="cellIs" dxfId="2259" priority="1106" operator="equal">
      <formula>"F"</formula>
    </cfRule>
    <cfRule type="cellIs" dxfId="2258" priority="1105" operator="equal">
      <formula>"F"</formula>
    </cfRule>
  </conditionalFormatting>
  <conditionalFormatting sqref="R90">
    <cfRule type="cellIs" dxfId="2257" priority="1067" operator="equal">
      <formula>"F"</formula>
    </cfRule>
    <cfRule type="cellIs" dxfId="2256" priority="1066" operator="equal">
      <formula>"F"</formula>
    </cfRule>
    <cfRule type="cellIs" dxfId="2255" priority="1065" operator="equal">
      <formula>"U/P"</formula>
    </cfRule>
  </conditionalFormatting>
  <conditionalFormatting sqref="R99">
    <cfRule type="cellIs" dxfId="2254" priority="1024" operator="equal">
      <formula>"F"</formula>
    </cfRule>
    <cfRule type="cellIs" dxfId="2253" priority="1025" operator="equal">
      <formula>"F"</formula>
    </cfRule>
    <cfRule type="cellIs" dxfId="2252" priority="1023" operator="equal">
      <formula>"U/P"</formula>
    </cfRule>
  </conditionalFormatting>
  <conditionalFormatting sqref="R110">
    <cfRule type="cellIs" dxfId="2251" priority="460" operator="equal">
      <formula>0</formula>
    </cfRule>
  </conditionalFormatting>
  <conditionalFormatting sqref="R115">
    <cfRule type="cellIs" dxfId="2250" priority="955" operator="equal">
      <formula>"F"</formula>
    </cfRule>
    <cfRule type="cellIs" dxfId="2249" priority="956" operator="equal">
      <formula>"F"</formula>
    </cfRule>
    <cfRule type="cellIs" dxfId="2248" priority="954" operator="equal">
      <formula>"U/P"</formula>
    </cfRule>
  </conditionalFormatting>
  <conditionalFormatting sqref="R123">
    <cfRule type="cellIs" dxfId="2247" priority="541" operator="equal">
      <formula>"F"</formula>
    </cfRule>
    <cfRule type="cellIs" dxfId="2246" priority="542" operator="equal">
      <formula>"F"</formula>
    </cfRule>
    <cfRule type="cellIs" dxfId="2245" priority="540" operator="equal">
      <formula>"U/P"</formula>
    </cfRule>
  </conditionalFormatting>
  <conditionalFormatting sqref="R132">
    <cfRule type="cellIs" dxfId="2244" priority="68" operator="equal">
      <formula>"F"</formula>
    </cfRule>
    <cfRule type="cellIs" dxfId="2243" priority="67" operator="equal">
      <formula>"U/P"</formula>
    </cfRule>
    <cfRule type="cellIs" dxfId="2242" priority="69" operator="equal">
      <formula>"F"</formula>
    </cfRule>
  </conditionalFormatting>
  <conditionalFormatting sqref="R141">
    <cfRule type="cellIs" dxfId="2241" priority="893" operator="equal">
      <formula>"F"</formula>
    </cfRule>
    <cfRule type="cellIs" dxfId="2240" priority="891" operator="equal">
      <formula>"U/P"</formula>
    </cfRule>
    <cfRule type="cellIs" dxfId="2239" priority="892" operator="equal">
      <formula>"F"</formula>
    </cfRule>
  </conditionalFormatting>
  <conditionalFormatting sqref="R150">
    <cfRule type="cellIs" dxfId="2238" priority="865" operator="equal">
      <formula>"F"</formula>
    </cfRule>
    <cfRule type="cellIs" dxfId="2237" priority="864" operator="equal">
      <formula>"U/P"</formula>
    </cfRule>
    <cfRule type="cellIs" dxfId="2236" priority="866" operator="equal">
      <formula>"F"</formula>
    </cfRule>
  </conditionalFormatting>
  <conditionalFormatting sqref="R159">
    <cfRule type="cellIs" dxfId="2235" priority="830" operator="equal">
      <formula>"F"</formula>
    </cfRule>
    <cfRule type="cellIs" dxfId="2234" priority="828" operator="equal">
      <formula>"U/P"</formula>
    </cfRule>
    <cfRule type="cellIs" dxfId="2233" priority="829" operator="equal">
      <formula>"F"</formula>
    </cfRule>
  </conditionalFormatting>
  <conditionalFormatting sqref="R168">
    <cfRule type="cellIs" dxfId="2232" priority="482" operator="equal">
      <formula>"F"</formula>
    </cfRule>
    <cfRule type="cellIs" dxfId="2231" priority="481" operator="equal">
      <formula>"F"</formula>
    </cfRule>
    <cfRule type="cellIs" dxfId="2230" priority="480" operator="equal">
      <formula>"U/P"</formula>
    </cfRule>
  </conditionalFormatting>
  <conditionalFormatting sqref="R176">
    <cfRule type="cellIs" dxfId="2229" priority="771" operator="equal">
      <formula>"U/P"</formula>
    </cfRule>
    <cfRule type="cellIs" dxfId="2228" priority="772" operator="equal">
      <formula>"F"</formula>
    </cfRule>
    <cfRule type="cellIs" dxfId="2227" priority="773" operator="equal">
      <formula>"F"</formula>
    </cfRule>
  </conditionalFormatting>
  <conditionalFormatting sqref="R185">
    <cfRule type="cellIs" dxfId="2226" priority="517" operator="equal">
      <formula>"F"</formula>
    </cfRule>
    <cfRule type="cellIs" dxfId="2225" priority="518" operator="equal">
      <formula>"F"</formula>
    </cfRule>
    <cfRule type="cellIs" dxfId="2224" priority="516" operator="equal">
      <formula>"U/P"</formula>
    </cfRule>
  </conditionalFormatting>
  <conditionalFormatting sqref="R194">
    <cfRule type="cellIs" dxfId="2223" priority="1465" operator="equal">
      <formula>"F"</formula>
    </cfRule>
    <cfRule type="cellIs" dxfId="2222" priority="1464" operator="equal">
      <formula>"F"</formula>
    </cfRule>
    <cfRule type="cellIs" dxfId="2221" priority="1463" operator="equal">
      <formula>"U/P"</formula>
    </cfRule>
  </conditionalFormatting>
  <conditionalFormatting sqref="R202">
    <cfRule type="cellIs" dxfId="2220" priority="396" operator="equal">
      <formula>"F"</formula>
    </cfRule>
    <cfRule type="cellIs" dxfId="2219" priority="395" operator="equal">
      <formula>"F"</formula>
    </cfRule>
    <cfRule type="cellIs" dxfId="2218" priority="394" operator="equal">
      <formula>"U/P"</formula>
    </cfRule>
  </conditionalFormatting>
  <conditionalFormatting sqref="R210 T210 Y213">
    <cfRule type="cellIs" dxfId="2217" priority="357" operator="equal">
      <formula>"F"</formula>
    </cfRule>
    <cfRule type="cellIs" dxfId="2216" priority="356" operator="equal">
      <formula>"F"</formula>
    </cfRule>
    <cfRule type="cellIs" dxfId="2215" priority="355" operator="equal">
      <formula>"U/P"</formula>
    </cfRule>
  </conditionalFormatting>
  <conditionalFormatting sqref="R218 T218 Z218 AB218">
    <cfRule type="cellIs" dxfId="2214" priority="349" operator="equal">
      <formula>"U/P"</formula>
    </cfRule>
    <cfRule type="cellIs" dxfId="2213" priority="351" operator="equal">
      <formula>"F"</formula>
    </cfRule>
    <cfRule type="cellIs" dxfId="2212" priority="350" operator="equal">
      <formula>"F"</formula>
    </cfRule>
  </conditionalFormatting>
  <conditionalFormatting sqref="R226">
    <cfRule type="cellIs" dxfId="2211" priority="711" operator="equal">
      <formula>"U/P"</formula>
    </cfRule>
    <cfRule type="cellIs" dxfId="2210" priority="713" operator="equal">
      <formula>"F"</formula>
    </cfRule>
    <cfRule type="cellIs" dxfId="2209" priority="712" operator="equal">
      <formula>"F"</formula>
    </cfRule>
  </conditionalFormatting>
  <conditionalFormatting sqref="R235">
    <cfRule type="cellIs" dxfId="2208" priority="247" operator="equal">
      <formula>"U/P"</formula>
    </cfRule>
    <cfRule type="cellIs" dxfId="2207" priority="248" operator="equal">
      <formula>"F"</formula>
    </cfRule>
    <cfRule type="cellIs" dxfId="2206" priority="249" operator="equal">
      <formula>"F"</formula>
    </cfRule>
  </conditionalFormatting>
  <conditionalFormatting sqref="R244">
    <cfRule type="cellIs" dxfId="2205" priority="138" operator="equal">
      <formula>"F"</formula>
    </cfRule>
    <cfRule type="cellIs" dxfId="2204" priority="137" operator="equal">
      <formula>"F"</formula>
    </cfRule>
    <cfRule type="cellIs" dxfId="2203" priority="136" operator="equal">
      <formula>"U/P"</formula>
    </cfRule>
  </conditionalFormatting>
  <conditionalFormatting sqref="R252">
    <cfRule type="cellIs" dxfId="2202" priority="129" operator="equal">
      <formula>"F"</formula>
    </cfRule>
    <cfRule type="cellIs" dxfId="2201" priority="128" operator="equal">
      <formula>"F"</formula>
    </cfRule>
    <cfRule type="cellIs" dxfId="2200" priority="127" operator="equal">
      <formula>"U/P"</formula>
    </cfRule>
  </conditionalFormatting>
  <conditionalFormatting sqref="R260">
    <cfRule type="cellIs" dxfId="2199" priority="4" operator="equal">
      <formula>"U/P"</formula>
    </cfRule>
    <cfRule type="cellIs" dxfId="2198" priority="5" operator="equal">
      <formula>"F"</formula>
    </cfRule>
    <cfRule type="cellIs" dxfId="2197" priority="6" operator="equal">
      <formula>"F"</formula>
    </cfRule>
  </conditionalFormatting>
  <conditionalFormatting sqref="R268">
    <cfRule type="cellIs" dxfId="2196" priority="189" operator="equal">
      <formula>"F"</formula>
    </cfRule>
    <cfRule type="cellIs" dxfId="2195" priority="187" operator="equal">
      <formula>"U/P"</formula>
    </cfRule>
    <cfRule type="cellIs" dxfId="2194" priority="188" operator="equal">
      <formula>"F"</formula>
    </cfRule>
  </conditionalFormatting>
  <conditionalFormatting sqref="R276">
    <cfRule type="cellIs" dxfId="2193" priority="168" operator="equal">
      <formula>"F"</formula>
    </cfRule>
    <cfRule type="cellIs" dxfId="2192" priority="167" operator="equal">
      <formula>"F"</formula>
    </cfRule>
    <cfRule type="cellIs" dxfId="2191" priority="166" operator="equal">
      <formula>"U/P"</formula>
    </cfRule>
  </conditionalFormatting>
  <conditionalFormatting sqref="R284">
    <cfRule type="cellIs" dxfId="2190" priority="211" operator="equal">
      <formula>"U/P"</formula>
    </cfRule>
    <cfRule type="cellIs" dxfId="2189" priority="213" operator="equal">
      <formula>"F"</formula>
    </cfRule>
    <cfRule type="cellIs" dxfId="2188" priority="212" operator="equal">
      <formula>"F"</formula>
    </cfRule>
  </conditionalFormatting>
  <conditionalFormatting sqref="R300">
    <cfRule type="cellIs" dxfId="2187" priority="162" operator="equal">
      <formula>"F"</formula>
    </cfRule>
    <cfRule type="cellIs" dxfId="2186" priority="161" operator="equal">
      <formula>"F"</formula>
    </cfRule>
    <cfRule type="cellIs" dxfId="2185" priority="160" operator="equal">
      <formula>"U/P"</formula>
    </cfRule>
  </conditionalFormatting>
  <conditionalFormatting sqref="R308">
    <cfRule type="cellIs" dxfId="2184" priority="611" operator="equal">
      <formula>"F"</formula>
    </cfRule>
    <cfRule type="cellIs" dxfId="2183" priority="609" operator="equal">
      <formula>"U/P"</formula>
    </cfRule>
    <cfRule type="cellIs" dxfId="2182" priority="610" operator="equal">
      <formula>"F"</formula>
    </cfRule>
  </conditionalFormatting>
  <conditionalFormatting sqref="R315">
    <cfRule type="cellIs" dxfId="2181" priority="576" operator="equal">
      <formula>"U/P"</formula>
    </cfRule>
    <cfRule type="cellIs" dxfId="2180" priority="577" operator="equal">
      <formula>"F"</formula>
    </cfRule>
    <cfRule type="cellIs" dxfId="2179" priority="578" operator="equal">
      <formula>"F"</formula>
    </cfRule>
  </conditionalFormatting>
  <conditionalFormatting sqref="S107">
    <cfRule type="cellIs" dxfId="2178" priority="1506" operator="equal">
      <formula>"F"</formula>
    </cfRule>
    <cfRule type="cellIs" dxfId="2177" priority="1507" operator="equal">
      <formula>"F"</formula>
    </cfRule>
    <cfRule type="cellIs" dxfId="2176" priority="1505" operator="equal">
      <formula>"U/P"</formula>
    </cfRule>
  </conditionalFormatting>
  <conditionalFormatting sqref="T20">
    <cfRule type="cellIs" dxfId="2175" priority="1428" operator="equal">
      <formula>"U/P"</formula>
    </cfRule>
    <cfRule type="cellIs" dxfId="2174" priority="1429" operator="equal">
      <formula>"F"</formula>
    </cfRule>
    <cfRule type="cellIs" dxfId="2173" priority="1430" operator="equal">
      <formula>"F"</formula>
    </cfRule>
  </conditionalFormatting>
  <conditionalFormatting sqref="T27">
    <cfRule type="cellIs" dxfId="2172" priority="1388" operator="equal">
      <formula>"F"</formula>
    </cfRule>
    <cfRule type="cellIs" dxfId="2171" priority="1386" operator="equal">
      <formula>"U/P"</formula>
    </cfRule>
    <cfRule type="cellIs" dxfId="2170" priority="1387" operator="equal">
      <formula>"F"</formula>
    </cfRule>
  </conditionalFormatting>
  <conditionalFormatting sqref="T34">
    <cfRule type="cellIs" dxfId="2169" priority="1348" operator="equal">
      <formula>"F"</formula>
    </cfRule>
    <cfRule type="cellIs" dxfId="2168" priority="1347" operator="equal">
      <formula>"U/P"</formula>
    </cfRule>
    <cfRule type="cellIs" dxfId="2167" priority="1349" operator="equal">
      <formula>"F"</formula>
    </cfRule>
  </conditionalFormatting>
  <conditionalFormatting sqref="T41">
    <cfRule type="cellIs" dxfId="2166" priority="1305" operator="equal">
      <formula>"U/P"</formula>
    </cfRule>
    <cfRule type="cellIs" dxfId="2165" priority="1306" operator="equal">
      <formula>"F"</formula>
    </cfRule>
    <cfRule type="cellIs" dxfId="2164" priority="1307" operator="equal">
      <formula>"F"</formula>
    </cfRule>
  </conditionalFormatting>
  <conditionalFormatting sqref="T48">
    <cfRule type="cellIs" dxfId="2163" priority="1265" operator="equal">
      <formula>"F"</formula>
    </cfRule>
    <cfRule type="cellIs" dxfId="2162" priority="1264" operator="equal">
      <formula>"F"</formula>
    </cfRule>
    <cfRule type="cellIs" dxfId="2161" priority="1263" operator="equal">
      <formula>"U/P"</formula>
    </cfRule>
  </conditionalFormatting>
  <conditionalFormatting sqref="T57">
    <cfRule type="cellIs" dxfId="2160" priority="1221" operator="equal">
      <formula>"U/P"</formula>
    </cfRule>
    <cfRule type="cellIs" dxfId="2159" priority="1223" operator="equal">
      <formula>"F"</formula>
    </cfRule>
    <cfRule type="cellIs" dxfId="2158" priority="1222" operator="equal">
      <formula>"F"</formula>
    </cfRule>
  </conditionalFormatting>
  <conditionalFormatting sqref="T65">
    <cfRule type="cellIs" dxfId="2157" priority="1179" operator="equal">
      <formula>"U/P"</formula>
    </cfRule>
    <cfRule type="cellIs" dxfId="2156" priority="1180" operator="equal">
      <formula>"F"</formula>
    </cfRule>
    <cfRule type="cellIs" dxfId="2155" priority="1181" operator="equal">
      <formula>"F"</formula>
    </cfRule>
  </conditionalFormatting>
  <conditionalFormatting sqref="T73">
    <cfRule type="cellIs" dxfId="2154" priority="1138" operator="equal">
      <formula>"F"</formula>
    </cfRule>
    <cfRule type="cellIs" dxfId="2153" priority="1139" operator="equal">
      <formula>"F"</formula>
    </cfRule>
    <cfRule type="cellIs" dxfId="2152" priority="1137" operator="equal">
      <formula>"U/P"</formula>
    </cfRule>
  </conditionalFormatting>
  <conditionalFormatting sqref="T82">
    <cfRule type="cellIs" dxfId="2151" priority="1103" operator="equal">
      <formula>"F"</formula>
    </cfRule>
    <cfRule type="cellIs" dxfId="2150" priority="1102" operator="equal">
      <formula>"F"</formula>
    </cfRule>
    <cfRule type="cellIs" dxfId="2149" priority="1101" operator="equal">
      <formula>"U/P"</formula>
    </cfRule>
  </conditionalFormatting>
  <conditionalFormatting sqref="T90">
    <cfRule type="cellIs" dxfId="2148" priority="1063" operator="equal">
      <formula>"F"</formula>
    </cfRule>
    <cfRule type="cellIs" dxfId="2147" priority="1064" operator="equal">
      <formula>"F"</formula>
    </cfRule>
    <cfRule type="cellIs" dxfId="2146" priority="1062" operator="equal">
      <formula>"U/P"</formula>
    </cfRule>
  </conditionalFormatting>
  <conditionalFormatting sqref="T99">
    <cfRule type="cellIs" dxfId="2145" priority="1022" operator="equal">
      <formula>"F"</formula>
    </cfRule>
    <cfRule type="cellIs" dxfId="2144" priority="1021" operator="equal">
      <formula>"F"</formula>
    </cfRule>
    <cfRule type="cellIs" dxfId="2143" priority="1020" operator="equal">
      <formula>"U/P"</formula>
    </cfRule>
  </conditionalFormatting>
  <conditionalFormatting sqref="T115">
    <cfRule type="cellIs" dxfId="2142" priority="953" operator="equal">
      <formula>"F"</formula>
    </cfRule>
    <cfRule type="cellIs" dxfId="2141" priority="952" operator="equal">
      <formula>"F"</formula>
    </cfRule>
    <cfRule type="cellIs" dxfId="2140" priority="951" operator="equal">
      <formula>"U/P"</formula>
    </cfRule>
  </conditionalFormatting>
  <conditionalFormatting sqref="T123">
    <cfRule type="cellIs" dxfId="2139" priority="925" operator="equal">
      <formula>"F"</formula>
    </cfRule>
    <cfRule type="cellIs" dxfId="2138" priority="926" operator="equal">
      <formula>"F"</formula>
    </cfRule>
    <cfRule type="cellIs" dxfId="2137" priority="924" operator="equal">
      <formula>"U/P"</formula>
    </cfRule>
  </conditionalFormatting>
  <conditionalFormatting sqref="T132">
    <cfRule type="cellIs" dxfId="2136" priority="48" operator="equal">
      <formula>"F"</formula>
    </cfRule>
    <cfRule type="cellIs" dxfId="2135" priority="46" operator="equal">
      <formula>"U/P"</formula>
    </cfRule>
    <cfRule type="cellIs" dxfId="2134" priority="47" operator="equal">
      <formula>"F"</formula>
    </cfRule>
  </conditionalFormatting>
  <conditionalFormatting sqref="T141">
    <cfRule type="cellIs" dxfId="2133" priority="537" operator="equal">
      <formula>"U/P"</formula>
    </cfRule>
    <cfRule type="cellIs" dxfId="2132" priority="538" operator="equal">
      <formula>"F"</formula>
    </cfRule>
    <cfRule type="cellIs" dxfId="2131" priority="539" operator="equal">
      <formula>"F"</formula>
    </cfRule>
  </conditionalFormatting>
  <conditionalFormatting sqref="T150">
    <cfRule type="cellIs" dxfId="2130" priority="861" operator="equal">
      <formula>"U/P"</formula>
    </cfRule>
    <cfRule type="cellIs" dxfId="2129" priority="862" operator="equal">
      <formula>"F"</formula>
    </cfRule>
    <cfRule type="cellIs" dxfId="2128" priority="863" operator="equal">
      <formula>"F"</formula>
    </cfRule>
  </conditionalFormatting>
  <conditionalFormatting sqref="T159">
    <cfRule type="cellIs" dxfId="2127" priority="827" operator="equal">
      <formula>"F"</formula>
    </cfRule>
    <cfRule type="cellIs" dxfId="2126" priority="825" operator="equal">
      <formula>"U/P"</formula>
    </cfRule>
    <cfRule type="cellIs" dxfId="2125" priority="826" operator="equal">
      <formula>"F"</formula>
    </cfRule>
  </conditionalFormatting>
  <conditionalFormatting sqref="T168">
    <cfRule type="cellIs" dxfId="2124" priority="804" operator="equal">
      <formula>"U/P"</formula>
    </cfRule>
    <cfRule type="cellIs" dxfId="2123" priority="806" operator="equal">
      <formula>"F"</formula>
    </cfRule>
    <cfRule type="cellIs" dxfId="2122" priority="805" operator="equal">
      <formula>"F"</formula>
    </cfRule>
  </conditionalFormatting>
  <conditionalFormatting sqref="T171">
    <cfRule type="cellIs" dxfId="2121" priority="432" operator="equal">
      <formula>0</formula>
    </cfRule>
  </conditionalFormatting>
  <conditionalFormatting sqref="T176">
    <cfRule type="cellIs" dxfId="2120" priority="768" operator="equal">
      <formula>"U/P"</formula>
    </cfRule>
    <cfRule type="cellIs" dxfId="2119" priority="770" operator="equal">
      <formula>"F"</formula>
    </cfRule>
    <cfRule type="cellIs" dxfId="2118" priority="769" operator="equal">
      <formula>"F"</formula>
    </cfRule>
  </conditionalFormatting>
  <conditionalFormatting sqref="T185">
    <cfRule type="cellIs" dxfId="2117" priority="74" operator="equal">
      <formula>"F"</formula>
    </cfRule>
    <cfRule type="cellIs" dxfId="2116" priority="73" operator="equal">
      <formula>"U/P"</formula>
    </cfRule>
    <cfRule type="cellIs" dxfId="2115" priority="75" operator="equal">
      <formula>"F"</formula>
    </cfRule>
  </conditionalFormatting>
  <conditionalFormatting sqref="T194 V194 Z194 AB194 B202 H202">
    <cfRule type="cellIs" dxfId="2114" priority="361" operator="equal">
      <formula>"U/P"</formula>
    </cfRule>
    <cfRule type="cellIs" dxfId="2113" priority="363" operator="equal">
      <formula>"F"</formula>
    </cfRule>
    <cfRule type="cellIs" dxfId="2112" priority="362" operator="equal">
      <formula>"F"</formula>
    </cfRule>
  </conditionalFormatting>
  <conditionalFormatting sqref="T202">
    <cfRule type="cellIs" dxfId="2111" priority="552" operator="equal">
      <formula>"U/P"</formula>
    </cfRule>
    <cfRule type="cellIs" dxfId="2110" priority="553" operator="equal">
      <formula>"F"</formula>
    </cfRule>
    <cfRule type="cellIs" dxfId="2109" priority="554" operator="equal">
      <formula>"F"</formula>
    </cfRule>
  </conditionalFormatting>
  <conditionalFormatting sqref="T226">
    <cfRule type="cellIs" dxfId="2108" priority="709" operator="equal">
      <formula>"F"</formula>
    </cfRule>
    <cfRule type="cellIs" dxfId="2107" priority="710" operator="equal">
      <formula>"F"</formula>
    </cfRule>
    <cfRule type="cellIs" dxfId="2106" priority="708" operator="equal">
      <formula>"U/P"</formula>
    </cfRule>
  </conditionalFormatting>
  <conditionalFormatting sqref="T235">
    <cfRule type="cellIs" dxfId="2105" priority="80" operator="equal">
      <formula>"F"</formula>
    </cfRule>
    <cfRule type="cellIs" dxfId="2104" priority="79" operator="equal">
      <formula>"U/P"</formula>
    </cfRule>
    <cfRule type="cellIs" dxfId="2103" priority="81" operator="equal">
      <formula>"F"</formula>
    </cfRule>
  </conditionalFormatting>
  <conditionalFormatting sqref="T244">
    <cfRule type="cellIs" dxfId="2102" priority="3" operator="equal">
      <formula>"F"</formula>
    </cfRule>
    <cfRule type="cellIs" dxfId="2101" priority="1" operator="equal">
      <formula>"U/P"</formula>
    </cfRule>
    <cfRule type="cellIs" dxfId="2100" priority="2" operator="equal">
      <formula>"F"</formula>
    </cfRule>
  </conditionalFormatting>
  <conditionalFormatting sqref="T252">
    <cfRule type="cellIs" dxfId="2099" priority="194" operator="equal">
      <formula>"F"</formula>
    </cfRule>
    <cfRule type="cellIs" dxfId="2098" priority="193" operator="equal">
      <formula>"U/P"</formula>
    </cfRule>
    <cfRule type="cellIs" dxfId="2097" priority="195" operator="equal">
      <formula>"F"</formula>
    </cfRule>
  </conditionalFormatting>
  <conditionalFormatting sqref="T260">
    <cfRule type="cellIs" dxfId="2096" priority="256" operator="equal">
      <formula>"U/P"</formula>
    </cfRule>
    <cfRule type="cellIs" dxfId="2095" priority="258" operator="equal">
      <formula>"F"</formula>
    </cfRule>
    <cfRule type="cellIs" dxfId="2094" priority="257" operator="equal">
      <formula>"F"</formula>
    </cfRule>
  </conditionalFormatting>
  <conditionalFormatting sqref="T268">
    <cfRule type="cellIs" dxfId="2093" priority="174" operator="equal">
      <formula>"F"</formula>
    </cfRule>
    <cfRule type="cellIs" dxfId="2092" priority="173" operator="equal">
      <formula>"F"</formula>
    </cfRule>
    <cfRule type="cellIs" dxfId="2091" priority="172" operator="equal">
      <formula>"U/P"</formula>
    </cfRule>
  </conditionalFormatting>
  <conditionalFormatting sqref="T276">
    <cfRule type="cellIs" dxfId="2090" priority="178" operator="equal">
      <formula>"U/P"</formula>
    </cfRule>
    <cfRule type="cellIs" dxfId="2089" priority="179" operator="equal">
      <formula>"F"</formula>
    </cfRule>
    <cfRule type="cellIs" dxfId="2088" priority="180" operator="equal">
      <formula>"F"</formula>
    </cfRule>
  </conditionalFormatting>
  <conditionalFormatting sqref="T284">
    <cfRule type="cellIs" dxfId="2087" priority="241" operator="equal">
      <formula>"U/P"</formula>
    </cfRule>
    <cfRule type="cellIs" dxfId="2086" priority="242" operator="equal">
      <formula>"F"</formula>
    </cfRule>
    <cfRule type="cellIs" dxfId="2085" priority="243" operator="equal">
      <formula>"F"</formula>
    </cfRule>
  </conditionalFormatting>
  <conditionalFormatting sqref="T292">
    <cfRule type="cellIs" dxfId="2084" priority="57" operator="equal">
      <formula>"F"</formula>
    </cfRule>
    <cfRule type="cellIs" dxfId="2083" priority="56" operator="equal">
      <formula>"F"</formula>
    </cfRule>
    <cfRule type="cellIs" dxfId="2082" priority="55" operator="equal">
      <formula>"U/P"</formula>
    </cfRule>
  </conditionalFormatting>
  <conditionalFormatting sqref="T300">
    <cfRule type="cellIs" dxfId="2081" priority="192" operator="equal">
      <formula>"F"</formula>
    </cfRule>
    <cfRule type="cellIs" dxfId="2080" priority="191" operator="equal">
      <formula>"F"</formula>
    </cfRule>
    <cfRule type="cellIs" dxfId="2079" priority="190" operator="equal">
      <formula>"U/P"</formula>
    </cfRule>
  </conditionalFormatting>
  <conditionalFormatting sqref="T307:T308">
    <cfRule type="cellIs" dxfId="2078" priority="606" operator="equal">
      <formula>"U/P"</formula>
    </cfRule>
    <cfRule type="cellIs" dxfId="2077" priority="608" operator="equal">
      <formula>"F"</formula>
    </cfRule>
    <cfRule type="cellIs" dxfId="2076" priority="607" operator="equal">
      <formula>"F"</formula>
    </cfRule>
  </conditionalFormatting>
  <conditionalFormatting sqref="T315">
    <cfRule type="cellIs" dxfId="2075" priority="575" operator="equal">
      <formula>"F"</formula>
    </cfRule>
    <cfRule type="cellIs" dxfId="2074" priority="574" operator="equal">
      <formula>"F"</formula>
    </cfRule>
    <cfRule type="cellIs" dxfId="2073" priority="573" operator="equal">
      <formula>"U/P"</formula>
    </cfRule>
  </conditionalFormatting>
  <conditionalFormatting sqref="U107">
    <cfRule type="cellIs" dxfId="2072" priority="984" operator="equal">
      <formula>"U/P"</formula>
    </cfRule>
    <cfRule type="cellIs" dxfId="2071" priority="985" operator="equal">
      <formula>"F"</formula>
    </cfRule>
    <cfRule type="cellIs" dxfId="2070" priority="986" operator="equal">
      <formula>"F"</formula>
    </cfRule>
  </conditionalFormatting>
  <conditionalFormatting sqref="V20">
    <cfRule type="cellIs" dxfId="2069" priority="1427" operator="equal">
      <formula>"F"</formula>
    </cfRule>
    <cfRule type="cellIs" dxfId="2068" priority="1425" operator="equal">
      <formula>"U/P"</formula>
    </cfRule>
    <cfRule type="cellIs" dxfId="2067" priority="1426" operator="equal">
      <formula>"F"</formula>
    </cfRule>
  </conditionalFormatting>
  <conditionalFormatting sqref="V27">
    <cfRule type="cellIs" dxfId="2066" priority="1385" operator="equal">
      <formula>"F"</formula>
    </cfRule>
    <cfRule type="cellIs" dxfId="2065" priority="1384" operator="equal">
      <formula>"F"</formula>
    </cfRule>
    <cfRule type="cellIs" dxfId="2064" priority="1383" operator="equal">
      <formula>"U/P"</formula>
    </cfRule>
  </conditionalFormatting>
  <conditionalFormatting sqref="V34">
    <cfRule type="cellIs" dxfId="2063" priority="1345" operator="equal">
      <formula>"F"</formula>
    </cfRule>
    <cfRule type="cellIs" dxfId="2062" priority="1346" operator="equal">
      <formula>"F"</formula>
    </cfRule>
    <cfRule type="cellIs" dxfId="2061" priority="1344" operator="equal">
      <formula>"U/P"</formula>
    </cfRule>
  </conditionalFormatting>
  <conditionalFormatting sqref="V41">
    <cfRule type="cellIs" dxfId="2060" priority="1302" operator="equal">
      <formula>"U/P"</formula>
    </cfRule>
    <cfRule type="cellIs" dxfId="2059" priority="1303" operator="equal">
      <formula>"F"</formula>
    </cfRule>
    <cfRule type="cellIs" dxfId="2058" priority="1304" operator="equal">
      <formula>"F"</formula>
    </cfRule>
  </conditionalFormatting>
  <conditionalFormatting sqref="V48">
    <cfRule type="cellIs" dxfId="2057" priority="1262" operator="equal">
      <formula>"F"</formula>
    </cfRule>
    <cfRule type="cellIs" dxfId="2056" priority="1261" operator="equal">
      <formula>"F"</formula>
    </cfRule>
    <cfRule type="cellIs" dxfId="2055" priority="1260" operator="equal">
      <formula>"U/P"</formula>
    </cfRule>
  </conditionalFormatting>
  <conditionalFormatting sqref="V57">
    <cfRule type="cellIs" dxfId="2054" priority="1218" operator="equal">
      <formula>"U/P"</formula>
    </cfRule>
    <cfRule type="cellIs" dxfId="2053" priority="1219" operator="equal">
      <formula>"F"</formula>
    </cfRule>
    <cfRule type="cellIs" dxfId="2052" priority="1220" operator="equal">
      <formula>"F"</formula>
    </cfRule>
  </conditionalFormatting>
  <conditionalFormatting sqref="V65">
    <cfRule type="cellIs" dxfId="2051" priority="1177" operator="equal">
      <formula>"F"</formula>
    </cfRule>
    <cfRule type="cellIs" dxfId="2050" priority="1178" operator="equal">
      <formula>"F"</formula>
    </cfRule>
    <cfRule type="cellIs" dxfId="2049" priority="1176" operator="equal">
      <formula>"U/P"</formula>
    </cfRule>
  </conditionalFormatting>
  <conditionalFormatting sqref="V73">
    <cfRule type="cellIs" dxfId="2048" priority="1135" operator="equal">
      <formula>"F"</formula>
    </cfRule>
    <cfRule type="cellIs" dxfId="2047" priority="1134" operator="equal">
      <formula>"U/P"</formula>
    </cfRule>
    <cfRule type="cellIs" dxfId="2046" priority="1136" operator="equal">
      <formula>"F"</formula>
    </cfRule>
  </conditionalFormatting>
  <conditionalFormatting sqref="V82">
    <cfRule type="cellIs" dxfId="2045" priority="1100" operator="equal">
      <formula>"F"</formula>
    </cfRule>
    <cfRule type="cellIs" dxfId="2044" priority="1099" operator="equal">
      <formula>"F"</formula>
    </cfRule>
    <cfRule type="cellIs" dxfId="2043" priority="1098" operator="equal">
      <formula>"U/P"</formula>
    </cfRule>
  </conditionalFormatting>
  <conditionalFormatting sqref="V90">
    <cfRule type="cellIs" dxfId="2042" priority="1061" operator="equal">
      <formula>"F"</formula>
    </cfRule>
    <cfRule type="cellIs" dxfId="2041" priority="1059" operator="equal">
      <formula>"U/P"</formula>
    </cfRule>
    <cfRule type="cellIs" dxfId="2040" priority="1060" operator="equal">
      <formula>"F"</formula>
    </cfRule>
  </conditionalFormatting>
  <conditionalFormatting sqref="V99">
    <cfRule type="cellIs" dxfId="2039" priority="1017" operator="equal">
      <formula>"U/P"</formula>
    </cfRule>
    <cfRule type="cellIs" dxfId="2038" priority="1019" operator="equal">
      <formula>"F"</formula>
    </cfRule>
    <cfRule type="cellIs" dxfId="2037" priority="1018" operator="equal">
      <formula>"F"</formula>
    </cfRule>
  </conditionalFormatting>
  <conditionalFormatting sqref="V115">
    <cfRule type="cellIs" dxfId="2036" priority="948" operator="equal">
      <formula>"U/P"</formula>
    </cfRule>
    <cfRule type="cellIs" dxfId="2035" priority="950" operator="equal">
      <formula>"F"</formula>
    </cfRule>
    <cfRule type="cellIs" dxfId="2034" priority="949" operator="equal">
      <formula>"F"</formula>
    </cfRule>
  </conditionalFormatting>
  <conditionalFormatting sqref="V123">
    <cfRule type="cellIs" dxfId="2033" priority="922" operator="equal">
      <formula>"F"</formula>
    </cfRule>
    <cfRule type="cellIs" dxfId="2032" priority="921" operator="equal">
      <formula>"U/P"</formula>
    </cfRule>
    <cfRule type="cellIs" dxfId="2031" priority="923" operator="equal">
      <formula>"F"</formula>
    </cfRule>
  </conditionalFormatting>
  <conditionalFormatting sqref="V132">
    <cfRule type="cellIs" dxfId="2030" priority="34" operator="equal">
      <formula>"U/P"</formula>
    </cfRule>
    <cfRule type="cellIs" dxfId="2029" priority="35" operator="equal">
      <formula>"F"</formula>
    </cfRule>
    <cfRule type="cellIs" dxfId="2028" priority="36" operator="equal">
      <formula>"F"</formula>
    </cfRule>
  </conditionalFormatting>
  <conditionalFormatting sqref="V141">
    <cfRule type="cellIs" dxfId="2027" priority="492" operator="equal">
      <formula>"U/P"</formula>
    </cfRule>
    <cfRule type="cellIs" dxfId="2026" priority="494" operator="equal">
      <formula>"F"</formula>
    </cfRule>
    <cfRule type="cellIs" dxfId="2025" priority="493" operator="equal">
      <formula>"F"</formula>
    </cfRule>
  </conditionalFormatting>
  <conditionalFormatting sqref="V150">
    <cfRule type="cellIs" dxfId="2024" priority="859" operator="equal">
      <formula>"F"</formula>
    </cfRule>
    <cfRule type="cellIs" dxfId="2023" priority="858" operator="equal">
      <formula>"U/P"</formula>
    </cfRule>
    <cfRule type="cellIs" dxfId="2022" priority="860" operator="equal">
      <formula>"F"</formula>
    </cfRule>
  </conditionalFormatting>
  <conditionalFormatting sqref="V159">
    <cfRule type="cellIs" dxfId="2021" priority="563" operator="equal">
      <formula>"F"</formula>
    </cfRule>
    <cfRule type="cellIs" dxfId="2020" priority="562" operator="equal">
      <formula>"F"</formula>
    </cfRule>
    <cfRule type="cellIs" dxfId="2019" priority="561" operator="equal">
      <formula>"U/P"</formula>
    </cfRule>
  </conditionalFormatting>
  <conditionalFormatting sqref="V168">
    <cfRule type="cellIs" dxfId="2018" priority="803" operator="equal">
      <formula>"F"</formula>
    </cfRule>
    <cfRule type="cellIs" dxfId="2017" priority="801" operator="equal">
      <formula>"U/P"</formula>
    </cfRule>
    <cfRule type="cellIs" dxfId="2016" priority="802" operator="equal">
      <formula>"F"</formula>
    </cfRule>
  </conditionalFormatting>
  <conditionalFormatting sqref="V176">
    <cfRule type="cellIs" dxfId="2015" priority="453" operator="equal">
      <formula>"F"</formula>
    </cfRule>
    <cfRule type="cellIs" dxfId="2014" priority="452" operator="equal">
      <formula>"F"</formula>
    </cfRule>
    <cfRule type="cellIs" dxfId="2013" priority="451" operator="equal">
      <formula>"U/P"</formula>
    </cfRule>
  </conditionalFormatting>
  <conditionalFormatting sqref="V185">
    <cfRule type="cellIs" dxfId="2012" priority="447" operator="equal">
      <formula>"F"</formula>
    </cfRule>
    <cfRule type="cellIs" dxfId="2011" priority="446" operator="equal">
      <formula>"F"</formula>
    </cfRule>
    <cfRule type="cellIs" dxfId="2010" priority="445" operator="equal">
      <formula>"U/P"</formula>
    </cfRule>
  </conditionalFormatting>
  <conditionalFormatting sqref="V202">
    <cfRule type="cellIs" dxfId="2009" priority="419" operator="equal">
      <formula>"F"</formula>
    </cfRule>
    <cfRule type="cellIs" dxfId="2008" priority="418" operator="equal">
      <formula>"F"</formula>
    </cfRule>
    <cfRule type="cellIs" dxfId="2007" priority="417" operator="equal">
      <formula>"U/P"</formula>
    </cfRule>
  </conditionalFormatting>
  <conditionalFormatting sqref="V210">
    <cfRule type="cellIs" dxfId="2006" priority="176" operator="equal">
      <formula>"F"</formula>
    </cfRule>
    <cfRule type="cellIs" dxfId="2005" priority="175" operator="equal">
      <formula>"U/P"</formula>
    </cfRule>
    <cfRule type="cellIs" dxfId="2004" priority="177" operator="equal">
      <formula>"F"</formula>
    </cfRule>
  </conditionalFormatting>
  <conditionalFormatting sqref="V218">
    <cfRule type="cellIs" dxfId="2003" priority="183" operator="equal">
      <formula>"F"</formula>
    </cfRule>
    <cfRule type="cellIs" dxfId="2002" priority="182" operator="equal">
      <formula>"F"</formula>
    </cfRule>
    <cfRule type="cellIs" dxfId="2001" priority="181" operator="equal">
      <formula>"U/P"</formula>
    </cfRule>
  </conditionalFormatting>
  <conditionalFormatting sqref="V226">
    <cfRule type="cellIs" dxfId="2000" priority="705" operator="equal">
      <formula>"U/P"</formula>
    </cfRule>
    <cfRule type="cellIs" dxfId="1999" priority="706" operator="equal">
      <formula>"F"</formula>
    </cfRule>
    <cfRule type="cellIs" dxfId="1998" priority="707" operator="equal">
      <formula>"F"</formula>
    </cfRule>
  </conditionalFormatting>
  <conditionalFormatting sqref="V235">
    <cfRule type="cellIs" dxfId="1997" priority="688" operator="equal">
      <formula>"F"</formula>
    </cfRule>
    <cfRule type="cellIs" dxfId="1996" priority="689" operator="equal">
      <formula>"F"</formula>
    </cfRule>
    <cfRule type="cellIs" dxfId="1995" priority="687" operator="equal">
      <formula>"U/P"</formula>
    </cfRule>
  </conditionalFormatting>
  <conditionalFormatting sqref="V244">
    <cfRule type="cellIs" dxfId="1994" priority="134" operator="equal">
      <formula>"F"</formula>
    </cfRule>
    <cfRule type="cellIs" dxfId="1993" priority="133" operator="equal">
      <formula>"U/P"</formula>
    </cfRule>
    <cfRule type="cellIs" dxfId="1992" priority="135" operator="equal">
      <formula>"F"</formula>
    </cfRule>
  </conditionalFormatting>
  <conditionalFormatting sqref="V252">
    <cfRule type="cellIs" dxfId="1991" priority="668" operator="equal">
      <formula>"F"</formula>
    </cfRule>
    <cfRule type="cellIs" dxfId="1990" priority="667" operator="equal">
      <formula>"F"</formula>
    </cfRule>
    <cfRule type="cellIs" dxfId="1989" priority="666" operator="equal">
      <formula>"U/P"</formula>
    </cfRule>
  </conditionalFormatting>
  <conditionalFormatting sqref="V260">
    <cfRule type="cellIs" dxfId="1988" priority="214" operator="equal">
      <formula>"U/P"</formula>
    </cfRule>
    <cfRule type="cellIs" dxfId="1987" priority="215" operator="equal">
      <formula>"F"</formula>
    </cfRule>
    <cfRule type="cellIs" dxfId="1986" priority="216" operator="equal">
      <formula>"F"</formula>
    </cfRule>
  </conditionalFormatting>
  <conditionalFormatting sqref="V268">
    <cfRule type="cellIs" dxfId="1985" priority="147" operator="equal">
      <formula>"F"</formula>
    </cfRule>
    <cfRule type="cellIs" dxfId="1984" priority="146" operator="equal">
      <formula>"F"</formula>
    </cfRule>
    <cfRule type="cellIs" dxfId="1983" priority="145" operator="equal">
      <formula>"U/P"</formula>
    </cfRule>
  </conditionalFormatting>
  <conditionalFormatting sqref="V276">
    <cfRule type="cellIs" dxfId="1982" priority="163" operator="equal">
      <formula>"U/P"</formula>
    </cfRule>
    <cfRule type="cellIs" dxfId="1981" priority="164" operator="equal">
      <formula>"F"</formula>
    </cfRule>
    <cfRule type="cellIs" dxfId="1980" priority="165" operator="equal">
      <formula>"F"</formula>
    </cfRule>
  </conditionalFormatting>
  <conditionalFormatting sqref="V284">
    <cfRule type="cellIs" dxfId="1979" priority="289" operator="equal">
      <formula>"U/P"</formula>
    </cfRule>
    <cfRule type="cellIs" dxfId="1978" priority="291" operator="equal">
      <formula>"F"</formula>
    </cfRule>
    <cfRule type="cellIs" dxfId="1977" priority="290" operator="equal">
      <formula>"F"</formula>
    </cfRule>
  </conditionalFormatting>
  <conditionalFormatting sqref="V300">
    <cfRule type="cellIs" dxfId="1976" priority="269" operator="equal">
      <formula>"F"</formula>
    </cfRule>
    <cfRule type="cellIs" dxfId="1975" priority="268" operator="equal">
      <formula>"U/P"</formula>
    </cfRule>
    <cfRule type="cellIs" dxfId="1974" priority="270" operator="equal">
      <formula>"F"</formula>
    </cfRule>
  </conditionalFormatting>
  <conditionalFormatting sqref="V315">
    <cfRule type="cellIs" dxfId="1973" priority="571" operator="equal">
      <formula>"F"</formula>
    </cfRule>
    <cfRule type="cellIs" dxfId="1972" priority="570" operator="equal">
      <formula>"U/P"</formula>
    </cfRule>
    <cfRule type="cellIs" dxfId="1971" priority="572" operator="equal">
      <formula>"F"</formula>
    </cfRule>
  </conditionalFormatting>
  <conditionalFormatting sqref="V110:W110">
    <cfRule type="cellIs" dxfId="1970" priority="461" operator="equal">
      <formula>0</formula>
    </cfRule>
  </conditionalFormatting>
  <conditionalFormatting sqref="W107">
    <cfRule type="cellIs" dxfId="1969" priority="982" operator="equal">
      <formula>"F"</formula>
    </cfRule>
    <cfRule type="cellIs" dxfId="1968" priority="983" operator="equal">
      <formula>"F"</formula>
    </cfRule>
    <cfRule type="cellIs" dxfId="1967" priority="981" operator="equal">
      <formula>"U/P"</formula>
    </cfRule>
  </conditionalFormatting>
  <conditionalFormatting sqref="X20">
    <cfRule type="cellIs" dxfId="1966" priority="1423" operator="equal">
      <formula>"F"</formula>
    </cfRule>
    <cfRule type="cellIs" dxfId="1965" priority="1424" operator="equal">
      <formula>"F"</formula>
    </cfRule>
    <cfRule type="cellIs" dxfId="1964" priority="1422" operator="equal">
      <formula>"U/P"</formula>
    </cfRule>
  </conditionalFormatting>
  <conditionalFormatting sqref="X27">
    <cfRule type="cellIs" dxfId="1963" priority="1380" operator="equal">
      <formula>"U/P"</formula>
    </cfRule>
    <cfRule type="cellIs" dxfId="1962" priority="1381" operator="equal">
      <formula>"F"</formula>
    </cfRule>
    <cfRule type="cellIs" dxfId="1961" priority="1382" operator="equal">
      <formula>"F"</formula>
    </cfRule>
  </conditionalFormatting>
  <conditionalFormatting sqref="X34">
    <cfRule type="cellIs" dxfId="1960" priority="1341" operator="equal">
      <formula>"U/P"</formula>
    </cfRule>
    <cfRule type="cellIs" dxfId="1959" priority="1343" operator="equal">
      <formula>"F"</formula>
    </cfRule>
    <cfRule type="cellIs" dxfId="1958" priority="1342" operator="equal">
      <formula>"F"</formula>
    </cfRule>
  </conditionalFormatting>
  <conditionalFormatting sqref="X41">
    <cfRule type="cellIs" dxfId="1957" priority="1300" operator="equal">
      <formula>"F"</formula>
    </cfRule>
    <cfRule type="cellIs" dxfId="1956" priority="1301" operator="equal">
      <formula>"F"</formula>
    </cfRule>
    <cfRule type="cellIs" dxfId="1955" priority="1299" operator="equal">
      <formula>"U/P"</formula>
    </cfRule>
  </conditionalFormatting>
  <conditionalFormatting sqref="X48">
    <cfRule type="cellIs" dxfId="1954" priority="1258" operator="equal">
      <formula>"F"</formula>
    </cfRule>
    <cfRule type="cellIs" dxfId="1953" priority="1257" operator="equal">
      <formula>"U/P"</formula>
    </cfRule>
    <cfRule type="cellIs" dxfId="1952" priority="1259" operator="equal">
      <formula>"F"</formula>
    </cfRule>
  </conditionalFormatting>
  <conditionalFormatting sqref="X57">
    <cfRule type="cellIs" dxfId="1951" priority="1217" operator="equal">
      <formula>"F"</formula>
    </cfRule>
    <cfRule type="cellIs" dxfId="1950" priority="1215" operator="equal">
      <formula>"U/P"</formula>
    </cfRule>
    <cfRule type="cellIs" dxfId="1949" priority="1216" operator="equal">
      <formula>"F"</formula>
    </cfRule>
  </conditionalFormatting>
  <conditionalFormatting sqref="X65">
    <cfRule type="cellIs" dxfId="1948" priority="1173" operator="equal">
      <formula>"U/P"</formula>
    </cfRule>
    <cfRule type="cellIs" dxfId="1947" priority="1174" operator="equal">
      <formula>"F"</formula>
    </cfRule>
    <cfRule type="cellIs" dxfId="1946" priority="1175" operator="equal">
      <formula>"F"</formula>
    </cfRule>
  </conditionalFormatting>
  <conditionalFormatting sqref="X73">
    <cfRule type="cellIs" dxfId="1945" priority="1133" operator="equal">
      <formula>"F"</formula>
    </cfRule>
    <cfRule type="cellIs" dxfId="1944" priority="1132" operator="equal">
      <formula>"F"</formula>
    </cfRule>
    <cfRule type="cellIs" dxfId="1943" priority="1131" operator="equal">
      <formula>"U/P"</formula>
    </cfRule>
  </conditionalFormatting>
  <conditionalFormatting sqref="X82">
    <cfRule type="cellIs" dxfId="1942" priority="1097" operator="equal">
      <formula>"F"</formula>
    </cfRule>
    <cfRule type="cellIs" dxfId="1941" priority="1095" operator="equal">
      <formula>"U/P"</formula>
    </cfRule>
    <cfRule type="cellIs" dxfId="1940" priority="1096" operator="equal">
      <formula>"F"</formula>
    </cfRule>
  </conditionalFormatting>
  <conditionalFormatting sqref="X90">
    <cfRule type="cellIs" dxfId="1939" priority="1058" operator="equal">
      <formula>"F"</formula>
    </cfRule>
    <cfRule type="cellIs" dxfId="1938" priority="1057" operator="equal">
      <formula>"F"</formula>
    </cfRule>
    <cfRule type="cellIs" dxfId="1937" priority="1056" operator="equal">
      <formula>"U/P"</formula>
    </cfRule>
  </conditionalFormatting>
  <conditionalFormatting sqref="X99">
    <cfRule type="cellIs" dxfId="1936" priority="311" operator="equal">
      <formula>"F"</formula>
    </cfRule>
    <cfRule type="cellIs" dxfId="1935" priority="312" operator="equal">
      <formula>"F"</formula>
    </cfRule>
    <cfRule type="cellIs" dxfId="1934" priority="310" operator="equal">
      <formula>"U/P"</formula>
    </cfRule>
  </conditionalFormatting>
  <conditionalFormatting sqref="X115">
    <cfRule type="cellIs" dxfId="1933" priority="945" operator="equal">
      <formula>"U/P"</formula>
    </cfRule>
    <cfRule type="cellIs" dxfId="1932" priority="947" operator="equal">
      <formula>"F"</formula>
    </cfRule>
    <cfRule type="cellIs" dxfId="1931" priority="946" operator="equal">
      <formula>"F"</formula>
    </cfRule>
  </conditionalFormatting>
  <conditionalFormatting sqref="X123">
    <cfRule type="cellIs" dxfId="1930" priority="918" operator="equal">
      <formula>"U/P"</formula>
    </cfRule>
    <cfRule type="cellIs" dxfId="1929" priority="919" operator="equal">
      <formula>"F"</formula>
    </cfRule>
    <cfRule type="cellIs" dxfId="1928" priority="920" operator="equal">
      <formula>"F"</formula>
    </cfRule>
  </conditionalFormatting>
  <conditionalFormatting sqref="X132">
    <cfRule type="cellIs" dxfId="1927" priority="44" operator="equal">
      <formula>"F"</formula>
    </cfRule>
    <cfRule type="cellIs" dxfId="1926" priority="43" operator="equal">
      <formula>"U/P"</formula>
    </cfRule>
    <cfRule type="cellIs" dxfId="1925" priority="45" operator="equal">
      <formula>"F"</formula>
    </cfRule>
  </conditionalFormatting>
  <conditionalFormatting sqref="X141">
    <cfRule type="cellIs" dxfId="1924" priority="890" operator="equal">
      <formula>"F"</formula>
    </cfRule>
    <cfRule type="cellIs" dxfId="1923" priority="889" operator="equal">
      <formula>"F"</formula>
    </cfRule>
    <cfRule type="cellIs" dxfId="1922" priority="888" operator="equal">
      <formula>"U/P"</formula>
    </cfRule>
  </conditionalFormatting>
  <conditionalFormatting sqref="X150">
    <cfRule type="cellIs" dxfId="1921" priority="855" operator="equal">
      <formula>"U/P"</formula>
    </cfRule>
    <cfRule type="cellIs" dxfId="1920" priority="856" operator="equal">
      <formula>"F"</formula>
    </cfRule>
    <cfRule type="cellIs" dxfId="1919" priority="857" operator="equal">
      <formula>"F"</formula>
    </cfRule>
  </conditionalFormatting>
  <conditionalFormatting sqref="X159">
    <cfRule type="cellIs" dxfId="1918" priority="822" operator="equal">
      <formula>"U/P"</formula>
    </cfRule>
    <cfRule type="cellIs" dxfId="1917" priority="824" operator="equal">
      <formula>"F"</formula>
    </cfRule>
    <cfRule type="cellIs" dxfId="1916" priority="823" operator="equal">
      <formula>"F"</formula>
    </cfRule>
  </conditionalFormatting>
  <conditionalFormatting sqref="X168">
    <cfRule type="cellIs" dxfId="1915" priority="800" operator="equal">
      <formula>"F"</formula>
    </cfRule>
    <cfRule type="cellIs" dxfId="1914" priority="799" operator="equal">
      <formula>"F"</formula>
    </cfRule>
    <cfRule type="cellIs" dxfId="1913" priority="798" operator="equal">
      <formula>"U/P"</formula>
    </cfRule>
  </conditionalFormatting>
  <conditionalFormatting sqref="X176">
    <cfRule type="cellIs" dxfId="1912" priority="765" operator="equal">
      <formula>"U/P"</formula>
    </cfRule>
    <cfRule type="cellIs" dxfId="1911" priority="767" operator="equal">
      <formula>"F"</formula>
    </cfRule>
    <cfRule type="cellIs" dxfId="1910" priority="766" operator="equal">
      <formula>"F"</formula>
    </cfRule>
  </conditionalFormatting>
  <conditionalFormatting sqref="X185">
    <cfRule type="cellIs" dxfId="1909" priority="474" operator="equal">
      <formula>"U/P"</formula>
    </cfRule>
    <cfRule type="cellIs" dxfId="1908" priority="475" operator="equal">
      <formula>"F"</formula>
    </cfRule>
    <cfRule type="cellIs" dxfId="1907" priority="476" operator="equal">
      <formula>"F"</formula>
    </cfRule>
  </conditionalFormatting>
  <conditionalFormatting sqref="X194">
    <cfRule type="cellIs" dxfId="1906" priority="751" operator="equal">
      <formula>"F"</formula>
    </cfRule>
    <cfRule type="cellIs" dxfId="1905" priority="752" operator="equal">
      <formula>"F"</formula>
    </cfRule>
    <cfRule type="cellIs" dxfId="1904" priority="750" operator="equal">
      <formula>"U/P"</formula>
    </cfRule>
  </conditionalFormatting>
  <conditionalFormatting sqref="X202">
    <cfRule type="cellIs" dxfId="1903" priority="743" operator="equal">
      <formula>"F"</formula>
    </cfRule>
    <cfRule type="cellIs" dxfId="1902" priority="742" operator="equal">
      <formula>"F"</formula>
    </cfRule>
    <cfRule type="cellIs" dxfId="1901" priority="741" operator="equal">
      <formula>"U/P"</formula>
    </cfRule>
  </conditionalFormatting>
  <conditionalFormatting sqref="X210">
    <cfRule type="cellIs" dxfId="1900" priority="501" operator="equal">
      <formula>"U/P"</formula>
    </cfRule>
    <cfRule type="cellIs" dxfId="1899" priority="503" operator="equal">
      <formula>"F"</formula>
    </cfRule>
    <cfRule type="cellIs" dxfId="1898" priority="502" operator="equal">
      <formula>"F"</formula>
    </cfRule>
  </conditionalFormatting>
  <conditionalFormatting sqref="X218">
    <cfRule type="cellIs" dxfId="1897" priority="219" operator="equal">
      <formula>"F"</formula>
    </cfRule>
    <cfRule type="cellIs" dxfId="1896" priority="217" operator="equal">
      <formula>"U/P"</formula>
    </cfRule>
    <cfRule type="cellIs" dxfId="1895" priority="218" operator="equal">
      <formula>"F"</formula>
    </cfRule>
  </conditionalFormatting>
  <conditionalFormatting sqref="X226">
    <cfRule type="cellIs" dxfId="1894" priority="715" operator="equal">
      <formula>"F"</formula>
    </cfRule>
    <cfRule type="cellIs" dxfId="1893" priority="716" operator="equal">
      <formula>"F"</formula>
    </cfRule>
    <cfRule type="cellIs" dxfId="1892" priority="714" operator="equal">
      <formula>"U/P"</formula>
    </cfRule>
  </conditionalFormatting>
  <conditionalFormatting sqref="X235">
    <cfRule type="cellIs" dxfId="1891" priority="698" operator="equal">
      <formula>"F"</formula>
    </cfRule>
    <cfRule type="cellIs" dxfId="1890" priority="697" operator="equal">
      <formula>"F"</formula>
    </cfRule>
    <cfRule type="cellIs" dxfId="1889" priority="696" operator="equal">
      <formula>"U/P"</formula>
    </cfRule>
  </conditionalFormatting>
  <conditionalFormatting sqref="X244">
    <cfRule type="cellIs" dxfId="1888" priority="278" operator="equal">
      <formula>"F"</formula>
    </cfRule>
    <cfRule type="cellIs" dxfId="1887" priority="279" operator="equal">
      <formula>"F"</formula>
    </cfRule>
    <cfRule type="cellIs" dxfId="1886" priority="277" operator="equal">
      <formula>"U/P"</formula>
    </cfRule>
  </conditionalFormatting>
  <conditionalFormatting sqref="X252">
    <cfRule type="cellIs" dxfId="1885" priority="149" operator="equal">
      <formula>"F"</formula>
    </cfRule>
    <cfRule type="cellIs" dxfId="1884" priority="150" operator="equal">
      <formula>"F"</formula>
    </cfRule>
    <cfRule type="cellIs" dxfId="1883" priority="148" operator="equal">
      <formula>"U/P"</formula>
    </cfRule>
  </conditionalFormatting>
  <conditionalFormatting sqref="X260">
    <cfRule type="cellIs" dxfId="1882" priority="283" operator="equal">
      <formula>"U/P"</formula>
    </cfRule>
    <cfRule type="cellIs" dxfId="1881" priority="284" operator="equal">
      <formula>"F"</formula>
    </cfRule>
    <cfRule type="cellIs" dxfId="1880" priority="285" operator="equal">
      <formula>"F"</formula>
    </cfRule>
  </conditionalFormatting>
  <conditionalFormatting sqref="X268">
    <cfRule type="cellIs" dxfId="1879" priority="654" operator="equal">
      <formula>"U/P"</formula>
    </cfRule>
    <cfRule type="cellIs" dxfId="1878" priority="655" operator="equal">
      <formula>"F"</formula>
    </cfRule>
    <cfRule type="cellIs" dxfId="1877" priority="656" operator="equal">
      <formula>"F"</formula>
    </cfRule>
  </conditionalFormatting>
  <conditionalFormatting sqref="X276">
    <cfRule type="cellIs" dxfId="1876" priority="367" operator="equal">
      <formula>"U/P"</formula>
    </cfRule>
    <cfRule type="cellIs" dxfId="1875" priority="368" operator="equal">
      <formula>"F"</formula>
    </cfRule>
    <cfRule type="cellIs" dxfId="1874" priority="369" operator="equal">
      <formula>"F"</formula>
    </cfRule>
  </conditionalFormatting>
  <conditionalFormatting sqref="X284">
    <cfRule type="cellIs" dxfId="1873" priority="327" operator="equal">
      <formula>"F"</formula>
    </cfRule>
    <cfRule type="cellIs" dxfId="1872" priority="326" operator="equal">
      <formula>"F"</formula>
    </cfRule>
    <cfRule type="cellIs" dxfId="1871" priority="325" operator="equal">
      <formula>"U/P"</formula>
    </cfRule>
  </conditionalFormatting>
  <conditionalFormatting sqref="X292">
    <cfRule type="cellIs" dxfId="1870" priority="399" operator="equal">
      <formula>"F"</formula>
    </cfRule>
    <cfRule type="cellIs" dxfId="1869" priority="398" operator="equal">
      <formula>"F"</formula>
    </cfRule>
    <cfRule type="cellIs" dxfId="1868" priority="397" operator="equal">
      <formula>"U/P"</formula>
    </cfRule>
  </conditionalFormatting>
  <conditionalFormatting sqref="X300">
    <cfRule type="cellIs" dxfId="1867" priority="254" operator="equal">
      <formula>"F"</formula>
    </cfRule>
    <cfRule type="cellIs" dxfId="1866" priority="255" operator="equal">
      <formula>"F"</formula>
    </cfRule>
    <cfRule type="cellIs" dxfId="1865" priority="253" operator="equal">
      <formula>"U/P"</formula>
    </cfRule>
  </conditionalFormatting>
  <conditionalFormatting sqref="X315">
    <cfRule type="cellIs" dxfId="1864" priority="587" operator="equal">
      <formula>"F"</formula>
    </cfRule>
    <cfRule type="cellIs" dxfId="1863" priority="585" operator="equal">
      <formula>"U/P"</formula>
    </cfRule>
    <cfRule type="cellIs" dxfId="1862" priority="586" operator="equal">
      <formula>"F"</formula>
    </cfRule>
  </conditionalFormatting>
  <conditionalFormatting sqref="Z20">
    <cfRule type="cellIs" dxfId="1861" priority="1420" operator="equal">
      <formula>"F"</formula>
    </cfRule>
    <cfRule type="cellIs" dxfId="1860" priority="1421" operator="equal">
      <formula>"F"</formula>
    </cfRule>
    <cfRule type="cellIs" dxfId="1859" priority="1419" operator="equal">
      <formula>"U/P"</formula>
    </cfRule>
  </conditionalFormatting>
  <conditionalFormatting sqref="Z27">
    <cfRule type="cellIs" dxfId="1858" priority="1377" operator="equal">
      <formula>"U/P"</formula>
    </cfRule>
    <cfRule type="cellIs" dxfId="1857" priority="1378" operator="equal">
      <formula>"F"</formula>
    </cfRule>
    <cfRule type="cellIs" dxfId="1856" priority="1379" operator="equal">
      <formula>"F"</formula>
    </cfRule>
  </conditionalFormatting>
  <conditionalFormatting sqref="Z34">
    <cfRule type="cellIs" dxfId="1855" priority="1339" operator="equal">
      <formula>"F"</formula>
    </cfRule>
    <cfRule type="cellIs" dxfId="1854" priority="1338" operator="equal">
      <formula>"U/P"</formula>
    </cfRule>
    <cfRule type="cellIs" dxfId="1853" priority="1340" operator="equal">
      <formula>"F"</formula>
    </cfRule>
  </conditionalFormatting>
  <conditionalFormatting sqref="Z41">
    <cfRule type="cellIs" dxfId="1852" priority="1298" operator="equal">
      <formula>"F"</formula>
    </cfRule>
    <cfRule type="cellIs" dxfId="1851" priority="1297" operator="equal">
      <formula>"F"</formula>
    </cfRule>
    <cfRule type="cellIs" dxfId="1850" priority="1296" operator="equal">
      <formula>"U/P"</formula>
    </cfRule>
  </conditionalFormatting>
  <conditionalFormatting sqref="Z48">
    <cfRule type="cellIs" dxfId="1849" priority="1254" operator="equal">
      <formula>"U/P"</formula>
    </cfRule>
    <cfRule type="cellIs" dxfId="1848" priority="1256" operator="equal">
      <formula>"F"</formula>
    </cfRule>
    <cfRule type="cellIs" dxfId="1847" priority="1255" operator="equal">
      <formula>"F"</formula>
    </cfRule>
  </conditionalFormatting>
  <conditionalFormatting sqref="Z57">
    <cfRule type="cellIs" dxfId="1846" priority="1212" operator="equal">
      <formula>"U/P"</formula>
    </cfRule>
    <cfRule type="cellIs" dxfId="1845" priority="1214" operator="equal">
      <formula>"F"</formula>
    </cfRule>
    <cfRule type="cellIs" dxfId="1844" priority="1213" operator="equal">
      <formula>"F"</formula>
    </cfRule>
  </conditionalFormatting>
  <conditionalFormatting sqref="Z65">
    <cfRule type="cellIs" dxfId="1843" priority="1170" operator="equal">
      <formula>"U/P"</formula>
    </cfRule>
    <cfRule type="cellIs" dxfId="1842" priority="1171" operator="equal">
      <formula>"F"</formula>
    </cfRule>
    <cfRule type="cellIs" dxfId="1841" priority="1172" operator="equal">
      <formula>"F"</formula>
    </cfRule>
  </conditionalFormatting>
  <conditionalFormatting sqref="Z73">
    <cfRule type="cellIs" dxfId="1840" priority="1130" operator="equal">
      <formula>"F"</formula>
    </cfRule>
    <cfRule type="cellIs" dxfId="1839" priority="1129" operator="equal">
      <formula>"F"</formula>
    </cfRule>
    <cfRule type="cellIs" dxfId="1838" priority="1128" operator="equal">
      <formula>"U/P"</formula>
    </cfRule>
  </conditionalFormatting>
  <conditionalFormatting sqref="Z82">
    <cfRule type="cellIs" dxfId="1837" priority="1092" operator="equal">
      <formula>"U/P"</formula>
    </cfRule>
    <cfRule type="cellIs" dxfId="1836" priority="1094" operator="equal">
      <formula>"F"</formula>
    </cfRule>
    <cfRule type="cellIs" dxfId="1835" priority="1093" operator="equal">
      <formula>"F"</formula>
    </cfRule>
  </conditionalFormatting>
  <conditionalFormatting sqref="Z90">
    <cfRule type="cellIs" dxfId="1834" priority="1053" operator="equal">
      <formula>"U/P"</formula>
    </cfRule>
    <cfRule type="cellIs" dxfId="1833" priority="1055" operator="equal">
      <formula>"F"</formula>
    </cfRule>
    <cfRule type="cellIs" dxfId="1832" priority="1054" operator="equal">
      <formula>"F"</formula>
    </cfRule>
  </conditionalFormatting>
  <conditionalFormatting sqref="Z99">
    <cfRule type="cellIs" dxfId="1831" priority="308" operator="equal">
      <formula>"F"</formula>
    </cfRule>
    <cfRule type="cellIs" dxfId="1830" priority="309" operator="equal">
      <formula>"F"</formula>
    </cfRule>
    <cfRule type="cellIs" dxfId="1829" priority="307" operator="equal">
      <formula>"U/P"</formula>
    </cfRule>
  </conditionalFormatting>
  <conditionalFormatting sqref="Z110">
    <cfRule type="cellIs" dxfId="1828" priority="462" operator="equal">
      <formula>0</formula>
    </cfRule>
  </conditionalFormatting>
  <conditionalFormatting sqref="Z115">
    <cfRule type="cellIs" dxfId="1827" priority="942" operator="equal">
      <formula>"U/P"</formula>
    </cfRule>
    <cfRule type="cellIs" dxfId="1826" priority="944" operator="equal">
      <formula>"F"</formula>
    </cfRule>
    <cfRule type="cellIs" dxfId="1825" priority="943" operator="equal">
      <formula>"F"</formula>
    </cfRule>
  </conditionalFormatting>
  <conditionalFormatting sqref="Z123">
    <cfRule type="cellIs" dxfId="1824" priority="915" operator="equal">
      <formula>"U/P"</formula>
    </cfRule>
    <cfRule type="cellIs" dxfId="1823" priority="917" operator="equal">
      <formula>"F"</formula>
    </cfRule>
    <cfRule type="cellIs" dxfId="1822" priority="916" operator="equal">
      <formula>"F"</formula>
    </cfRule>
  </conditionalFormatting>
  <conditionalFormatting sqref="Z132">
    <cfRule type="cellIs" dxfId="1821" priority="729" operator="equal">
      <formula>"U/P"</formula>
    </cfRule>
    <cfRule type="cellIs" dxfId="1820" priority="731" operator="equal">
      <formula>"F"</formula>
    </cfRule>
    <cfRule type="cellIs" dxfId="1819" priority="730" operator="equal">
      <formula>"F"</formula>
    </cfRule>
  </conditionalFormatting>
  <conditionalFormatting sqref="Z141">
    <cfRule type="cellIs" dxfId="1818" priority="115" operator="equal">
      <formula>"U/P"</formula>
    </cfRule>
    <cfRule type="cellIs" dxfId="1817" priority="117" operator="equal">
      <formula>"F"</formula>
    </cfRule>
    <cfRule type="cellIs" dxfId="1816" priority="116" operator="equal">
      <formula>"F"</formula>
    </cfRule>
  </conditionalFormatting>
  <conditionalFormatting sqref="Z150">
    <cfRule type="cellIs" dxfId="1815" priority="737" operator="equal">
      <formula>"F"</formula>
    </cfRule>
    <cfRule type="cellIs" dxfId="1814" priority="736" operator="equal">
      <formula>"F"</formula>
    </cfRule>
    <cfRule type="cellIs" dxfId="1813" priority="735" operator="equal">
      <formula>"U/P"</formula>
    </cfRule>
  </conditionalFormatting>
  <conditionalFormatting sqref="Z159">
    <cfRule type="cellIs" dxfId="1812" priority="821" operator="equal">
      <formula>"F"</formula>
    </cfRule>
    <cfRule type="cellIs" dxfId="1811" priority="820" operator="equal">
      <formula>"F"</formula>
    </cfRule>
    <cfRule type="cellIs" dxfId="1810" priority="819" operator="equal">
      <formula>"U/P"</formula>
    </cfRule>
  </conditionalFormatting>
  <conditionalFormatting sqref="Z168">
    <cfRule type="cellIs" dxfId="1809" priority="796" operator="equal">
      <formula>"F"</formula>
    </cfRule>
    <cfRule type="cellIs" dxfId="1808" priority="795" operator="equal">
      <formula>"U/P"</formula>
    </cfRule>
    <cfRule type="cellIs" dxfId="1807" priority="797" operator="equal">
      <formula>"F"</formula>
    </cfRule>
  </conditionalFormatting>
  <conditionalFormatting sqref="Z176">
    <cfRule type="cellIs" dxfId="1806" priority="450" operator="equal">
      <formula>"F"</formula>
    </cfRule>
    <cfRule type="cellIs" dxfId="1805" priority="448" operator="equal">
      <formula>"U/P"</formula>
    </cfRule>
    <cfRule type="cellIs" dxfId="1804" priority="449" operator="equal">
      <formula>"F"</formula>
    </cfRule>
  </conditionalFormatting>
  <conditionalFormatting sqref="Z185">
    <cfRule type="cellIs" dxfId="1803" priority="199" operator="equal">
      <formula>"U/P"</formula>
    </cfRule>
    <cfRule type="cellIs" dxfId="1802" priority="200" operator="equal">
      <formula>"F"</formula>
    </cfRule>
    <cfRule type="cellIs" dxfId="1801" priority="201" operator="equal">
      <formula>"F"</formula>
    </cfRule>
  </conditionalFormatting>
  <conditionalFormatting sqref="Z202">
    <cfRule type="cellIs" dxfId="1800" priority="483" operator="equal">
      <formula>"U/P"</formula>
    </cfRule>
    <cfRule type="cellIs" dxfId="1799" priority="484" operator="equal">
      <formula>"F"</formula>
    </cfRule>
    <cfRule type="cellIs" dxfId="1798" priority="485" operator="equal">
      <formula>"F"</formula>
    </cfRule>
  </conditionalFormatting>
  <conditionalFormatting sqref="Z210">
    <cfRule type="cellIs" dxfId="1797" priority="499" operator="equal">
      <formula>"F"</formula>
    </cfRule>
    <cfRule type="cellIs" dxfId="1796" priority="500" operator="equal">
      <formula>"F"</formula>
    </cfRule>
    <cfRule type="cellIs" dxfId="1795" priority="498" operator="equal">
      <formula>"U/P"</formula>
    </cfRule>
  </conditionalFormatting>
  <conditionalFormatting sqref="Z226">
    <cfRule type="cellIs" dxfId="1794" priority="334" operator="equal">
      <formula>"U/P"</formula>
    </cfRule>
    <cfRule type="cellIs" dxfId="1793" priority="336" operator="equal">
      <formula>"F"</formula>
    </cfRule>
    <cfRule type="cellIs" dxfId="1792" priority="335" operator="equal">
      <formula>"F"</formula>
    </cfRule>
  </conditionalFormatting>
  <conditionalFormatting sqref="Z235">
    <cfRule type="cellIs" dxfId="1791" priority="695" operator="equal">
      <formula>"F"</formula>
    </cfRule>
    <cfRule type="cellIs" dxfId="1790" priority="693" operator="equal">
      <formula>"U/P"</formula>
    </cfRule>
    <cfRule type="cellIs" dxfId="1789" priority="694" operator="equal">
      <formula>"F"</formula>
    </cfRule>
  </conditionalFormatting>
  <conditionalFormatting sqref="Z244">
    <cfRule type="cellIs" dxfId="1788" priority="340" operator="equal">
      <formula>"U/P"</formula>
    </cfRule>
    <cfRule type="cellIs" dxfId="1787" priority="342" operator="equal">
      <formula>"F"</formula>
    </cfRule>
    <cfRule type="cellIs" dxfId="1786" priority="341" operator="equal">
      <formula>"F"</formula>
    </cfRule>
  </conditionalFormatting>
  <conditionalFormatting sqref="Z252">
    <cfRule type="cellIs" dxfId="1785" priority="233" operator="equal">
      <formula>"F"</formula>
    </cfRule>
    <cfRule type="cellIs" dxfId="1784" priority="232" operator="equal">
      <formula>"U/P"</formula>
    </cfRule>
    <cfRule type="cellIs" dxfId="1783" priority="234" operator="equal">
      <formula>"F"</formula>
    </cfRule>
  </conditionalFormatting>
  <conditionalFormatting sqref="Z260">
    <cfRule type="cellIs" dxfId="1782" priority="295" operator="equal">
      <formula>"U/P"</formula>
    </cfRule>
    <cfRule type="cellIs" dxfId="1781" priority="296" operator="equal">
      <formula>"F"</formula>
    </cfRule>
    <cfRule type="cellIs" dxfId="1780" priority="297" operator="equal">
      <formula>"F"</formula>
    </cfRule>
  </conditionalFormatting>
  <conditionalFormatting sqref="Z268">
    <cfRule type="cellIs" dxfId="1779" priority="122" operator="equal">
      <formula>"F"</formula>
    </cfRule>
    <cfRule type="cellIs" dxfId="1778" priority="121" operator="equal">
      <formula>"U/P"</formula>
    </cfRule>
    <cfRule type="cellIs" dxfId="1777" priority="123" operator="equal">
      <formula>"F"</formula>
    </cfRule>
  </conditionalFormatting>
  <conditionalFormatting sqref="Z276">
    <cfRule type="cellIs" dxfId="1776" priority="647" operator="equal">
      <formula>"F"</formula>
    </cfRule>
    <cfRule type="cellIs" dxfId="1775" priority="646" operator="equal">
      <formula>"F"</formula>
    </cfRule>
    <cfRule type="cellIs" dxfId="1774" priority="645" operator="equal">
      <formula>"U/P"</formula>
    </cfRule>
  </conditionalFormatting>
  <conditionalFormatting sqref="Z284">
    <cfRule type="cellIs" dxfId="1773" priority="206" operator="equal">
      <formula>"F"</formula>
    </cfRule>
    <cfRule type="cellIs" dxfId="1772" priority="207" operator="equal">
      <formula>"F"</formula>
    </cfRule>
    <cfRule type="cellIs" dxfId="1771" priority="205" operator="equal">
      <formula>"U/P"</formula>
    </cfRule>
  </conditionalFormatting>
  <conditionalFormatting sqref="Z292">
    <cfRule type="cellIs" dxfId="1770" priority="42" operator="equal">
      <formula>"F"</formula>
    </cfRule>
    <cfRule type="cellIs" dxfId="1769" priority="41" operator="equal">
      <formula>"F"</formula>
    </cfRule>
    <cfRule type="cellIs" dxfId="1768" priority="40" operator="equal">
      <formula>"U/P"</formula>
    </cfRule>
  </conditionalFormatting>
  <conditionalFormatting sqref="Z300">
    <cfRule type="cellIs" dxfId="1767" priority="506" operator="equal">
      <formula>"F"</formula>
    </cfRule>
    <cfRule type="cellIs" dxfId="1766" priority="505" operator="equal">
      <formula>"F"</formula>
    </cfRule>
    <cfRule type="cellIs" dxfId="1765" priority="504" operator="equal">
      <formula>"U/P"</formula>
    </cfRule>
  </conditionalFormatting>
  <conditionalFormatting sqref="Z315">
    <cfRule type="cellIs" dxfId="1764" priority="582" operator="equal">
      <formula>"U/P"</formula>
    </cfRule>
    <cfRule type="cellIs" dxfId="1763" priority="583" operator="equal">
      <formula>"F"</formula>
    </cfRule>
    <cfRule type="cellIs" dxfId="1762" priority="584" operator="equal">
      <formula>"F"</formula>
    </cfRule>
  </conditionalFormatting>
  <conditionalFormatting sqref="AB20">
    <cfRule type="cellIs" dxfId="1761" priority="1418" operator="equal">
      <formula>"F"</formula>
    </cfRule>
    <cfRule type="cellIs" dxfId="1760" priority="1416" operator="equal">
      <formula>"U/P"</formula>
    </cfRule>
    <cfRule type="cellIs" dxfId="1759" priority="1417" operator="equal">
      <formula>"F"</formula>
    </cfRule>
  </conditionalFormatting>
  <conditionalFormatting sqref="AB27">
    <cfRule type="cellIs" dxfId="1758" priority="1374" operator="equal">
      <formula>"U/P"</formula>
    </cfRule>
    <cfRule type="cellIs" dxfId="1757" priority="1376" operator="equal">
      <formula>"F"</formula>
    </cfRule>
    <cfRule type="cellIs" dxfId="1756" priority="1375" operator="equal">
      <formula>"F"</formula>
    </cfRule>
  </conditionalFormatting>
  <conditionalFormatting sqref="AB34">
    <cfRule type="cellIs" dxfId="1755" priority="1335" operator="equal">
      <formula>"U/P"</formula>
    </cfRule>
    <cfRule type="cellIs" dxfId="1754" priority="1336" operator="equal">
      <formula>"F"</formula>
    </cfRule>
    <cfRule type="cellIs" dxfId="1753" priority="1337" operator="equal">
      <formula>"F"</formula>
    </cfRule>
  </conditionalFormatting>
  <conditionalFormatting sqref="AB41">
    <cfRule type="cellIs" dxfId="1752" priority="1294" operator="equal">
      <formula>"F"</formula>
    </cfRule>
    <cfRule type="cellIs" dxfId="1751" priority="1293" operator="equal">
      <formula>"U/P"</formula>
    </cfRule>
    <cfRule type="cellIs" dxfId="1750" priority="1295" operator="equal">
      <formula>"F"</formula>
    </cfRule>
  </conditionalFormatting>
  <conditionalFormatting sqref="AB48">
    <cfRule type="cellIs" dxfId="1749" priority="1253" operator="equal">
      <formula>"F"</formula>
    </cfRule>
    <cfRule type="cellIs" dxfId="1748" priority="1252" operator="equal">
      <formula>"F"</formula>
    </cfRule>
    <cfRule type="cellIs" dxfId="1747" priority="1251" operator="equal">
      <formula>"U/P"</formula>
    </cfRule>
  </conditionalFormatting>
  <conditionalFormatting sqref="AB57">
    <cfRule type="cellIs" dxfId="1746" priority="1211" operator="equal">
      <formula>"F"</formula>
    </cfRule>
    <cfRule type="cellIs" dxfId="1745" priority="1210" operator="equal">
      <formula>"F"</formula>
    </cfRule>
    <cfRule type="cellIs" dxfId="1744" priority="1209" operator="equal">
      <formula>"U/P"</formula>
    </cfRule>
  </conditionalFormatting>
  <conditionalFormatting sqref="AB65">
    <cfRule type="cellIs" dxfId="1743" priority="1169" operator="equal">
      <formula>"F"</formula>
    </cfRule>
    <cfRule type="cellIs" dxfId="1742" priority="1168" operator="equal">
      <formula>"F"</formula>
    </cfRule>
    <cfRule type="cellIs" dxfId="1741" priority="1167" operator="equal">
      <formula>"U/P"</formula>
    </cfRule>
  </conditionalFormatting>
  <conditionalFormatting sqref="AB73">
    <cfRule type="cellIs" dxfId="1740" priority="1127" operator="equal">
      <formula>"F"</formula>
    </cfRule>
    <cfRule type="cellIs" dxfId="1739" priority="1126" operator="equal">
      <formula>"F"</formula>
    </cfRule>
    <cfRule type="cellIs" dxfId="1738" priority="1125" operator="equal">
      <formula>"U/P"</formula>
    </cfRule>
  </conditionalFormatting>
  <conditionalFormatting sqref="AB82">
    <cfRule type="cellIs" dxfId="1737" priority="1090" operator="equal">
      <formula>"F"</formula>
    </cfRule>
    <cfRule type="cellIs" dxfId="1736" priority="1089" operator="equal">
      <formula>"U/P"</formula>
    </cfRule>
    <cfRule type="cellIs" dxfId="1735" priority="1091" operator="equal">
      <formula>"F"</formula>
    </cfRule>
  </conditionalFormatting>
  <conditionalFormatting sqref="AB90">
    <cfRule type="cellIs" dxfId="1734" priority="1052" operator="equal">
      <formula>"F"</formula>
    </cfRule>
    <cfRule type="cellIs" dxfId="1733" priority="1050" operator="equal">
      <formula>"U/P"</formula>
    </cfRule>
    <cfRule type="cellIs" dxfId="1732" priority="1051" operator="equal">
      <formula>"F"</formula>
    </cfRule>
  </conditionalFormatting>
  <conditionalFormatting sqref="AB99">
    <cfRule type="cellIs" dxfId="1731" priority="1016" operator="equal">
      <formula>"F"</formula>
    </cfRule>
    <cfRule type="cellIs" dxfId="1730" priority="1015" operator="equal">
      <formula>"F"</formula>
    </cfRule>
    <cfRule type="cellIs" dxfId="1729" priority="1014" operator="equal">
      <formula>"U/P"</formula>
    </cfRule>
  </conditionalFormatting>
  <conditionalFormatting sqref="AB115">
    <cfRule type="cellIs" dxfId="1728" priority="940" operator="equal">
      <formula>"F"</formula>
    </cfRule>
    <cfRule type="cellIs" dxfId="1727" priority="939" operator="equal">
      <formula>"U/P"</formula>
    </cfRule>
    <cfRule type="cellIs" dxfId="1726" priority="941" operator="equal">
      <formula>"F"</formula>
    </cfRule>
  </conditionalFormatting>
  <conditionalFormatting sqref="AB123">
    <cfRule type="cellIs" dxfId="1725" priority="913" operator="equal">
      <formula>"F"</formula>
    </cfRule>
    <cfRule type="cellIs" dxfId="1724" priority="912" operator="equal">
      <formula>"U/P"</formula>
    </cfRule>
    <cfRule type="cellIs" dxfId="1723" priority="914" operator="equal">
      <formula>"F"</formula>
    </cfRule>
  </conditionalFormatting>
  <conditionalFormatting sqref="AB132">
    <cfRule type="cellIs" dxfId="1722" priority="1490" operator="equal">
      <formula>"F"</formula>
    </cfRule>
    <cfRule type="cellIs" dxfId="1721" priority="1489" operator="equal">
      <formula>"U/P"</formula>
    </cfRule>
    <cfRule type="cellIs" dxfId="1720" priority="1491" operator="equal">
      <formula>"F"</formula>
    </cfRule>
  </conditionalFormatting>
  <conditionalFormatting sqref="AB141">
    <cfRule type="cellIs" dxfId="1719" priority="27" operator="equal">
      <formula>"F"</formula>
    </cfRule>
    <cfRule type="cellIs" dxfId="1718" priority="26" operator="equal">
      <formula>"F"</formula>
    </cfRule>
    <cfRule type="cellIs" dxfId="1717" priority="25" operator="equal">
      <formula>"U/P"</formula>
    </cfRule>
  </conditionalFormatting>
  <conditionalFormatting sqref="AB150">
    <cfRule type="cellIs" dxfId="1716" priority="734" operator="equal">
      <formula>"F"</formula>
    </cfRule>
    <cfRule type="cellIs" dxfId="1715" priority="732" operator="equal">
      <formula>"U/P"</formula>
    </cfRule>
    <cfRule type="cellIs" dxfId="1714" priority="733" operator="equal">
      <formula>"F"</formula>
    </cfRule>
  </conditionalFormatting>
  <conditionalFormatting sqref="AB159">
    <cfRule type="cellIs" dxfId="1713" priority="818" operator="equal">
      <formula>"F"</formula>
    </cfRule>
    <cfRule type="cellIs" dxfId="1712" priority="817" operator="equal">
      <formula>"F"</formula>
    </cfRule>
    <cfRule type="cellIs" dxfId="1711" priority="816" operator="equal">
      <formula>"U/P"</formula>
    </cfRule>
  </conditionalFormatting>
  <conditionalFormatting sqref="AB168">
    <cfRule type="cellIs" dxfId="1710" priority="792" operator="equal">
      <formula>"U/P"</formula>
    </cfRule>
    <cfRule type="cellIs" dxfId="1709" priority="793" operator="equal">
      <formula>"F"</formula>
    </cfRule>
    <cfRule type="cellIs" dxfId="1708" priority="794" operator="equal">
      <formula>"F"</formula>
    </cfRule>
  </conditionalFormatting>
  <conditionalFormatting sqref="AB176">
    <cfRule type="cellIs" dxfId="1707" priority="764" operator="equal">
      <formula>"F"</formula>
    </cfRule>
    <cfRule type="cellIs" dxfId="1706" priority="763" operator="equal">
      <formula>"F"</formula>
    </cfRule>
    <cfRule type="cellIs" dxfId="1705" priority="762" operator="equal">
      <formula>"U/P"</formula>
    </cfRule>
  </conditionalFormatting>
  <conditionalFormatting sqref="AB185">
    <cfRule type="cellIs" dxfId="1704" priority="532" operator="equal">
      <formula>"F"</formula>
    </cfRule>
    <cfRule type="cellIs" dxfId="1703" priority="533" operator="equal">
      <formula>"F"</formula>
    </cfRule>
    <cfRule type="cellIs" dxfId="1702" priority="531" operator="equal">
      <formula>"U/P"</formula>
    </cfRule>
  </conditionalFormatting>
  <conditionalFormatting sqref="AB202">
    <cfRule type="cellIs" dxfId="1701" priority="1460" operator="equal">
      <formula>"U/P"</formula>
    </cfRule>
    <cfRule type="cellIs" dxfId="1700" priority="1461" operator="equal">
      <formula>"F"</formula>
    </cfRule>
    <cfRule type="cellIs" dxfId="1699" priority="1462" operator="equal">
      <formula>"F"</formula>
    </cfRule>
  </conditionalFormatting>
  <conditionalFormatting sqref="AB210">
    <cfRule type="cellIs" dxfId="1698" priority="264" operator="equal">
      <formula>"F"</formula>
    </cfRule>
    <cfRule type="cellIs" dxfId="1697" priority="263" operator="equal">
      <formula>"F"</formula>
    </cfRule>
    <cfRule type="cellIs" dxfId="1696" priority="262" operator="equal">
      <formula>"U/P"</formula>
    </cfRule>
  </conditionalFormatting>
  <conditionalFormatting sqref="AB226">
    <cfRule type="cellIs" dxfId="1695" priority="266" operator="equal">
      <formula>"F"</formula>
    </cfRule>
    <cfRule type="cellIs" dxfId="1694" priority="265" operator="equal">
      <formula>"U/P"</formula>
    </cfRule>
    <cfRule type="cellIs" dxfId="1693" priority="267" operator="equal">
      <formula>"F"</formula>
    </cfRule>
  </conditionalFormatting>
  <conditionalFormatting sqref="AB235">
    <cfRule type="cellIs" dxfId="1692" priority="692" operator="equal">
      <formula>"F"</formula>
    </cfRule>
    <cfRule type="cellIs" dxfId="1691" priority="691" operator="equal">
      <formula>"F"</formula>
    </cfRule>
    <cfRule type="cellIs" dxfId="1690" priority="690" operator="equal">
      <formula>"U/P"</formula>
    </cfRule>
  </conditionalFormatting>
  <conditionalFormatting sqref="AB244">
    <cfRule type="cellIs" dxfId="1689" priority="37" operator="equal">
      <formula>"U/P"</formula>
    </cfRule>
    <cfRule type="cellIs" dxfId="1688" priority="39" operator="equal">
      <formula>"F"</formula>
    </cfRule>
    <cfRule type="cellIs" dxfId="1687" priority="38" operator="equal">
      <formula>"F"</formula>
    </cfRule>
  </conditionalFormatting>
  <conditionalFormatting sqref="AB252">
    <cfRule type="cellIs" dxfId="1686" priority="124" operator="equal">
      <formula>"U/P"</formula>
    </cfRule>
    <cfRule type="cellIs" dxfId="1685" priority="126" operator="equal">
      <formula>"F"</formula>
    </cfRule>
    <cfRule type="cellIs" dxfId="1684" priority="125" operator="equal">
      <formula>"F"</formula>
    </cfRule>
  </conditionalFormatting>
  <conditionalFormatting sqref="AB260">
    <cfRule type="cellIs" dxfId="1683" priority="328" operator="equal">
      <formula>"U/P"</formula>
    </cfRule>
    <cfRule type="cellIs" dxfId="1682" priority="329" operator="equal">
      <formula>"F"</formula>
    </cfRule>
    <cfRule type="cellIs" dxfId="1681" priority="330" operator="equal">
      <formula>"F"</formula>
    </cfRule>
  </conditionalFormatting>
  <conditionalFormatting sqref="AB268">
    <cfRule type="cellIs" dxfId="1680" priority="21" operator="equal">
      <formula>"F"</formula>
    </cfRule>
    <cfRule type="cellIs" dxfId="1679" priority="20" operator="equal">
      <formula>"F"</formula>
    </cfRule>
    <cfRule type="cellIs" dxfId="1678" priority="19" operator="equal">
      <formula>"U/P"</formula>
    </cfRule>
  </conditionalFormatting>
  <conditionalFormatting sqref="AB276">
    <cfRule type="cellIs" dxfId="1677" priority="324" operator="equal">
      <formula>"F"</formula>
    </cfRule>
    <cfRule type="cellIs" dxfId="1676" priority="322" operator="equal">
      <formula>"U/P"</formula>
    </cfRule>
    <cfRule type="cellIs" dxfId="1675" priority="323" operator="equal">
      <formula>"F"</formula>
    </cfRule>
  </conditionalFormatting>
  <conditionalFormatting sqref="AB284">
    <cfRule type="cellIs" dxfId="1674" priority="638" operator="equal">
      <formula>"F"</formula>
    </cfRule>
    <cfRule type="cellIs" dxfId="1673" priority="637" operator="equal">
      <formula>"F"</formula>
    </cfRule>
    <cfRule type="cellIs" dxfId="1672" priority="636" operator="equal">
      <formula>"U/P"</formula>
    </cfRule>
  </conditionalFormatting>
  <conditionalFormatting sqref="AB292">
    <cfRule type="cellIs" dxfId="1671" priority="347" operator="equal">
      <formula>"F"</formula>
    </cfRule>
    <cfRule type="cellIs" dxfId="1670" priority="348" operator="equal">
      <formula>"F"</formula>
    </cfRule>
    <cfRule type="cellIs" dxfId="1669" priority="346" operator="equal">
      <formula>"U/P"</formula>
    </cfRule>
  </conditionalFormatting>
  <conditionalFormatting sqref="AB300">
    <cfRule type="cellIs" dxfId="1668" priority="635" operator="equal">
      <formula>"F"</formula>
    </cfRule>
    <cfRule type="cellIs" dxfId="1667" priority="634" operator="equal">
      <formula>"F"</formula>
    </cfRule>
    <cfRule type="cellIs" dxfId="1666" priority="633" operator="equal">
      <formula>"U/P"</formula>
    </cfRule>
  </conditionalFormatting>
  <conditionalFormatting sqref="AB315">
    <cfRule type="cellIs" dxfId="1665" priority="581" operator="equal">
      <formula>"F"</formula>
    </cfRule>
    <cfRule type="cellIs" dxfId="1664" priority="580" operator="equal">
      <formula>"F"</formula>
    </cfRule>
    <cfRule type="cellIs" dxfId="1663" priority="579" operator="equal">
      <formula>"U/P"</formula>
    </cfRule>
  </conditionalFormatting>
  <conditionalFormatting sqref="AD90">
    <cfRule type="cellIs" dxfId="1662" priority="1047" operator="equal">
      <formula>"U/P"</formula>
    </cfRule>
    <cfRule type="cellIs" dxfId="1661" priority="1048" operator="equal">
      <formula>"F"</formula>
    </cfRule>
    <cfRule type="cellIs" dxfId="1660" priority="1049" operator="equal">
      <formula>"F"</formula>
    </cfRule>
  </conditionalFormatting>
  <conditionalFormatting sqref="AD99">
    <cfRule type="cellIs" dxfId="1659" priority="1011" operator="equal">
      <formula>"U/P"</formula>
    </cfRule>
    <cfRule type="cellIs" dxfId="1658" priority="1013" operator="equal">
      <formula>"F"</formula>
    </cfRule>
    <cfRule type="cellIs" dxfId="1657" priority="1012" operator="equal">
      <formula>"F"</formula>
    </cfRule>
  </conditionalFormatting>
  <conditionalFormatting sqref="AD268">
    <cfRule type="cellIs" dxfId="1656" priority="113" operator="equal">
      <formula>"F"</formula>
    </cfRule>
    <cfRule type="cellIs" dxfId="1655" priority="114" operator="equal">
      <formula>"F"</formula>
    </cfRule>
    <cfRule type="cellIs" dxfId="1654" priority="112" operator="equal">
      <formula>"U/P"</formula>
    </cfRule>
  </conditionalFormatting>
  <conditionalFormatting sqref="AD300">
    <cfRule type="cellIs" dxfId="1653" priority="632" operator="equal">
      <formula>"F"</formula>
    </cfRule>
    <cfRule type="cellIs" dxfId="1652" priority="630" operator="equal">
      <formula>"U/P"</formula>
    </cfRule>
    <cfRule type="cellIs" dxfId="1651" priority="631" operator="equal">
      <formula>"F"</formula>
    </cfRule>
  </conditionalFormatting>
  <conditionalFormatting sqref="AF99">
    <cfRule type="cellIs" dxfId="1650" priority="1009" operator="equal">
      <formula>"F"</formula>
    </cfRule>
    <cfRule type="cellIs" dxfId="1649" priority="1008" operator="equal">
      <formula>"U/P"</formula>
    </cfRule>
    <cfRule type="cellIs" dxfId="1648" priority="1010" operator="equal">
      <formula>"F"</formula>
    </cfRule>
  </conditionalFormatting>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3666E8-2850-4AA2-896D-382FA8A0B0BF}">
  <dimension ref="A1:AK314"/>
  <sheetViews>
    <sheetView view="pageBreakPreview" topLeftCell="A187" zoomScale="70" zoomScaleNormal="70" zoomScaleSheetLayoutView="70" workbookViewId="0">
      <selection activeCell="P200" sqref="P200"/>
    </sheetView>
  </sheetViews>
  <sheetFormatPr defaultColWidth="8.81640625" defaultRowHeight="12"/>
  <cols>
    <col min="1" max="1" width="8.81640625" style="455"/>
    <col min="2" max="2" width="10" style="455" customWidth="1"/>
    <col min="3" max="3" width="6.6328125" style="455" customWidth="1"/>
    <col min="4" max="4" width="7.453125" style="455" customWidth="1"/>
    <col min="5" max="5" width="6.6328125" style="455" customWidth="1"/>
    <col min="6" max="6" width="7.36328125" style="455" customWidth="1"/>
    <col min="7" max="7" width="6.6328125" style="455" customWidth="1"/>
    <col min="8" max="8" width="7.6328125" style="455" customWidth="1"/>
    <col min="9" max="13" width="6.6328125" style="455" customWidth="1"/>
    <col min="14" max="14" width="7.81640625" style="455" bestFit="1" customWidth="1"/>
    <col min="15" max="17" width="6.6328125" style="455" customWidth="1"/>
    <col min="18" max="18" width="7.81640625" style="455" bestFit="1" customWidth="1"/>
    <col min="19" max="21" width="6.6328125" style="455" customWidth="1"/>
    <col min="22" max="22" width="7.36328125" style="455" bestFit="1" customWidth="1"/>
    <col min="23" max="23" width="6.6328125" style="455" customWidth="1"/>
    <col min="24" max="24" width="7.453125" style="455" customWidth="1"/>
    <col min="25" max="25" width="6.6328125" style="455" customWidth="1"/>
    <col min="26" max="26" width="7.453125" style="455" customWidth="1"/>
    <col min="27" max="28" width="6.6328125" style="455" customWidth="1"/>
    <col min="29" max="29" width="8.81640625" style="455"/>
    <col min="30" max="30" width="6.1796875" style="455" customWidth="1"/>
    <col min="31" max="31" width="5" style="455" customWidth="1"/>
    <col min="32" max="32" width="6.81640625" style="455" customWidth="1"/>
    <col min="33" max="33" width="6.54296875" style="455" customWidth="1"/>
    <col min="34" max="34" width="6.1796875" style="455" customWidth="1"/>
    <col min="35" max="35" width="6.81640625" style="455" customWidth="1"/>
    <col min="36" max="36" width="11.81640625" style="455" customWidth="1"/>
    <col min="37" max="37" width="6.54296875" style="455" customWidth="1"/>
    <col min="38" max="16384" width="8.81640625" style="455"/>
  </cols>
  <sheetData>
    <row r="1" spans="1:37" ht="36.75" customHeight="1" thickBot="1">
      <c r="A1" s="1653">
        <v>52</v>
      </c>
      <c r="B1" s="1654"/>
      <c r="C1" s="1654"/>
      <c r="D1" s="1654"/>
      <c r="E1" s="1654"/>
      <c r="F1" s="1654"/>
      <c r="G1" s="1654"/>
      <c r="H1" s="1654"/>
      <c r="I1" s="1654"/>
      <c r="J1" s="1654"/>
      <c r="K1" s="1654"/>
      <c r="L1" s="1654"/>
      <c r="M1" s="1654"/>
      <c r="N1" s="1654"/>
      <c r="O1" s="1654"/>
      <c r="P1" s="1654"/>
      <c r="Q1" s="1654"/>
      <c r="R1" s="1654"/>
      <c r="S1" s="1654"/>
      <c r="T1" s="1654"/>
      <c r="U1" s="1654"/>
      <c r="V1" s="1654"/>
      <c r="W1" s="1654"/>
      <c r="X1" s="1654"/>
      <c r="Y1" s="1654"/>
      <c r="Z1" s="1654"/>
      <c r="AA1" s="1654"/>
      <c r="AB1" s="1654"/>
      <c r="AC1" s="1654"/>
      <c r="AD1" s="1654"/>
      <c r="AE1" s="1655"/>
      <c r="AF1" s="453"/>
      <c r="AG1" s="453"/>
      <c r="AH1" s="453"/>
      <c r="AI1" s="453"/>
      <c r="AJ1" s="453"/>
      <c r="AK1" s="454"/>
    </row>
    <row r="2" spans="1:37">
      <c r="A2" s="1656">
        <f ca="1">NOW()-1</f>
        <v>45972.461193171293</v>
      </c>
      <c r="B2" s="1657"/>
      <c r="C2" s="1657"/>
      <c r="D2" s="1657"/>
      <c r="E2" s="1657"/>
      <c r="F2" s="1657"/>
      <c r="G2" s="1657"/>
      <c r="H2" s="1657"/>
      <c r="I2" s="1657"/>
      <c r="J2" s="1657"/>
      <c r="K2" s="1657"/>
      <c r="L2" s="1657"/>
      <c r="M2" s="1657"/>
      <c r="N2" s="1657"/>
      <c r="O2" s="1657"/>
      <c r="P2" s="1657"/>
      <c r="Q2" s="1657"/>
      <c r="R2" s="1657"/>
      <c r="S2" s="1657"/>
      <c r="T2" s="1657"/>
      <c r="U2" s="1657"/>
      <c r="V2" s="1657"/>
      <c r="W2" s="1657"/>
      <c r="X2" s="1657"/>
      <c r="Y2" s="1657"/>
      <c r="Z2" s="1657"/>
      <c r="AA2" s="1657"/>
      <c r="AB2" s="1657"/>
      <c r="AC2" s="1657"/>
      <c r="AD2" s="1657"/>
      <c r="AE2" s="456"/>
      <c r="AK2" s="457"/>
    </row>
    <row r="3" spans="1:37" ht="12.5" thickBot="1">
      <c r="A3" s="1658" t="s">
        <v>1163</v>
      </c>
      <c r="B3" s="1659"/>
      <c r="C3" s="1659"/>
      <c r="D3" s="1659"/>
      <c r="E3" s="1659"/>
      <c r="F3" s="1659"/>
      <c r="G3" s="1659"/>
      <c r="H3" s="1659"/>
      <c r="I3" s="1659"/>
      <c r="J3" s="1659"/>
      <c r="K3" s="1659"/>
      <c r="L3" s="1659"/>
      <c r="M3" s="1659"/>
      <c r="N3" s="1659"/>
      <c r="O3" s="1659"/>
      <c r="P3" s="1659"/>
      <c r="Q3" s="1659"/>
      <c r="R3" s="1659"/>
      <c r="S3" s="1659"/>
      <c r="T3" s="1659"/>
      <c r="U3" s="1659"/>
      <c r="V3" s="1659"/>
      <c r="W3" s="1659"/>
      <c r="X3" s="1659"/>
      <c r="Y3" s="1659"/>
      <c r="Z3" s="1659"/>
      <c r="AA3" s="1659"/>
      <c r="AB3" s="1659"/>
      <c r="AC3" s="1659"/>
      <c r="AD3" s="1659"/>
      <c r="AE3" s="1660"/>
      <c r="AK3" s="457"/>
    </row>
    <row r="4" spans="1:37">
      <c r="A4" s="1661" t="s">
        <v>1164</v>
      </c>
      <c r="B4" s="1662"/>
      <c r="C4" s="1662"/>
      <c r="D4" s="1662"/>
      <c r="E4" s="1662"/>
      <c r="F4" s="1662"/>
      <c r="G4" s="1662"/>
      <c r="H4" s="1662"/>
      <c r="I4" s="1662"/>
      <c r="J4" s="1662"/>
      <c r="K4" s="1662"/>
      <c r="L4" s="1662"/>
      <c r="M4" s="1662"/>
      <c r="N4" s="1662"/>
      <c r="O4" s="1662"/>
      <c r="P4" s="1663"/>
      <c r="Q4" s="458"/>
      <c r="R4" s="458"/>
      <c r="S4" s="1666"/>
      <c r="T4" s="1666"/>
      <c r="U4" s="1666"/>
      <c r="V4" s="459"/>
      <c r="W4" s="1667"/>
      <c r="X4" s="1667"/>
      <c r="Y4" s="1667"/>
      <c r="Z4" s="1667"/>
      <c r="AA4" s="459"/>
      <c r="AB4" s="459"/>
      <c r="AC4" s="460"/>
      <c r="AD4" s="460"/>
      <c r="AE4" s="461"/>
      <c r="AK4" s="457"/>
    </row>
    <row r="5" spans="1:37">
      <c r="A5" s="1664"/>
      <c r="B5" s="1643"/>
      <c r="C5" s="1643"/>
      <c r="D5" s="1643"/>
      <c r="E5" s="1643"/>
      <c r="F5" s="1643"/>
      <c r="G5" s="1643"/>
      <c r="H5" s="1643"/>
      <c r="I5" s="1643"/>
      <c r="J5" s="1643"/>
      <c r="K5" s="1643"/>
      <c r="L5" s="1643"/>
      <c r="M5" s="1643"/>
      <c r="N5" s="1643"/>
      <c r="O5" s="1643"/>
      <c r="P5" s="1665"/>
      <c r="Q5" s="458"/>
      <c r="R5" s="458"/>
      <c r="S5" s="1668" t="s">
        <v>1165</v>
      </c>
      <c r="T5" s="1668"/>
      <c r="U5" s="1668"/>
      <c r="V5" s="460"/>
      <c r="W5" s="1650" t="s">
        <v>1166</v>
      </c>
      <c r="X5" s="1650"/>
      <c r="Y5" s="1650"/>
      <c r="Z5" s="1650"/>
      <c r="AA5" s="460"/>
      <c r="AB5" s="460"/>
      <c r="AC5" s="460"/>
      <c r="AD5" s="460"/>
      <c r="AE5" s="461"/>
      <c r="AK5" s="457"/>
    </row>
    <row r="6" spans="1:37">
      <c r="A6" s="1637" t="s">
        <v>1012</v>
      </c>
      <c r="B6" s="1638"/>
      <c r="C6" s="1638" t="s">
        <v>27</v>
      </c>
      <c r="D6" s="1638"/>
      <c r="E6" s="1638"/>
      <c r="F6" s="1638" t="s">
        <v>1167</v>
      </c>
      <c r="G6" s="1638"/>
      <c r="H6" s="1640" t="s">
        <v>1168</v>
      </c>
      <c r="I6" s="1640"/>
      <c r="J6" s="1640"/>
      <c r="K6" s="1640" t="s">
        <v>1169</v>
      </c>
      <c r="L6" s="1640"/>
      <c r="M6" s="1640"/>
      <c r="N6" s="1640" t="s">
        <v>857</v>
      </c>
      <c r="O6" s="1640"/>
      <c r="P6" s="1642"/>
      <c r="Q6" s="458"/>
      <c r="R6" s="458"/>
      <c r="S6" s="458"/>
      <c r="T6" s="460"/>
      <c r="U6" s="460"/>
      <c r="V6" s="460"/>
      <c r="W6" s="460"/>
      <c r="X6" s="460"/>
      <c r="Y6" s="460"/>
      <c r="Z6" s="460"/>
      <c r="AA6" s="460"/>
      <c r="AB6" s="460"/>
      <c r="AC6" s="460"/>
      <c r="AD6" s="460" t="s">
        <v>64</v>
      </c>
      <c r="AE6" s="461"/>
      <c r="AK6" s="457"/>
    </row>
    <row r="7" spans="1:37">
      <c r="A7" s="1637"/>
      <c r="B7" s="1638"/>
      <c r="C7" s="1638"/>
      <c r="D7" s="1638"/>
      <c r="E7" s="1638"/>
      <c r="F7" s="1638"/>
      <c r="G7" s="1638"/>
      <c r="H7" s="1640"/>
      <c r="I7" s="1640"/>
      <c r="J7" s="1640"/>
      <c r="K7" s="1640"/>
      <c r="L7" s="1640"/>
      <c r="M7" s="1640"/>
      <c r="N7" s="1640"/>
      <c r="O7" s="1640"/>
      <c r="P7" s="1642"/>
      <c r="Q7" s="458"/>
      <c r="R7" s="458"/>
      <c r="S7" s="458"/>
      <c r="T7" s="460"/>
      <c r="U7" s="460"/>
      <c r="V7" s="460"/>
      <c r="W7" s="460"/>
      <c r="X7" s="460"/>
      <c r="Y7" s="460"/>
      <c r="Z7" s="460"/>
      <c r="AA7" s="441"/>
      <c r="AB7" s="441"/>
      <c r="AC7" s="441"/>
      <c r="AD7" s="441"/>
      <c r="AE7" s="461"/>
      <c r="AK7" s="457"/>
    </row>
    <row r="8" spans="1:37" ht="20" customHeight="1">
      <c r="A8" s="1637">
        <v>1</v>
      </c>
      <c r="B8" s="1638"/>
      <c r="C8" s="1643" t="s">
        <v>1170</v>
      </c>
      <c r="D8" s="1643"/>
      <c r="E8" s="1643"/>
      <c r="F8" s="1640" t="s">
        <v>1065</v>
      </c>
      <c r="G8" s="1640"/>
      <c r="H8" s="1641">
        <v>187.17500000000001</v>
      </c>
      <c r="I8" s="1641"/>
      <c r="J8" s="1641"/>
      <c r="K8" s="1641">
        <v>187.17500000000001</v>
      </c>
      <c r="L8" s="1641"/>
      <c r="M8" s="1641"/>
      <c r="N8" s="1640">
        <f>H8-K8</f>
        <v>0</v>
      </c>
      <c r="O8" s="1640"/>
      <c r="P8" s="1642"/>
      <c r="Q8" s="458" t="s">
        <v>1420</v>
      </c>
      <c r="R8" s="458"/>
      <c r="S8" s="458"/>
      <c r="T8" s="460"/>
      <c r="U8" s="460"/>
      <c r="V8" s="460"/>
      <c r="W8" s="460"/>
      <c r="X8" s="460"/>
      <c r="Y8" s="460"/>
      <c r="Z8" s="460"/>
      <c r="AA8" s="441"/>
      <c r="AB8" s="441"/>
      <c r="AC8" s="441"/>
      <c r="AD8" s="441"/>
      <c r="AE8" s="461"/>
      <c r="AK8" s="457"/>
    </row>
    <row r="9" spans="1:37" ht="30.65" customHeight="1">
      <c r="A9" s="1637">
        <f>A8+1</f>
        <v>2</v>
      </c>
      <c r="B9" s="1638"/>
      <c r="C9" s="1643" t="s">
        <v>1171</v>
      </c>
      <c r="D9" s="1643"/>
      <c r="E9" s="1643"/>
      <c r="F9" s="1640" t="s">
        <v>1065</v>
      </c>
      <c r="G9" s="1640"/>
      <c r="H9" s="1641">
        <v>187.17500000000001</v>
      </c>
      <c r="I9" s="1641"/>
      <c r="J9" s="1641"/>
      <c r="K9" s="1646">
        <v>169.16800000000001</v>
      </c>
      <c r="L9" s="1647"/>
      <c r="M9" s="1648"/>
      <c r="N9" s="1640">
        <f>H9-K9</f>
        <v>18.007000000000005</v>
      </c>
      <c r="O9" s="1640"/>
      <c r="P9" s="1642"/>
      <c r="Q9" s="458" t="s">
        <v>1419</v>
      </c>
      <c r="R9" s="458"/>
      <c r="S9" s="458"/>
      <c r="T9" s="460"/>
      <c r="U9" s="460"/>
      <c r="V9" s="460"/>
      <c r="W9" s="460"/>
      <c r="X9" s="460"/>
      <c r="Y9" s="460"/>
      <c r="Z9" s="460"/>
      <c r="AA9" s="441"/>
      <c r="AB9" s="441"/>
      <c r="AC9" s="441"/>
      <c r="AD9" s="441"/>
      <c r="AE9" s="461"/>
      <c r="AK9" s="457"/>
    </row>
    <row r="10" spans="1:37" ht="33" customHeight="1">
      <c r="A10" s="1637">
        <f t="shared" ref="A10:A16" si="0">A9+1</f>
        <v>3</v>
      </c>
      <c r="B10" s="1638"/>
      <c r="C10" s="1643" t="s">
        <v>1172</v>
      </c>
      <c r="D10" s="1643"/>
      <c r="E10" s="1643"/>
      <c r="F10" s="1644" t="s">
        <v>1173</v>
      </c>
      <c r="G10" s="1645"/>
      <c r="H10" s="1646">
        <v>73</v>
      </c>
      <c r="I10" s="1647"/>
      <c r="J10" s="1648"/>
      <c r="K10" s="1649">
        <v>73</v>
      </c>
      <c r="L10" s="1649"/>
      <c r="M10" s="1649"/>
      <c r="N10" s="1640">
        <f>H10-K10</f>
        <v>0</v>
      </c>
      <c r="O10" s="1640"/>
      <c r="P10" s="1642"/>
      <c r="Q10" s="458"/>
      <c r="R10" s="458"/>
      <c r="S10" s="458"/>
      <c r="T10" s="460"/>
      <c r="U10" s="460"/>
      <c r="V10" s="460"/>
      <c r="W10" s="460"/>
      <c r="X10" s="460"/>
      <c r="Y10" s="460"/>
      <c r="Z10" s="460"/>
      <c r="AA10" s="441"/>
      <c r="AB10" s="441"/>
      <c r="AC10" s="441"/>
      <c r="AD10" s="441"/>
      <c r="AE10" s="461"/>
      <c r="AK10" s="457"/>
    </row>
    <row r="11" spans="1:37" ht="25.75" customHeight="1">
      <c r="A11" s="1637">
        <f t="shared" si="0"/>
        <v>4</v>
      </c>
      <c r="B11" s="1638"/>
      <c r="C11" s="1643" t="s">
        <v>304</v>
      </c>
      <c r="D11" s="1643"/>
      <c r="E11" s="1643"/>
      <c r="F11" s="1644" t="s">
        <v>1173</v>
      </c>
      <c r="G11" s="1645"/>
      <c r="H11" s="1646">
        <v>495</v>
      </c>
      <c r="I11" s="1647"/>
      <c r="J11" s="1648"/>
      <c r="K11" s="1649">
        <v>79</v>
      </c>
      <c r="L11" s="1649"/>
      <c r="M11" s="1649"/>
      <c r="N11" s="1640">
        <f>H11-K11</f>
        <v>416</v>
      </c>
      <c r="O11" s="1640"/>
      <c r="P11" s="1642"/>
      <c r="Q11" s="458"/>
      <c r="R11" s="458"/>
      <c r="S11" s="460"/>
      <c r="T11" s="460"/>
      <c r="U11" s="460"/>
      <c r="V11" s="460"/>
      <c r="W11" s="460"/>
      <c r="X11" s="460"/>
      <c r="Y11" s="460"/>
      <c r="Z11" s="460"/>
      <c r="AA11" s="442" t="s">
        <v>1174</v>
      </c>
      <c r="AB11" s="441"/>
      <c r="AC11" s="441"/>
      <c r="AD11" s="441"/>
      <c r="AE11" s="461"/>
      <c r="AK11" s="457"/>
    </row>
    <row r="12" spans="1:37" ht="21" customHeight="1">
      <c r="A12" s="1637">
        <f t="shared" si="0"/>
        <v>5</v>
      </c>
      <c r="B12" s="1638"/>
      <c r="C12" s="1643" t="s">
        <v>305</v>
      </c>
      <c r="D12" s="1643"/>
      <c r="E12" s="1643"/>
      <c r="F12" s="1644" t="s">
        <v>1175</v>
      </c>
      <c r="G12" s="1645"/>
      <c r="H12" s="1646">
        <v>497</v>
      </c>
      <c r="I12" s="1647"/>
      <c r="J12" s="1648"/>
      <c r="K12" s="1649">
        <v>61</v>
      </c>
      <c r="L12" s="1649"/>
      <c r="M12" s="1649"/>
      <c r="N12" s="1640">
        <f>H12-K12</f>
        <v>436</v>
      </c>
      <c r="O12" s="1640"/>
      <c r="P12" s="1642"/>
      <c r="Q12" s="458"/>
      <c r="R12" s="458"/>
      <c r="S12" s="462" t="s">
        <v>1176</v>
      </c>
      <c r="T12" s="460"/>
      <c r="U12" s="460"/>
      <c r="V12" s="1650" t="s">
        <v>219</v>
      </c>
      <c r="W12" s="1650"/>
      <c r="X12" s="1650"/>
      <c r="Y12" s="460"/>
      <c r="Z12" s="460"/>
      <c r="AA12" s="441"/>
      <c r="AB12" s="1651"/>
      <c r="AC12" s="1651"/>
      <c r="AD12" s="441"/>
      <c r="AE12" s="463" t="s">
        <v>1177</v>
      </c>
      <c r="AK12" s="457"/>
    </row>
    <row r="13" spans="1:37">
      <c r="A13" s="1637">
        <f t="shared" si="0"/>
        <v>6</v>
      </c>
      <c r="B13" s="1638"/>
      <c r="C13" s="1643" t="s">
        <v>1178</v>
      </c>
      <c r="D13" s="1643"/>
      <c r="E13" s="1643"/>
      <c r="F13" s="1644" t="s">
        <v>1173</v>
      </c>
      <c r="G13" s="1645"/>
      <c r="H13" s="1646">
        <v>495</v>
      </c>
      <c r="I13" s="1647"/>
      <c r="J13" s="1648"/>
      <c r="K13" s="1649"/>
      <c r="L13" s="1649"/>
      <c r="M13" s="1649"/>
      <c r="N13" s="1640">
        <f t="shared" ref="N13:N16" si="1">H13-K13</f>
        <v>495</v>
      </c>
      <c r="O13" s="1640"/>
      <c r="P13" s="1642"/>
      <c r="Q13" s="458"/>
      <c r="R13" s="458"/>
      <c r="S13" s="460" t="s">
        <v>305</v>
      </c>
      <c r="T13" s="460"/>
      <c r="U13" s="460"/>
      <c r="V13" s="1652"/>
      <c r="W13" s="1652"/>
      <c r="X13" s="1652"/>
      <c r="Y13" s="460"/>
      <c r="Z13" s="460"/>
      <c r="AA13" s="464"/>
      <c r="AB13" s="441"/>
      <c r="AC13" s="441"/>
      <c r="AD13" s="441"/>
      <c r="AE13" s="461"/>
      <c r="AK13" s="457"/>
    </row>
    <row r="14" spans="1:37" ht="21" customHeight="1">
      <c r="A14" s="1637">
        <f t="shared" si="0"/>
        <v>7</v>
      </c>
      <c r="B14" s="1638"/>
      <c r="C14" s="1643" t="s">
        <v>517</v>
      </c>
      <c r="D14" s="1643"/>
      <c r="E14" s="1643"/>
      <c r="F14" s="1644" t="s">
        <v>1175</v>
      </c>
      <c r="G14" s="1645"/>
      <c r="H14" s="1646">
        <v>405</v>
      </c>
      <c r="I14" s="1647"/>
      <c r="J14" s="1648"/>
      <c r="K14" s="1649"/>
      <c r="L14" s="1649"/>
      <c r="M14" s="1649"/>
      <c r="N14" s="1640">
        <f t="shared" si="1"/>
        <v>405</v>
      </c>
      <c r="O14" s="1640"/>
      <c r="P14" s="1642"/>
      <c r="Q14" s="458"/>
      <c r="R14" s="458"/>
      <c r="S14" s="458"/>
      <c r="T14" s="460"/>
      <c r="U14" s="460"/>
      <c r="V14" s="460"/>
      <c r="W14" s="460"/>
      <c r="X14" s="460"/>
      <c r="Y14" s="460"/>
      <c r="Z14" s="460"/>
      <c r="AA14" s="441"/>
      <c r="AB14" s="441"/>
      <c r="AC14" s="441"/>
      <c r="AD14" s="441"/>
      <c r="AE14" s="461"/>
      <c r="AK14" s="457"/>
    </row>
    <row r="15" spans="1:37">
      <c r="A15" s="1637">
        <f t="shared" si="0"/>
        <v>8</v>
      </c>
      <c r="B15" s="1638"/>
      <c r="C15" s="1639" t="s">
        <v>1179</v>
      </c>
      <c r="D15" s="1639"/>
      <c r="E15" s="1639"/>
      <c r="F15" s="1640" t="s">
        <v>1065</v>
      </c>
      <c r="G15" s="1640"/>
      <c r="H15" s="1641">
        <v>187.17500000000001</v>
      </c>
      <c r="I15" s="1641"/>
      <c r="J15" s="1641"/>
      <c r="K15" s="1640"/>
      <c r="L15" s="1640"/>
      <c r="M15" s="1640"/>
      <c r="N15" s="1640">
        <f t="shared" si="1"/>
        <v>187.17500000000001</v>
      </c>
      <c r="O15" s="1640"/>
      <c r="P15" s="1642"/>
      <c r="Q15" s="458"/>
      <c r="R15" s="458"/>
      <c r="S15" s="458"/>
      <c r="T15" s="460"/>
      <c r="U15" s="460"/>
      <c r="V15" s="460"/>
      <c r="W15" s="460"/>
      <c r="X15" s="460" t="s">
        <v>1180</v>
      </c>
      <c r="Y15" s="460"/>
      <c r="Z15" s="460"/>
      <c r="AA15" s="460"/>
      <c r="AB15" s="460"/>
      <c r="AC15" s="460"/>
      <c r="AD15" s="460"/>
      <c r="AE15" s="461"/>
      <c r="AK15" s="457"/>
    </row>
    <row r="16" spans="1:37" ht="20.25" customHeight="1">
      <c r="A16" s="1637">
        <f t="shared" si="0"/>
        <v>9</v>
      </c>
      <c r="B16" s="1638"/>
      <c r="C16" s="1639" t="s">
        <v>1181</v>
      </c>
      <c r="D16" s="1639"/>
      <c r="E16" s="1639"/>
      <c r="F16" s="1640" t="s">
        <v>1065</v>
      </c>
      <c r="G16" s="1640"/>
      <c r="H16" s="1641">
        <v>187.17500000000001</v>
      </c>
      <c r="I16" s="1641"/>
      <c r="J16" s="1641"/>
      <c r="K16" s="1640"/>
      <c r="L16" s="1640"/>
      <c r="M16" s="1640"/>
      <c r="N16" s="1640">
        <f t="shared" si="1"/>
        <v>187.17500000000001</v>
      </c>
      <c r="O16" s="1640"/>
      <c r="P16" s="1642"/>
      <c r="Q16" s="465"/>
      <c r="R16" s="465"/>
      <c r="S16" s="465"/>
      <c r="T16" s="466"/>
      <c r="U16" s="466"/>
      <c r="V16" s="466"/>
      <c r="W16" s="466"/>
      <c r="X16" s="466"/>
      <c r="Y16" s="466"/>
      <c r="Z16" s="1634" t="s">
        <v>1182</v>
      </c>
      <c r="AA16" s="1634"/>
      <c r="AB16" s="1635" t="s">
        <v>1183</v>
      </c>
      <c r="AC16" s="1635"/>
      <c r="AD16" s="1635"/>
      <c r="AE16" s="1636"/>
      <c r="AK16" s="457"/>
    </row>
    <row r="17" spans="1:37">
      <c r="A17" s="467"/>
      <c r="AK17" s="457"/>
    </row>
    <row r="18" spans="1:37">
      <c r="A18" s="467"/>
      <c r="B18" s="455">
        <v>1</v>
      </c>
      <c r="D18" s="455">
        <v>2</v>
      </c>
      <c r="F18" s="455">
        <v>3</v>
      </c>
      <c r="H18" s="455">
        <v>4</v>
      </c>
      <c r="J18" s="455">
        <v>5</v>
      </c>
      <c r="L18" s="455">
        <v>6</v>
      </c>
      <c r="N18" s="455">
        <v>7</v>
      </c>
      <c r="P18" s="455">
        <v>8</v>
      </c>
      <c r="R18" s="455">
        <v>9</v>
      </c>
      <c r="T18" s="455">
        <v>10</v>
      </c>
      <c r="V18" s="455">
        <v>11</v>
      </c>
      <c r="X18" s="455">
        <v>12</v>
      </c>
      <c r="Z18" s="455">
        <v>13</v>
      </c>
      <c r="AB18" s="455">
        <v>14</v>
      </c>
      <c r="AK18" s="457"/>
    </row>
    <row r="19" spans="1:37">
      <c r="A19" s="467"/>
      <c r="AB19" s="468"/>
      <c r="AK19" s="457"/>
    </row>
    <row r="20" spans="1:37">
      <c r="A20" s="467"/>
      <c r="B20" s="469" t="s">
        <v>1184</v>
      </c>
      <c r="C20" s="443"/>
      <c r="D20" s="469" t="s">
        <v>520</v>
      </c>
      <c r="E20" s="443"/>
      <c r="F20" s="468" t="s">
        <v>1185</v>
      </c>
      <c r="G20" s="443"/>
      <c r="H20" s="468" t="s">
        <v>521</v>
      </c>
      <c r="I20" s="443"/>
      <c r="J20" s="468" t="s">
        <v>522</v>
      </c>
      <c r="K20" s="443"/>
      <c r="L20" s="468" t="s">
        <v>1186</v>
      </c>
      <c r="M20" s="443"/>
      <c r="N20" s="468" t="s">
        <v>524</v>
      </c>
      <c r="O20" s="443"/>
      <c r="P20" s="468" t="s">
        <v>525</v>
      </c>
      <c r="Q20" s="443"/>
      <c r="R20" s="468" t="s">
        <v>532</v>
      </c>
      <c r="S20" s="443"/>
      <c r="T20" s="468" t="s">
        <v>533</v>
      </c>
      <c r="U20" s="443"/>
      <c r="V20" s="468" t="s">
        <v>1187</v>
      </c>
      <c r="W20" s="443"/>
      <c r="X20" s="468" t="s">
        <v>1188</v>
      </c>
      <c r="Y20" s="443"/>
      <c r="Z20" s="468" t="s">
        <v>1189</v>
      </c>
      <c r="AA20" s="443"/>
      <c r="AB20" s="468" t="s">
        <v>1190</v>
      </c>
      <c r="AF20" s="470" t="s">
        <v>1191</v>
      </c>
      <c r="AG20" s="470" t="s">
        <v>354</v>
      </c>
      <c r="AH20" s="470" t="s">
        <v>1192</v>
      </c>
      <c r="AI20" s="470" t="s">
        <v>1193</v>
      </c>
      <c r="AJ20" s="470" t="s">
        <v>303</v>
      </c>
      <c r="AK20" s="471" t="s">
        <v>1194</v>
      </c>
    </row>
    <row r="21" spans="1:37">
      <c r="A21" s="467"/>
      <c r="B21" s="472"/>
      <c r="D21" s="472"/>
      <c r="F21" s="472"/>
      <c r="H21" s="472"/>
      <c r="J21" s="472"/>
      <c r="L21" s="472"/>
      <c r="N21" s="472"/>
      <c r="O21" s="473"/>
      <c r="P21" s="472"/>
      <c r="R21" s="472"/>
      <c r="T21" s="472"/>
      <c r="V21" s="472"/>
      <c r="X21" s="472"/>
      <c r="Z21" s="472"/>
      <c r="AB21" s="472"/>
      <c r="AD21" s="472"/>
      <c r="AF21" s="474"/>
      <c r="AG21" s="475"/>
      <c r="AH21" s="475"/>
      <c r="AI21" s="475"/>
      <c r="AJ21" s="475"/>
      <c r="AK21" s="476"/>
    </row>
    <row r="22" spans="1:37" ht="12.5" thickBot="1">
      <c r="A22" s="467"/>
      <c r="B22" s="444"/>
      <c r="D22" s="444"/>
      <c r="F22" s="444"/>
      <c r="H22" s="444"/>
      <c r="J22" s="444"/>
      <c r="L22" s="444"/>
      <c r="N22" s="444"/>
      <c r="O22" s="473"/>
      <c r="P22" s="444"/>
      <c r="R22" s="444"/>
      <c r="T22" s="444"/>
      <c r="V22" s="444"/>
      <c r="X22" s="444"/>
      <c r="Z22" s="444"/>
      <c r="AB22" s="444"/>
      <c r="AF22" s="474"/>
      <c r="AG22" s="475"/>
      <c r="AH22" s="475"/>
      <c r="AI22" s="475"/>
      <c r="AJ22" s="475"/>
      <c r="AK22" s="476"/>
    </row>
    <row r="23" spans="1:37" ht="25" customHeight="1" thickBot="1">
      <c r="A23" s="467"/>
      <c r="B23" s="445"/>
      <c r="C23" s="477">
        <v>96.534000000000006</v>
      </c>
      <c r="D23" s="446"/>
      <c r="E23" s="477">
        <v>114.09699999999999</v>
      </c>
      <c r="F23" s="446"/>
      <c r="G23" s="477">
        <v>290.58100000000002</v>
      </c>
      <c r="H23" s="446"/>
      <c r="I23" s="477">
        <v>214.48500000000001</v>
      </c>
      <c r="J23" s="446"/>
      <c r="K23" s="477">
        <v>451.78300000000002</v>
      </c>
      <c r="L23" s="446"/>
      <c r="M23" s="477">
        <v>419.226</v>
      </c>
      <c r="N23" s="446"/>
      <c r="O23" s="477">
        <v>420.01</v>
      </c>
      <c r="P23" s="446"/>
      <c r="Q23" s="477">
        <v>416.53100000000001</v>
      </c>
      <c r="R23" s="446"/>
      <c r="S23" s="477">
        <v>356.262</v>
      </c>
      <c r="T23" s="446"/>
      <c r="U23" s="477">
        <v>343.07400000000001</v>
      </c>
      <c r="V23" s="446"/>
      <c r="W23" s="477">
        <v>381.32900000000001</v>
      </c>
      <c r="X23" s="446"/>
      <c r="Y23" s="477">
        <v>373.32299999999998</v>
      </c>
      <c r="Z23" s="446"/>
      <c r="AA23" s="477">
        <v>246.012</v>
      </c>
      <c r="AB23" s="446"/>
      <c r="AC23" s="477">
        <v>249.42400000000001</v>
      </c>
      <c r="AF23" s="470">
        <v>13</v>
      </c>
      <c r="AG23" s="470"/>
      <c r="AH23" s="470"/>
      <c r="AI23" s="470"/>
      <c r="AJ23" s="470"/>
      <c r="AK23" s="471"/>
    </row>
    <row r="24" spans="1:37" ht="12.5" thickBot="1">
      <c r="A24" s="467"/>
      <c r="B24" s="478"/>
      <c r="C24" s="473"/>
      <c r="D24" s="479"/>
      <c r="E24" s="473"/>
      <c r="F24" s="479"/>
      <c r="G24" s="473"/>
      <c r="H24" s="479"/>
      <c r="I24" s="473"/>
      <c r="J24" s="479"/>
      <c r="K24" s="473"/>
      <c r="L24" s="479"/>
      <c r="M24" s="473"/>
      <c r="N24" s="479"/>
      <c r="O24" s="473"/>
      <c r="P24" s="479"/>
      <c r="Q24" s="473"/>
      <c r="R24" s="479"/>
      <c r="S24" s="473"/>
      <c r="T24" s="479"/>
      <c r="U24" s="473"/>
      <c r="V24" s="479"/>
      <c r="W24" s="473"/>
      <c r="X24" s="479"/>
      <c r="Y24" s="473"/>
      <c r="Z24" s="479"/>
      <c r="AA24" s="473"/>
      <c r="AB24" s="479"/>
      <c r="AC24" s="473"/>
      <c r="AF24" s="474"/>
      <c r="AG24" s="475"/>
      <c r="AH24" s="475"/>
      <c r="AI24" s="475"/>
      <c r="AJ24" s="475"/>
      <c r="AK24" s="476"/>
    </row>
    <row r="25" spans="1:37">
      <c r="A25" s="467"/>
      <c r="B25" s="450"/>
      <c r="C25" s="450"/>
      <c r="D25" s="450" t="s">
        <v>125</v>
      </c>
      <c r="E25" s="450"/>
      <c r="F25" s="450" t="s">
        <v>143</v>
      </c>
      <c r="G25" s="450"/>
      <c r="H25" s="450" t="s">
        <v>113</v>
      </c>
      <c r="I25" s="450"/>
      <c r="J25" s="450" t="s">
        <v>113</v>
      </c>
      <c r="K25" s="450"/>
      <c r="L25" s="450" t="s">
        <v>167</v>
      </c>
      <c r="M25" s="450"/>
      <c r="N25" s="450" t="s">
        <v>182</v>
      </c>
      <c r="O25" s="450"/>
      <c r="P25" s="450" t="s">
        <v>248</v>
      </c>
      <c r="Q25" s="450"/>
      <c r="R25" s="450" t="s">
        <v>115</v>
      </c>
      <c r="S25" s="450"/>
      <c r="T25" s="450" t="s">
        <v>182</v>
      </c>
      <c r="U25" s="450"/>
      <c r="V25" s="450" t="s">
        <v>182</v>
      </c>
      <c r="W25" s="450"/>
      <c r="X25" s="450" t="s">
        <v>242</v>
      </c>
      <c r="Y25" s="450"/>
      <c r="Z25" s="450" t="s">
        <v>185</v>
      </c>
      <c r="AA25" s="450"/>
      <c r="AB25" s="450" t="s">
        <v>119</v>
      </c>
      <c r="AC25" s="473"/>
      <c r="AF25" s="474"/>
      <c r="AG25" s="475"/>
      <c r="AH25" s="475"/>
      <c r="AI25" s="475"/>
      <c r="AJ25" s="475"/>
      <c r="AK25" s="476"/>
    </row>
    <row r="26" spans="1:37">
      <c r="A26" s="467"/>
      <c r="B26" s="580"/>
      <c r="C26" s="580"/>
      <c r="D26" s="580"/>
      <c r="E26" s="580"/>
      <c r="F26" s="580"/>
      <c r="G26" s="580"/>
      <c r="H26" s="580"/>
      <c r="I26" s="580"/>
      <c r="J26" s="580"/>
      <c r="K26" s="580"/>
      <c r="L26" s="580"/>
      <c r="M26" s="580"/>
      <c r="N26" s="580"/>
      <c r="O26" s="580"/>
      <c r="P26" s="580"/>
      <c r="Q26" s="580"/>
      <c r="R26" s="580"/>
      <c r="S26" s="580"/>
      <c r="T26" s="580"/>
      <c r="U26" s="580"/>
      <c r="V26" s="580"/>
      <c r="W26" s="580"/>
      <c r="X26" s="580"/>
      <c r="Y26" s="580"/>
      <c r="Z26" s="580"/>
      <c r="AA26" s="580"/>
      <c r="AB26" s="580"/>
      <c r="AC26" s="473"/>
      <c r="AF26" s="474"/>
      <c r="AG26" s="475"/>
      <c r="AH26" s="475"/>
      <c r="AI26" s="475"/>
      <c r="AJ26" s="475"/>
      <c r="AK26" s="476"/>
    </row>
    <row r="27" spans="1:37">
      <c r="A27" s="467"/>
      <c r="C27" s="473"/>
      <c r="E27" s="473"/>
      <c r="G27" s="473"/>
      <c r="I27" s="473"/>
      <c r="K27" s="473"/>
      <c r="M27" s="473"/>
      <c r="O27" s="473"/>
      <c r="Q27" s="473"/>
      <c r="S27" s="473"/>
      <c r="U27" s="473"/>
      <c r="W27" s="473"/>
      <c r="Y27" s="473"/>
      <c r="AA27" s="473"/>
      <c r="AC27" s="473"/>
      <c r="AF27" s="474"/>
      <c r="AG27" s="475"/>
      <c r="AH27" s="475"/>
      <c r="AI27" s="475"/>
      <c r="AJ27" s="475"/>
      <c r="AK27" s="476"/>
    </row>
    <row r="28" spans="1:37">
      <c r="A28" s="467"/>
      <c r="B28" s="468" t="s">
        <v>1195</v>
      </c>
      <c r="C28" s="443"/>
      <c r="D28" s="468" t="s">
        <v>1196</v>
      </c>
      <c r="E28" s="443"/>
      <c r="F28" s="468" t="s">
        <v>1197</v>
      </c>
      <c r="G28" s="443"/>
      <c r="H28" s="468" t="s">
        <v>1198</v>
      </c>
      <c r="I28" s="443"/>
      <c r="J28" s="468" t="s">
        <v>534</v>
      </c>
      <c r="K28" s="443"/>
      <c r="L28" s="468" t="s">
        <v>537</v>
      </c>
      <c r="M28" s="443"/>
      <c r="N28" s="468" t="s">
        <v>1199</v>
      </c>
      <c r="O28" s="443"/>
      <c r="P28" s="468" t="s">
        <v>1200</v>
      </c>
      <c r="Q28" s="443"/>
      <c r="R28" s="468" t="s">
        <v>1201</v>
      </c>
      <c r="S28" s="443"/>
      <c r="T28" s="468" t="s">
        <v>1202</v>
      </c>
      <c r="U28" s="443"/>
      <c r="V28" s="468" t="s">
        <v>1203</v>
      </c>
      <c r="W28" s="443"/>
      <c r="X28" s="468" t="s">
        <v>1204</v>
      </c>
      <c r="Y28" s="443"/>
      <c r="Z28" s="468" t="s">
        <v>1205</v>
      </c>
      <c r="AA28" s="443"/>
      <c r="AB28" s="468" t="s">
        <v>538</v>
      </c>
      <c r="AC28" s="473"/>
      <c r="AF28" s="474"/>
      <c r="AG28" s="475"/>
      <c r="AH28" s="475"/>
      <c r="AI28" s="475"/>
      <c r="AJ28" s="475"/>
      <c r="AK28" s="476"/>
    </row>
    <row r="29" spans="1:37">
      <c r="A29" s="467"/>
      <c r="B29" s="472"/>
      <c r="C29" s="473"/>
      <c r="D29" s="472"/>
      <c r="E29" s="473"/>
      <c r="F29" s="472"/>
      <c r="G29" s="473"/>
      <c r="H29" s="472"/>
      <c r="I29" s="473"/>
      <c r="J29" s="472"/>
      <c r="K29" s="473"/>
      <c r="L29" s="472"/>
      <c r="M29" s="473"/>
      <c r="N29" s="472"/>
      <c r="O29" s="473"/>
      <c r="P29" s="472"/>
      <c r="Q29" s="473"/>
      <c r="R29" s="472"/>
      <c r="S29" s="473"/>
      <c r="T29" s="472"/>
      <c r="U29" s="473"/>
      <c r="V29" s="472"/>
      <c r="W29" s="473"/>
      <c r="X29" s="472"/>
      <c r="Y29" s="473"/>
      <c r="Z29" s="472"/>
      <c r="AA29" s="473"/>
      <c r="AB29" s="472"/>
      <c r="AC29" s="473"/>
      <c r="AF29" s="470" t="s">
        <v>1191</v>
      </c>
      <c r="AG29" s="470" t="s">
        <v>354</v>
      </c>
      <c r="AH29" s="470" t="s">
        <v>1192</v>
      </c>
      <c r="AI29" s="470" t="s">
        <v>1193</v>
      </c>
      <c r="AJ29" s="470" t="s">
        <v>303</v>
      </c>
      <c r="AK29" s="471" t="s">
        <v>1194</v>
      </c>
    </row>
    <row r="30" spans="1:37" ht="12.5" thickBot="1">
      <c r="A30" s="467"/>
      <c r="B30" s="444"/>
      <c r="C30" s="473"/>
      <c r="D30" s="444"/>
      <c r="E30" s="473"/>
      <c r="F30" s="444"/>
      <c r="G30" s="473"/>
      <c r="H30" s="444"/>
      <c r="I30" s="473"/>
      <c r="J30" s="444"/>
      <c r="K30" s="473"/>
      <c r="L30" s="444"/>
      <c r="M30" s="473"/>
      <c r="N30" s="444"/>
      <c r="O30" s="473"/>
      <c r="P30" s="444"/>
      <c r="Q30" s="473"/>
      <c r="R30" s="444"/>
      <c r="S30" s="473"/>
      <c r="T30" s="444"/>
      <c r="U30" s="473"/>
      <c r="V30" s="444"/>
      <c r="W30" s="473"/>
      <c r="X30" s="444"/>
      <c r="Y30" s="473"/>
      <c r="Z30" s="444"/>
      <c r="AA30" s="473"/>
      <c r="AB30" s="444"/>
      <c r="AC30" s="473"/>
      <c r="AF30" s="474"/>
      <c r="AG30" s="475"/>
      <c r="AH30" s="475"/>
      <c r="AI30" s="475"/>
      <c r="AJ30" s="475"/>
      <c r="AK30" s="476"/>
    </row>
    <row r="31" spans="1:37" ht="25" customHeight="1" thickBot="1">
      <c r="A31" s="467"/>
      <c r="B31" s="446"/>
      <c r="C31" s="477">
        <v>399.70699999999999</v>
      </c>
      <c r="D31" s="446"/>
      <c r="E31" s="477">
        <v>438.61599999999999</v>
      </c>
      <c r="F31" s="446"/>
      <c r="G31" s="477">
        <v>400.60399999999998</v>
      </c>
      <c r="H31" s="446"/>
      <c r="I31" s="477">
        <v>438.76499999999999</v>
      </c>
      <c r="J31" s="446"/>
      <c r="K31" s="477">
        <v>226.315</v>
      </c>
      <c r="L31" s="446"/>
      <c r="M31" s="477">
        <v>442.553</v>
      </c>
      <c r="N31" s="446"/>
      <c r="O31" s="477">
        <v>389.32900000000001</v>
      </c>
      <c r="P31" s="446"/>
      <c r="Q31" s="477">
        <v>359.36099999999999</v>
      </c>
      <c r="R31" s="446"/>
      <c r="S31" s="477">
        <v>405.00599999999997</v>
      </c>
      <c r="T31" s="446"/>
      <c r="U31" s="477">
        <v>426.51799999999997</v>
      </c>
      <c r="V31" s="446"/>
      <c r="W31" s="477">
        <v>356.05500000000001</v>
      </c>
      <c r="X31" s="446"/>
      <c r="Y31" s="477">
        <v>369.29500000000002</v>
      </c>
      <c r="Z31" s="446"/>
      <c r="AA31" s="477">
        <v>374.99299999999999</v>
      </c>
      <c r="AB31" s="446"/>
      <c r="AC31" s="477">
        <v>383.76799999999997</v>
      </c>
      <c r="AF31" s="470">
        <v>14</v>
      </c>
      <c r="AG31" s="470"/>
      <c r="AH31" s="470"/>
      <c r="AI31" s="470"/>
      <c r="AJ31" s="470"/>
      <c r="AK31" s="471"/>
    </row>
    <row r="32" spans="1:37" ht="12.5" thickBot="1">
      <c r="A32" s="467"/>
      <c r="B32" s="479"/>
      <c r="C32" s="473"/>
      <c r="D32" s="479"/>
      <c r="E32" s="473"/>
      <c r="F32" s="479"/>
      <c r="G32" s="473"/>
      <c r="H32" s="479"/>
      <c r="I32" s="473"/>
      <c r="J32" s="479"/>
      <c r="K32" s="473"/>
      <c r="L32" s="479"/>
      <c r="M32" s="473"/>
      <c r="N32" s="479"/>
      <c r="O32" s="473"/>
      <c r="P32" s="479"/>
      <c r="Q32" s="473"/>
      <c r="R32" s="479"/>
      <c r="S32" s="473"/>
      <c r="T32" s="479"/>
      <c r="U32" s="473"/>
      <c r="V32" s="479"/>
      <c r="W32" s="473"/>
      <c r="X32" s="479"/>
      <c r="Y32" s="473"/>
      <c r="Z32" s="479"/>
      <c r="AA32" s="473"/>
      <c r="AB32" s="479"/>
      <c r="AC32" s="473"/>
      <c r="AF32" s="474"/>
      <c r="AG32" s="475"/>
      <c r="AH32" s="475"/>
      <c r="AI32" s="475"/>
      <c r="AJ32" s="475"/>
      <c r="AK32" s="476"/>
    </row>
    <row r="33" spans="1:37">
      <c r="A33" s="467"/>
      <c r="B33" s="450" t="s">
        <v>182</v>
      </c>
      <c r="C33" s="450"/>
      <c r="D33" s="450" t="s">
        <v>242</v>
      </c>
      <c r="E33" s="450"/>
      <c r="F33" s="450" t="s">
        <v>242</v>
      </c>
      <c r="G33" s="450"/>
      <c r="H33" s="450" t="s">
        <v>185</v>
      </c>
      <c r="I33" s="450"/>
      <c r="J33" s="450" t="s">
        <v>117</v>
      </c>
      <c r="K33" s="450"/>
      <c r="L33" s="450" t="s">
        <v>117</v>
      </c>
      <c r="M33" s="450"/>
      <c r="N33" s="450" t="s">
        <v>185</v>
      </c>
      <c r="O33" s="450"/>
      <c r="P33" s="450" t="s">
        <v>182</v>
      </c>
      <c r="Q33" s="450"/>
      <c r="R33" s="450" t="s">
        <v>182</v>
      </c>
      <c r="S33" s="450"/>
      <c r="T33" s="450" t="s">
        <v>182</v>
      </c>
      <c r="U33" s="450"/>
      <c r="V33" s="450" t="s">
        <v>182</v>
      </c>
      <c r="W33" s="450"/>
      <c r="X33" s="450" t="s">
        <v>182</v>
      </c>
      <c r="Y33" s="450"/>
      <c r="Z33" s="450" t="s">
        <v>182</v>
      </c>
      <c r="AA33" s="450"/>
      <c r="AB33" s="450" t="s">
        <v>119</v>
      </c>
      <c r="AC33" s="473"/>
      <c r="AF33" s="474"/>
      <c r="AG33" s="475"/>
      <c r="AH33" s="475"/>
      <c r="AI33" s="475"/>
      <c r="AJ33" s="475"/>
      <c r="AK33" s="476"/>
    </row>
    <row r="34" spans="1:37">
      <c r="A34" s="467"/>
      <c r="B34" s="450"/>
      <c r="C34" s="450"/>
      <c r="D34" s="450"/>
      <c r="E34" s="450"/>
      <c r="F34" s="450"/>
      <c r="G34" s="450"/>
      <c r="H34" s="450"/>
      <c r="I34" s="450"/>
      <c r="J34" s="450"/>
      <c r="K34" s="450"/>
      <c r="L34" s="450"/>
      <c r="M34" s="450"/>
      <c r="N34" s="450"/>
      <c r="O34" s="450"/>
      <c r="P34" s="450"/>
      <c r="Q34" s="450"/>
      <c r="R34" s="450"/>
      <c r="S34" s="450"/>
      <c r="T34" s="450"/>
      <c r="U34" s="450"/>
      <c r="V34" s="450"/>
      <c r="W34" s="450"/>
      <c r="X34" s="450"/>
      <c r="Y34" s="450"/>
      <c r="Z34" s="450"/>
      <c r="AA34" s="450"/>
      <c r="AB34" s="450"/>
      <c r="AC34" s="473"/>
      <c r="AF34" s="474"/>
      <c r="AG34" s="475"/>
      <c r="AH34" s="475"/>
      <c r="AI34" s="475"/>
      <c r="AJ34" s="475"/>
      <c r="AK34" s="476"/>
    </row>
    <row r="35" spans="1:37">
      <c r="A35" s="467"/>
      <c r="B35" s="581"/>
      <c r="C35" s="582"/>
      <c r="D35" s="581"/>
      <c r="E35" s="582"/>
      <c r="F35" s="581"/>
      <c r="G35" s="582"/>
      <c r="H35" s="581"/>
      <c r="I35" s="582"/>
      <c r="J35" s="581"/>
      <c r="K35" s="582"/>
      <c r="L35" s="581"/>
      <c r="M35" s="582"/>
      <c r="N35" s="581"/>
      <c r="O35" s="582"/>
      <c r="P35" s="581"/>
      <c r="Q35" s="582"/>
      <c r="R35" s="581"/>
      <c r="S35" s="582"/>
      <c r="T35" s="581"/>
      <c r="U35" s="582"/>
      <c r="V35" s="581"/>
      <c r="W35" s="582"/>
      <c r="X35" s="581"/>
      <c r="Y35" s="582"/>
      <c r="Z35" s="581"/>
      <c r="AA35" s="582"/>
      <c r="AB35" s="581"/>
      <c r="AC35" s="473"/>
      <c r="AF35" s="474"/>
      <c r="AG35" s="475"/>
      <c r="AH35" s="475"/>
      <c r="AI35" s="475"/>
      <c r="AJ35" s="475"/>
      <c r="AK35" s="476"/>
    </row>
    <row r="36" spans="1:37" ht="21" customHeight="1">
      <c r="A36" s="467"/>
      <c r="B36" s="468" t="s">
        <v>539</v>
      </c>
      <c r="C36" s="443"/>
      <c r="D36" s="468" t="s">
        <v>539</v>
      </c>
      <c r="E36" s="443"/>
      <c r="F36" s="468" t="s">
        <v>542</v>
      </c>
      <c r="G36" s="443"/>
      <c r="H36" s="468" t="s">
        <v>543</v>
      </c>
      <c r="I36" s="443"/>
      <c r="J36" s="468" t="s">
        <v>544</v>
      </c>
      <c r="K36" s="443"/>
      <c r="L36" s="468" t="s">
        <v>545</v>
      </c>
      <c r="M36" s="443"/>
      <c r="N36" s="468" t="s">
        <v>546</v>
      </c>
      <c r="O36" s="443"/>
      <c r="P36" s="468" t="s">
        <v>1206</v>
      </c>
      <c r="Q36" s="443"/>
      <c r="R36" s="468" t="s">
        <v>1207</v>
      </c>
      <c r="S36" s="443"/>
      <c r="T36" s="468" t="s">
        <v>1208</v>
      </c>
      <c r="U36" s="443"/>
      <c r="V36" s="468" t="s">
        <v>1209</v>
      </c>
      <c r="W36" s="443"/>
      <c r="X36" s="468" t="s">
        <v>548</v>
      </c>
      <c r="Y36" s="443"/>
      <c r="Z36" s="480" t="s">
        <v>1210</v>
      </c>
      <c r="AA36" s="443"/>
      <c r="AB36" s="468" t="s">
        <v>1211</v>
      </c>
      <c r="AC36" s="473"/>
      <c r="AF36" s="474"/>
      <c r="AG36" s="475"/>
      <c r="AH36" s="475"/>
      <c r="AI36" s="475"/>
      <c r="AJ36" s="475"/>
      <c r="AK36" s="476"/>
    </row>
    <row r="37" spans="1:37">
      <c r="A37" s="467"/>
      <c r="B37" s="472"/>
      <c r="C37" s="473"/>
      <c r="D37" s="472"/>
      <c r="E37" s="450"/>
      <c r="F37" s="472"/>
      <c r="G37" s="481"/>
      <c r="H37" s="472"/>
      <c r="I37" s="473"/>
      <c r="J37" s="472"/>
      <c r="K37" s="473"/>
      <c r="L37" s="472"/>
      <c r="M37" s="473"/>
      <c r="N37" s="472"/>
      <c r="O37" s="473"/>
      <c r="P37" s="472"/>
      <c r="Q37" s="473"/>
      <c r="R37" s="472"/>
      <c r="S37" s="473"/>
      <c r="T37" s="472"/>
      <c r="U37" s="473"/>
      <c r="V37" s="472"/>
      <c r="W37" s="450"/>
      <c r="X37" s="472"/>
      <c r="Y37" s="450"/>
      <c r="Z37" s="472"/>
      <c r="AA37" s="473"/>
      <c r="AB37" s="472"/>
      <c r="AC37" s="473"/>
      <c r="AF37" s="470" t="s">
        <v>1191</v>
      </c>
      <c r="AG37" s="470" t="s">
        <v>354</v>
      </c>
      <c r="AH37" s="470" t="s">
        <v>1192</v>
      </c>
      <c r="AI37" s="470" t="s">
        <v>1193</v>
      </c>
      <c r="AJ37" s="470" t="s">
        <v>303</v>
      </c>
      <c r="AK37" s="471" t="s">
        <v>1194</v>
      </c>
    </row>
    <row r="38" spans="1:37" ht="12.5" thickBot="1">
      <c r="A38" s="467"/>
      <c r="B38" s="444"/>
      <c r="C38" s="473"/>
      <c r="D38" s="444"/>
      <c r="E38" s="473"/>
      <c r="F38" s="444"/>
      <c r="G38" s="473"/>
      <c r="H38" s="444"/>
      <c r="I38" s="473"/>
      <c r="J38" s="444"/>
      <c r="K38" s="473"/>
      <c r="L38" s="444"/>
      <c r="M38" s="473"/>
      <c r="N38" s="444"/>
      <c r="O38" s="473"/>
      <c r="P38" s="444"/>
      <c r="Q38" s="473"/>
      <c r="R38" s="444"/>
      <c r="S38" s="473"/>
      <c r="T38" s="444"/>
      <c r="U38" s="473"/>
      <c r="V38" s="444"/>
      <c r="W38" s="473"/>
      <c r="X38" s="444"/>
      <c r="Y38" s="473"/>
      <c r="Z38" s="444"/>
      <c r="AA38" s="473"/>
      <c r="AB38" s="444"/>
      <c r="AC38" s="473"/>
      <c r="AF38" s="474"/>
      <c r="AG38" s="475"/>
      <c r="AH38" s="475"/>
      <c r="AI38" s="475"/>
      <c r="AJ38" s="475"/>
      <c r="AK38" s="476"/>
    </row>
    <row r="39" spans="1:37" ht="25" customHeight="1" thickBot="1">
      <c r="A39" s="467"/>
      <c r="B39" s="446"/>
      <c r="C39" s="477">
        <v>383.76799999999997</v>
      </c>
      <c r="D39" s="446"/>
      <c r="E39" s="477">
        <v>396.38</v>
      </c>
      <c r="F39" s="446"/>
      <c r="G39" s="477">
        <v>392.53399999999999</v>
      </c>
      <c r="H39" s="446"/>
      <c r="I39" s="477">
        <v>332.16199999999998</v>
      </c>
      <c r="J39" s="446"/>
      <c r="K39" s="477">
        <v>352.11200000000002</v>
      </c>
      <c r="L39" s="446"/>
      <c r="M39" s="477">
        <v>389.39299999999997</v>
      </c>
      <c r="N39" s="446"/>
      <c r="O39" s="477">
        <v>374.47699999999998</v>
      </c>
      <c r="P39" s="446"/>
      <c r="Q39" s="477">
        <v>419.97699999999998</v>
      </c>
      <c r="R39" s="446"/>
      <c r="S39" s="477">
        <v>387.899</v>
      </c>
      <c r="T39" s="446"/>
      <c r="U39" s="477">
        <v>407.654</v>
      </c>
      <c r="V39" s="446"/>
      <c r="W39" s="477">
        <v>402.35700000000003</v>
      </c>
      <c r="X39" s="446"/>
      <c r="Y39" s="482">
        <v>372.25900000000001</v>
      </c>
      <c r="Z39" s="446"/>
      <c r="AA39" s="477">
        <v>410.94900000000001</v>
      </c>
      <c r="AB39" s="446"/>
      <c r="AC39" s="477">
        <v>379.07499999999999</v>
      </c>
      <c r="AF39" s="470">
        <v>14</v>
      </c>
      <c r="AG39" s="470"/>
      <c r="AH39" s="470"/>
      <c r="AI39" s="470"/>
      <c r="AJ39" s="470"/>
      <c r="AK39" s="471"/>
    </row>
    <row r="40" spans="1:37" ht="12.5" thickBot="1">
      <c r="A40" s="467"/>
      <c r="B40" s="479"/>
      <c r="C40" s="473"/>
      <c r="D40" s="479"/>
      <c r="E40" s="473"/>
      <c r="F40" s="479"/>
      <c r="G40" s="473"/>
      <c r="H40" s="479"/>
      <c r="I40" s="473"/>
      <c r="J40" s="479"/>
      <c r="K40" s="473"/>
      <c r="L40" s="479"/>
      <c r="M40" s="473"/>
      <c r="N40" s="479"/>
      <c r="O40" s="473"/>
      <c r="P40" s="479"/>
      <c r="Q40" s="473"/>
      <c r="R40" s="479"/>
      <c r="S40" s="473"/>
      <c r="T40" s="479"/>
      <c r="U40" s="473"/>
      <c r="V40" s="479"/>
      <c r="W40" s="473"/>
      <c r="X40" s="479"/>
      <c r="Y40" s="473"/>
      <c r="Z40" s="479"/>
      <c r="AA40" s="473"/>
      <c r="AB40" s="479"/>
      <c r="AC40" s="473"/>
      <c r="AF40" s="474"/>
      <c r="AG40" s="475"/>
      <c r="AH40" s="475"/>
      <c r="AI40" s="475"/>
      <c r="AJ40" s="475"/>
      <c r="AK40" s="476"/>
    </row>
    <row r="41" spans="1:37">
      <c r="A41" s="467"/>
      <c r="B41" s="483" t="s">
        <v>182</v>
      </c>
      <c r="C41" s="450"/>
      <c r="D41" s="483" t="s">
        <v>182</v>
      </c>
      <c r="E41" s="450"/>
      <c r="F41" s="483" t="s">
        <v>182</v>
      </c>
      <c r="G41" s="450"/>
      <c r="H41" s="483" t="s">
        <v>182</v>
      </c>
      <c r="I41" s="450"/>
      <c r="J41" s="483" t="s">
        <v>182</v>
      </c>
      <c r="K41" s="450"/>
      <c r="L41" s="483" t="s">
        <v>182</v>
      </c>
      <c r="M41" s="450"/>
      <c r="N41" s="483" t="s">
        <v>182</v>
      </c>
      <c r="O41" s="450"/>
      <c r="P41" s="483" t="s">
        <v>182</v>
      </c>
      <c r="Q41" s="450"/>
      <c r="R41" s="483" t="s">
        <v>185</v>
      </c>
      <c r="S41" s="450"/>
      <c r="T41" s="483" t="s">
        <v>182</v>
      </c>
      <c r="U41" s="450"/>
      <c r="V41" s="483" t="s">
        <v>182</v>
      </c>
      <c r="W41" s="450"/>
      <c r="X41" s="483" t="s">
        <v>119</v>
      </c>
      <c r="Y41" s="450"/>
      <c r="Z41" s="483" t="s">
        <v>182</v>
      </c>
      <c r="AA41" s="450"/>
      <c r="AB41" s="483" t="s">
        <v>182</v>
      </c>
      <c r="AC41" s="473"/>
      <c r="AF41" s="474"/>
      <c r="AG41" s="475"/>
      <c r="AH41" s="475"/>
      <c r="AI41" s="475"/>
      <c r="AJ41" s="475"/>
      <c r="AK41" s="476"/>
    </row>
    <row r="42" spans="1:37">
      <c r="A42" s="467"/>
      <c r="B42" s="483"/>
      <c r="C42" s="450"/>
      <c r="D42" s="483"/>
      <c r="E42" s="450"/>
      <c r="F42" s="483"/>
      <c r="G42" s="450"/>
      <c r="H42" s="483"/>
      <c r="I42" s="450"/>
      <c r="J42" s="483"/>
      <c r="K42" s="450"/>
      <c r="L42" s="483"/>
      <c r="M42" s="450"/>
      <c r="N42" s="483"/>
      <c r="O42" s="450"/>
      <c r="P42" s="483"/>
      <c r="Q42" s="450"/>
      <c r="R42" s="483"/>
      <c r="S42" s="450"/>
      <c r="T42" s="483"/>
      <c r="U42" s="450"/>
      <c r="V42" s="483"/>
      <c r="W42" s="450"/>
      <c r="X42" s="483"/>
      <c r="Y42" s="450"/>
      <c r="Z42" s="483"/>
      <c r="AA42" s="450"/>
      <c r="AB42" s="483"/>
      <c r="AC42" s="473"/>
      <c r="AF42" s="474"/>
      <c r="AG42" s="475"/>
      <c r="AH42" s="475"/>
      <c r="AI42" s="475"/>
      <c r="AJ42" s="475"/>
      <c r="AK42" s="476"/>
    </row>
    <row r="43" spans="1:37">
      <c r="A43" s="467"/>
      <c r="B43" s="581"/>
      <c r="C43" s="582"/>
      <c r="D43" s="581"/>
      <c r="E43" s="582"/>
      <c r="F43" s="581"/>
      <c r="G43" s="582"/>
      <c r="H43" s="581"/>
      <c r="I43" s="582"/>
      <c r="J43" s="581"/>
      <c r="K43" s="582"/>
      <c r="L43" s="581"/>
      <c r="M43" s="582"/>
      <c r="N43" s="581"/>
      <c r="O43" s="582"/>
      <c r="P43" s="581"/>
      <c r="Q43" s="582"/>
      <c r="R43" s="581"/>
      <c r="S43" s="473"/>
      <c r="U43" s="473"/>
      <c r="W43" s="473"/>
      <c r="Y43" s="473"/>
      <c r="AA43" s="473"/>
      <c r="AC43" s="473"/>
      <c r="AF43" s="474"/>
      <c r="AG43" s="475"/>
      <c r="AH43" s="475"/>
      <c r="AI43" s="475"/>
      <c r="AJ43" s="475"/>
      <c r="AK43" s="476"/>
    </row>
    <row r="44" spans="1:37">
      <c r="A44" s="467"/>
      <c r="B44" s="468" t="s">
        <v>1212</v>
      </c>
      <c r="C44" s="443"/>
      <c r="D44" s="468" t="s">
        <v>1213</v>
      </c>
      <c r="E44" s="443"/>
      <c r="F44" s="468" t="s">
        <v>556</v>
      </c>
      <c r="G44" s="443"/>
      <c r="H44" s="468" t="s">
        <v>1214</v>
      </c>
      <c r="I44" s="443"/>
      <c r="J44" s="468" t="s">
        <v>1215</v>
      </c>
      <c r="K44" s="443"/>
      <c r="L44" s="468" t="s">
        <v>1216</v>
      </c>
      <c r="M44" s="443"/>
      <c r="N44" s="468" t="s">
        <v>1217</v>
      </c>
      <c r="O44" s="443"/>
      <c r="P44" s="468" t="s">
        <v>1218</v>
      </c>
      <c r="Q44" s="443"/>
      <c r="R44" s="468" t="s">
        <v>563</v>
      </c>
      <c r="S44" s="443"/>
      <c r="T44" s="468" t="s">
        <v>1219</v>
      </c>
      <c r="U44" s="443"/>
      <c r="V44" s="468" t="s">
        <v>1220</v>
      </c>
      <c r="W44" s="443"/>
      <c r="X44" s="468" t="s">
        <v>1221</v>
      </c>
      <c r="Y44" s="443"/>
      <c r="Z44" s="468" t="s">
        <v>1222</v>
      </c>
      <c r="AA44" s="443"/>
      <c r="AB44" s="468" t="s">
        <v>1223</v>
      </c>
      <c r="AC44" s="473"/>
      <c r="AF44" s="474"/>
      <c r="AG44" s="475"/>
      <c r="AH44" s="475"/>
      <c r="AI44" s="475"/>
      <c r="AJ44" s="475"/>
      <c r="AK44" s="476"/>
    </row>
    <row r="45" spans="1:37">
      <c r="A45" s="467"/>
      <c r="B45" s="472"/>
      <c r="C45" s="473"/>
      <c r="D45" s="472"/>
      <c r="E45" s="473"/>
      <c r="F45" s="472"/>
      <c r="G45" s="473"/>
      <c r="H45" s="472"/>
      <c r="I45" s="473"/>
      <c r="J45" s="472"/>
      <c r="K45" s="473"/>
      <c r="L45" s="472"/>
      <c r="M45" s="473"/>
      <c r="N45" s="472"/>
      <c r="O45" s="473"/>
      <c r="P45" s="472"/>
      <c r="Q45" s="473"/>
      <c r="R45" s="472"/>
      <c r="S45" s="473"/>
      <c r="T45" s="472"/>
      <c r="U45" s="473"/>
      <c r="V45" s="472"/>
      <c r="W45" s="473"/>
      <c r="X45" s="472"/>
      <c r="Y45" s="473"/>
      <c r="Z45" s="472"/>
      <c r="AA45" s="473"/>
      <c r="AB45" s="472"/>
      <c r="AC45" s="473"/>
      <c r="AF45" s="470" t="s">
        <v>1191</v>
      </c>
      <c r="AG45" s="470" t="s">
        <v>354</v>
      </c>
      <c r="AH45" s="470" t="s">
        <v>1192</v>
      </c>
      <c r="AI45" s="470" t="s">
        <v>1193</v>
      </c>
      <c r="AJ45" s="470" t="s">
        <v>303</v>
      </c>
      <c r="AK45" s="471" t="s">
        <v>1194</v>
      </c>
    </row>
    <row r="46" spans="1:37" ht="15" customHeight="1" thickBot="1">
      <c r="A46" s="467"/>
      <c r="B46" s="444"/>
      <c r="C46" s="473"/>
      <c r="D46" s="444"/>
      <c r="E46" s="473"/>
      <c r="F46" s="444"/>
      <c r="G46" s="473"/>
      <c r="H46" s="444"/>
      <c r="I46" s="473"/>
      <c r="J46" s="444"/>
      <c r="K46" s="473"/>
      <c r="L46" s="444"/>
      <c r="M46" s="473"/>
      <c r="N46" s="444"/>
      <c r="O46" s="473"/>
      <c r="P46" s="444"/>
      <c r="Q46" s="473"/>
      <c r="R46" s="444"/>
      <c r="S46" s="473"/>
      <c r="T46" s="444"/>
      <c r="U46" s="473"/>
      <c r="V46" s="444"/>
      <c r="W46" s="473"/>
      <c r="X46" s="444"/>
      <c r="Y46" s="473"/>
      <c r="Z46" s="444"/>
      <c r="AA46" s="473"/>
      <c r="AB46" s="444"/>
      <c r="AC46" s="473"/>
      <c r="AF46" s="474"/>
      <c r="AG46" s="475"/>
      <c r="AH46" s="475"/>
      <c r="AI46" s="475"/>
      <c r="AJ46" s="475"/>
      <c r="AK46" s="476"/>
    </row>
    <row r="47" spans="1:37" ht="42" customHeight="1" thickBot="1">
      <c r="A47" s="467"/>
      <c r="B47" s="446"/>
      <c r="C47" s="477">
        <v>412.596</v>
      </c>
      <c r="D47" s="446"/>
      <c r="E47" s="477">
        <v>340.11200000000002</v>
      </c>
      <c r="F47" s="446"/>
      <c r="G47" s="477">
        <v>410.76</v>
      </c>
      <c r="H47" s="446"/>
      <c r="I47" s="477">
        <v>427.9</v>
      </c>
      <c r="J47" s="446"/>
      <c r="K47" s="477">
        <v>404.21</v>
      </c>
      <c r="L47" s="446"/>
      <c r="M47" s="477">
        <v>398.44600000000003</v>
      </c>
      <c r="N47" s="446"/>
      <c r="O47" s="477">
        <v>431.93900000000002</v>
      </c>
      <c r="P47" s="446"/>
      <c r="Q47" s="477">
        <v>486.19600000000003</v>
      </c>
      <c r="R47" s="446"/>
      <c r="S47" s="477">
        <v>369.71699999999998</v>
      </c>
      <c r="T47" s="446"/>
      <c r="U47" s="477">
        <v>389.34399999999999</v>
      </c>
      <c r="V47" s="446"/>
      <c r="W47" s="477">
        <v>395.60199999999998</v>
      </c>
      <c r="X47" s="446"/>
      <c r="Y47" s="477">
        <v>372.37700000000001</v>
      </c>
      <c r="Z47" s="446"/>
      <c r="AA47" s="477">
        <v>431.54700000000003</v>
      </c>
      <c r="AB47" s="446"/>
      <c r="AC47" s="477">
        <v>370.65100000000001</v>
      </c>
      <c r="AF47" s="470">
        <v>14</v>
      </c>
      <c r="AG47" s="470"/>
      <c r="AH47" s="470"/>
      <c r="AI47" s="470"/>
      <c r="AJ47" s="470"/>
      <c r="AK47" s="471"/>
    </row>
    <row r="48" spans="1:37" ht="12.5" thickBot="1">
      <c r="A48" s="467"/>
      <c r="B48" s="479"/>
      <c r="C48" s="473"/>
      <c r="D48" s="479"/>
      <c r="E48" s="473"/>
      <c r="F48" s="479"/>
      <c r="G48" s="473"/>
      <c r="H48" s="479"/>
      <c r="I48" s="473"/>
      <c r="J48" s="479"/>
      <c r="K48" s="473"/>
      <c r="L48" s="479"/>
      <c r="M48" s="473"/>
      <c r="N48" s="479"/>
      <c r="O48" s="473"/>
      <c r="P48" s="479"/>
      <c r="Q48" s="473"/>
      <c r="R48" s="479"/>
      <c r="S48" s="473"/>
      <c r="T48" s="479"/>
      <c r="U48" s="473"/>
      <c r="V48" s="479"/>
      <c r="W48" s="473"/>
      <c r="X48" s="479"/>
      <c r="Y48" s="473"/>
      <c r="Z48" s="479"/>
      <c r="AA48" s="473"/>
      <c r="AB48" s="479"/>
      <c r="AC48" s="473"/>
      <c r="AF48" s="474"/>
      <c r="AG48" s="475"/>
      <c r="AH48" s="475"/>
      <c r="AI48" s="475"/>
      <c r="AJ48" s="475"/>
      <c r="AK48" s="476"/>
    </row>
    <row r="49" spans="1:37">
      <c r="A49" s="467"/>
      <c r="B49" s="450" t="s">
        <v>182</v>
      </c>
      <c r="C49" s="450"/>
      <c r="D49" s="450" t="s">
        <v>185</v>
      </c>
      <c r="E49" s="450"/>
      <c r="F49" s="450" t="s">
        <v>119</v>
      </c>
      <c r="G49" s="450"/>
      <c r="H49" s="450" t="s">
        <v>182</v>
      </c>
      <c r="I49" s="450"/>
      <c r="J49" s="450" t="s">
        <v>242</v>
      </c>
      <c r="K49" s="450"/>
      <c r="L49" s="450" t="s">
        <v>182</v>
      </c>
      <c r="M49" s="450"/>
      <c r="N49" s="450" t="s">
        <v>185</v>
      </c>
      <c r="O49" s="450"/>
      <c r="P49" s="450" t="s">
        <v>132</v>
      </c>
      <c r="Q49" s="450"/>
      <c r="R49" s="450" t="s">
        <v>137</v>
      </c>
      <c r="S49" s="450"/>
      <c r="T49" s="450" t="s">
        <v>185</v>
      </c>
      <c r="U49" s="450"/>
      <c r="V49" s="450" t="s">
        <v>182</v>
      </c>
      <c r="W49" s="450"/>
      <c r="X49" s="450" t="s">
        <v>185</v>
      </c>
      <c r="Y49" s="450"/>
      <c r="Z49" s="450" t="s">
        <v>242</v>
      </c>
      <c r="AA49" s="450"/>
      <c r="AB49" s="450" t="s">
        <v>182</v>
      </c>
      <c r="AC49" s="473"/>
      <c r="AF49" s="474"/>
      <c r="AG49" s="475"/>
      <c r="AH49" s="475"/>
      <c r="AI49" s="475"/>
      <c r="AJ49" s="475"/>
      <c r="AK49" s="476"/>
    </row>
    <row r="50" spans="1:37">
      <c r="A50" s="467"/>
      <c r="B50" s="450"/>
      <c r="C50" s="450"/>
      <c r="D50" s="450"/>
      <c r="E50" s="450"/>
      <c r="F50" s="450"/>
      <c r="G50" s="450"/>
      <c r="H50" s="450"/>
      <c r="I50" s="450"/>
      <c r="J50" s="450"/>
      <c r="K50" s="450"/>
      <c r="L50" s="450"/>
      <c r="M50" s="450"/>
      <c r="N50" s="450"/>
      <c r="O50" s="450"/>
      <c r="P50" s="450"/>
      <c r="Q50" s="450"/>
      <c r="R50" s="450"/>
      <c r="S50" s="450"/>
      <c r="T50" s="450"/>
      <c r="U50" s="450"/>
      <c r="V50" s="450"/>
      <c r="W50" s="450"/>
      <c r="X50" s="450"/>
      <c r="Y50" s="450"/>
      <c r="Z50" s="450"/>
      <c r="AA50" s="450"/>
      <c r="AB50" s="450"/>
      <c r="AC50" s="473"/>
      <c r="AF50" s="474"/>
      <c r="AG50" s="475"/>
      <c r="AH50" s="475"/>
      <c r="AI50" s="475"/>
      <c r="AJ50" s="475"/>
      <c r="AK50" s="476"/>
    </row>
    <row r="51" spans="1:37" ht="12.5" customHeight="1">
      <c r="A51" s="467"/>
      <c r="C51" s="473"/>
      <c r="E51" s="473"/>
      <c r="G51" s="473"/>
      <c r="I51" s="473"/>
      <c r="K51" s="473"/>
      <c r="M51" s="473"/>
      <c r="O51" s="473"/>
      <c r="Q51" s="473"/>
      <c r="S51" s="473"/>
      <c r="U51" s="473"/>
      <c r="W51" s="473"/>
      <c r="Y51" s="473"/>
      <c r="AA51" s="473"/>
      <c r="AC51" s="473"/>
      <c r="AF51" s="474"/>
      <c r="AG51" s="475"/>
      <c r="AH51" s="475"/>
      <c r="AI51" s="475"/>
      <c r="AJ51" s="475"/>
      <c r="AK51" s="476"/>
    </row>
    <row r="52" spans="1:37">
      <c r="A52" s="467"/>
      <c r="B52" s="468" t="s">
        <v>1224</v>
      </c>
      <c r="C52" s="443"/>
      <c r="D52" s="468" t="s">
        <v>1225</v>
      </c>
      <c r="E52" s="443"/>
      <c r="F52" s="468" t="s">
        <v>1226</v>
      </c>
      <c r="G52" s="443"/>
      <c r="H52" s="468" t="s">
        <v>1227</v>
      </c>
      <c r="I52" s="443"/>
      <c r="J52" s="468" t="s">
        <v>1228</v>
      </c>
      <c r="K52" s="443"/>
      <c r="L52" s="468" t="s">
        <v>1229</v>
      </c>
      <c r="M52" s="443"/>
      <c r="N52" s="468" t="s">
        <v>1230</v>
      </c>
      <c r="O52" s="443"/>
      <c r="P52" s="468" t="s">
        <v>1231</v>
      </c>
      <c r="Q52" s="443"/>
      <c r="R52" s="468" t="s">
        <v>1232</v>
      </c>
      <c r="S52" s="443"/>
      <c r="T52" s="468" t="s">
        <v>1233</v>
      </c>
      <c r="U52" s="443"/>
      <c r="V52" s="468" t="s">
        <v>573</v>
      </c>
      <c r="W52" s="443"/>
      <c r="X52" s="468" t="s">
        <v>1234</v>
      </c>
      <c r="Y52" s="443"/>
      <c r="Z52" s="468" t="s">
        <v>1235</v>
      </c>
      <c r="AA52" s="443"/>
      <c r="AB52" s="468" t="s">
        <v>1236</v>
      </c>
      <c r="AC52" s="473"/>
      <c r="AF52" s="474"/>
      <c r="AG52" s="475"/>
      <c r="AH52" s="475"/>
      <c r="AI52" s="475"/>
      <c r="AJ52" s="475"/>
      <c r="AK52" s="476"/>
    </row>
    <row r="53" spans="1:37">
      <c r="A53" s="467"/>
      <c r="B53" s="472"/>
      <c r="C53" s="473"/>
      <c r="D53" s="472"/>
      <c r="E53" s="473"/>
      <c r="F53" s="472"/>
      <c r="G53" s="473"/>
      <c r="H53" s="472"/>
      <c r="I53" s="473"/>
      <c r="J53" s="472"/>
      <c r="K53" s="473"/>
      <c r="L53" s="472"/>
      <c r="M53" s="473"/>
      <c r="N53" s="472"/>
      <c r="O53" s="473"/>
      <c r="P53" s="472"/>
      <c r="Q53" s="473"/>
      <c r="R53" s="472"/>
      <c r="S53" s="473"/>
      <c r="T53" s="472"/>
      <c r="U53" s="473"/>
      <c r="V53" s="472"/>
      <c r="W53" s="473"/>
      <c r="X53" s="472"/>
      <c r="Y53" s="473"/>
      <c r="Z53" s="472"/>
      <c r="AA53" s="473"/>
      <c r="AB53" s="472"/>
      <c r="AC53" s="473"/>
      <c r="AF53" s="470" t="s">
        <v>1191</v>
      </c>
      <c r="AG53" s="470" t="s">
        <v>354</v>
      </c>
      <c r="AH53" s="470" t="s">
        <v>1192</v>
      </c>
      <c r="AI53" s="470" t="s">
        <v>1193</v>
      </c>
      <c r="AJ53" s="470" t="s">
        <v>303</v>
      </c>
      <c r="AK53" s="471" t="s">
        <v>1194</v>
      </c>
    </row>
    <row r="54" spans="1:37" ht="16.5" customHeight="1" thickBot="1">
      <c r="A54" s="467"/>
      <c r="B54" s="444"/>
      <c r="C54" s="473"/>
      <c r="D54" s="444"/>
      <c r="E54" s="473"/>
      <c r="F54" s="444"/>
      <c r="G54" s="473"/>
      <c r="H54" s="444"/>
      <c r="I54" s="473"/>
      <c r="J54" s="444"/>
      <c r="K54" s="473"/>
      <c r="L54" s="444"/>
      <c r="M54" s="473"/>
      <c r="N54" s="444"/>
      <c r="O54" s="473"/>
      <c r="P54" s="444"/>
      <c r="Q54" s="473"/>
      <c r="R54" s="444"/>
      <c r="S54" s="473"/>
      <c r="T54" s="444"/>
      <c r="U54" s="473"/>
      <c r="V54" s="444"/>
      <c r="W54" s="473"/>
      <c r="X54" s="444"/>
      <c r="Y54" s="473"/>
      <c r="Z54" s="444"/>
      <c r="AA54" s="473"/>
      <c r="AB54" s="444"/>
      <c r="AC54" s="473"/>
      <c r="AF54" s="474"/>
      <c r="AG54" s="475"/>
      <c r="AH54" s="475"/>
      <c r="AI54" s="475"/>
      <c r="AJ54" s="475"/>
      <c r="AK54" s="476"/>
    </row>
    <row r="55" spans="1:37" ht="42.75" customHeight="1" thickBot="1">
      <c r="A55" s="467"/>
      <c r="B55" s="446"/>
      <c r="C55" s="477">
        <v>345.35199999999998</v>
      </c>
      <c r="D55" s="446"/>
      <c r="E55" s="477">
        <v>381.91199999999998</v>
      </c>
      <c r="F55" s="446"/>
      <c r="G55" s="477">
        <v>366.81900000000002</v>
      </c>
      <c r="H55" s="446"/>
      <c r="I55" s="477">
        <v>424.00200000000001</v>
      </c>
      <c r="J55" s="446"/>
      <c r="K55" s="477">
        <v>400.12599999999998</v>
      </c>
      <c r="L55" s="446"/>
      <c r="M55" s="477">
        <v>403.79500000000002</v>
      </c>
      <c r="N55" s="446"/>
      <c r="O55" s="477">
        <v>437.70499999999998</v>
      </c>
      <c r="P55" s="446"/>
      <c r="Q55" s="477">
        <v>399.87</v>
      </c>
      <c r="R55" s="446"/>
      <c r="S55" s="477">
        <v>437.786</v>
      </c>
      <c r="T55" s="446"/>
      <c r="U55" s="477">
        <v>378.36200000000002</v>
      </c>
      <c r="V55" s="446"/>
      <c r="W55" s="477">
        <v>433.995</v>
      </c>
      <c r="X55" s="446"/>
      <c r="Y55" s="477">
        <v>370.685</v>
      </c>
      <c r="Z55" s="446"/>
      <c r="AA55" s="477">
        <v>323.97199999999998</v>
      </c>
      <c r="AB55" s="446"/>
      <c r="AC55" s="477">
        <v>384.46199999999999</v>
      </c>
      <c r="AF55" s="470">
        <v>14</v>
      </c>
      <c r="AG55" s="470"/>
      <c r="AH55" s="470"/>
      <c r="AI55" s="470"/>
      <c r="AJ55" s="470"/>
      <c r="AK55" s="471"/>
    </row>
    <row r="56" spans="1:37" ht="12.5" thickBot="1">
      <c r="A56" s="467"/>
      <c r="B56" s="479"/>
      <c r="C56" s="473"/>
      <c r="D56" s="479"/>
      <c r="E56" s="473"/>
      <c r="F56" s="479"/>
      <c r="G56" s="473"/>
      <c r="H56" s="479"/>
      <c r="I56" s="473"/>
      <c r="J56" s="479"/>
      <c r="K56" s="473"/>
      <c r="L56" s="479"/>
      <c r="M56" s="473"/>
      <c r="N56" s="479"/>
      <c r="O56" s="473"/>
      <c r="P56" s="479"/>
      <c r="Q56" s="473"/>
      <c r="R56" s="479"/>
      <c r="S56" s="473"/>
      <c r="T56" s="479"/>
      <c r="U56" s="473"/>
      <c r="V56" s="479"/>
      <c r="W56" s="473"/>
      <c r="X56" s="479"/>
      <c r="Y56" s="473"/>
      <c r="Z56" s="479"/>
      <c r="AA56" s="473"/>
      <c r="AB56" s="479"/>
      <c r="AC56" s="473"/>
      <c r="AF56" s="474"/>
      <c r="AG56" s="475"/>
      <c r="AH56" s="475"/>
      <c r="AI56" s="475"/>
      <c r="AJ56" s="475"/>
      <c r="AK56" s="476"/>
    </row>
    <row r="57" spans="1:37">
      <c r="A57" s="467"/>
      <c r="B57" s="450" t="s">
        <v>182</v>
      </c>
      <c r="C57" s="450"/>
      <c r="D57" s="450" t="s">
        <v>182</v>
      </c>
      <c r="E57" s="450"/>
      <c r="F57" s="450" t="s">
        <v>182</v>
      </c>
      <c r="G57" s="450"/>
      <c r="H57" s="450" t="s">
        <v>119</v>
      </c>
      <c r="I57" s="450"/>
      <c r="J57" s="450" t="s">
        <v>182</v>
      </c>
      <c r="K57" s="450"/>
      <c r="L57" s="450" t="s">
        <v>185</v>
      </c>
      <c r="M57" s="450"/>
      <c r="N57" s="450" t="s">
        <v>185</v>
      </c>
      <c r="O57" s="450"/>
      <c r="P57" s="450" t="s">
        <v>185</v>
      </c>
      <c r="Q57" s="450"/>
      <c r="R57" s="450" t="s">
        <v>182</v>
      </c>
      <c r="S57" s="450"/>
      <c r="T57" s="450" t="s">
        <v>242</v>
      </c>
      <c r="U57" s="450"/>
      <c r="V57" s="450" t="s">
        <v>119</v>
      </c>
      <c r="W57" s="450"/>
      <c r="X57" s="450" t="s">
        <v>185</v>
      </c>
      <c r="Y57" s="450"/>
      <c r="Z57" s="450" t="s">
        <v>182</v>
      </c>
      <c r="AA57" s="450"/>
      <c r="AB57" s="450" t="s">
        <v>182</v>
      </c>
      <c r="AC57" s="473"/>
      <c r="AF57" s="474"/>
      <c r="AG57" s="475"/>
      <c r="AH57" s="475"/>
      <c r="AI57" s="475"/>
      <c r="AJ57" s="475"/>
      <c r="AK57" s="476"/>
    </row>
    <row r="58" spans="1:37">
      <c r="A58" s="467"/>
      <c r="B58" s="450"/>
      <c r="C58" s="450"/>
      <c r="D58" s="450"/>
      <c r="E58" s="450"/>
      <c r="F58" s="450"/>
      <c r="G58" s="450"/>
      <c r="H58" s="450"/>
      <c r="I58" s="450"/>
      <c r="J58" s="450"/>
      <c r="K58" s="450"/>
      <c r="L58" s="450"/>
      <c r="M58" s="450"/>
      <c r="N58" s="450"/>
      <c r="O58" s="450"/>
      <c r="P58" s="450"/>
      <c r="Q58" s="450"/>
      <c r="R58" s="450"/>
      <c r="S58" s="450"/>
      <c r="T58" s="450"/>
      <c r="U58" s="450"/>
      <c r="V58" s="450"/>
      <c r="W58" s="450"/>
      <c r="X58" s="450"/>
      <c r="Y58" s="450"/>
      <c r="Z58" s="450"/>
      <c r="AA58" s="450"/>
      <c r="AB58" s="450"/>
      <c r="AC58" s="473"/>
      <c r="AF58" s="474"/>
      <c r="AG58" s="475"/>
      <c r="AH58" s="475"/>
      <c r="AI58" s="475"/>
      <c r="AJ58" s="475"/>
      <c r="AK58" s="476"/>
    </row>
    <row r="59" spans="1:37">
      <c r="A59" s="467"/>
      <c r="C59" s="473"/>
      <c r="E59" s="473"/>
      <c r="G59" s="473"/>
      <c r="I59" s="473"/>
      <c r="K59" s="473"/>
      <c r="M59" s="473"/>
      <c r="O59" s="473"/>
      <c r="Q59" s="473"/>
      <c r="S59" s="473"/>
      <c r="U59" s="473"/>
      <c r="W59" s="473"/>
      <c r="Y59" s="473"/>
      <c r="AA59" s="473"/>
      <c r="AC59" s="473"/>
      <c r="AF59" s="474"/>
      <c r="AG59" s="475"/>
      <c r="AH59" s="475"/>
      <c r="AI59" s="475"/>
      <c r="AJ59" s="475"/>
      <c r="AK59" s="476"/>
    </row>
    <row r="60" spans="1:37">
      <c r="A60" s="467"/>
      <c r="B60" s="468" t="s">
        <v>1237</v>
      </c>
      <c r="C60" s="443"/>
      <c r="D60" s="468" t="s">
        <v>1238</v>
      </c>
      <c r="E60" s="443"/>
      <c r="F60" s="468" t="s">
        <v>1239</v>
      </c>
      <c r="G60" s="443"/>
      <c r="H60" s="468" t="s">
        <v>575</v>
      </c>
      <c r="I60" s="443"/>
      <c r="J60" s="468" t="s">
        <v>1240</v>
      </c>
      <c r="K60" s="443"/>
      <c r="L60" s="468" t="s">
        <v>1241</v>
      </c>
      <c r="M60" s="443"/>
      <c r="N60" s="468" t="s">
        <v>584</v>
      </c>
      <c r="O60" s="443"/>
      <c r="P60" s="468" t="s">
        <v>1242</v>
      </c>
      <c r="Q60" s="443"/>
      <c r="R60" s="468" t="s">
        <v>1243</v>
      </c>
      <c r="S60" s="443"/>
      <c r="T60" s="468" t="s">
        <v>1244</v>
      </c>
      <c r="U60" s="443"/>
      <c r="V60" s="468" t="s">
        <v>589</v>
      </c>
      <c r="W60" s="443"/>
      <c r="X60" s="468" t="s">
        <v>1245</v>
      </c>
      <c r="Y60" s="443"/>
      <c r="Z60" s="468" t="s">
        <v>590</v>
      </c>
      <c r="AA60" s="443"/>
      <c r="AB60" s="468" t="s">
        <v>1246</v>
      </c>
      <c r="AC60" s="473"/>
      <c r="AF60" s="474"/>
      <c r="AG60" s="475"/>
      <c r="AH60" s="475"/>
      <c r="AI60" s="475"/>
      <c r="AJ60" s="475"/>
      <c r="AK60" s="476"/>
    </row>
    <row r="61" spans="1:37">
      <c r="A61" s="467"/>
      <c r="B61" s="472"/>
      <c r="C61" s="473"/>
      <c r="D61" s="472"/>
      <c r="E61" s="481"/>
      <c r="F61" s="472"/>
      <c r="G61" s="481"/>
      <c r="H61" s="472"/>
      <c r="I61" s="473"/>
      <c r="J61" s="472"/>
      <c r="K61" s="473"/>
      <c r="L61" s="472"/>
      <c r="M61" s="473"/>
      <c r="N61" s="472"/>
      <c r="O61" s="473"/>
      <c r="P61" s="472"/>
      <c r="Q61" s="473"/>
      <c r="R61" s="472"/>
      <c r="S61" s="481"/>
      <c r="T61" s="472"/>
      <c r="U61" s="481"/>
      <c r="V61" s="472"/>
      <c r="W61" s="450"/>
      <c r="X61" s="472"/>
      <c r="Y61" s="473"/>
      <c r="Z61" s="472"/>
      <c r="AA61" s="484"/>
      <c r="AB61" s="472"/>
      <c r="AC61" s="473"/>
      <c r="AF61" s="470" t="s">
        <v>1191</v>
      </c>
      <c r="AG61" s="470" t="s">
        <v>354</v>
      </c>
      <c r="AH61" s="470" t="s">
        <v>1192</v>
      </c>
      <c r="AI61" s="470" t="s">
        <v>1193</v>
      </c>
      <c r="AJ61" s="470" t="s">
        <v>303</v>
      </c>
      <c r="AK61" s="471" t="s">
        <v>1194</v>
      </c>
    </row>
    <row r="62" spans="1:37" ht="12.5" thickBot="1">
      <c r="A62" s="467"/>
      <c r="B62" s="444"/>
      <c r="C62" s="473"/>
      <c r="D62" s="444"/>
      <c r="E62" s="473"/>
      <c r="F62" s="444"/>
      <c r="G62" s="473"/>
      <c r="H62" s="444"/>
      <c r="I62" s="473"/>
      <c r="J62" s="444"/>
      <c r="K62" s="473"/>
      <c r="L62" s="444"/>
      <c r="M62" s="473"/>
      <c r="N62" s="444"/>
      <c r="O62" s="473"/>
      <c r="P62" s="444"/>
      <c r="Q62" s="473"/>
      <c r="R62" s="444"/>
      <c r="S62" s="473"/>
      <c r="T62" s="444"/>
      <c r="U62" s="473"/>
      <c r="V62" s="444"/>
      <c r="W62" s="473"/>
      <c r="X62" s="444"/>
      <c r="Y62" s="473"/>
      <c r="Z62" s="444"/>
      <c r="AA62" s="473"/>
      <c r="AB62" s="444"/>
      <c r="AC62" s="473"/>
      <c r="AF62" s="474"/>
      <c r="AG62" s="475"/>
      <c r="AH62" s="475"/>
      <c r="AI62" s="475"/>
      <c r="AJ62" s="475"/>
      <c r="AK62" s="476"/>
    </row>
    <row r="63" spans="1:37" ht="42" customHeight="1" thickBot="1">
      <c r="A63" s="467"/>
      <c r="B63" s="446"/>
      <c r="C63" s="477">
        <v>381.18799999999999</v>
      </c>
      <c r="D63" s="446"/>
      <c r="E63" s="477">
        <v>336.40899999999999</v>
      </c>
      <c r="F63" s="446"/>
      <c r="G63" s="477">
        <v>438.97</v>
      </c>
      <c r="H63" s="446"/>
      <c r="I63" s="477">
        <v>395.17899999999997</v>
      </c>
      <c r="J63" s="446"/>
      <c r="K63" s="477">
        <v>388.12</v>
      </c>
      <c r="L63" s="446"/>
      <c r="M63" s="477">
        <v>364.44600000000003</v>
      </c>
      <c r="N63" s="446"/>
      <c r="O63" s="477">
        <v>404.572</v>
      </c>
      <c r="P63" s="446"/>
      <c r="Q63" s="477">
        <v>432.27</v>
      </c>
      <c r="R63" s="446"/>
      <c r="S63" s="477">
        <v>404.23</v>
      </c>
      <c r="T63" s="446"/>
      <c r="U63" s="477">
        <v>416.62099999999998</v>
      </c>
      <c r="V63" s="446"/>
      <c r="W63" s="477">
        <v>468.03899999999999</v>
      </c>
      <c r="X63" s="446"/>
      <c r="Y63" s="477">
        <v>432.31799999999998</v>
      </c>
      <c r="Z63" s="446"/>
      <c r="AA63" s="477">
        <v>464.52100000000002</v>
      </c>
      <c r="AB63" s="446"/>
      <c r="AC63" s="477">
        <v>369.74299999999999</v>
      </c>
      <c r="AF63" s="470">
        <v>14</v>
      </c>
      <c r="AG63" s="470"/>
      <c r="AH63" s="470"/>
      <c r="AI63" s="470"/>
      <c r="AJ63" s="470"/>
      <c r="AK63" s="471"/>
    </row>
    <row r="64" spans="1:37" ht="12.5" thickBot="1">
      <c r="A64" s="467"/>
      <c r="B64" s="479"/>
      <c r="C64" s="473"/>
      <c r="D64" s="479"/>
      <c r="E64" s="473"/>
      <c r="F64" s="479"/>
      <c r="G64" s="473"/>
      <c r="H64" s="479"/>
      <c r="I64" s="473"/>
      <c r="J64" s="479"/>
      <c r="K64" s="473"/>
      <c r="L64" s="479"/>
      <c r="M64" s="473"/>
      <c r="N64" s="479"/>
      <c r="O64" s="473"/>
      <c r="P64" s="479"/>
      <c r="Q64" s="473"/>
      <c r="R64" s="479"/>
      <c r="S64" s="473"/>
      <c r="T64" s="479"/>
      <c r="U64" s="473"/>
      <c r="V64" s="479"/>
      <c r="W64" s="473"/>
      <c r="X64" s="479"/>
      <c r="Y64" s="473"/>
      <c r="Z64" s="479"/>
      <c r="AA64" s="473"/>
      <c r="AB64" s="479"/>
      <c r="AC64" s="473"/>
      <c r="AF64" s="474"/>
      <c r="AG64" s="475"/>
      <c r="AH64" s="475"/>
      <c r="AI64" s="475"/>
      <c r="AJ64" s="475"/>
      <c r="AK64" s="476"/>
    </row>
    <row r="65" spans="1:37">
      <c r="A65" s="467"/>
      <c r="B65" s="450" t="s">
        <v>182</v>
      </c>
      <c r="C65" s="450"/>
      <c r="D65" s="450" t="s">
        <v>182</v>
      </c>
      <c r="E65" s="450"/>
      <c r="F65" s="450" t="s">
        <v>182</v>
      </c>
      <c r="G65" s="450"/>
      <c r="H65" s="450" t="s">
        <v>119</v>
      </c>
      <c r="I65" s="450"/>
      <c r="J65" s="450" t="s">
        <v>182</v>
      </c>
      <c r="K65" s="450"/>
      <c r="L65" s="450" t="s">
        <v>185</v>
      </c>
      <c r="M65" s="450"/>
      <c r="N65" s="450" t="s">
        <v>115</v>
      </c>
      <c r="O65" s="450"/>
      <c r="P65" s="450" t="s">
        <v>248</v>
      </c>
      <c r="Q65" s="450"/>
      <c r="R65" s="450" t="s">
        <v>242</v>
      </c>
      <c r="S65" s="450"/>
      <c r="T65" s="450" t="s">
        <v>185</v>
      </c>
      <c r="U65" s="450"/>
      <c r="V65" s="450" t="s">
        <v>119</v>
      </c>
      <c r="W65" s="450"/>
      <c r="X65" s="450" t="s">
        <v>132</v>
      </c>
      <c r="Y65" s="450"/>
      <c r="Z65" s="450" t="s">
        <v>123</v>
      </c>
      <c r="AA65" s="450"/>
      <c r="AB65" s="450" t="s">
        <v>242</v>
      </c>
      <c r="AC65" s="473"/>
      <c r="AF65" s="474"/>
      <c r="AG65" s="475"/>
      <c r="AH65" s="475"/>
      <c r="AI65" s="475"/>
      <c r="AJ65" s="475"/>
      <c r="AK65" s="476"/>
    </row>
    <row r="66" spans="1:37">
      <c r="A66" s="467"/>
      <c r="B66" s="450"/>
      <c r="C66" s="450"/>
      <c r="D66" s="450"/>
      <c r="E66" s="450"/>
      <c r="F66" s="450"/>
      <c r="G66" s="450"/>
      <c r="H66" s="450"/>
      <c r="I66" s="450"/>
      <c r="J66" s="450"/>
      <c r="K66" s="450"/>
      <c r="L66" s="450"/>
      <c r="M66" s="450"/>
      <c r="N66" s="450"/>
      <c r="O66" s="450"/>
      <c r="P66" s="450"/>
      <c r="Q66" s="450"/>
      <c r="R66" s="450"/>
      <c r="S66" s="450"/>
      <c r="T66" s="450"/>
      <c r="U66" s="450"/>
      <c r="V66" s="450"/>
      <c r="W66" s="450"/>
      <c r="X66" s="450"/>
      <c r="Y66" s="450"/>
      <c r="Z66" s="450"/>
      <c r="AA66" s="450"/>
      <c r="AB66" s="450"/>
      <c r="AC66" s="473"/>
      <c r="AF66" s="474"/>
      <c r="AG66" s="475"/>
      <c r="AH66" s="475"/>
      <c r="AI66" s="475"/>
      <c r="AJ66" s="475"/>
      <c r="AK66" s="476"/>
    </row>
    <row r="67" spans="1:37">
      <c r="A67" s="467"/>
      <c r="C67" s="473"/>
      <c r="E67" s="473"/>
      <c r="G67" s="473"/>
      <c r="I67" s="473"/>
      <c r="K67" s="473"/>
      <c r="M67" s="473"/>
      <c r="O67" s="473"/>
      <c r="Q67" s="473"/>
      <c r="S67" s="473"/>
      <c r="U67" s="473"/>
      <c r="W67" s="473"/>
      <c r="Y67" s="473"/>
      <c r="AA67" s="473"/>
      <c r="AC67" s="473"/>
      <c r="AF67" s="474"/>
      <c r="AG67" s="475"/>
      <c r="AH67" s="475"/>
      <c r="AI67" s="475"/>
      <c r="AJ67" s="475"/>
      <c r="AK67" s="476"/>
    </row>
    <row r="68" spans="1:37">
      <c r="A68" s="467"/>
      <c r="B68" s="468" t="s">
        <v>595</v>
      </c>
      <c r="C68" s="443"/>
      <c r="D68" s="468" t="s">
        <v>1247</v>
      </c>
      <c r="E68" s="443"/>
      <c r="F68" s="468" t="s">
        <v>604</v>
      </c>
      <c r="G68" s="443"/>
      <c r="H68" s="468" t="s">
        <v>1248</v>
      </c>
      <c r="I68" s="443"/>
      <c r="J68" s="468" t="s">
        <v>608</v>
      </c>
      <c r="K68" s="443"/>
      <c r="L68" s="468" t="s">
        <v>1249</v>
      </c>
      <c r="M68" s="443"/>
      <c r="N68" s="468" t="s">
        <v>609</v>
      </c>
      <c r="O68" s="443"/>
      <c r="P68" s="468" t="s">
        <v>1250</v>
      </c>
      <c r="Q68" s="443"/>
      <c r="R68" s="468" t="s">
        <v>1251</v>
      </c>
      <c r="S68" s="443"/>
      <c r="T68" s="468" t="s">
        <v>1252</v>
      </c>
      <c r="U68" s="443"/>
      <c r="V68" s="468" t="s">
        <v>610</v>
      </c>
      <c r="W68" s="443"/>
      <c r="X68" s="468" t="s">
        <v>1253</v>
      </c>
      <c r="Y68" s="443"/>
      <c r="Z68" s="468" t="s">
        <v>1254</v>
      </c>
      <c r="AA68" s="443"/>
      <c r="AB68" s="468" t="s">
        <v>1255</v>
      </c>
      <c r="AC68" s="473"/>
      <c r="AF68" s="474"/>
      <c r="AG68" s="475"/>
      <c r="AH68" s="475"/>
      <c r="AI68" s="475"/>
      <c r="AJ68" s="475"/>
      <c r="AK68" s="476"/>
    </row>
    <row r="69" spans="1:37">
      <c r="A69" s="467"/>
      <c r="B69" s="472"/>
      <c r="C69" s="473"/>
      <c r="D69" s="472"/>
      <c r="E69" s="473"/>
      <c r="F69" s="472"/>
      <c r="G69" s="473"/>
      <c r="H69" s="472"/>
      <c r="I69" s="473"/>
      <c r="J69" s="472"/>
      <c r="K69" s="473"/>
      <c r="L69" s="472"/>
      <c r="M69" s="481"/>
      <c r="N69" s="472"/>
      <c r="O69" s="450"/>
      <c r="P69" s="472"/>
      <c r="Q69" s="473"/>
      <c r="R69" s="472"/>
      <c r="S69" s="473"/>
      <c r="T69" s="472"/>
      <c r="U69" s="473"/>
      <c r="V69" s="472"/>
      <c r="W69" s="473"/>
      <c r="X69" s="472"/>
      <c r="Y69" s="473"/>
      <c r="Z69" s="472"/>
      <c r="AA69" s="473"/>
      <c r="AB69" s="472"/>
      <c r="AC69" s="473"/>
      <c r="AF69" s="470" t="s">
        <v>1191</v>
      </c>
      <c r="AG69" s="470" t="s">
        <v>354</v>
      </c>
      <c r="AH69" s="470" t="s">
        <v>1192</v>
      </c>
      <c r="AI69" s="470" t="s">
        <v>1193</v>
      </c>
      <c r="AJ69" s="470" t="s">
        <v>303</v>
      </c>
      <c r="AK69" s="471" t="s">
        <v>1194</v>
      </c>
    </row>
    <row r="70" spans="1:37" ht="12.5" thickBot="1">
      <c r="A70" s="467"/>
      <c r="B70" s="444"/>
      <c r="C70" s="473"/>
      <c r="D70" s="444"/>
      <c r="E70" s="473"/>
      <c r="F70" s="444"/>
      <c r="G70" s="473"/>
      <c r="H70" s="444"/>
      <c r="I70" s="473"/>
      <c r="J70" s="444"/>
      <c r="K70" s="473"/>
      <c r="L70" s="444"/>
      <c r="M70" s="473"/>
      <c r="N70" s="444"/>
      <c r="O70" s="473"/>
      <c r="P70" s="444"/>
      <c r="Q70" s="473"/>
      <c r="R70" s="444"/>
      <c r="S70" s="473"/>
      <c r="T70" s="444"/>
      <c r="U70" s="473"/>
      <c r="V70" s="444"/>
      <c r="W70" s="473"/>
      <c r="X70" s="444"/>
      <c r="Y70" s="473"/>
      <c r="Z70" s="444"/>
      <c r="AA70" s="473"/>
      <c r="AB70" s="444"/>
      <c r="AC70" s="473"/>
      <c r="AF70" s="474"/>
      <c r="AG70" s="475"/>
      <c r="AH70" s="475"/>
      <c r="AI70" s="475"/>
      <c r="AJ70" s="475"/>
      <c r="AK70" s="476"/>
    </row>
    <row r="71" spans="1:37" ht="42" customHeight="1" thickBot="1">
      <c r="A71" s="467"/>
      <c r="B71" s="446"/>
      <c r="C71" s="477">
        <v>284.16000000000003</v>
      </c>
      <c r="D71" s="446"/>
      <c r="E71" s="477">
        <v>270.74200000000002</v>
      </c>
      <c r="F71" s="446"/>
      <c r="G71" s="477">
        <v>286.64</v>
      </c>
      <c r="H71" s="446"/>
      <c r="I71" s="477">
        <v>291.69900000000001</v>
      </c>
      <c r="J71" s="446"/>
      <c r="K71" s="477">
        <v>398.71899999999999</v>
      </c>
      <c r="L71" s="446"/>
      <c r="M71" s="477">
        <v>425.46499999999997</v>
      </c>
      <c r="N71" s="446"/>
      <c r="O71" s="477">
        <v>383.81299999999999</v>
      </c>
      <c r="P71" s="446"/>
      <c r="Q71" s="477">
        <v>403.279</v>
      </c>
      <c r="R71" s="446"/>
      <c r="S71" s="477">
        <v>355.21499999999997</v>
      </c>
      <c r="T71" s="446"/>
      <c r="U71" s="477">
        <v>399.839</v>
      </c>
      <c r="V71" s="446"/>
      <c r="W71" s="477">
        <v>287.44200000000001</v>
      </c>
      <c r="X71" s="446"/>
      <c r="Y71" s="477">
        <v>390.74799999999999</v>
      </c>
      <c r="Z71" s="446"/>
      <c r="AA71" s="477">
        <v>364.274</v>
      </c>
      <c r="AB71" s="446"/>
      <c r="AC71" s="477">
        <v>337.54599999999999</v>
      </c>
      <c r="AF71" s="470">
        <v>14</v>
      </c>
      <c r="AG71" s="470"/>
      <c r="AH71" s="470"/>
      <c r="AI71" s="470"/>
      <c r="AJ71" s="470"/>
      <c r="AK71" s="471"/>
    </row>
    <row r="72" spans="1:37" ht="12.5" thickBot="1">
      <c r="A72" s="467"/>
      <c r="B72" s="479"/>
      <c r="C72" s="473"/>
      <c r="D72" s="479"/>
      <c r="E72" s="473"/>
      <c r="F72" s="479"/>
      <c r="G72" s="473"/>
      <c r="H72" s="479"/>
      <c r="I72" s="473"/>
      <c r="J72" s="479"/>
      <c r="K72" s="473"/>
      <c r="L72" s="479"/>
      <c r="M72" s="473"/>
      <c r="N72" s="479"/>
      <c r="O72" s="473"/>
      <c r="P72" s="479"/>
      <c r="Q72" s="473"/>
      <c r="R72" s="479"/>
      <c r="S72" s="473"/>
      <c r="T72" s="479"/>
      <c r="U72" s="473"/>
      <c r="V72" s="479"/>
      <c r="W72" s="473"/>
      <c r="X72" s="479"/>
      <c r="Y72" s="473"/>
      <c r="Z72" s="479"/>
      <c r="AA72" s="473"/>
      <c r="AB72" s="479"/>
      <c r="AC72" s="473"/>
      <c r="AF72" s="474"/>
      <c r="AG72" s="475"/>
      <c r="AH72" s="475"/>
      <c r="AI72" s="475"/>
      <c r="AJ72" s="475"/>
      <c r="AK72" s="476"/>
    </row>
    <row r="73" spans="1:37">
      <c r="A73" s="467"/>
      <c r="B73" s="450" t="s">
        <v>125</v>
      </c>
      <c r="C73" s="450"/>
      <c r="D73" s="450" t="s">
        <v>182</v>
      </c>
      <c r="E73" s="450"/>
      <c r="F73" s="450" t="s">
        <v>119</v>
      </c>
      <c r="G73" s="450"/>
      <c r="H73" s="450" t="s">
        <v>182</v>
      </c>
      <c r="I73" s="450"/>
      <c r="J73" s="450" t="s">
        <v>115</v>
      </c>
      <c r="K73" s="450"/>
      <c r="L73" s="450" t="s">
        <v>242</v>
      </c>
      <c r="M73" s="450"/>
      <c r="N73" s="450" t="s">
        <v>125</v>
      </c>
      <c r="O73" s="450"/>
      <c r="P73" s="450" t="s">
        <v>185</v>
      </c>
      <c r="Q73" s="450"/>
      <c r="R73" s="450" t="s">
        <v>182</v>
      </c>
      <c r="S73" s="450"/>
      <c r="T73" s="450" t="s">
        <v>185</v>
      </c>
      <c r="U73" s="450"/>
      <c r="V73" s="450" t="s">
        <v>115</v>
      </c>
      <c r="W73" s="450"/>
      <c r="X73" s="450" t="s">
        <v>182</v>
      </c>
      <c r="Y73" s="450"/>
      <c r="Z73" s="450" t="s">
        <v>182</v>
      </c>
      <c r="AA73" s="450"/>
      <c r="AB73" s="450" t="s">
        <v>182</v>
      </c>
      <c r="AC73" s="473"/>
      <c r="AF73" s="474"/>
      <c r="AG73" s="475"/>
      <c r="AH73" s="475"/>
      <c r="AI73" s="475"/>
      <c r="AJ73" s="475"/>
      <c r="AK73" s="476"/>
    </row>
    <row r="74" spans="1:37">
      <c r="A74" s="467"/>
      <c r="B74" s="450"/>
      <c r="C74" s="450"/>
      <c r="D74" s="450"/>
      <c r="E74" s="450"/>
      <c r="F74" s="450"/>
      <c r="G74" s="450"/>
      <c r="H74" s="450"/>
      <c r="I74" s="450"/>
      <c r="J74" s="450"/>
      <c r="K74" s="450"/>
      <c r="L74" s="450"/>
      <c r="M74" s="450"/>
      <c r="N74" s="450"/>
      <c r="O74" s="450"/>
      <c r="P74" s="450"/>
      <c r="Q74" s="450"/>
      <c r="R74" s="450"/>
      <c r="S74" s="450"/>
      <c r="T74" s="450"/>
      <c r="U74" s="450"/>
      <c r="V74" s="450"/>
      <c r="W74" s="450"/>
      <c r="X74" s="450"/>
      <c r="Y74" s="450"/>
      <c r="Z74" s="450"/>
      <c r="AA74" s="450"/>
      <c r="AB74" s="450"/>
      <c r="AC74" s="473"/>
      <c r="AF74" s="474"/>
      <c r="AG74" s="475"/>
      <c r="AH74" s="475"/>
      <c r="AI74" s="475"/>
      <c r="AJ74" s="475"/>
      <c r="AK74" s="476"/>
    </row>
    <row r="75" spans="1:37">
      <c r="A75" s="467"/>
      <c r="C75" s="473"/>
      <c r="E75" s="473"/>
      <c r="G75" s="473"/>
      <c r="I75" s="473"/>
      <c r="K75" s="473"/>
      <c r="M75" s="473"/>
      <c r="O75" s="473"/>
      <c r="Q75" s="473"/>
      <c r="S75" s="473"/>
      <c r="U75" s="473"/>
      <c r="W75" s="473"/>
      <c r="Y75" s="473"/>
      <c r="AA75" s="473"/>
      <c r="AC75" s="473"/>
      <c r="AF75" s="474"/>
      <c r="AG75" s="475"/>
      <c r="AH75" s="475"/>
      <c r="AI75" s="475"/>
      <c r="AJ75" s="475"/>
      <c r="AK75" s="476"/>
    </row>
    <row r="76" spans="1:37">
      <c r="A76" s="467"/>
      <c r="B76" s="468" t="s">
        <v>1256</v>
      </c>
      <c r="C76" s="443"/>
      <c r="D76" s="468" t="s">
        <v>1257</v>
      </c>
      <c r="E76" s="443"/>
      <c r="F76" s="468" t="s">
        <v>1258</v>
      </c>
      <c r="G76" s="443"/>
      <c r="H76" s="468" t="s">
        <v>616</v>
      </c>
      <c r="I76" s="443"/>
      <c r="J76" s="468" t="s">
        <v>1259</v>
      </c>
      <c r="K76" s="443"/>
      <c r="L76" s="468" t="s">
        <v>1260</v>
      </c>
      <c r="M76" s="443"/>
      <c r="N76" s="468" t="s">
        <v>620</v>
      </c>
      <c r="O76" s="443"/>
      <c r="P76" s="468" t="s">
        <v>623</v>
      </c>
      <c r="Q76" s="443"/>
      <c r="R76" s="468" t="s">
        <v>1261</v>
      </c>
      <c r="S76" s="443"/>
      <c r="T76" s="468" t="s">
        <v>1262</v>
      </c>
      <c r="U76" s="443"/>
      <c r="V76" s="468" t="s">
        <v>1263</v>
      </c>
      <c r="W76" s="443"/>
      <c r="X76" s="468" t="s">
        <v>624</v>
      </c>
      <c r="Y76" s="443"/>
      <c r="Z76" s="468" t="s">
        <v>1264</v>
      </c>
      <c r="AA76" s="443"/>
      <c r="AB76" s="468" t="s">
        <v>625</v>
      </c>
      <c r="AC76" s="473"/>
      <c r="AF76" s="474"/>
      <c r="AG76" s="475"/>
      <c r="AH76" s="475"/>
      <c r="AI76" s="475"/>
      <c r="AJ76" s="475"/>
      <c r="AK76" s="476"/>
    </row>
    <row r="77" spans="1:37">
      <c r="A77" s="467"/>
      <c r="B77" s="472"/>
      <c r="C77" s="473"/>
      <c r="D77" s="472"/>
      <c r="E77" s="473"/>
      <c r="F77" s="472"/>
      <c r="G77" s="473"/>
      <c r="H77" s="472"/>
      <c r="I77" s="473"/>
      <c r="J77" s="472"/>
      <c r="K77" s="473"/>
      <c r="L77" s="472"/>
      <c r="M77" s="473"/>
      <c r="N77" s="472"/>
      <c r="O77" s="473"/>
      <c r="P77" s="472"/>
      <c r="Q77" s="473"/>
      <c r="R77" s="472"/>
      <c r="S77" s="481"/>
      <c r="T77" s="472"/>
      <c r="U77" s="481"/>
      <c r="V77" s="472"/>
      <c r="W77" s="473"/>
      <c r="X77" s="472"/>
      <c r="Y77" s="473"/>
      <c r="Z77" s="472"/>
      <c r="AA77" s="473"/>
      <c r="AB77" s="472"/>
      <c r="AC77" s="473"/>
      <c r="AF77" s="470" t="s">
        <v>1191</v>
      </c>
      <c r="AG77" s="470" t="s">
        <v>354</v>
      </c>
      <c r="AH77" s="470" t="s">
        <v>1192</v>
      </c>
      <c r="AI77" s="470" t="s">
        <v>1193</v>
      </c>
      <c r="AJ77" s="470" t="s">
        <v>303</v>
      </c>
      <c r="AK77" s="471" t="s">
        <v>1194</v>
      </c>
    </row>
    <row r="78" spans="1:37" ht="12.5" thickBot="1">
      <c r="A78" s="467"/>
      <c r="B78" s="444"/>
      <c r="C78" s="473"/>
      <c r="D78" s="444"/>
      <c r="E78" s="473"/>
      <c r="F78" s="444"/>
      <c r="G78" s="473"/>
      <c r="H78" s="444"/>
      <c r="I78" s="473"/>
      <c r="J78" s="444"/>
      <c r="K78" s="473"/>
      <c r="L78" s="444"/>
      <c r="M78" s="473"/>
      <c r="N78" s="444"/>
      <c r="O78" s="473"/>
      <c r="P78" s="444"/>
      <c r="Q78" s="473"/>
      <c r="R78" s="444"/>
      <c r="S78" s="473"/>
      <c r="T78" s="444"/>
      <c r="U78" s="473"/>
      <c r="V78" s="444"/>
      <c r="W78" s="473"/>
      <c r="X78" s="444"/>
      <c r="Y78" s="473"/>
      <c r="Z78" s="444"/>
      <c r="AA78" s="473"/>
      <c r="AB78" s="444"/>
      <c r="AC78" s="473"/>
      <c r="AF78" s="474"/>
      <c r="AG78" s="475"/>
      <c r="AH78" s="475"/>
      <c r="AI78" s="475"/>
      <c r="AJ78" s="475"/>
      <c r="AK78" s="476"/>
    </row>
    <row r="79" spans="1:37" ht="42" customHeight="1" thickBot="1">
      <c r="A79" s="467"/>
      <c r="B79" s="446"/>
      <c r="C79" s="477">
        <v>348.29199999999997</v>
      </c>
      <c r="D79" s="446"/>
      <c r="E79" s="477">
        <v>418.83499999999998</v>
      </c>
      <c r="F79" s="446"/>
      <c r="G79" s="477">
        <v>408.96300000000002</v>
      </c>
      <c r="H79" s="446"/>
      <c r="I79" s="477">
        <v>365.46699999999998</v>
      </c>
      <c r="J79" s="446"/>
      <c r="K79" s="477">
        <v>437.07400000000001</v>
      </c>
      <c r="L79" s="446"/>
      <c r="M79" s="477">
        <v>363.142</v>
      </c>
      <c r="N79" s="446"/>
      <c r="O79" s="477">
        <v>159.78899999999999</v>
      </c>
      <c r="P79" s="446"/>
      <c r="Q79" s="477">
        <v>300.15800000000002</v>
      </c>
      <c r="R79" s="446"/>
      <c r="S79" s="477">
        <v>293.13099999999997</v>
      </c>
      <c r="T79" s="446"/>
      <c r="U79" s="477">
        <v>357.37700000000001</v>
      </c>
      <c r="V79" s="446"/>
      <c r="W79" s="477">
        <v>341.40899999999999</v>
      </c>
      <c r="X79" s="446"/>
      <c r="Y79" s="477">
        <v>362.90499999999997</v>
      </c>
      <c r="Z79" s="446"/>
      <c r="AA79" s="477">
        <v>421.05200000000002</v>
      </c>
      <c r="AB79" s="446"/>
      <c r="AC79" s="477">
        <v>216.44800000000001</v>
      </c>
      <c r="AF79" s="470">
        <v>14</v>
      </c>
      <c r="AG79" s="470"/>
      <c r="AH79" s="470"/>
      <c r="AI79" s="470"/>
      <c r="AJ79" s="470"/>
      <c r="AK79" s="471"/>
    </row>
    <row r="80" spans="1:37" ht="12.5" thickBot="1">
      <c r="A80" s="467"/>
      <c r="B80" s="479"/>
      <c r="C80" s="473"/>
      <c r="D80" s="479"/>
      <c r="E80" s="473"/>
      <c r="F80" s="479"/>
      <c r="G80" s="473"/>
      <c r="H80" s="479"/>
      <c r="I80" s="473"/>
      <c r="J80" s="479"/>
      <c r="K80" s="473"/>
      <c r="L80" s="479"/>
      <c r="M80" s="473"/>
      <c r="N80" s="479"/>
      <c r="O80" s="473"/>
      <c r="P80" s="479"/>
      <c r="Q80" s="473"/>
      <c r="R80" s="479"/>
      <c r="S80" s="473"/>
      <c r="T80" s="479"/>
      <c r="U80" s="473"/>
      <c r="V80" s="479"/>
      <c r="W80" s="473"/>
      <c r="X80" s="479"/>
      <c r="Y80" s="473"/>
      <c r="Z80" s="479"/>
      <c r="AA80" s="473"/>
      <c r="AB80" s="479"/>
      <c r="AC80" s="473"/>
      <c r="AF80" s="474"/>
      <c r="AG80" s="475"/>
      <c r="AH80" s="475"/>
      <c r="AI80" s="475"/>
      <c r="AJ80" s="475"/>
      <c r="AK80" s="476"/>
    </row>
    <row r="81" spans="1:37">
      <c r="A81" s="467"/>
      <c r="B81" s="450" t="s">
        <v>182</v>
      </c>
      <c r="C81" s="450"/>
      <c r="D81" s="450" t="s">
        <v>185</v>
      </c>
      <c r="E81" s="450"/>
      <c r="F81" s="450" t="s">
        <v>248</v>
      </c>
      <c r="G81" s="450"/>
      <c r="H81" s="450" t="s">
        <v>143</v>
      </c>
      <c r="I81" s="450"/>
      <c r="J81" s="450" t="s">
        <v>182</v>
      </c>
      <c r="K81" s="450"/>
      <c r="L81" s="450" t="s">
        <v>242</v>
      </c>
      <c r="M81" s="450"/>
      <c r="N81" s="450" t="s">
        <v>188</v>
      </c>
      <c r="O81" s="450"/>
      <c r="P81" s="450" t="s">
        <v>125</v>
      </c>
      <c r="Q81" s="450"/>
      <c r="R81" s="450" t="s">
        <v>188</v>
      </c>
      <c r="S81" s="450"/>
      <c r="T81" s="450" t="s">
        <v>182</v>
      </c>
      <c r="U81" s="450"/>
      <c r="V81" s="450" t="s">
        <v>182</v>
      </c>
      <c r="W81" s="450"/>
      <c r="X81" s="450" t="s">
        <v>123</v>
      </c>
      <c r="Y81" s="450"/>
      <c r="Z81" s="450" t="s">
        <v>248</v>
      </c>
      <c r="AA81" s="450"/>
      <c r="AB81" s="450" t="s">
        <v>201</v>
      </c>
      <c r="AC81" s="473"/>
      <c r="AF81" s="474"/>
      <c r="AG81" s="475"/>
      <c r="AH81" s="475"/>
      <c r="AI81" s="475"/>
      <c r="AJ81" s="475"/>
      <c r="AK81" s="476"/>
    </row>
    <row r="82" spans="1:37">
      <c r="A82" s="467"/>
      <c r="B82" s="450"/>
      <c r="C82" s="450"/>
      <c r="D82" s="450"/>
      <c r="E82" s="450"/>
      <c r="F82" s="450"/>
      <c r="G82" s="450"/>
      <c r="H82" s="450"/>
      <c r="I82" s="450"/>
      <c r="J82" s="450"/>
      <c r="K82" s="450"/>
      <c r="L82" s="450"/>
      <c r="M82" s="450"/>
      <c r="N82" s="450"/>
      <c r="O82" s="450"/>
      <c r="P82" s="450"/>
      <c r="Q82" s="450"/>
      <c r="R82" s="450"/>
      <c r="S82" s="450"/>
      <c r="T82" s="450"/>
      <c r="U82" s="450"/>
      <c r="V82" s="450"/>
      <c r="W82" s="450"/>
      <c r="X82" s="450"/>
      <c r="Y82" s="450"/>
      <c r="Z82" s="450"/>
      <c r="AA82" s="450"/>
      <c r="AB82" s="450"/>
      <c r="AC82" s="473"/>
      <c r="AF82" s="474"/>
      <c r="AG82" s="475"/>
      <c r="AH82" s="475"/>
      <c r="AI82" s="475"/>
      <c r="AJ82" s="475"/>
      <c r="AK82" s="476"/>
    </row>
    <row r="83" spans="1:37">
      <c r="A83" s="467"/>
      <c r="C83" s="473"/>
      <c r="E83" s="473"/>
      <c r="G83" s="473"/>
      <c r="I83" s="473"/>
      <c r="K83" s="473"/>
      <c r="M83" s="473"/>
      <c r="O83" s="473"/>
      <c r="Q83" s="473"/>
      <c r="S83" s="473"/>
      <c r="U83" s="473"/>
      <c r="W83" s="473"/>
      <c r="Y83" s="473"/>
      <c r="AA83" s="473"/>
      <c r="AC83" s="473"/>
      <c r="AF83" s="474"/>
      <c r="AG83" s="475"/>
      <c r="AH83" s="475"/>
      <c r="AI83" s="475"/>
      <c r="AJ83" s="475"/>
      <c r="AK83" s="476"/>
    </row>
    <row r="84" spans="1:37">
      <c r="A84" s="467"/>
      <c r="B84" s="468" t="s">
        <v>627</v>
      </c>
      <c r="C84" s="443"/>
      <c r="D84" s="468" t="s">
        <v>634</v>
      </c>
      <c r="E84" s="443"/>
      <c r="F84" s="468" t="s">
        <v>1265</v>
      </c>
      <c r="G84" s="443"/>
      <c r="H84" s="468" t="s">
        <v>1266</v>
      </c>
      <c r="I84" s="443"/>
      <c r="J84" s="468" t="s">
        <v>1267</v>
      </c>
      <c r="K84" s="443"/>
      <c r="L84" s="468" t="s">
        <v>1268</v>
      </c>
      <c r="M84" s="443"/>
      <c r="N84" s="468" t="s">
        <v>1269</v>
      </c>
      <c r="O84" s="443"/>
      <c r="P84" s="468" t="s">
        <v>1270</v>
      </c>
      <c r="Q84" s="443"/>
      <c r="R84" s="468" t="s">
        <v>1271</v>
      </c>
      <c r="S84" s="443"/>
      <c r="T84" s="468" t="s">
        <v>1272</v>
      </c>
      <c r="U84" s="443"/>
      <c r="V84" s="468" t="s">
        <v>637</v>
      </c>
      <c r="W84" s="443"/>
      <c r="X84" s="468" t="s">
        <v>638</v>
      </c>
      <c r="Y84" s="443"/>
      <c r="Z84" s="468" t="s">
        <v>639</v>
      </c>
      <c r="AA84" s="443"/>
      <c r="AB84" s="468" t="s">
        <v>642</v>
      </c>
      <c r="AC84" s="473"/>
      <c r="AF84" s="474"/>
      <c r="AG84" s="475"/>
      <c r="AH84" s="475"/>
      <c r="AI84" s="475"/>
      <c r="AJ84" s="475"/>
      <c r="AK84" s="476"/>
    </row>
    <row r="85" spans="1:37">
      <c r="A85" s="467"/>
      <c r="B85" s="472"/>
      <c r="C85" s="473"/>
      <c r="D85" s="472"/>
      <c r="E85" s="473"/>
      <c r="F85" s="472"/>
      <c r="G85" s="473"/>
      <c r="H85" s="472"/>
      <c r="I85" s="473"/>
      <c r="J85" s="472"/>
      <c r="K85" s="473"/>
      <c r="L85" s="472"/>
      <c r="M85" s="473"/>
      <c r="N85" s="472"/>
      <c r="O85" s="473"/>
      <c r="P85" s="472"/>
      <c r="Q85" s="473"/>
      <c r="R85" s="472"/>
      <c r="S85" s="473"/>
      <c r="T85" s="472"/>
      <c r="U85" s="473"/>
      <c r="V85" s="472"/>
      <c r="W85" s="473"/>
      <c r="X85" s="472"/>
      <c r="Y85" s="473"/>
      <c r="Z85" s="472"/>
      <c r="AA85" s="473"/>
      <c r="AB85" s="472"/>
      <c r="AC85" s="473"/>
      <c r="AF85" s="470" t="s">
        <v>1191</v>
      </c>
      <c r="AG85" s="470" t="s">
        <v>354</v>
      </c>
      <c r="AH85" s="470" t="s">
        <v>1192</v>
      </c>
      <c r="AI85" s="470" t="s">
        <v>1193</v>
      </c>
      <c r="AJ85" s="470" t="s">
        <v>303</v>
      </c>
      <c r="AK85" s="471" t="s">
        <v>1194</v>
      </c>
    </row>
    <row r="86" spans="1:37" ht="12.5" thickBot="1">
      <c r="A86" s="467"/>
      <c r="B86" s="444"/>
      <c r="C86" s="473"/>
      <c r="D86" s="444"/>
      <c r="E86" s="473"/>
      <c r="F86" s="444"/>
      <c r="G86" s="473"/>
      <c r="H86" s="444"/>
      <c r="I86" s="473"/>
      <c r="J86" s="444"/>
      <c r="K86" s="473"/>
      <c r="L86" s="444"/>
      <c r="M86" s="473"/>
      <c r="N86" s="444"/>
      <c r="O86" s="473"/>
      <c r="P86" s="444"/>
      <c r="Q86" s="473"/>
      <c r="R86" s="444"/>
      <c r="S86" s="473"/>
      <c r="T86" s="444"/>
      <c r="U86" s="473"/>
      <c r="V86" s="444"/>
      <c r="W86" s="473"/>
      <c r="X86" s="444"/>
      <c r="Y86" s="473"/>
      <c r="Z86" s="444"/>
      <c r="AA86" s="473"/>
      <c r="AB86" s="444"/>
      <c r="AC86" s="473"/>
      <c r="AF86" s="474"/>
      <c r="AG86" s="475"/>
      <c r="AH86" s="475"/>
      <c r="AI86" s="475"/>
      <c r="AJ86" s="475"/>
      <c r="AK86" s="476"/>
    </row>
    <row r="87" spans="1:37" ht="42.75" customHeight="1" thickBot="1">
      <c r="A87" s="467"/>
      <c r="B87" s="446"/>
      <c r="C87" s="477">
        <v>439.69499999999999</v>
      </c>
      <c r="D87" s="446"/>
      <c r="E87" s="477">
        <v>243.18799999999999</v>
      </c>
      <c r="F87" s="446"/>
      <c r="G87" s="477">
        <v>333.21899999999999</v>
      </c>
      <c r="H87" s="446"/>
      <c r="I87" s="477">
        <v>363.00099999999998</v>
      </c>
      <c r="J87" s="446"/>
      <c r="K87" s="477">
        <v>356.12400000000002</v>
      </c>
      <c r="L87" s="446"/>
      <c r="M87" s="477">
        <v>511.69200000000001</v>
      </c>
      <c r="N87" s="446"/>
      <c r="O87" s="477">
        <v>376.245</v>
      </c>
      <c r="P87" s="446"/>
      <c r="Q87" s="477">
        <v>381.12200000000001</v>
      </c>
      <c r="R87" s="446"/>
      <c r="S87" s="477">
        <v>364.43299999999999</v>
      </c>
      <c r="T87" s="446"/>
      <c r="U87" s="477">
        <v>263.077</v>
      </c>
      <c r="V87" s="446"/>
      <c r="W87" s="477">
        <v>356.19299999999998</v>
      </c>
      <c r="X87" s="446"/>
      <c r="Y87" s="477">
        <v>352.42</v>
      </c>
      <c r="Z87" s="446"/>
      <c r="AA87" s="477">
        <v>460.56400000000002</v>
      </c>
      <c r="AB87" s="446"/>
      <c r="AC87" s="477">
        <v>381.02800000000002</v>
      </c>
      <c r="AF87" s="470">
        <v>14</v>
      </c>
      <c r="AG87" s="470"/>
      <c r="AH87" s="470"/>
      <c r="AI87" s="470"/>
      <c r="AJ87" s="470"/>
      <c r="AK87" s="471"/>
    </row>
    <row r="88" spans="1:37" ht="12.5" thickBot="1">
      <c r="A88" s="467"/>
      <c r="B88" s="479"/>
      <c r="C88" s="473"/>
      <c r="D88" s="479"/>
      <c r="E88" s="473"/>
      <c r="F88" s="479"/>
      <c r="G88" s="473"/>
      <c r="H88" s="479"/>
      <c r="I88" s="473"/>
      <c r="J88" s="479"/>
      <c r="K88" s="473"/>
      <c r="L88" s="479"/>
      <c r="M88" s="473"/>
      <c r="N88" s="479"/>
      <c r="O88" s="473"/>
      <c r="P88" s="479"/>
      <c r="Q88" s="473"/>
      <c r="R88" s="479"/>
      <c r="S88" s="473"/>
      <c r="T88" s="479"/>
      <c r="U88" s="473"/>
      <c r="V88" s="479"/>
      <c r="W88" s="473"/>
      <c r="X88" s="479"/>
      <c r="Y88" s="473"/>
      <c r="Z88" s="479"/>
      <c r="AA88" s="473"/>
      <c r="AB88" s="479"/>
      <c r="AC88" s="473"/>
      <c r="AF88" s="474"/>
      <c r="AG88" s="475"/>
      <c r="AH88" s="475"/>
      <c r="AI88" s="475"/>
      <c r="AJ88" s="475"/>
      <c r="AK88" s="476"/>
    </row>
    <row r="89" spans="1:37">
      <c r="A89" s="467"/>
      <c r="B89" s="450" t="s">
        <v>201</v>
      </c>
      <c r="C89" s="450"/>
      <c r="D89" s="450" t="s">
        <v>115</v>
      </c>
      <c r="E89" s="450"/>
      <c r="F89" s="450" t="s">
        <v>125</v>
      </c>
      <c r="G89" s="450"/>
      <c r="H89" s="450" t="s">
        <v>185</v>
      </c>
      <c r="I89" s="450"/>
      <c r="J89" s="450" t="s">
        <v>185</v>
      </c>
      <c r="K89" s="450"/>
      <c r="L89" s="450" t="s">
        <v>119</v>
      </c>
      <c r="M89" s="450"/>
      <c r="N89" s="450" t="s">
        <v>119</v>
      </c>
      <c r="O89" s="450"/>
      <c r="P89" s="450" t="s">
        <v>182</v>
      </c>
      <c r="Q89" s="450"/>
      <c r="R89" s="450" t="s">
        <v>185</v>
      </c>
      <c r="S89" s="450"/>
      <c r="T89" s="450" t="s">
        <v>248</v>
      </c>
      <c r="U89" s="450"/>
      <c r="V89" s="450" t="s">
        <v>192</v>
      </c>
      <c r="W89" s="450"/>
      <c r="X89" s="450" t="s">
        <v>182</v>
      </c>
      <c r="Y89" s="450"/>
      <c r="Z89" s="450" t="s">
        <v>132</v>
      </c>
      <c r="AA89" s="450"/>
      <c r="AB89" s="450" t="s">
        <v>128</v>
      </c>
      <c r="AC89" s="473"/>
      <c r="AF89" s="474"/>
      <c r="AG89" s="475"/>
      <c r="AH89" s="475"/>
      <c r="AI89" s="475"/>
      <c r="AJ89" s="475"/>
      <c r="AK89" s="476"/>
    </row>
    <row r="90" spans="1:37">
      <c r="A90" s="467"/>
      <c r="B90" s="450"/>
      <c r="C90" s="450"/>
      <c r="D90" s="450"/>
      <c r="E90" s="450"/>
      <c r="F90" s="450"/>
      <c r="G90" s="450"/>
      <c r="H90" s="450"/>
      <c r="I90" s="450"/>
      <c r="J90" s="450"/>
      <c r="K90" s="450"/>
      <c r="L90" s="450"/>
      <c r="M90" s="450"/>
      <c r="N90" s="450"/>
      <c r="O90" s="450"/>
      <c r="P90" s="450"/>
      <c r="Q90" s="450"/>
      <c r="R90" s="450"/>
      <c r="S90" s="450"/>
      <c r="T90" s="450"/>
      <c r="U90" s="450"/>
      <c r="V90" s="450"/>
      <c r="W90" s="450"/>
      <c r="X90" s="450"/>
      <c r="Y90" s="450"/>
      <c r="Z90" s="450"/>
      <c r="AA90" s="450"/>
      <c r="AB90" s="450"/>
      <c r="AC90" s="473"/>
      <c r="AF90" s="474"/>
      <c r="AG90" s="475"/>
      <c r="AH90" s="475"/>
      <c r="AI90" s="475"/>
      <c r="AJ90" s="475"/>
      <c r="AK90" s="476"/>
    </row>
    <row r="91" spans="1:37">
      <c r="A91" s="467"/>
      <c r="C91" s="473"/>
      <c r="E91" s="473"/>
      <c r="G91" s="473"/>
      <c r="I91" s="473"/>
      <c r="K91" s="473"/>
      <c r="M91" s="473"/>
      <c r="O91" s="473"/>
      <c r="Q91" s="473"/>
      <c r="S91" s="473"/>
      <c r="U91" s="473"/>
      <c r="W91" s="473"/>
      <c r="Y91" s="473"/>
      <c r="AA91" s="473"/>
      <c r="AC91" s="473"/>
      <c r="AF91" s="474"/>
      <c r="AG91" s="475"/>
      <c r="AH91" s="475"/>
      <c r="AI91" s="475"/>
      <c r="AJ91" s="475"/>
      <c r="AK91" s="476"/>
    </row>
    <row r="92" spans="1:37">
      <c r="A92" s="467"/>
      <c r="B92" s="468" t="s">
        <v>643</v>
      </c>
      <c r="C92" s="443"/>
      <c r="D92" s="468" t="s">
        <v>644</v>
      </c>
      <c r="E92" s="443"/>
      <c r="F92" s="468" t="s">
        <v>645</v>
      </c>
      <c r="G92" s="443"/>
      <c r="H92" s="468" t="s">
        <v>646</v>
      </c>
      <c r="I92" s="443"/>
      <c r="J92" s="468" t="s">
        <v>647</v>
      </c>
      <c r="K92" s="443"/>
      <c r="L92" s="468" t="s">
        <v>648</v>
      </c>
      <c r="M92" s="443"/>
      <c r="N92" s="468" t="s">
        <v>649</v>
      </c>
      <c r="O92" s="443"/>
      <c r="P92" s="468" t="s">
        <v>650</v>
      </c>
      <c r="Q92" s="443"/>
      <c r="R92" s="468" t="s">
        <v>651</v>
      </c>
      <c r="S92" s="443"/>
      <c r="T92" s="468" t="s">
        <v>652</v>
      </c>
      <c r="U92" s="443"/>
      <c r="V92" s="468" t="s">
        <v>653</v>
      </c>
      <c r="W92" s="443"/>
      <c r="X92" s="468" t="s">
        <v>654</v>
      </c>
      <c r="Y92" s="443"/>
      <c r="Z92" s="468" t="s">
        <v>655</v>
      </c>
      <c r="AA92" s="443"/>
      <c r="AB92" s="468" t="s">
        <v>656</v>
      </c>
      <c r="AC92" s="473"/>
      <c r="AF92" s="474"/>
      <c r="AG92" s="475"/>
      <c r="AH92" s="475"/>
      <c r="AI92" s="475"/>
      <c r="AJ92" s="475"/>
      <c r="AK92" s="476"/>
    </row>
    <row r="93" spans="1:37">
      <c r="A93" s="467"/>
      <c r="B93" s="472"/>
      <c r="C93" s="473"/>
      <c r="D93" s="472"/>
      <c r="E93" s="473"/>
      <c r="F93" s="472"/>
      <c r="G93" s="473"/>
      <c r="H93" s="472"/>
      <c r="I93" s="481"/>
      <c r="J93" s="472"/>
      <c r="K93" s="473"/>
      <c r="L93" s="472"/>
      <c r="M93" s="473"/>
      <c r="N93" s="472"/>
      <c r="O93" s="473"/>
      <c r="P93" s="472"/>
      <c r="Q93" s="473"/>
      <c r="R93" s="472"/>
      <c r="S93" s="473"/>
      <c r="T93" s="472"/>
      <c r="U93" s="473"/>
      <c r="V93" s="472"/>
      <c r="W93" s="473"/>
      <c r="X93" s="472"/>
      <c r="Y93" s="473"/>
      <c r="Z93" s="472"/>
      <c r="AA93" s="481"/>
      <c r="AB93" s="472"/>
      <c r="AC93" s="473"/>
      <c r="AF93" s="470" t="s">
        <v>1191</v>
      </c>
      <c r="AG93" s="470" t="s">
        <v>354</v>
      </c>
      <c r="AH93" s="470" t="s">
        <v>1192</v>
      </c>
      <c r="AI93" s="470" t="s">
        <v>1193</v>
      </c>
      <c r="AJ93" s="470" t="s">
        <v>303</v>
      </c>
      <c r="AK93" s="471" t="s">
        <v>1194</v>
      </c>
    </row>
    <row r="94" spans="1:37" ht="12.5" thickBot="1">
      <c r="A94" s="467"/>
      <c r="B94" s="444"/>
      <c r="C94" s="473"/>
      <c r="D94" s="444"/>
      <c r="E94" s="473"/>
      <c r="F94" s="444"/>
      <c r="G94" s="473"/>
      <c r="H94" s="444"/>
      <c r="I94" s="473"/>
      <c r="J94" s="444"/>
      <c r="K94" s="473"/>
      <c r="L94" s="444"/>
      <c r="M94" s="473"/>
      <c r="N94" s="444"/>
      <c r="O94" s="473"/>
      <c r="P94" s="444"/>
      <c r="Q94" s="473"/>
      <c r="R94" s="444"/>
      <c r="S94" s="473"/>
      <c r="T94" s="444"/>
      <c r="U94" s="473"/>
      <c r="V94" s="444"/>
      <c r="W94" s="473"/>
      <c r="X94" s="444"/>
      <c r="Y94" s="473"/>
      <c r="Z94" s="444"/>
      <c r="AA94" s="473"/>
      <c r="AB94" s="444"/>
      <c r="AC94" s="473"/>
      <c r="AF94" s="474"/>
      <c r="AG94" s="475"/>
      <c r="AH94" s="475"/>
      <c r="AI94" s="475"/>
      <c r="AJ94" s="475"/>
      <c r="AK94" s="476"/>
    </row>
    <row r="95" spans="1:37" ht="42" customHeight="1" thickBot="1">
      <c r="A95" s="467"/>
      <c r="B95" s="446"/>
      <c r="C95" s="477">
        <v>419.60300000000001</v>
      </c>
      <c r="D95" s="446"/>
      <c r="E95" s="477">
        <v>425.18</v>
      </c>
      <c r="F95" s="446"/>
      <c r="G95" s="477">
        <v>287.53699999999998</v>
      </c>
      <c r="H95" s="446"/>
      <c r="I95" s="477">
        <v>336.512</v>
      </c>
      <c r="J95" s="446"/>
      <c r="K95" s="477">
        <v>325.30399999999997</v>
      </c>
      <c r="L95" s="446"/>
      <c r="M95" s="477">
        <v>214.25299999999999</v>
      </c>
      <c r="N95" s="446"/>
      <c r="O95" s="477">
        <v>455.94600000000003</v>
      </c>
      <c r="P95" s="446"/>
      <c r="Q95" s="477">
        <v>421</v>
      </c>
      <c r="R95" s="446"/>
      <c r="S95" s="477">
        <v>419</v>
      </c>
      <c r="T95" s="446"/>
      <c r="U95" s="477">
        <v>408</v>
      </c>
      <c r="V95" s="446"/>
      <c r="W95" s="477">
        <v>409.74900000000002</v>
      </c>
      <c r="X95" s="446"/>
      <c r="Y95" s="477">
        <v>324.02999999999997</v>
      </c>
      <c r="Z95" s="446"/>
      <c r="AA95" s="477">
        <v>366.7</v>
      </c>
      <c r="AB95" s="446"/>
      <c r="AC95" s="482">
        <v>473.30500000000001</v>
      </c>
      <c r="AF95" s="470">
        <v>14</v>
      </c>
      <c r="AG95" s="470"/>
      <c r="AH95" s="470"/>
      <c r="AI95" s="470"/>
      <c r="AJ95" s="470"/>
      <c r="AK95" s="471"/>
    </row>
    <row r="96" spans="1:37" ht="12.5" thickBot="1">
      <c r="A96" s="467"/>
      <c r="B96" s="479"/>
      <c r="C96" s="473"/>
      <c r="D96" s="479"/>
      <c r="E96" s="473"/>
      <c r="F96" s="479"/>
      <c r="G96" s="473"/>
      <c r="H96" s="479"/>
      <c r="I96" s="473"/>
      <c r="J96" s="479"/>
      <c r="K96" s="473"/>
      <c r="L96" s="479"/>
      <c r="M96" s="473"/>
      <c r="N96" s="479"/>
      <c r="O96" s="473"/>
      <c r="P96" s="479"/>
      <c r="Q96" s="473"/>
      <c r="R96" s="479"/>
      <c r="S96" s="473"/>
      <c r="T96" s="479"/>
      <c r="U96" s="473"/>
      <c r="V96" s="479"/>
      <c r="W96" s="473"/>
      <c r="X96" s="479"/>
      <c r="Y96" s="473"/>
      <c r="Z96" s="479"/>
      <c r="AA96" s="473"/>
      <c r="AB96" s="479"/>
      <c r="AC96" s="473"/>
      <c r="AF96" s="474"/>
      <c r="AG96" s="475"/>
      <c r="AH96" s="475"/>
      <c r="AI96" s="475"/>
      <c r="AJ96" s="475"/>
      <c r="AK96" s="476"/>
    </row>
    <row r="97" spans="1:37">
      <c r="A97" s="467"/>
      <c r="B97" s="450" t="s">
        <v>185</v>
      </c>
      <c r="C97" s="450"/>
      <c r="D97" s="450" t="s">
        <v>248</v>
      </c>
      <c r="E97" s="450"/>
      <c r="F97" s="450" t="s">
        <v>115</v>
      </c>
      <c r="G97" s="450"/>
      <c r="H97" s="450" t="s">
        <v>182</v>
      </c>
      <c r="I97" s="450"/>
      <c r="J97" s="450" t="s">
        <v>182</v>
      </c>
      <c r="K97" s="450"/>
      <c r="L97" s="450" t="s">
        <v>182</v>
      </c>
      <c r="M97" s="450"/>
      <c r="N97" s="450" t="s">
        <v>123</v>
      </c>
      <c r="O97" s="450"/>
      <c r="P97" s="450" t="s">
        <v>123</v>
      </c>
      <c r="Q97" s="450"/>
      <c r="R97" s="450" t="s">
        <v>185</v>
      </c>
      <c r="S97" s="450"/>
      <c r="T97" s="450" t="s">
        <v>185</v>
      </c>
      <c r="U97" s="450"/>
      <c r="V97" s="450" t="s">
        <v>248</v>
      </c>
      <c r="W97" s="450"/>
      <c r="X97" s="450" t="s">
        <v>119</v>
      </c>
      <c r="Y97" s="450"/>
      <c r="Z97" s="450" t="s">
        <v>128</v>
      </c>
      <c r="AA97" s="450"/>
      <c r="AB97" s="450" t="s">
        <v>248</v>
      </c>
      <c r="AC97" s="473"/>
      <c r="AF97" s="474"/>
      <c r="AG97" s="475"/>
      <c r="AH97" s="475"/>
      <c r="AI97" s="475"/>
      <c r="AJ97" s="475"/>
      <c r="AK97" s="476"/>
    </row>
    <row r="98" spans="1:37">
      <c r="A98" s="467"/>
      <c r="B98" s="450"/>
      <c r="C98" s="450"/>
      <c r="D98" s="450"/>
      <c r="E98" s="450"/>
      <c r="F98" s="450"/>
      <c r="G98" s="450"/>
      <c r="H98" s="450"/>
      <c r="I98" s="450"/>
      <c r="J98" s="450"/>
      <c r="K98" s="450"/>
      <c r="L98" s="450"/>
      <c r="M98" s="473"/>
      <c r="N98" s="450"/>
      <c r="O98" s="450"/>
      <c r="P98" s="450"/>
      <c r="Q98" s="450"/>
      <c r="R98" s="450"/>
      <c r="S98" s="450"/>
      <c r="T98" s="450"/>
      <c r="U98" s="450"/>
      <c r="V98" s="450"/>
      <c r="W98" s="450"/>
      <c r="X98" s="450"/>
      <c r="Y98" s="450"/>
      <c r="Z98" s="450"/>
      <c r="AA98" s="450"/>
      <c r="AB98" s="450"/>
      <c r="AC98" s="473"/>
      <c r="AF98" s="474"/>
      <c r="AG98" s="475"/>
      <c r="AH98" s="475"/>
      <c r="AI98" s="475"/>
      <c r="AJ98" s="475"/>
      <c r="AK98" s="476"/>
    </row>
    <row r="99" spans="1:37" ht="9.75" customHeight="1">
      <c r="A99" s="467"/>
      <c r="C99" s="473"/>
      <c r="E99" s="473"/>
      <c r="G99" s="473"/>
      <c r="I99" s="473"/>
      <c r="K99" s="473"/>
      <c r="M99" s="473"/>
      <c r="O99" s="473"/>
      <c r="Q99" s="473"/>
      <c r="S99" s="473"/>
      <c r="U99" s="473"/>
      <c r="W99" s="473"/>
      <c r="Y99" s="473"/>
      <c r="AA99" s="473"/>
      <c r="AC99" s="473"/>
      <c r="AF99" s="474"/>
      <c r="AG99" s="475"/>
      <c r="AH99" s="475"/>
      <c r="AI99" s="475"/>
      <c r="AJ99" s="475"/>
      <c r="AK99" s="476"/>
    </row>
    <row r="100" spans="1:37" ht="23.25" customHeight="1">
      <c r="A100" s="467"/>
      <c r="B100" s="468" t="s">
        <v>657</v>
      </c>
      <c r="C100" s="443"/>
      <c r="D100" s="468" t="s">
        <v>658</v>
      </c>
      <c r="E100" s="443"/>
      <c r="F100" s="468" t="s">
        <v>659</v>
      </c>
      <c r="G100" s="443"/>
      <c r="H100" s="468" t="s">
        <v>660</v>
      </c>
      <c r="I100" s="443"/>
      <c r="J100" s="468" t="s">
        <v>661</v>
      </c>
      <c r="K100" s="443"/>
      <c r="L100" s="468" t="s">
        <v>1421</v>
      </c>
      <c r="N100" s="468" t="s">
        <v>662</v>
      </c>
      <c r="O100" s="443"/>
      <c r="P100" s="468" t="s">
        <v>663</v>
      </c>
      <c r="Q100" s="443"/>
      <c r="R100" s="468" t="s">
        <v>664</v>
      </c>
      <c r="S100" s="443"/>
      <c r="T100" s="468" t="s">
        <v>665</v>
      </c>
      <c r="U100" s="443"/>
      <c r="V100" s="468" t="s">
        <v>666</v>
      </c>
      <c r="W100" s="443"/>
      <c r="X100" s="468" t="s">
        <v>667</v>
      </c>
      <c r="Y100" s="443"/>
      <c r="Z100" s="468" t="s">
        <v>668</v>
      </c>
      <c r="AA100" s="443"/>
      <c r="AB100" s="468" t="s">
        <v>669</v>
      </c>
      <c r="AC100" s="443"/>
      <c r="AD100" s="468" t="s">
        <v>670</v>
      </c>
      <c r="AE100" s="473"/>
      <c r="AF100" s="474"/>
      <c r="AG100" s="475"/>
      <c r="AH100" s="475"/>
      <c r="AI100" s="475"/>
      <c r="AJ100" s="475"/>
      <c r="AK100" s="476"/>
    </row>
    <row r="101" spans="1:37">
      <c r="A101" s="467"/>
      <c r="B101" s="472"/>
      <c r="C101" s="473"/>
      <c r="D101" s="472"/>
      <c r="E101" s="473"/>
      <c r="F101" s="472"/>
      <c r="G101" s="473"/>
      <c r="H101" s="472"/>
      <c r="I101" s="473"/>
      <c r="J101" s="472"/>
      <c r="K101" s="473"/>
      <c r="L101" s="472"/>
      <c r="N101" s="472"/>
      <c r="O101" s="473"/>
      <c r="P101" s="472"/>
      <c r="Q101" s="473"/>
      <c r="R101" s="472"/>
      <c r="S101" s="473"/>
      <c r="T101" s="472"/>
      <c r="U101" s="473"/>
      <c r="V101" s="472"/>
      <c r="W101" s="473"/>
      <c r="X101" s="472"/>
      <c r="Y101" s="473"/>
      <c r="Z101" s="472"/>
      <c r="AA101" s="473"/>
      <c r="AB101" s="472"/>
      <c r="AC101" s="473"/>
      <c r="AD101" s="472"/>
      <c r="AE101" s="473"/>
      <c r="AF101" s="470" t="s">
        <v>1191</v>
      </c>
      <c r="AG101" s="470" t="s">
        <v>354</v>
      </c>
      <c r="AH101" s="470" t="s">
        <v>1192</v>
      </c>
      <c r="AI101" s="470" t="s">
        <v>1193</v>
      </c>
      <c r="AJ101" s="470" t="s">
        <v>303</v>
      </c>
      <c r="AK101" s="471" t="s">
        <v>1194</v>
      </c>
    </row>
    <row r="102" spans="1:37" ht="12.5" thickBot="1">
      <c r="A102" s="467"/>
      <c r="B102" s="444"/>
      <c r="C102" s="473"/>
      <c r="D102" s="444"/>
      <c r="E102" s="473"/>
      <c r="F102" s="444"/>
      <c r="G102" s="473"/>
      <c r="H102" s="444"/>
      <c r="I102" s="473"/>
      <c r="J102" s="444"/>
      <c r="K102" s="473"/>
      <c r="L102" s="444"/>
      <c r="N102" s="444"/>
      <c r="O102" s="473"/>
      <c r="P102" s="444"/>
      <c r="Q102" s="473"/>
      <c r="R102" s="444"/>
      <c r="S102" s="473"/>
      <c r="T102" s="444"/>
      <c r="U102" s="473"/>
      <c r="V102" s="444"/>
      <c r="W102" s="473"/>
      <c r="X102" s="444"/>
      <c r="Y102" s="473"/>
      <c r="Z102" s="444"/>
      <c r="AA102" s="473"/>
      <c r="AB102" s="444"/>
      <c r="AC102" s="473"/>
      <c r="AD102" s="444"/>
      <c r="AE102" s="473"/>
      <c r="AF102" s="474"/>
      <c r="AG102" s="475"/>
      <c r="AH102" s="475"/>
      <c r="AI102" s="475"/>
      <c r="AJ102" s="475"/>
      <c r="AK102" s="476"/>
    </row>
    <row r="103" spans="1:37" ht="42.75" customHeight="1" thickBot="1">
      <c r="A103" s="467"/>
      <c r="B103" s="446"/>
      <c r="C103" s="477">
        <v>358.32100000000003</v>
      </c>
      <c r="D103" s="446"/>
      <c r="E103" s="477">
        <v>477.815</v>
      </c>
      <c r="F103" s="446"/>
      <c r="G103" s="477">
        <v>415.464</v>
      </c>
      <c r="H103" s="446"/>
      <c r="I103" s="477">
        <v>402.22899999999998</v>
      </c>
      <c r="J103" s="446"/>
      <c r="K103" s="477">
        <v>437.43400000000003</v>
      </c>
      <c r="L103" s="446"/>
      <c r="N103" s="446"/>
      <c r="O103" s="477">
        <v>455.92200000000003</v>
      </c>
      <c r="P103" s="446"/>
      <c r="Q103" s="477">
        <v>368.5</v>
      </c>
      <c r="R103" s="446"/>
      <c r="S103" s="477">
        <v>419.76499999999999</v>
      </c>
      <c r="T103" s="446"/>
      <c r="U103" s="477">
        <v>418.91699999999997</v>
      </c>
      <c r="V103" s="446"/>
      <c r="W103" s="477">
        <v>386.48599999999999</v>
      </c>
      <c r="X103" s="446"/>
      <c r="Y103" s="477">
        <v>376.53</v>
      </c>
      <c r="Z103" s="446"/>
      <c r="AA103" s="477">
        <v>404.73899999999998</v>
      </c>
      <c r="AB103" s="446"/>
      <c r="AC103" s="477">
        <v>366.72899999999998</v>
      </c>
      <c r="AD103" s="446"/>
      <c r="AE103" s="477">
        <v>274.58699999999999</v>
      </c>
      <c r="AF103" s="470">
        <v>14</v>
      </c>
      <c r="AG103" s="470"/>
      <c r="AH103" s="470"/>
      <c r="AI103" s="470"/>
      <c r="AJ103" s="470"/>
      <c r="AK103" s="471"/>
    </row>
    <row r="104" spans="1:37" ht="12.5" thickBot="1">
      <c r="A104" s="467"/>
      <c r="B104" s="479"/>
      <c r="C104" s="473"/>
      <c r="D104" s="479"/>
      <c r="E104" s="473"/>
      <c r="F104" s="479"/>
      <c r="G104" s="473"/>
      <c r="H104" s="479"/>
      <c r="I104" s="473"/>
      <c r="J104" s="479"/>
      <c r="K104" s="473"/>
      <c r="L104" s="479"/>
      <c r="N104" s="479"/>
      <c r="O104" s="473"/>
      <c r="P104" s="479"/>
      <c r="Q104" s="473"/>
      <c r="R104" s="479"/>
      <c r="S104" s="473"/>
      <c r="T104" s="479"/>
      <c r="U104" s="473"/>
      <c r="V104" s="479"/>
      <c r="W104" s="473"/>
      <c r="X104" s="479"/>
      <c r="Y104" s="473"/>
      <c r="Z104" s="479"/>
      <c r="AA104" s="473"/>
      <c r="AB104" s="479"/>
      <c r="AC104" s="473"/>
      <c r="AD104" s="479"/>
      <c r="AE104" s="473"/>
      <c r="AF104" s="474"/>
      <c r="AG104" s="475"/>
      <c r="AH104" s="475"/>
      <c r="AI104" s="475"/>
      <c r="AJ104" s="475"/>
      <c r="AK104" s="476"/>
    </row>
    <row r="105" spans="1:37">
      <c r="A105" s="467"/>
      <c r="B105" s="450" t="s">
        <v>123</v>
      </c>
      <c r="C105" s="450"/>
      <c r="D105" s="450" t="s">
        <v>248</v>
      </c>
      <c r="E105" s="450"/>
      <c r="F105" s="450" t="s">
        <v>123</v>
      </c>
      <c r="G105" s="450"/>
      <c r="H105" s="450" t="s">
        <v>248</v>
      </c>
      <c r="I105" s="450"/>
      <c r="J105" s="450" t="s">
        <v>248</v>
      </c>
      <c r="K105" s="450"/>
      <c r="L105" s="450" t="s">
        <v>125</v>
      </c>
      <c r="N105" s="450" t="s">
        <v>125</v>
      </c>
      <c r="O105" s="450"/>
      <c r="P105" s="450" t="s">
        <v>242</v>
      </c>
      <c r="Q105" s="450"/>
      <c r="R105" s="450" t="s">
        <v>119</v>
      </c>
      <c r="S105" s="450"/>
      <c r="T105" s="450" t="s">
        <v>242</v>
      </c>
      <c r="U105" s="450"/>
      <c r="V105" s="450" t="s">
        <v>248</v>
      </c>
      <c r="W105" s="450"/>
      <c r="X105" s="450" t="s">
        <v>185</v>
      </c>
      <c r="Y105" s="450"/>
      <c r="Z105" s="450" t="s">
        <v>188</v>
      </c>
      <c r="AA105" s="450"/>
      <c r="AB105" s="450" t="s">
        <v>242</v>
      </c>
      <c r="AC105" s="450"/>
      <c r="AD105" s="450" t="s">
        <v>182</v>
      </c>
      <c r="AE105" s="473"/>
      <c r="AF105" s="474"/>
      <c r="AG105" s="475"/>
      <c r="AH105" s="475"/>
      <c r="AI105" s="475"/>
      <c r="AJ105" s="475"/>
      <c r="AK105" s="476"/>
    </row>
    <row r="106" spans="1:37">
      <c r="A106" s="467"/>
      <c r="B106" s="450"/>
      <c r="C106" s="450"/>
      <c r="D106" s="450"/>
      <c r="E106" s="450"/>
      <c r="F106" s="450"/>
      <c r="G106" s="450"/>
      <c r="H106" s="450"/>
      <c r="I106" s="450"/>
      <c r="J106" s="450"/>
      <c r="K106" s="450"/>
      <c r="L106" s="450"/>
      <c r="M106" s="450"/>
      <c r="N106" s="450"/>
      <c r="O106" s="450"/>
      <c r="P106" s="450"/>
      <c r="Q106" s="450"/>
      <c r="R106" s="450"/>
      <c r="S106" s="450"/>
      <c r="T106" s="450"/>
      <c r="U106" s="450"/>
      <c r="V106" s="450"/>
      <c r="W106" s="450"/>
      <c r="X106" s="450"/>
      <c r="Y106" s="450"/>
      <c r="Z106" s="450"/>
      <c r="AA106" s="450"/>
      <c r="AB106" s="450"/>
      <c r="AC106" s="473"/>
      <c r="AF106" s="474"/>
      <c r="AG106" s="475"/>
      <c r="AH106" s="475"/>
      <c r="AI106" s="475"/>
      <c r="AJ106" s="475"/>
      <c r="AK106" s="476"/>
    </row>
    <row r="107" spans="1:37">
      <c r="A107" s="467"/>
      <c r="C107" s="473"/>
      <c r="E107" s="473"/>
      <c r="G107" s="473"/>
      <c r="I107" s="473"/>
      <c r="K107" s="473"/>
      <c r="M107" s="473"/>
      <c r="O107" s="473"/>
      <c r="Q107" s="473"/>
      <c r="S107" s="473"/>
      <c r="U107" s="473"/>
      <c r="W107" s="473"/>
      <c r="Y107" s="473"/>
      <c r="AA107" s="473"/>
      <c r="AC107" s="473"/>
      <c r="AF107" s="474"/>
      <c r="AG107" s="475"/>
      <c r="AH107" s="475"/>
      <c r="AI107" s="475"/>
      <c r="AJ107" s="475"/>
      <c r="AK107" s="476"/>
    </row>
    <row r="108" spans="1:37">
      <c r="A108" s="467"/>
      <c r="B108" s="468" t="s">
        <v>671</v>
      </c>
      <c r="C108" s="443"/>
      <c r="D108" s="468" t="s">
        <v>672</v>
      </c>
      <c r="E108" s="443"/>
      <c r="F108" s="468" t="s">
        <v>673</v>
      </c>
      <c r="G108" s="443"/>
      <c r="H108" s="468" t="s">
        <v>674</v>
      </c>
      <c r="I108" s="443"/>
      <c r="J108" s="468" t="s">
        <v>675</v>
      </c>
      <c r="K108" s="443"/>
      <c r="L108" s="468" t="s">
        <v>676</v>
      </c>
      <c r="M108" s="443"/>
      <c r="N108" s="468" t="s">
        <v>677</v>
      </c>
      <c r="O108" s="443"/>
      <c r="P108" s="468" t="s">
        <v>678</v>
      </c>
      <c r="Q108" s="443"/>
      <c r="R108" s="468" t="s">
        <v>679</v>
      </c>
      <c r="S108" s="443"/>
      <c r="T108" s="468" t="s">
        <v>680</v>
      </c>
      <c r="U108" s="443"/>
      <c r="V108" s="468" t="s">
        <v>681</v>
      </c>
      <c r="W108" s="443"/>
      <c r="X108" s="468" t="s">
        <v>682</v>
      </c>
      <c r="Y108" s="443"/>
      <c r="Z108" s="468" t="s">
        <v>683</v>
      </c>
      <c r="AA108" s="443"/>
      <c r="AB108" s="468" t="s">
        <v>684</v>
      </c>
      <c r="AC108" s="473"/>
      <c r="AF108" s="474"/>
      <c r="AG108" s="475"/>
      <c r="AH108" s="475"/>
      <c r="AI108" s="475"/>
      <c r="AJ108" s="475"/>
      <c r="AK108" s="476"/>
    </row>
    <row r="109" spans="1:37">
      <c r="A109" s="467"/>
      <c r="B109" s="472"/>
      <c r="C109" s="450"/>
      <c r="D109" s="472"/>
      <c r="E109" s="473"/>
      <c r="F109" s="472"/>
      <c r="G109" s="473"/>
      <c r="H109" s="472"/>
      <c r="I109" s="473"/>
      <c r="J109" s="472"/>
      <c r="K109" s="473"/>
      <c r="L109" s="472"/>
      <c r="M109" s="473"/>
      <c r="N109" s="472"/>
      <c r="O109" s="473"/>
      <c r="P109" s="472"/>
      <c r="Q109" s="481"/>
      <c r="R109" s="472"/>
      <c r="S109" s="481"/>
      <c r="T109" s="472"/>
      <c r="U109" s="473"/>
      <c r="V109" s="472"/>
      <c r="W109" s="473"/>
      <c r="X109" s="472"/>
      <c r="Y109" s="473"/>
      <c r="Z109" s="472"/>
      <c r="AA109" s="473"/>
      <c r="AB109" s="472"/>
      <c r="AC109" s="473"/>
      <c r="AF109" s="470" t="s">
        <v>1191</v>
      </c>
      <c r="AG109" s="470" t="s">
        <v>354</v>
      </c>
      <c r="AH109" s="470" t="s">
        <v>1192</v>
      </c>
      <c r="AI109" s="470" t="s">
        <v>1193</v>
      </c>
      <c r="AJ109" s="470" t="s">
        <v>303</v>
      </c>
      <c r="AK109" s="471" t="s">
        <v>1194</v>
      </c>
    </row>
    <row r="110" spans="1:37" ht="12.5" thickBot="1">
      <c r="A110" s="467"/>
      <c r="B110" s="444"/>
      <c r="C110" s="473"/>
      <c r="D110" s="444"/>
      <c r="E110" s="473"/>
      <c r="F110" s="444"/>
      <c r="G110" s="473"/>
      <c r="H110" s="444"/>
      <c r="I110" s="473"/>
      <c r="J110" s="444"/>
      <c r="K110" s="473"/>
      <c r="L110" s="444"/>
      <c r="M110" s="473"/>
      <c r="N110" s="444"/>
      <c r="O110" s="473"/>
      <c r="P110" s="444"/>
      <c r="Q110" s="473"/>
      <c r="R110" s="444"/>
      <c r="S110" s="473"/>
      <c r="T110" s="444"/>
      <c r="U110" s="473"/>
      <c r="V110" s="444"/>
      <c r="W110" s="473"/>
      <c r="X110" s="444"/>
      <c r="Y110" s="473"/>
      <c r="Z110" s="444"/>
      <c r="AA110" s="473"/>
      <c r="AB110" s="444"/>
      <c r="AC110" s="473"/>
      <c r="AF110" s="474"/>
      <c r="AG110" s="475"/>
      <c r="AH110" s="475"/>
      <c r="AI110" s="475"/>
      <c r="AJ110" s="475"/>
      <c r="AK110" s="476"/>
    </row>
    <row r="111" spans="1:37" ht="42.75" customHeight="1" thickBot="1">
      <c r="A111" s="467"/>
      <c r="B111" s="446"/>
      <c r="C111" s="477">
        <v>341.66800000000001</v>
      </c>
      <c r="D111" s="446"/>
      <c r="E111" s="477">
        <v>425.863</v>
      </c>
      <c r="F111" s="446"/>
      <c r="G111" s="477">
        <v>394.30700000000002</v>
      </c>
      <c r="H111" s="446"/>
      <c r="I111" s="477">
        <v>370.45</v>
      </c>
      <c r="J111" s="446"/>
      <c r="K111" s="477">
        <v>436.75400000000002</v>
      </c>
      <c r="L111" s="446"/>
      <c r="M111" s="477">
        <v>397.60500000000002</v>
      </c>
      <c r="N111" s="446"/>
      <c r="O111" s="477">
        <v>413.40100000000001</v>
      </c>
      <c r="P111" s="446"/>
      <c r="Q111" s="482">
        <v>423.64499999999998</v>
      </c>
      <c r="R111" s="446"/>
      <c r="S111" s="477">
        <v>415.96800000000002</v>
      </c>
      <c r="T111" s="446"/>
      <c r="U111" s="477">
        <v>415.34899999999999</v>
      </c>
      <c r="V111" s="446"/>
      <c r="W111" s="477">
        <v>394.875</v>
      </c>
      <c r="X111" s="446"/>
      <c r="Y111" s="477">
        <v>429.62</v>
      </c>
      <c r="Z111" s="446"/>
      <c r="AA111" s="477">
        <v>381.90499999999997</v>
      </c>
      <c r="AB111" s="446"/>
      <c r="AC111" s="477">
        <v>405.26</v>
      </c>
      <c r="AF111" s="470">
        <v>14</v>
      </c>
      <c r="AG111" s="470"/>
      <c r="AH111" s="470"/>
      <c r="AI111" s="470"/>
      <c r="AJ111" s="470"/>
      <c r="AK111" s="471"/>
    </row>
    <row r="112" spans="1:37" ht="12.5" thickBot="1">
      <c r="A112" s="467"/>
      <c r="B112" s="479"/>
      <c r="C112" s="473"/>
      <c r="D112" s="479"/>
      <c r="E112" s="473"/>
      <c r="F112" s="479"/>
      <c r="G112" s="473"/>
      <c r="H112" s="479"/>
      <c r="I112" s="473"/>
      <c r="J112" s="479"/>
      <c r="K112" s="473"/>
      <c r="L112" s="479"/>
      <c r="M112" s="473"/>
      <c r="N112" s="479"/>
      <c r="O112" s="473"/>
      <c r="P112" s="479"/>
      <c r="Q112" s="473"/>
      <c r="R112" s="479"/>
      <c r="S112" s="473"/>
      <c r="T112" s="479"/>
      <c r="U112" s="473"/>
      <c r="V112" s="479"/>
      <c r="W112" s="473"/>
      <c r="X112" s="479"/>
      <c r="Y112" s="473"/>
      <c r="Z112" s="479"/>
      <c r="AA112" s="473"/>
      <c r="AB112" s="479"/>
      <c r="AC112" s="473"/>
      <c r="AF112" s="474"/>
      <c r="AG112" s="475"/>
      <c r="AH112" s="475"/>
      <c r="AI112" s="475"/>
      <c r="AJ112" s="475"/>
      <c r="AK112" s="476"/>
    </row>
    <row r="113" spans="1:37">
      <c r="A113" s="467"/>
      <c r="B113" s="450" t="s">
        <v>182</v>
      </c>
      <c r="C113" s="450"/>
      <c r="D113" s="450" t="s">
        <v>182</v>
      </c>
      <c r="E113" s="450"/>
      <c r="F113" s="450" t="s">
        <v>242</v>
      </c>
      <c r="G113" s="450"/>
      <c r="H113" s="450" t="s">
        <v>143</v>
      </c>
      <c r="I113" s="450"/>
      <c r="J113" s="450" t="s">
        <v>167</v>
      </c>
      <c r="K113" s="450"/>
      <c r="L113" s="450" t="s">
        <v>242</v>
      </c>
      <c r="M113" s="450"/>
      <c r="N113" s="450" t="s">
        <v>119</v>
      </c>
      <c r="O113" s="450"/>
      <c r="P113" s="450" t="s">
        <v>248</v>
      </c>
      <c r="Q113" s="450"/>
      <c r="R113" s="450" t="s">
        <v>182</v>
      </c>
      <c r="S113" s="450"/>
      <c r="T113" s="450" t="s">
        <v>248</v>
      </c>
      <c r="U113" s="450"/>
      <c r="V113" s="450" t="s">
        <v>137</v>
      </c>
      <c r="W113" s="450"/>
      <c r="X113" s="450" t="s">
        <v>248</v>
      </c>
      <c r="Y113" s="450"/>
      <c r="Z113" s="450" t="s">
        <v>1273</v>
      </c>
      <c r="AA113" s="450"/>
      <c r="AB113" s="450" t="s">
        <v>248</v>
      </c>
      <c r="AC113" s="473"/>
      <c r="AF113" s="474"/>
      <c r="AG113" s="475"/>
      <c r="AH113" s="475"/>
      <c r="AI113" s="475"/>
      <c r="AJ113" s="475"/>
      <c r="AK113" s="476"/>
    </row>
    <row r="114" spans="1:37">
      <c r="A114" s="467"/>
      <c r="B114" s="450"/>
      <c r="C114" s="450"/>
      <c r="D114" s="450"/>
      <c r="E114" s="450"/>
      <c r="F114" s="450"/>
      <c r="G114" s="450"/>
      <c r="H114" s="450"/>
      <c r="I114" s="450"/>
      <c r="J114" s="450"/>
      <c r="K114" s="450"/>
      <c r="L114" s="450"/>
      <c r="M114" s="450"/>
      <c r="N114" s="450"/>
      <c r="O114" s="450"/>
      <c r="P114" s="450"/>
      <c r="Q114" s="450"/>
      <c r="R114" s="450"/>
      <c r="S114" s="450"/>
      <c r="T114" s="450"/>
      <c r="U114" s="450"/>
      <c r="V114" s="450"/>
      <c r="W114" s="450"/>
      <c r="X114" s="450"/>
      <c r="Y114" s="450"/>
      <c r="Z114" s="450"/>
      <c r="AA114" s="450"/>
      <c r="AB114" s="450"/>
      <c r="AC114" s="473"/>
      <c r="AF114" s="474"/>
      <c r="AG114" s="475"/>
      <c r="AH114" s="475"/>
      <c r="AI114" s="475"/>
      <c r="AJ114" s="475"/>
      <c r="AK114" s="476"/>
    </row>
    <row r="115" spans="1:37">
      <c r="A115" s="467"/>
      <c r="C115" s="473"/>
      <c r="E115" s="473"/>
      <c r="G115" s="473"/>
      <c r="I115" s="473"/>
      <c r="K115" s="473"/>
      <c r="M115" s="473"/>
      <c r="O115" s="473"/>
      <c r="Q115" s="473"/>
      <c r="S115" s="473"/>
      <c r="U115" s="473"/>
      <c r="W115" s="473"/>
      <c r="Y115" s="473"/>
      <c r="AA115" s="473"/>
      <c r="AC115" s="473"/>
      <c r="AF115" s="474"/>
      <c r="AG115" s="475"/>
      <c r="AH115" s="475"/>
      <c r="AI115" s="475"/>
      <c r="AJ115" s="475"/>
      <c r="AK115" s="476"/>
    </row>
    <row r="116" spans="1:37">
      <c r="A116" s="467"/>
      <c r="B116" s="468" t="s">
        <v>685</v>
      </c>
      <c r="C116" s="443"/>
      <c r="D116" s="468" t="s">
        <v>686</v>
      </c>
      <c r="E116" s="443"/>
      <c r="F116" s="468" t="s">
        <v>687</v>
      </c>
      <c r="G116" s="443"/>
      <c r="H116" s="468" t="s">
        <v>688</v>
      </c>
      <c r="I116" s="443"/>
      <c r="J116" s="468" t="s">
        <v>689</v>
      </c>
      <c r="K116" s="443"/>
      <c r="L116" s="468" t="s">
        <v>690</v>
      </c>
      <c r="M116" s="443"/>
      <c r="N116" s="468" t="s">
        <v>691</v>
      </c>
      <c r="O116" s="443"/>
      <c r="P116" s="468" t="s">
        <v>692</v>
      </c>
      <c r="Q116" s="443"/>
      <c r="R116" s="468" t="s">
        <v>693</v>
      </c>
      <c r="S116" s="443"/>
      <c r="T116" s="468" t="s">
        <v>694</v>
      </c>
      <c r="U116" s="443"/>
      <c r="V116" s="468" t="s">
        <v>695</v>
      </c>
      <c r="W116" s="443"/>
      <c r="X116" s="468" t="s">
        <v>696</v>
      </c>
      <c r="Y116" s="443"/>
      <c r="Z116" s="468" t="s">
        <v>697</v>
      </c>
      <c r="AA116" s="443"/>
      <c r="AB116" s="468" t="s">
        <v>698</v>
      </c>
      <c r="AC116" s="473"/>
      <c r="AF116" s="474"/>
      <c r="AG116" s="475"/>
      <c r="AH116" s="475"/>
      <c r="AI116" s="475"/>
      <c r="AJ116" s="475"/>
      <c r="AK116" s="476"/>
    </row>
    <row r="117" spans="1:37">
      <c r="A117" s="467"/>
      <c r="B117" s="472"/>
      <c r="C117" s="473"/>
      <c r="D117" s="472"/>
      <c r="E117" s="473"/>
      <c r="F117" s="472"/>
      <c r="G117" s="473"/>
      <c r="H117" s="472"/>
      <c r="I117" s="473"/>
      <c r="J117" s="472"/>
      <c r="K117" s="473"/>
      <c r="L117" s="472"/>
      <c r="M117" s="473"/>
      <c r="N117" s="472"/>
      <c r="O117" s="473"/>
      <c r="P117" s="472"/>
      <c r="Q117" s="473"/>
      <c r="R117" s="472"/>
      <c r="S117" s="473"/>
      <c r="T117" s="472"/>
      <c r="U117" s="473"/>
      <c r="V117" s="472"/>
      <c r="W117" s="473"/>
      <c r="X117" s="472"/>
      <c r="Y117" s="473"/>
      <c r="Z117" s="472"/>
      <c r="AA117" s="473"/>
      <c r="AB117" s="472"/>
      <c r="AC117" s="473"/>
      <c r="AF117" s="470" t="s">
        <v>1191</v>
      </c>
      <c r="AG117" s="470" t="s">
        <v>354</v>
      </c>
      <c r="AH117" s="470" t="s">
        <v>1192</v>
      </c>
      <c r="AI117" s="470" t="s">
        <v>1193</v>
      </c>
      <c r="AJ117" s="470" t="s">
        <v>303</v>
      </c>
      <c r="AK117" s="471" t="s">
        <v>1194</v>
      </c>
    </row>
    <row r="118" spans="1:37" ht="12.5" thickBot="1">
      <c r="A118" s="467"/>
      <c r="B118" s="444"/>
      <c r="C118" s="473"/>
      <c r="D118" s="444"/>
      <c r="E118" s="473"/>
      <c r="F118" s="444"/>
      <c r="G118" s="473"/>
      <c r="H118" s="444"/>
      <c r="I118" s="473"/>
      <c r="J118" s="444"/>
      <c r="K118" s="473"/>
      <c r="L118" s="444"/>
      <c r="M118" s="473"/>
      <c r="N118" s="444"/>
      <c r="O118" s="473"/>
      <c r="P118" s="444"/>
      <c r="Q118" s="473"/>
      <c r="R118" s="444"/>
      <c r="S118" s="473"/>
      <c r="T118" s="444"/>
      <c r="U118" s="473"/>
      <c r="V118" s="444"/>
      <c r="W118" s="473"/>
      <c r="X118" s="444"/>
      <c r="Y118" s="473"/>
      <c r="Z118" s="444"/>
      <c r="AA118" s="473"/>
      <c r="AB118" s="444"/>
      <c r="AC118" s="473"/>
      <c r="AF118" s="474"/>
      <c r="AG118" s="475"/>
      <c r="AH118" s="475" t="s">
        <v>1274</v>
      </c>
      <c r="AI118" s="475"/>
      <c r="AJ118" s="475"/>
      <c r="AK118" s="476"/>
    </row>
    <row r="119" spans="1:37" ht="42.75" customHeight="1" thickBot="1">
      <c r="A119" s="467"/>
      <c r="B119" s="446"/>
      <c r="C119" s="477">
        <v>338.15600000000001</v>
      </c>
      <c r="D119" s="446"/>
      <c r="E119" s="477">
        <v>288.303</v>
      </c>
      <c r="F119" s="446"/>
      <c r="G119" s="477">
        <v>297.14800000000002</v>
      </c>
      <c r="H119" s="446"/>
      <c r="I119" s="477">
        <v>195.90299999999999</v>
      </c>
      <c r="J119" s="446"/>
      <c r="K119" s="477">
        <v>249.66</v>
      </c>
      <c r="L119" s="446"/>
      <c r="M119" s="477">
        <v>374.47500000000002</v>
      </c>
      <c r="N119" s="446"/>
      <c r="O119" s="477">
        <v>443.95</v>
      </c>
      <c r="P119" s="446"/>
      <c r="Q119" s="477">
        <v>404.38600000000002</v>
      </c>
      <c r="R119" s="446"/>
      <c r="S119" s="477">
        <v>341.423</v>
      </c>
      <c r="T119" s="446"/>
      <c r="U119" s="477">
        <v>305.40100000000001</v>
      </c>
      <c r="V119" s="446"/>
      <c r="W119" s="477">
        <v>319.98099999999999</v>
      </c>
      <c r="X119" s="446"/>
      <c r="Y119" s="477">
        <v>345.62099999999998</v>
      </c>
      <c r="Z119" s="446"/>
      <c r="AA119" s="477">
        <v>223.15100000000001</v>
      </c>
      <c r="AB119" s="446"/>
      <c r="AC119" s="477">
        <v>393.81700000000001</v>
      </c>
      <c r="AF119" s="470">
        <v>14</v>
      </c>
      <c r="AG119" s="470"/>
      <c r="AH119" s="470"/>
      <c r="AI119" s="470"/>
      <c r="AJ119" s="470"/>
      <c r="AK119" s="471"/>
    </row>
    <row r="120" spans="1:37" ht="12.5" thickBot="1">
      <c r="A120" s="467"/>
      <c r="B120" s="479"/>
      <c r="C120" s="473"/>
      <c r="D120" s="479"/>
      <c r="E120" s="473"/>
      <c r="F120" s="479"/>
      <c r="G120" s="473"/>
      <c r="H120" s="479"/>
      <c r="I120" s="473"/>
      <c r="J120" s="479"/>
      <c r="K120" s="473"/>
      <c r="L120" s="479"/>
      <c r="M120" s="473"/>
      <c r="N120" s="479"/>
      <c r="O120" s="473"/>
      <c r="P120" s="479"/>
      <c r="Q120" s="473"/>
      <c r="R120" s="479"/>
      <c r="S120" s="473"/>
      <c r="T120" s="479"/>
      <c r="U120" s="473"/>
      <c r="V120" s="479"/>
      <c r="W120" s="473"/>
      <c r="X120" s="479"/>
      <c r="Y120" s="473"/>
      <c r="Z120" s="479"/>
      <c r="AA120" s="473"/>
      <c r="AB120" s="479"/>
      <c r="AC120" s="473"/>
      <c r="AF120" s="474"/>
      <c r="AG120" s="475"/>
      <c r="AH120" s="475"/>
      <c r="AI120" s="475"/>
      <c r="AJ120" s="475"/>
      <c r="AK120" s="476"/>
    </row>
    <row r="121" spans="1:37">
      <c r="A121" s="467"/>
      <c r="B121" s="450" t="s">
        <v>248</v>
      </c>
      <c r="C121" s="450"/>
      <c r="D121" s="450" t="s">
        <v>182</v>
      </c>
      <c r="E121" s="450"/>
      <c r="F121" s="450" t="s">
        <v>185</v>
      </c>
      <c r="G121" s="450"/>
      <c r="H121" s="450" t="s">
        <v>182</v>
      </c>
      <c r="I121" s="450"/>
      <c r="J121" s="450" t="s">
        <v>128</v>
      </c>
      <c r="K121" s="450"/>
      <c r="L121" s="450" t="s">
        <v>132</v>
      </c>
      <c r="M121" s="450"/>
      <c r="N121" s="450" t="s">
        <v>248</v>
      </c>
      <c r="O121" s="450"/>
      <c r="P121" s="450" t="s">
        <v>147</v>
      </c>
      <c r="Q121" s="450"/>
      <c r="R121" s="450" t="s">
        <v>182</v>
      </c>
      <c r="S121" s="450"/>
      <c r="T121" s="450" t="s">
        <v>185</v>
      </c>
      <c r="U121" s="450"/>
      <c r="V121" s="450" t="s">
        <v>182</v>
      </c>
      <c r="W121" s="450"/>
      <c r="X121" s="450" t="s">
        <v>242</v>
      </c>
      <c r="Y121" s="450"/>
      <c r="Z121" s="450" t="s">
        <v>143</v>
      </c>
      <c r="AA121" s="450"/>
      <c r="AB121" s="450" t="s">
        <v>147</v>
      </c>
      <c r="AC121" s="473"/>
      <c r="AF121" s="474"/>
      <c r="AG121" s="475"/>
      <c r="AH121" s="475"/>
      <c r="AI121" s="475"/>
      <c r="AJ121" s="475"/>
      <c r="AK121" s="476"/>
    </row>
    <row r="122" spans="1:37">
      <c r="A122" s="467"/>
      <c r="B122" s="450"/>
      <c r="C122" s="450"/>
      <c r="D122" s="450"/>
      <c r="E122" s="450"/>
      <c r="F122" s="450"/>
      <c r="G122" s="450"/>
      <c r="H122" s="450"/>
      <c r="I122" s="450"/>
      <c r="J122" s="450"/>
      <c r="K122" s="450"/>
      <c r="L122" s="450"/>
      <c r="M122" s="450"/>
      <c r="N122" s="450"/>
      <c r="O122" s="450"/>
      <c r="P122" s="450"/>
      <c r="Q122" s="450"/>
      <c r="R122" s="450"/>
      <c r="S122" s="450"/>
      <c r="T122" s="450"/>
      <c r="U122" s="450"/>
      <c r="V122" s="450"/>
      <c r="W122" s="450"/>
      <c r="X122" s="450"/>
      <c r="Y122" s="450"/>
      <c r="Z122" s="450"/>
      <c r="AA122" s="450"/>
      <c r="AB122" s="450"/>
      <c r="AC122" s="473"/>
      <c r="AF122" s="474"/>
      <c r="AG122" s="475"/>
      <c r="AH122" s="475"/>
      <c r="AI122" s="475"/>
      <c r="AJ122" s="475"/>
      <c r="AK122" s="476"/>
    </row>
    <row r="123" spans="1:37">
      <c r="A123" s="467"/>
      <c r="C123" s="473"/>
      <c r="E123" s="473"/>
      <c r="G123" s="473"/>
      <c r="I123" s="473"/>
      <c r="K123" s="473"/>
      <c r="M123" s="473"/>
      <c r="O123" s="473"/>
      <c r="Q123" s="473"/>
      <c r="S123" s="473"/>
      <c r="U123" s="473"/>
      <c r="W123" s="473"/>
      <c r="Y123" s="473"/>
      <c r="AA123" s="473"/>
      <c r="AC123" s="473"/>
      <c r="AF123" s="474"/>
      <c r="AG123" s="475"/>
      <c r="AH123" s="475"/>
      <c r="AI123" s="475"/>
      <c r="AJ123" s="475"/>
      <c r="AK123" s="476"/>
    </row>
    <row r="124" spans="1:37">
      <c r="A124" s="467"/>
      <c r="B124" s="468" t="s">
        <v>699</v>
      </c>
      <c r="C124" s="443"/>
      <c r="D124" s="468" t="s">
        <v>700</v>
      </c>
      <c r="E124" s="443"/>
      <c r="F124" s="468" t="s">
        <v>701</v>
      </c>
      <c r="G124" s="443"/>
      <c r="H124" s="468" t="s">
        <v>702</v>
      </c>
      <c r="I124" s="443"/>
      <c r="J124" s="468" t="s">
        <v>1275</v>
      </c>
      <c r="K124" s="443"/>
      <c r="L124" s="468" t="s">
        <v>310</v>
      </c>
      <c r="M124" s="443"/>
      <c r="N124" s="468" t="s">
        <v>272</v>
      </c>
      <c r="O124" s="443"/>
      <c r="P124" s="468" t="s">
        <v>273</v>
      </c>
      <c r="Q124" s="443"/>
      <c r="R124" s="468" t="s">
        <v>311</v>
      </c>
      <c r="S124" s="443"/>
      <c r="T124" s="468" t="s">
        <v>312</v>
      </c>
      <c r="U124" s="443"/>
      <c r="V124" s="468" t="s">
        <v>313</v>
      </c>
      <c r="W124" s="443"/>
      <c r="X124" s="468" t="s">
        <v>314</v>
      </c>
      <c r="Y124" s="443"/>
      <c r="Z124" s="468" t="s">
        <v>315</v>
      </c>
      <c r="AA124" s="443"/>
      <c r="AB124" s="468" t="s">
        <v>316</v>
      </c>
      <c r="AC124" s="473"/>
      <c r="AF124" s="474"/>
      <c r="AG124" s="475"/>
      <c r="AH124" s="475"/>
      <c r="AI124" s="475"/>
      <c r="AJ124" s="475"/>
      <c r="AK124" s="476"/>
    </row>
    <row r="125" spans="1:37">
      <c r="A125" s="467"/>
      <c r="B125" s="472"/>
      <c r="C125" s="473"/>
      <c r="D125" s="472"/>
      <c r="E125" s="473"/>
      <c r="F125" s="472"/>
      <c r="G125" s="473"/>
      <c r="H125" s="472"/>
      <c r="I125" s="473"/>
      <c r="J125" s="472"/>
      <c r="K125" s="473"/>
      <c r="L125" s="472"/>
      <c r="M125" s="473"/>
      <c r="N125" s="472"/>
      <c r="O125" s="473"/>
      <c r="P125" s="472"/>
      <c r="Q125" s="473"/>
      <c r="R125" s="472"/>
      <c r="S125" s="473"/>
      <c r="T125" s="472"/>
      <c r="U125" s="473"/>
      <c r="V125" s="472"/>
      <c r="W125" s="473"/>
      <c r="X125" s="472"/>
      <c r="Y125" s="481"/>
      <c r="Z125" s="472"/>
      <c r="AA125" s="481"/>
      <c r="AB125" s="472"/>
      <c r="AC125" s="473"/>
      <c r="AF125" s="470" t="s">
        <v>1191</v>
      </c>
      <c r="AG125" s="470" t="s">
        <v>354</v>
      </c>
      <c r="AH125" s="470" t="s">
        <v>1192</v>
      </c>
      <c r="AI125" s="470" t="s">
        <v>1193</v>
      </c>
      <c r="AJ125" s="470" t="s">
        <v>303</v>
      </c>
      <c r="AK125" s="471" t="s">
        <v>1194</v>
      </c>
    </row>
    <row r="126" spans="1:37" ht="12.5" thickBot="1">
      <c r="A126" s="467"/>
      <c r="B126" s="444"/>
      <c r="C126" s="473"/>
      <c r="D126" s="444"/>
      <c r="E126" s="473"/>
      <c r="F126" s="444"/>
      <c r="G126" s="473"/>
      <c r="H126" s="444"/>
      <c r="I126" s="473"/>
      <c r="J126" s="444"/>
      <c r="K126" s="473"/>
      <c r="L126" s="444"/>
      <c r="M126" s="473"/>
      <c r="N126" s="444"/>
      <c r="O126" s="473"/>
      <c r="P126" s="444"/>
      <c r="Q126" s="473"/>
      <c r="R126" s="444"/>
      <c r="S126" s="473"/>
      <c r="T126" s="444"/>
      <c r="U126" s="473"/>
      <c r="V126" s="444"/>
      <c r="W126" s="473"/>
      <c r="X126" s="444"/>
      <c r="Y126" s="473"/>
      <c r="Z126" s="444"/>
      <c r="AA126" s="473"/>
      <c r="AB126" s="444"/>
      <c r="AC126" s="473"/>
      <c r="AF126" s="474"/>
      <c r="AG126" s="475"/>
      <c r="AH126" s="475"/>
      <c r="AI126" s="475"/>
      <c r="AJ126" s="475"/>
      <c r="AK126" s="476"/>
    </row>
    <row r="127" spans="1:37" ht="42.75" customHeight="1" thickBot="1">
      <c r="A127" s="467"/>
      <c r="B127" s="446"/>
      <c r="C127" s="477">
        <v>435.13600000000002</v>
      </c>
      <c r="D127" s="446"/>
      <c r="E127" s="477">
        <v>403.209</v>
      </c>
      <c r="F127" s="446"/>
      <c r="G127" s="477">
        <v>422.55399999999997</v>
      </c>
      <c r="H127" s="446"/>
      <c r="I127" s="477">
        <v>353.48399999999998</v>
      </c>
      <c r="J127" s="446"/>
      <c r="K127" s="477">
        <v>274.899</v>
      </c>
      <c r="L127" s="446"/>
      <c r="M127" s="477">
        <v>465.03300000000002</v>
      </c>
      <c r="N127" s="446"/>
      <c r="O127" s="477">
        <v>373.97699999999998</v>
      </c>
      <c r="P127" s="447"/>
      <c r="Q127" s="477">
        <v>416.86399999999998</v>
      </c>
      <c r="R127" s="447"/>
      <c r="S127" s="477">
        <v>381.01900000000001</v>
      </c>
      <c r="T127" s="446"/>
      <c r="U127" s="477">
        <v>391.51900000000001</v>
      </c>
      <c r="V127" s="446"/>
      <c r="W127" s="477">
        <v>374.93400000000003</v>
      </c>
      <c r="X127" s="446"/>
      <c r="Y127" s="482">
        <v>248.56700000000001</v>
      </c>
      <c r="Z127" s="446"/>
      <c r="AA127" s="477">
        <v>384.17</v>
      </c>
      <c r="AB127" s="446"/>
      <c r="AC127" s="482">
        <v>330.76400000000001</v>
      </c>
      <c r="AF127" s="470">
        <v>14</v>
      </c>
      <c r="AG127" s="470">
        <v>1</v>
      </c>
      <c r="AH127" s="470"/>
      <c r="AI127" s="470"/>
      <c r="AJ127" s="470"/>
      <c r="AK127" s="471"/>
    </row>
    <row r="128" spans="1:37" ht="12.5" thickBot="1">
      <c r="A128" s="467"/>
      <c r="B128" s="479"/>
      <c r="C128" s="473"/>
      <c r="D128" s="479"/>
      <c r="E128" s="473"/>
      <c r="F128" s="479"/>
      <c r="G128" s="473"/>
      <c r="H128" s="479"/>
      <c r="I128" s="473"/>
      <c r="J128" s="479"/>
      <c r="K128" s="473"/>
      <c r="L128" s="479"/>
      <c r="M128" s="473"/>
      <c r="N128" s="479"/>
      <c r="O128" s="473"/>
      <c r="P128" s="479"/>
      <c r="Q128" s="473"/>
      <c r="R128" s="479"/>
      <c r="S128" s="473"/>
      <c r="T128" s="479"/>
      <c r="U128" s="473"/>
      <c r="V128" s="479"/>
      <c r="W128" s="473"/>
      <c r="X128" s="479"/>
      <c r="Y128" s="473"/>
      <c r="Z128" s="479"/>
      <c r="AA128" s="473"/>
      <c r="AB128" s="479"/>
      <c r="AC128" s="473"/>
      <c r="AF128" s="474"/>
      <c r="AG128" s="475"/>
      <c r="AH128" s="475"/>
      <c r="AI128" s="475"/>
      <c r="AJ128" s="475"/>
      <c r="AK128" s="476"/>
    </row>
    <row r="129" spans="1:37">
      <c r="A129" s="467"/>
      <c r="B129" s="483" t="s">
        <v>248</v>
      </c>
      <c r="C129" s="450"/>
      <c r="D129" s="483" t="s">
        <v>248</v>
      </c>
      <c r="E129" s="450"/>
      <c r="F129" s="483" t="s">
        <v>143</v>
      </c>
      <c r="G129" s="450"/>
      <c r="H129" s="483" t="s">
        <v>143</v>
      </c>
      <c r="I129" s="450"/>
      <c r="J129" s="483" t="s">
        <v>147</v>
      </c>
      <c r="K129" s="450"/>
      <c r="L129" s="483" t="s">
        <v>117</v>
      </c>
      <c r="M129" s="450"/>
      <c r="N129" s="483" t="s">
        <v>185</v>
      </c>
      <c r="O129" s="450"/>
      <c r="P129" s="483" t="s">
        <v>182</v>
      </c>
      <c r="Q129" s="450"/>
      <c r="R129" s="483" t="s">
        <v>185</v>
      </c>
      <c r="S129" s="450"/>
      <c r="T129" s="483" t="s">
        <v>119</v>
      </c>
      <c r="U129" s="450"/>
      <c r="V129" s="483" t="s">
        <v>242</v>
      </c>
      <c r="W129" s="450"/>
      <c r="X129" s="483" t="s">
        <v>125</v>
      </c>
      <c r="Y129" s="450"/>
      <c r="Z129" s="483" t="s">
        <v>115</v>
      </c>
      <c r="AA129" s="450"/>
      <c r="AB129" s="483" t="s">
        <v>185</v>
      </c>
      <c r="AC129" s="473"/>
      <c r="AF129" s="474"/>
      <c r="AG129" s="475"/>
      <c r="AH129" s="475"/>
      <c r="AI129" s="475"/>
      <c r="AJ129" s="475"/>
      <c r="AK129" s="476"/>
    </row>
    <row r="130" spans="1:37">
      <c r="A130" s="467"/>
      <c r="B130" s="483"/>
      <c r="C130" s="450"/>
      <c r="D130" s="483"/>
      <c r="E130" s="450"/>
      <c r="F130" s="483"/>
      <c r="G130" s="450"/>
      <c r="H130" s="483"/>
      <c r="I130" s="450"/>
      <c r="J130" s="483"/>
      <c r="K130" s="450"/>
      <c r="L130" s="483"/>
      <c r="M130" s="450"/>
      <c r="N130" s="483"/>
      <c r="O130" s="450"/>
      <c r="P130" s="483"/>
      <c r="Q130" s="450"/>
      <c r="R130" s="483"/>
      <c r="S130" s="450"/>
      <c r="T130" s="483" t="s">
        <v>1276</v>
      </c>
      <c r="U130" s="450"/>
      <c r="V130" s="483" t="s">
        <v>1277</v>
      </c>
      <c r="W130" s="450"/>
      <c r="X130" s="483"/>
      <c r="Y130" s="450"/>
      <c r="Z130" s="483"/>
      <c r="AA130" s="450"/>
      <c r="AB130" s="483"/>
      <c r="AC130" s="473"/>
      <c r="AF130" s="474"/>
      <c r="AG130" s="475"/>
      <c r="AH130" s="475"/>
      <c r="AI130" s="475"/>
      <c r="AJ130" s="475"/>
      <c r="AK130" s="476"/>
    </row>
    <row r="131" spans="1:37" ht="12.5" thickBot="1">
      <c r="A131" s="485"/>
      <c r="B131" s="486"/>
      <c r="C131" s="487"/>
      <c r="D131" s="486"/>
      <c r="E131" s="487"/>
      <c r="F131" s="486"/>
      <c r="G131" s="487"/>
      <c r="H131" s="486"/>
      <c r="I131" s="487"/>
      <c r="J131" s="486"/>
      <c r="K131" s="487"/>
      <c r="L131" s="486"/>
      <c r="M131" s="487"/>
      <c r="N131" s="486"/>
      <c r="O131" s="487"/>
      <c r="P131" s="486"/>
      <c r="Q131" s="487"/>
      <c r="R131" s="486"/>
      <c r="S131" s="487"/>
      <c r="T131" s="486"/>
      <c r="U131" s="487"/>
      <c r="V131" s="486"/>
      <c r="W131" s="487"/>
      <c r="X131" s="486"/>
      <c r="Y131" s="487"/>
      <c r="Z131" s="486"/>
      <c r="AA131" s="487"/>
      <c r="AB131" s="486"/>
      <c r="AC131" s="487"/>
      <c r="AD131" s="488"/>
      <c r="AE131" s="488"/>
      <c r="AF131" s="489"/>
      <c r="AG131" s="490"/>
      <c r="AH131" s="490"/>
      <c r="AI131" s="490"/>
      <c r="AJ131" s="490"/>
      <c r="AK131" s="491"/>
    </row>
    <row r="132" spans="1:37">
      <c r="A132" s="492"/>
      <c r="B132" s="493" t="s">
        <v>320</v>
      </c>
      <c r="C132" s="448"/>
      <c r="D132" s="493" t="s">
        <v>321</v>
      </c>
      <c r="E132" s="448"/>
      <c r="F132" s="493" t="s">
        <v>322</v>
      </c>
      <c r="G132" s="448"/>
      <c r="H132" s="493" t="s">
        <v>323</v>
      </c>
      <c r="I132" s="493"/>
      <c r="J132" s="493" t="s">
        <v>324</v>
      </c>
      <c r="K132" s="448"/>
      <c r="L132" s="493" t="s">
        <v>325</v>
      </c>
      <c r="M132" s="448"/>
      <c r="N132" s="493" t="s">
        <v>326</v>
      </c>
      <c r="O132" s="448"/>
      <c r="P132" s="493" t="s">
        <v>327</v>
      </c>
      <c r="Q132" s="448"/>
      <c r="R132" s="493" t="s">
        <v>328</v>
      </c>
      <c r="S132" s="448"/>
      <c r="T132" s="493" t="s">
        <v>329</v>
      </c>
      <c r="U132" s="448"/>
      <c r="V132" s="493" t="s">
        <v>333</v>
      </c>
      <c r="W132" s="448"/>
      <c r="X132" s="493" t="s">
        <v>334</v>
      </c>
      <c r="Y132" s="448"/>
      <c r="Z132" s="493" t="s">
        <v>335</v>
      </c>
      <c r="AA132" s="448"/>
      <c r="AB132" s="493" t="s">
        <v>336</v>
      </c>
      <c r="AC132" s="494"/>
      <c r="AD132" s="453"/>
      <c r="AE132" s="453"/>
      <c r="AF132" s="495"/>
      <c r="AG132" s="496"/>
      <c r="AH132" s="496"/>
      <c r="AI132" s="496"/>
      <c r="AJ132" s="496"/>
      <c r="AK132" s="497"/>
    </row>
    <row r="133" spans="1:37">
      <c r="A133" s="467"/>
      <c r="B133" s="472"/>
      <c r="C133" s="481"/>
      <c r="D133" s="472"/>
      <c r="E133" s="481"/>
      <c r="F133" s="472"/>
      <c r="G133" s="481"/>
      <c r="H133" s="472"/>
      <c r="I133" s="498"/>
      <c r="J133" s="472"/>
      <c r="K133" s="499"/>
      <c r="L133" s="472"/>
      <c r="M133" s="450"/>
      <c r="N133" s="472"/>
      <c r="O133" s="473"/>
      <c r="P133" s="472"/>
      <c r="Q133" s="450"/>
      <c r="R133" s="472"/>
      <c r="S133" s="473"/>
      <c r="T133" s="472"/>
      <c r="U133" s="473"/>
      <c r="V133" s="472"/>
      <c r="W133" s="473"/>
      <c r="X133" s="472"/>
      <c r="Y133" s="450"/>
      <c r="Z133" s="472"/>
      <c r="AA133" s="450"/>
      <c r="AB133" s="472"/>
      <c r="AC133" s="473"/>
      <c r="AF133" s="470" t="s">
        <v>1191</v>
      </c>
      <c r="AG133" s="470" t="s">
        <v>354</v>
      </c>
      <c r="AH133" s="470" t="s">
        <v>1192</v>
      </c>
      <c r="AI133" s="470" t="s">
        <v>1193</v>
      </c>
      <c r="AJ133" s="470" t="s">
        <v>303</v>
      </c>
      <c r="AK133" s="471" t="s">
        <v>1194</v>
      </c>
    </row>
    <row r="134" spans="1:37" ht="12.5" thickBot="1">
      <c r="A134" s="467"/>
      <c r="B134" s="444"/>
      <c r="C134" s="473"/>
      <c r="D134" s="444"/>
      <c r="E134" s="473"/>
      <c r="F134" s="444"/>
      <c r="G134" s="473"/>
      <c r="H134" s="444"/>
      <c r="I134" s="473"/>
      <c r="J134" s="444"/>
      <c r="K134" s="473"/>
      <c r="L134" s="444"/>
      <c r="M134" s="473"/>
      <c r="N134" s="444"/>
      <c r="O134" s="473"/>
      <c r="P134" s="444"/>
      <c r="Q134" s="473"/>
      <c r="R134" s="444"/>
      <c r="S134" s="473"/>
      <c r="T134" s="444"/>
      <c r="U134" s="473"/>
      <c r="V134" s="444"/>
      <c r="W134" s="473"/>
      <c r="X134" s="444"/>
      <c r="Y134" s="473"/>
      <c r="Z134" s="444"/>
      <c r="AA134" s="473"/>
      <c r="AB134" s="444"/>
      <c r="AC134" s="473"/>
      <c r="AF134" s="474"/>
      <c r="AG134" s="475"/>
      <c r="AH134" s="475"/>
      <c r="AI134" s="475"/>
      <c r="AJ134" s="475"/>
      <c r="AK134" s="476"/>
    </row>
    <row r="135" spans="1:37" ht="42.75" customHeight="1" thickBot="1">
      <c r="A135" s="467"/>
      <c r="B135" s="446"/>
      <c r="C135" s="477">
        <v>285.31900000000002</v>
      </c>
      <c r="D135" s="446"/>
      <c r="E135" s="477">
        <v>354.7</v>
      </c>
      <c r="F135" s="446"/>
      <c r="G135" s="477">
        <v>420.541</v>
      </c>
      <c r="H135" s="446"/>
      <c r="I135" s="477">
        <v>340.55900000000003</v>
      </c>
      <c r="J135" s="446"/>
      <c r="K135" s="477">
        <v>336.51900000000001</v>
      </c>
      <c r="L135" s="446"/>
      <c r="M135" s="477">
        <v>375.99200000000002</v>
      </c>
      <c r="N135" s="446"/>
      <c r="O135" s="482">
        <v>308.40699999999998</v>
      </c>
      <c r="P135" s="446"/>
      <c r="Q135" s="500">
        <v>444.83800000000002</v>
      </c>
      <c r="R135" s="446"/>
      <c r="S135" s="477">
        <v>392.01600000000002</v>
      </c>
      <c r="T135" s="446"/>
      <c r="U135" s="477">
        <v>407.803</v>
      </c>
      <c r="V135" s="446"/>
      <c r="W135" s="477">
        <v>206.06200000000001</v>
      </c>
      <c r="X135" s="446"/>
      <c r="Y135" s="482">
        <v>417.38400000000001</v>
      </c>
      <c r="Z135" s="446"/>
      <c r="AA135" s="477">
        <v>304.56400000000002</v>
      </c>
      <c r="AB135" s="446"/>
      <c r="AC135" s="482">
        <v>395.50900000000001</v>
      </c>
      <c r="AF135" s="470">
        <v>14</v>
      </c>
      <c r="AG135" s="470"/>
      <c r="AH135" s="470"/>
      <c r="AI135" s="470"/>
      <c r="AJ135" s="470"/>
      <c r="AK135" s="471"/>
    </row>
    <row r="136" spans="1:37" ht="12.5" thickBot="1">
      <c r="A136" s="467"/>
      <c r="B136" s="479"/>
      <c r="C136" s="473"/>
      <c r="D136" s="479"/>
      <c r="E136" s="473"/>
      <c r="F136" s="479"/>
      <c r="G136" s="473"/>
      <c r="H136" s="479"/>
      <c r="I136" s="473"/>
      <c r="J136" s="479"/>
      <c r="K136" s="473"/>
      <c r="L136" s="479"/>
      <c r="M136" s="473"/>
      <c r="N136" s="479"/>
      <c r="O136" s="473"/>
      <c r="P136" s="479"/>
      <c r="Q136" s="473"/>
      <c r="R136" s="479"/>
      <c r="S136" s="473"/>
      <c r="T136" s="479"/>
      <c r="U136" s="473"/>
      <c r="V136" s="479"/>
      <c r="W136" s="473"/>
      <c r="X136" s="479"/>
      <c r="Y136" s="473"/>
      <c r="Z136" s="479"/>
      <c r="AA136" s="473"/>
      <c r="AB136" s="479"/>
      <c r="AC136" s="473"/>
      <c r="AF136" s="474"/>
      <c r="AG136" s="475"/>
      <c r="AH136" s="475"/>
      <c r="AI136" s="475"/>
      <c r="AJ136" s="475"/>
      <c r="AK136" s="476"/>
    </row>
    <row r="137" spans="1:37">
      <c r="A137" s="467"/>
      <c r="B137" s="450" t="s">
        <v>242</v>
      </c>
      <c r="C137" s="450"/>
      <c r="D137" s="450" t="s">
        <v>185</v>
      </c>
      <c r="E137" s="450"/>
      <c r="F137" s="450" t="s">
        <v>117</v>
      </c>
      <c r="G137" s="450"/>
      <c r="H137" s="450" t="s">
        <v>132</v>
      </c>
      <c r="I137" s="450"/>
      <c r="J137" s="450" t="s">
        <v>132</v>
      </c>
      <c r="K137" s="450"/>
      <c r="L137" s="450" t="s">
        <v>182</v>
      </c>
      <c r="M137" s="450"/>
      <c r="N137" s="450" t="s">
        <v>132</v>
      </c>
      <c r="O137" s="450"/>
      <c r="P137" s="450" t="s">
        <v>242</v>
      </c>
      <c r="Q137" s="450"/>
      <c r="R137" s="450" t="s">
        <v>242</v>
      </c>
      <c r="S137" s="450"/>
      <c r="T137" s="450" t="s">
        <v>132</v>
      </c>
      <c r="U137" s="450"/>
      <c r="V137" s="450" t="s">
        <v>132</v>
      </c>
      <c r="W137" s="450"/>
      <c r="X137" s="450" t="s">
        <v>123</v>
      </c>
      <c r="Y137" s="450"/>
      <c r="Z137" s="444" t="s">
        <v>182</v>
      </c>
      <c r="AA137" s="450"/>
      <c r="AB137" s="450" t="s">
        <v>125</v>
      </c>
      <c r="AC137" s="473"/>
      <c r="AF137" s="474"/>
      <c r="AG137" s="475"/>
      <c r="AH137" s="475"/>
      <c r="AI137" s="475"/>
      <c r="AJ137" s="475"/>
      <c r="AK137" s="476"/>
    </row>
    <row r="138" spans="1:37">
      <c r="A138" s="467"/>
      <c r="B138" s="450" t="s">
        <v>1277</v>
      </c>
      <c r="C138" s="450"/>
      <c r="D138" s="450" t="s">
        <v>1277</v>
      </c>
      <c r="E138" s="450"/>
      <c r="F138" s="450" t="s">
        <v>1276</v>
      </c>
      <c r="G138" s="450"/>
      <c r="H138" s="450" t="s">
        <v>1276</v>
      </c>
      <c r="I138" s="450"/>
      <c r="J138" s="450"/>
      <c r="K138" s="450"/>
      <c r="L138" s="450"/>
      <c r="M138" s="450"/>
      <c r="N138" s="450"/>
      <c r="O138" s="450"/>
      <c r="P138" s="450"/>
      <c r="Q138" s="450"/>
      <c r="R138" s="450"/>
      <c r="S138" s="450"/>
      <c r="T138" s="450" t="s">
        <v>1278</v>
      </c>
      <c r="U138" s="450"/>
      <c r="V138" s="450"/>
      <c r="W138" s="450"/>
      <c r="X138" s="450"/>
      <c r="Y138" s="450"/>
      <c r="Z138" s="450"/>
      <c r="AA138" s="450"/>
      <c r="AB138" s="450"/>
      <c r="AC138" s="473"/>
      <c r="AF138" s="474"/>
      <c r="AG138" s="475"/>
      <c r="AH138" s="475"/>
      <c r="AI138" s="475"/>
      <c r="AJ138" s="475"/>
      <c r="AK138" s="476"/>
    </row>
    <row r="139" spans="1:37">
      <c r="A139" s="467"/>
      <c r="C139" s="473"/>
      <c r="E139" s="473"/>
      <c r="G139" s="473"/>
      <c r="I139" s="473"/>
      <c r="K139" s="473"/>
      <c r="M139" s="473"/>
      <c r="O139" s="473"/>
      <c r="Q139" s="473"/>
      <c r="S139" s="473"/>
      <c r="U139" s="473"/>
      <c r="W139" s="473"/>
      <c r="Y139" s="473"/>
      <c r="AA139" s="473"/>
      <c r="AC139" s="473"/>
      <c r="AF139" s="474"/>
      <c r="AG139" s="475"/>
      <c r="AH139" s="475"/>
      <c r="AI139" s="475"/>
      <c r="AJ139" s="475"/>
      <c r="AK139" s="476"/>
    </row>
    <row r="140" spans="1:37">
      <c r="A140" s="467"/>
      <c r="B140" s="468" t="s">
        <v>337</v>
      </c>
      <c r="C140" s="443"/>
      <c r="D140" s="468" t="s">
        <v>338</v>
      </c>
      <c r="E140" s="443"/>
      <c r="F140" s="468" t="s">
        <v>339</v>
      </c>
      <c r="G140" s="449"/>
      <c r="H140" s="468" t="s">
        <v>340</v>
      </c>
      <c r="I140" s="443"/>
      <c r="J140" s="468" t="s">
        <v>281</v>
      </c>
      <c r="K140" s="443"/>
      <c r="L140" s="468" t="s">
        <v>341</v>
      </c>
      <c r="M140" s="443"/>
      <c r="N140" s="468" t="s">
        <v>346</v>
      </c>
      <c r="O140" s="443"/>
      <c r="P140" s="468" t="s">
        <v>347</v>
      </c>
      <c r="Q140" s="443"/>
      <c r="R140" s="468" t="s">
        <v>348</v>
      </c>
      <c r="S140" s="443"/>
      <c r="T140" s="468" t="s">
        <v>282</v>
      </c>
      <c r="U140" s="443"/>
      <c r="V140" s="468" t="s">
        <v>283</v>
      </c>
      <c r="W140" s="443"/>
      <c r="X140" s="468" t="s">
        <v>349</v>
      </c>
      <c r="Y140" s="443"/>
      <c r="Z140" s="468" t="s">
        <v>350</v>
      </c>
      <c r="AA140" s="443"/>
      <c r="AB140" s="468" t="s">
        <v>351</v>
      </c>
      <c r="AC140" s="473"/>
      <c r="AF140" s="474"/>
      <c r="AG140" s="475"/>
      <c r="AH140" s="475"/>
      <c r="AI140" s="475"/>
      <c r="AJ140" s="475"/>
      <c r="AK140" s="476"/>
    </row>
    <row r="141" spans="1:37">
      <c r="A141" s="467"/>
      <c r="B141" s="472"/>
      <c r="C141" s="473"/>
      <c r="D141" s="472"/>
      <c r="E141" s="450"/>
      <c r="F141" s="472"/>
      <c r="G141" s="501"/>
      <c r="H141" s="472"/>
      <c r="I141" s="473"/>
      <c r="J141" s="472"/>
      <c r="K141" s="473"/>
      <c r="L141" s="472"/>
      <c r="M141" s="473"/>
      <c r="N141" s="472"/>
      <c r="O141" s="473"/>
      <c r="P141" s="472"/>
      <c r="Q141" s="502"/>
      <c r="R141" s="472"/>
      <c r="S141" s="473"/>
      <c r="T141" s="472"/>
      <c r="U141" s="473"/>
      <c r="V141" s="472"/>
      <c r="W141" s="473"/>
      <c r="X141" s="472"/>
      <c r="Y141" s="473"/>
      <c r="Z141" s="472"/>
      <c r="AA141" s="473"/>
      <c r="AB141" s="472"/>
      <c r="AC141" s="473"/>
      <c r="AF141" s="470" t="s">
        <v>1191</v>
      </c>
      <c r="AG141" s="470" t="s">
        <v>354</v>
      </c>
      <c r="AH141" s="470" t="s">
        <v>1192</v>
      </c>
      <c r="AI141" s="470" t="s">
        <v>1193</v>
      </c>
      <c r="AJ141" s="470" t="s">
        <v>303</v>
      </c>
      <c r="AK141" s="471" t="s">
        <v>1194</v>
      </c>
    </row>
    <row r="142" spans="1:37" ht="12.5" thickBot="1">
      <c r="A142" s="467"/>
      <c r="B142" s="444"/>
      <c r="C142" s="473"/>
      <c r="D142" s="444"/>
      <c r="E142" s="473"/>
      <c r="F142" s="444"/>
      <c r="G142" s="473"/>
      <c r="H142" s="444"/>
      <c r="I142" s="473"/>
      <c r="J142" s="444"/>
      <c r="K142" s="473"/>
      <c r="L142" s="444"/>
      <c r="M142" s="473"/>
      <c r="N142" s="444"/>
      <c r="O142" s="473"/>
      <c r="P142" s="444"/>
      <c r="Q142" s="473"/>
      <c r="R142" s="444"/>
      <c r="S142" s="473"/>
      <c r="T142" s="444"/>
      <c r="U142" s="473"/>
      <c r="V142" s="444"/>
      <c r="W142" s="473"/>
      <c r="X142" s="444"/>
      <c r="Y142" s="473"/>
      <c r="Z142" s="444"/>
      <c r="AA142" s="473"/>
      <c r="AB142" s="444"/>
      <c r="AC142" s="473"/>
      <c r="AF142" s="474"/>
      <c r="AG142" s="475"/>
      <c r="AH142" s="475"/>
      <c r="AI142" s="475"/>
      <c r="AJ142" s="475"/>
      <c r="AK142" s="476"/>
    </row>
    <row r="143" spans="1:37" ht="42.75" customHeight="1" thickBot="1">
      <c r="A143" s="467"/>
      <c r="B143" s="446"/>
      <c r="C143" s="477">
        <v>431.017</v>
      </c>
      <c r="D143" s="446"/>
      <c r="E143" s="477">
        <v>403.42599999999999</v>
      </c>
      <c r="F143" s="446"/>
      <c r="G143" s="477">
        <v>420.35700000000003</v>
      </c>
      <c r="H143" s="446"/>
      <c r="I143" s="477">
        <v>446.37</v>
      </c>
      <c r="J143" s="446"/>
      <c r="K143" s="477">
        <v>297.577</v>
      </c>
      <c r="L143" s="446"/>
      <c r="M143" s="477">
        <v>240.47300000000001</v>
      </c>
      <c r="N143" s="446"/>
      <c r="O143" s="477">
        <v>312.68700000000001</v>
      </c>
      <c r="P143" s="446"/>
      <c r="Q143" s="477">
        <v>347.88400000000001</v>
      </c>
      <c r="R143" s="446"/>
      <c r="S143" s="477">
        <v>379.24900000000002</v>
      </c>
      <c r="T143" s="447"/>
      <c r="U143" s="477">
        <v>398.697</v>
      </c>
      <c r="V143" s="447"/>
      <c r="W143" s="477">
        <v>439.06200000000001</v>
      </c>
      <c r="X143" s="446"/>
      <c r="Y143" s="482">
        <v>360.21</v>
      </c>
      <c r="Z143" s="446"/>
      <c r="AA143" s="477">
        <v>399.57900000000001</v>
      </c>
      <c r="AB143" s="446"/>
      <c r="AC143" s="477">
        <v>364</v>
      </c>
      <c r="AF143" s="470">
        <v>14</v>
      </c>
      <c r="AG143" s="470"/>
      <c r="AH143" s="470"/>
      <c r="AI143" s="470"/>
      <c r="AJ143" s="470"/>
      <c r="AK143" s="471"/>
    </row>
    <row r="144" spans="1:37" ht="14.25" customHeight="1" thickBot="1">
      <c r="A144" s="467"/>
      <c r="B144" s="479"/>
      <c r="C144" s="473"/>
      <c r="D144" s="479"/>
      <c r="E144" s="473"/>
      <c r="F144" s="479"/>
      <c r="G144" s="473"/>
      <c r="H144" s="479"/>
      <c r="I144" s="473"/>
      <c r="J144" s="479"/>
      <c r="K144" s="473"/>
      <c r="L144" s="479"/>
      <c r="M144" s="473"/>
      <c r="N144" s="479"/>
      <c r="O144" s="473"/>
      <c r="P144" s="479"/>
      <c r="Q144" s="473"/>
      <c r="R144" s="479"/>
      <c r="S144" s="473"/>
      <c r="T144" s="479"/>
      <c r="U144" s="473"/>
      <c r="V144" s="479"/>
      <c r="W144" s="473"/>
      <c r="X144" s="479"/>
      <c r="Y144" s="473"/>
      <c r="Z144" s="479"/>
      <c r="AA144" s="473"/>
      <c r="AB144" s="479"/>
      <c r="AC144" s="473"/>
      <c r="AF144" s="474"/>
      <c r="AG144" s="475"/>
      <c r="AH144" s="475"/>
      <c r="AI144" s="475"/>
      <c r="AJ144" s="475"/>
      <c r="AK144" s="476"/>
    </row>
    <row r="145" spans="1:37">
      <c r="A145" s="467"/>
      <c r="B145" s="503" t="s">
        <v>248</v>
      </c>
      <c r="C145" s="450"/>
      <c r="D145" s="455" t="s">
        <v>185</v>
      </c>
      <c r="E145" s="450"/>
      <c r="F145" s="503" t="s">
        <v>248</v>
      </c>
      <c r="G145" s="450"/>
      <c r="H145" s="503" t="s">
        <v>115</v>
      </c>
      <c r="I145" s="450"/>
      <c r="J145" s="503" t="s">
        <v>248</v>
      </c>
      <c r="K145" s="450"/>
      <c r="L145" s="503" t="s">
        <v>119</v>
      </c>
      <c r="M145" s="450"/>
      <c r="N145" s="503" t="s">
        <v>182</v>
      </c>
      <c r="O145" s="450"/>
      <c r="P145" s="503" t="s">
        <v>182</v>
      </c>
      <c r="Q145" s="450"/>
      <c r="R145" s="503" t="s">
        <v>248</v>
      </c>
      <c r="S145" s="450"/>
      <c r="T145" s="503" t="s">
        <v>242</v>
      </c>
      <c r="U145" s="450"/>
      <c r="V145" s="503" t="s">
        <v>242</v>
      </c>
      <c r="W145" s="450"/>
      <c r="X145" s="503" t="s">
        <v>115</v>
      </c>
      <c r="Y145" s="450"/>
      <c r="Z145" s="503" t="s">
        <v>182</v>
      </c>
      <c r="AA145" s="450"/>
      <c r="AB145" s="503" t="s">
        <v>123</v>
      </c>
      <c r="AC145" s="473"/>
      <c r="AF145" s="474"/>
      <c r="AG145" s="475"/>
      <c r="AH145" s="475"/>
      <c r="AI145" s="475"/>
      <c r="AJ145" s="475"/>
      <c r="AK145" s="476"/>
    </row>
    <row r="146" spans="1:37">
      <c r="A146" s="467"/>
      <c r="B146" s="503"/>
      <c r="C146" s="450"/>
      <c r="E146" s="450"/>
      <c r="F146" s="503" t="s">
        <v>1276</v>
      </c>
      <c r="G146" s="450"/>
      <c r="H146" s="503"/>
      <c r="I146" s="450"/>
      <c r="J146" s="503"/>
      <c r="K146" s="450"/>
      <c r="L146" s="503"/>
      <c r="M146" s="450"/>
      <c r="N146" s="503" t="s">
        <v>1277</v>
      </c>
      <c r="O146" s="450"/>
      <c r="P146" s="503"/>
      <c r="Q146" s="450"/>
      <c r="R146" s="503" t="s">
        <v>1276</v>
      </c>
      <c r="S146" s="450"/>
      <c r="T146" s="503"/>
      <c r="U146" s="450"/>
      <c r="V146" s="503"/>
      <c r="W146" s="450"/>
      <c r="X146" s="503"/>
      <c r="Y146" s="450"/>
      <c r="Z146" s="503"/>
      <c r="AA146" s="450"/>
      <c r="AB146" s="503" t="s">
        <v>1277</v>
      </c>
      <c r="AC146" s="473"/>
      <c r="AF146" s="474"/>
      <c r="AG146" s="475"/>
      <c r="AH146" s="475"/>
      <c r="AI146" s="475"/>
      <c r="AJ146" s="475"/>
      <c r="AK146" s="476"/>
    </row>
    <row r="147" spans="1:37">
      <c r="A147" s="467"/>
      <c r="B147" s="503"/>
      <c r="C147" s="473"/>
      <c r="D147" s="503"/>
      <c r="E147" s="473"/>
      <c r="F147" s="503"/>
      <c r="G147" s="473"/>
      <c r="H147" s="503"/>
      <c r="I147" s="473"/>
      <c r="J147" s="503"/>
      <c r="K147" s="473"/>
      <c r="L147" s="503"/>
      <c r="M147" s="473"/>
      <c r="N147" s="503"/>
      <c r="O147" s="473"/>
      <c r="P147" s="503"/>
      <c r="Q147" s="473"/>
      <c r="R147" s="503"/>
      <c r="S147" s="473"/>
      <c r="T147" s="503"/>
      <c r="U147" s="473"/>
      <c r="V147" s="503"/>
      <c r="W147" s="473"/>
      <c r="X147" s="503"/>
      <c r="Y147" s="473"/>
      <c r="Z147" s="503"/>
      <c r="AA147" s="473"/>
      <c r="AB147" s="503"/>
      <c r="AC147" s="473"/>
      <c r="AF147" s="474"/>
      <c r="AG147" s="475"/>
      <c r="AH147" s="475"/>
      <c r="AI147" s="475"/>
      <c r="AJ147" s="475"/>
      <c r="AK147" s="476"/>
    </row>
    <row r="148" spans="1:37">
      <c r="A148" s="467"/>
      <c r="B148" s="468" t="s">
        <v>352</v>
      </c>
      <c r="C148" s="443"/>
      <c r="D148" s="468" t="s">
        <v>353</v>
      </c>
      <c r="E148" s="443"/>
      <c r="F148" s="468" t="s">
        <v>274</v>
      </c>
      <c r="G148" s="443"/>
      <c r="H148" s="468" t="s">
        <v>275</v>
      </c>
      <c r="I148" s="443"/>
      <c r="J148" s="468" t="s">
        <v>355</v>
      </c>
      <c r="K148" s="443"/>
      <c r="L148" s="468" t="s">
        <v>284</v>
      </c>
      <c r="M148" s="443"/>
      <c r="N148" s="468" t="s">
        <v>285</v>
      </c>
      <c r="O148" s="443"/>
      <c r="P148" s="468" t="s">
        <v>705</v>
      </c>
      <c r="Q148" s="443"/>
      <c r="R148" s="468" t="s">
        <v>357</v>
      </c>
      <c r="S148" s="443"/>
      <c r="T148" s="468" t="s">
        <v>706</v>
      </c>
      <c r="U148" s="443"/>
      <c r="V148" s="468" t="s">
        <v>247</v>
      </c>
      <c r="W148" s="443"/>
      <c r="X148" s="468" t="s">
        <v>260</v>
      </c>
      <c r="Y148" s="443"/>
      <c r="Z148" s="468" t="s">
        <v>261</v>
      </c>
      <c r="AA148" s="443"/>
      <c r="AB148" s="468" t="s">
        <v>286</v>
      </c>
      <c r="AC148" s="473"/>
      <c r="AF148" s="474"/>
      <c r="AG148" s="475"/>
      <c r="AH148" s="475"/>
      <c r="AI148" s="475"/>
      <c r="AJ148" s="475"/>
      <c r="AK148" s="476"/>
    </row>
    <row r="149" spans="1:37">
      <c r="A149" s="467"/>
      <c r="B149" s="472"/>
      <c r="C149" s="473"/>
      <c r="D149" s="472"/>
      <c r="E149" s="473"/>
      <c r="F149" s="472"/>
      <c r="G149" s="473"/>
      <c r="H149" s="472"/>
      <c r="I149" s="481"/>
      <c r="J149" s="472"/>
      <c r="K149" s="450"/>
      <c r="L149" s="472"/>
      <c r="M149" s="473"/>
      <c r="N149" s="472"/>
      <c r="O149" s="473"/>
      <c r="P149" s="472"/>
      <c r="Q149" s="450"/>
      <c r="R149" s="472"/>
      <c r="S149" s="481"/>
      <c r="T149" s="472"/>
      <c r="U149" s="473"/>
      <c r="V149" s="472"/>
      <c r="W149" s="473"/>
      <c r="X149" s="472"/>
      <c r="Y149" s="477"/>
      <c r="Z149" s="472"/>
      <c r="AA149" s="450"/>
      <c r="AB149" s="472"/>
      <c r="AC149" s="473"/>
      <c r="AF149" s="470" t="s">
        <v>1191</v>
      </c>
      <c r="AG149" s="470" t="s">
        <v>354</v>
      </c>
      <c r="AH149" s="470" t="s">
        <v>1192</v>
      </c>
      <c r="AI149" s="470" t="s">
        <v>1193</v>
      </c>
      <c r="AJ149" s="470" t="s">
        <v>303</v>
      </c>
      <c r="AK149" s="471" t="s">
        <v>1194</v>
      </c>
    </row>
    <row r="150" spans="1:37" ht="12.5" thickBot="1">
      <c r="A150" s="467"/>
      <c r="B150" s="444"/>
      <c r="C150" s="473"/>
      <c r="D150" s="444"/>
      <c r="E150" s="473"/>
      <c r="F150" s="444"/>
      <c r="G150" s="473"/>
      <c r="H150" s="444"/>
      <c r="I150" s="473"/>
      <c r="J150" s="444"/>
      <c r="K150" s="473"/>
      <c r="L150" s="444"/>
      <c r="M150" s="473"/>
      <c r="N150" s="444"/>
      <c r="O150" s="473"/>
      <c r="P150" s="444"/>
      <c r="Q150" s="473"/>
      <c r="R150" s="444"/>
      <c r="S150" s="473"/>
      <c r="T150" s="444"/>
      <c r="U150" s="473"/>
      <c r="V150" s="444"/>
      <c r="W150" s="473"/>
      <c r="X150" s="444"/>
      <c r="Y150" s="473"/>
      <c r="Z150" s="444"/>
      <c r="AA150" s="473"/>
      <c r="AB150" s="444"/>
      <c r="AC150" s="473"/>
      <c r="AF150" s="474"/>
      <c r="AG150" s="475"/>
      <c r="AH150" s="475"/>
      <c r="AI150" s="475"/>
      <c r="AJ150" s="475"/>
      <c r="AK150" s="476"/>
    </row>
    <row r="151" spans="1:37" ht="42" customHeight="1" thickBot="1">
      <c r="A151" s="467"/>
      <c r="B151" s="446"/>
      <c r="C151" s="477">
        <v>442</v>
      </c>
      <c r="D151" s="446"/>
      <c r="E151" s="477">
        <v>397</v>
      </c>
      <c r="F151" s="447"/>
      <c r="G151" s="477">
        <v>395</v>
      </c>
      <c r="H151" s="447"/>
      <c r="I151" s="477">
        <v>432</v>
      </c>
      <c r="J151" s="447"/>
      <c r="K151" s="477">
        <v>408</v>
      </c>
      <c r="L151" s="447"/>
      <c r="M151" s="477">
        <v>426</v>
      </c>
      <c r="N151" s="447"/>
      <c r="O151" s="477">
        <v>392.95400000000001</v>
      </c>
      <c r="P151" s="446"/>
      <c r="Q151" s="477">
        <v>431.95699999999999</v>
      </c>
      <c r="R151" s="446"/>
      <c r="S151" s="477">
        <v>426.02</v>
      </c>
      <c r="T151" s="446"/>
      <c r="U151" s="477">
        <v>401</v>
      </c>
      <c r="V151" s="447"/>
      <c r="W151" s="477">
        <v>437</v>
      </c>
      <c r="X151" s="447"/>
      <c r="Y151" s="482">
        <v>402</v>
      </c>
      <c r="Z151" s="447"/>
      <c r="AA151" s="477">
        <v>436</v>
      </c>
      <c r="AB151" s="446"/>
      <c r="AC151" s="482">
        <v>392.28300000000002</v>
      </c>
      <c r="AF151" s="470">
        <v>14</v>
      </c>
      <c r="AG151" s="470">
        <v>8</v>
      </c>
      <c r="AH151" s="470">
        <v>2</v>
      </c>
      <c r="AI151" s="470"/>
      <c r="AJ151" s="470"/>
      <c r="AK151" s="471"/>
    </row>
    <row r="152" spans="1:37" ht="12.5" thickBot="1">
      <c r="A152" s="467"/>
      <c r="B152" s="479"/>
      <c r="C152" s="473"/>
      <c r="D152" s="479"/>
      <c r="E152" s="473"/>
      <c r="F152" s="479"/>
      <c r="G152" s="473"/>
      <c r="H152" s="479"/>
      <c r="I152" s="473"/>
      <c r="J152" s="479"/>
      <c r="K152" s="473"/>
      <c r="L152" s="479"/>
      <c r="M152" s="473"/>
      <c r="N152" s="479"/>
      <c r="O152" s="473"/>
      <c r="P152" s="479"/>
      <c r="Q152" s="473"/>
      <c r="R152" s="479"/>
      <c r="S152" s="473"/>
      <c r="T152" s="479"/>
      <c r="U152" s="473"/>
      <c r="V152" s="479"/>
      <c r="W152" s="473"/>
      <c r="X152" s="479"/>
      <c r="Y152" s="473"/>
      <c r="Z152" s="479"/>
      <c r="AA152" s="473"/>
      <c r="AB152" s="479"/>
      <c r="AC152" s="473"/>
      <c r="AF152" s="474"/>
      <c r="AG152" s="475"/>
      <c r="AH152" s="475"/>
      <c r="AI152" s="475"/>
      <c r="AJ152" s="475"/>
      <c r="AK152" s="476"/>
    </row>
    <row r="153" spans="1:37">
      <c r="A153" s="467"/>
      <c r="B153" s="450" t="s">
        <v>248</v>
      </c>
      <c r="C153" s="450"/>
      <c r="D153" s="450" t="s">
        <v>248</v>
      </c>
      <c r="E153" s="450"/>
      <c r="F153" s="450" t="s">
        <v>248</v>
      </c>
      <c r="G153" s="450"/>
      <c r="H153" s="450" t="s">
        <v>248</v>
      </c>
      <c r="I153" s="450"/>
      <c r="J153" s="450" t="s">
        <v>248</v>
      </c>
      <c r="K153" s="450"/>
      <c r="L153" s="450" t="s">
        <v>185</v>
      </c>
      <c r="M153" s="450"/>
      <c r="N153" s="450" t="s">
        <v>185</v>
      </c>
      <c r="O153" s="450"/>
      <c r="P153" s="450" t="s">
        <v>125</v>
      </c>
      <c r="Q153" s="450"/>
      <c r="R153" s="450" t="s">
        <v>132</v>
      </c>
      <c r="S153" s="450"/>
      <c r="T153" s="450" t="s">
        <v>125</v>
      </c>
      <c r="U153" s="450"/>
      <c r="V153" s="450" t="s">
        <v>248</v>
      </c>
      <c r="W153" s="450"/>
      <c r="X153" s="450" t="s">
        <v>182</v>
      </c>
      <c r="Y153" s="450"/>
      <c r="Z153" s="450" t="s">
        <v>185</v>
      </c>
      <c r="AA153" s="450"/>
      <c r="AB153" s="450" t="s">
        <v>248</v>
      </c>
      <c r="AC153" s="473"/>
      <c r="AF153" s="474"/>
      <c r="AG153" s="475"/>
      <c r="AH153" s="475"/>
      <c r="AI153" s="475"/>
      <c r="AJ153" s="475"/>
      <c r="AK153" s="476"/>
    </row>
    <row r="154" spans="1:37">
      <c r="A154" s="467"/>
      <c r="B154" s="450" t="s">
        <v>1276</v>
      </c>
      <c r="C154" s="450"/>
      <c r="D154" s="450" t="s">
        <v>1277</v>
      </c>
      <c r="E154" s="450"/>
      <c r="F154" s="450"/>
      <c r="G154" s="450"/>
      <c r="H154" s="450"/>
      <c r="I154" s="450"/>
      <c r="J154" s="450"/>
      <c r="K154" s="450"/>
      <c r="L154" s="450"/>
      <c r="M154" s="450"/>
      <c r="N154" s="450"/>
      <c r="O154" s="450"/>
      <c r="P154" s="450"/>
      <c r="Q154" s="450"/>
      <c r="R154" s="450"/>
      <c r="S154" s="450"/>
      <c r="T154" s="450" t="s">
        <v>1277</v>
      </c>
      <c r="U154" s="450"/>
      <c r="V154" s="450"/>
      <c r="W154" s="450"/>
      <c r="X154" s="450"/>
      <c r="Y154" s="450"/>
      <c r="Z154" s="450"/>
      <c r="AA154" s="450"/>
      <c r="AB154" s="450"/>
      <c r="AC154" s="473"/>
      <c r="AF154" s="474"/>
      <c r="AG154" s="475"/>
      <c r="AH154" s="475"/>
      <c r="AI154" s="475"/>
      <c r="AJ154" s="475"/>
      <c r="AK154" s="476"/>
    </row>
    <row r="155" spans="1:37">
      <c r="A155" s="467"/>
      <c r="C155" s="473"/>
      <c r="E155" s="473"/>
      <c r="G155" s="473"/>
      <c r="I155" s="473"/>
      <c r="K155" s="473"/>
      <c r="M155" s="473"/>
      <c r="N155" s="468"/>
      <c r="O155" s="473"/>
      <c r="Q155" s="473"/>
      <c r="S155" s="473"/>
      <c r="U155" s="473"/>
      <c r="W155" s="473"/>
      <c r="Y155" s="473"/>
      <c r="AA155" s="473"/>
      <c r="AC155" s="473"/>
      <c r="AF155" s="474"/>
      <c r="AG155" s="475"/>
      <c r="AH155" s="475"/>
      <c r="AI155" s="475"/>
      <c r="AJ155" s="475"/>
      <c r="AK155" s="476"/>
    </row>
    <row r="156" spans="1:37">
      <c r="A156" s="467"/>
      <c r="B156" s="468" t="s">
        <v>707</v>
      </c>
      <c r="C156" s="443"/>
      <c r="D156" s="468" t="s">
        <v>359</v>
      </c>
      <c r="E156" s="443"/>
      <c r="F156" s="468" t="s">
        <v>360</v>
      </c>
      <c r="G156" s="443"/>
      <c r="H156" s="468" t="s">
        <v>361</v>
      </c>
      <c r="I156" s="443"/>
      <c r="J156" s="468" t="s">
        <v>362</v>
      </c>
      <c r="K156" s="443"/>
      <c r="L156" s="468" t="s">
        <v>363</v>
      </c>
      <c r="M156" s="443"/>
      <c r="N156" s="468" t="s">
        <v>364</v>
      </c>
      <c r="O156" s="443"/>
      <c r="P156" s="468" t="s">
        <v>365</v>
      </c>
      <c r="Q156" s="443"/>
      <c r="R156" s="468" t="s">
        <v>711</v>
      </c>
      <c r="S156" s="443"/>
      <c r="T156" s="468" t="s">
        <v>367</v>
      </c>
      <c r="U156" s="443"/>
      <c r="V156" s="468" t="s">
        <v>287</v>
      </c>
      <c r="W156" s="443"/>
      <c r="X156" s="468" t="s">
        <v>368</v>
      </c>
      <c r="Y156" s="443"/>
      <c r="Z156" s="468" t="s">
        <v>369</v>
      </c>
      <c r="AA156" s="468"/>
      <c r="AB156" s="504" t="s">
        <v>370</v>
      </c>
      <c r="AC156" s="473"/>
      <c r="AF156" s="474"/>
      <c r="AG156" s="475"/>
      <c r="AH156" s="475"/>
      <c r="AI156" s="475"/>
      <c r="AJ156" s="475"/>
      <c r="AK156" s="476"/>
    </row>
    <row r="157" spans="1:37">
      <c r="A157" s="467"/>
      <c r="B157" s="472"/>
      <c r="C157" s="473"/>
      <c r="D157" s="472"/>
      <c r="E157" s="473"/>
      <c r="F157" s="472"/>
      <c r="G157" s="473"/>
      <c r="H157" s="472"/>
      <c r="I157" s="473"/>
      <c r="J157" s="472"/>
      <c r="K157" s="473"/>
      <c r="L157" s="472"/>
      <c r="M157" s="473"/>
      <c r="N157" s="472"/>
      <c r="O157" s="473"/>
      <c r="P157" s="472"/>
      <c r="Q157" s="473"/>
      <c r="R157" s="472"/>
      <c r="S157" s="473"/>
      <c r="T157" s="472"/>
      <c r="U157" s="473"/>
      <c r="V157" s="472"/>
      <c r="W157" s="473"/>
      <c r="X157" s="472"/>
      <c r="Y157" s="473"/>
      <c r="Z157" s="472"/>
      <c r="AA157" s="473"/>
      <c r="AB157" s="472"/>
      <c r="AC157" s="473"/>
      <c r="AF157" s="470" t="s">
        <v>1191</v>
      </c>
      <c r="AG157" s="470" t="s">
        <v>354</v>
      </c>
      <c r="AH157" s="470" t="s">
        <v>1192</v>
      </c>
      <c r="AI157" s="470" t="s">
        <v>1193</v>
      </c>
      <c r="AJ157" s="470" t="s">
        <v>303</v>
      </c>
      <c r="AK157" s="471" t="s">
        <v>1194</v>
      </c>
    </row>
    <row r="158" spans="1:37" ht="12.5" thickBot="1">
      <c r="A158" s="467"/>
      <c r="B158" s="444"/>
      <c r="C158" s="473"/>
      <c r="D158" s="444"/>
      <c r="E158" s="473"/>
      <c r="F158" s="444"/>
      <c r="G158" s="473"/>
      <c r="H158" s="444"/>
      <c r="I158" s="473"/>
      <c r="J158" s="444"/>
      <c r="K158" s="473"/>
      <c r="L158" s="444"/>
      <c r="M158" s="473"/>
      <c r="N158" s="444"/>
      <c r="O158" s="473"/>
      <c r="P158" s="444"/>
      <c r="Q158" s="473"/>
      <c r="R158" s="444"/>
      <c r="S158" s="473"/>
      <c r="T158" s="444"/>
      <c r="U158" s="473"/>
      <c r="V158" s="444"/>
      <c r="W158" s="473"/>
      <c r="X158" s="444"/>
      <c r="Y158" s="473"/>
      <c r="Z158" s="444"/>
      <c r="AA158" s="473"/>
      <c r="AB158" s="444"/>
      <c r="AC158" s="473"/>
      <c r="AF158" s="474"/>
      <c r="AG158" s="475"/>
      <c r="AH158" s="475"/>
      <c r="AI158" s="475"/>
      <c r="AJ158" s="475"/>
      <c r="AK158" s="476"/>
    </row>
    <row r="159" spans="1:37" ht="42.75" customHeight="1" thickBot="1">
      <c r="A159" s="467"/>
      <c r="B159" s="446"/>
      <c r="C159" s="477">
        <v>402.5</v>
      </c>
      <c r="D159" s="446"/>
      <c r="E159" s="477">
        <v>411.55700000000002</v>
      </c>
      <c r="F159" s="446"/>
      <c r="G159" s="477">
        <v>438.46100000000001</v>
      </c>
      <c r="H159" s="446"/>
      <c r="I159" s="477">
        <v>410.35599999999999</v>
      </c>
      <c r="J159" s="446"/>
      <c r="K159" s="477">
        <v>379.755</v>
      </c>
      <c r="L159" s="446"/>
      <c r="M159" s="477">
        <v>396.947</v>
      </c>
      <c r="N159" s="446"/>
      <c r="O159" s="477">
        <v>414.59399999999999</v>
      </c>
      <c r="P159" s="446"/>
      <c r="Q159" s="477">
        <v>352.99400000000003</v>
      </c>
      <c r="R159" s="446"/>
      <c r="S159" s="477">
        <v>389.303</v>
      </c>
      <c r="T159" s="446"/>
      <c r="U159" s="477">
        <v>237.59</v>
      </c>
      <c r="V159" s="447"/>
      <c r="W159" s="477">
        <v>290.87700000000001</v>
      </c>
      <c r="X159" s="446"/>
      <c r="Y159" s="482">
        <v>345.60500000000002</v>
      </c>
      <c r="Z159" s="446"/>
      <c r="AA159" s="477">
        <v>318.63</v>
      </c>
      <c r="AB159" s="446"/>
      <c r="AC159" s="477">
        <v>307.017</v>
      </c>
      <c r="AF159" s="470">
        <v>14</v>
      </c>
      <c r="AG159" s="470"/>
      <c r="AH159" s="470"/>
      <c r="AI159" s="470"/>
      <c r="AJ159" s="470"/>
      <c r="AK159" s="471"/>
    </row>
    <row r="160" spans="1:37" ht="12.5" thickBot="1">
      <c r="A160" s="467"/>
      <c r="B160" s="479"/>
      <c r="C160" s="505"/>
      <c r="D160" s="479"/>
      <c r="E160" s="505"/>
      <c r="F160" s="479"/>
      <c r="G160" s="473"/>
      <c r="H160" s="479"/>
      <c r="I160" s="473"/>
      <c r="J160" s="479"/>
      <c r="K160" s="473"/>
      <c r="L160" s="479"/>
      <c r="M160" s="505"/>
      <c r="N160" s="479"/>
      <c r="O160" s="505"/>
      <c r="P160" s="479"/>
      <c r="Q160" s="505"/>
      <c r="R160" s="479"/>
      <c r="S160" s="505"/>
      <c r="T160" s="479"/>
      <c r="U160" s="505"/>
      <c r="V160" s="479"/>
      <c r="W160" s="505"/>
      <c r="X160" s="479"/>
      <c r="Y160" s="473"/>
      <c r="Z160" s="479"/>
      <c r="AA160" s="473"/>
      <c r="AB160" s="479"/>
      <c r="AC160" s="473"/>
      <c r="AF160" s="474"/>
      <c r="AG160" s="475"/>
      <c r="AH160" s="475"/>
      <c r="AI160" s="475"/>
      <c r="AJ160" s="475"/>
      <c r="AK160" s="476"/>
    </row>
    <row r="161" spans="1:37">
      <c r="A161" s="467"/>
      <c r="B161" s="450" t="s">
        <v>128</v>
      </c>
      <c r="C161" s="450"/>
      <c r="D161" s="450" t="s">
        <v>242</v>
      </c>
      <c r="E161" s="450"/>
      <c r="F161" s="450" t="s">
        <v>119</v>
      </c>
      <c r="G161" s="450"/>
      <c r="H161" s="450" t="s">
        <v>132</v>
      </c>
      <c r="I161" s="450"/>
      <c r="J161" s="450" t="s">
        <v>143</v>
      </c>
      <c r="K161" s="450"/>
      <c r="L161" s="450" t="s">
        <v>242</v>
      </c>
      <c r="M161" s="450"/>
      <c r="N161" s="450" t="s">
        <v>182</v>
      </c>
      <c r="O161" s="450"/>
      <c r="P161" s="450" t="s">
        <v>182</v>
      </c>
      <c r="Q161" s="450"/>
      <c r="R161" s="450" t="s">
        <v>125</v>
      </c>
      <c r="S161" s="450"/>
      <c r="T161" s="450" t="s">
        <v>119</v>
      </c>
      <c r="U161" s="450"/>
      <c r="V161" s="450" t="s">
        <v>248</v>
      </c>
      <c r="W161" s="450"/>
      <c r="X161" s="450" t="s">
        <v>182</v>
      </c>
      <c r="Y161" s="450"/>
      <c r="Z161" s="450" t="s">
        <v>182</v>
      </c>
      <c r="AA161" s="450"/>
      <c r="AB161" s="450" t="s">
        <v>125</v>
      </c>
      <c r="AC161" s="473"/>
      <c r="AF161" s="474"/>
      <c r="AG161" s="475"/>
      <c r="AH161" s="475"/>
      <c r="AI161" s="475"/>
      <c r="AJ161" s="475"/>
      <c r="AK161" s="476"/>
    </row>
    <row r="162" spans="1:37">
      <c r="A162" s="467"/>
      <c r="B162" s="450" t="s">
        <v>1277</v>
      </c>
      <c r="C162" s="450"/>
      <c r="D162" s="450"/>
      <c r="E162" s="450"/>
      <c r="F162" s="450"/>
      <c r="G162" s="450"/>
      <c r="H162" s="450"/>
      <c r="I162" s="450"/>
      <c r="J162" s="450"/>
      <c r="K162" s="450"/>
      <c r="L162" s="450"/>
      <c r="M162" s="450"/>
      <c r="N162" s="450"/>
      <c r="O162" s="450"/>
      <c r="P162" s="450" t="s">
        <v>1277</v>
      </c>
      <c r="Q162" s="450"/>
      <c r="R162" s="450"/>
      <c r="S162" s="450"/>
      <c r="T162" s="450"/>
      <c r="U162" s="450"/>
      <c r="V162" s="450"/>
      <c r="W162" s="450"/>
      <c r="X162" s="450"/>
      <c r="Y162" s="450"/>
      <c r="Z162" s="450" t="s">
        <v>1277</v>
      </c>
      <c r="AA162" s="450"/>
      <c r="AB162" s="450" t="s">
        <v>1278</v>
      </c>
      <c r="AC162" s="473"/>
      <c r="AF162" s="474"/>
      <c r="AG162" s="475"/>
      <c r="AH162" s="475"/>
      <c r="AI162" s="475"/>
      <c r="AJ162" s="475"/>
      <c r="AK162" s="476"/>
    </row>
    <row r="163" spans="1:37">
      <c r="A163" s="467"/>
      <c r="C163" s="473"/>
      <c r="E163" s="473"/>
      <c r="G163" s="473"/>
      <c r="I163" s="473"/>
      <c r="K163" s="473"/>
      <c r="M163" s="473"/>
      <c r="O163" s="473"/>
      <c r="Q163" s="473"/>
      <c r="S163" s="473"/>
      <c r="U163" s="473"/>
      <c r="W163" s="473"/>
      <c r="Y163" s="473"/>
      <c r="AA163" s="473"/>
      <c r="AC163" s="473"/>
      <c r="AF163" s="474"/>
      <c r="AG163" s="475"/>
      <c r="AH163" s="475"/>
      <c r="AI163" s="475"/>
      <c r="AJ163" s="475"/>
      <c r="AK163" s="476"/>
    </row>
    <row r="164" spans="1:37">
      <c r="A164" s="467"/>
      <c r="B164" s="468" t="s">
        <v>371</v>
      </c>
      <c r="C164" s="443"/>
      <c r="D164" s="468" t="s">
        <v>372</v>
      </c>
      <c r="E164" s="443"/>
      <c r="F164" s="468" t="s">
        <v>373</v>
      </c>
      <c r="G164" s="443"/>
      <c r="H164" s="468" t="s">
        <v>288</v>
      </c>
      <c r="I164" s="443"/>
      <c r="J164" s="468" t="s">
        <v>259</v>
      </c>
      <c r="K164" s="443"/>
      <c r="L164" s="468" t="s">
        <v>251</v>
      </c>
      <c r="M164" s="443"/>
      <c r="N164" s="468" t="s">
        <v>377</v>
      </c>
      <c r="O164" s="443"/>
      <c r="P164" s="468" t="s">
        <v>297</v>
      </c>
      <c r="Q164" s="443"/>
      <c r="R164" s="468" t="s">
        <v>378</v>
      </c>
      <c r="S164" s="443"/>
      <c r="T164" s="468" t="s">
        <v>236</v>
      </c>
      <c r="U164" s="443"/>
      <c r="V164" s="468" t="s">
        <v>237</v>
      </c>
      <c r="W164" s="443"/>
      <c r="X164" s="468" t="s">
        <v>214</v>
      </c>
      <c r="Y164" s="443"/>
      <c r="Z164" s="468" t="s">
        <v>213</v>
      </c>
      <c r="AA164" s="443"/>
      <c r="AB164" s="468" t="s">
        <v>212</v>
      </c>
      <c r="AC164" s="473"/>
      <c r="AF164" s="474"/>
      <c r="AG164" s="475"/>
      <c r="AH164" s="475"/>
      <c r="AI164" s="475"/>
      <c r="AJ164" s="475"/>
      <c r="AK164" s="476"/>
    </row>
    <row r="165" spans="1:37">
      <c r="A165" s="467"/>
      <c r="B165" s="472"/>
      <c r="C165" s="473"/>
      <c r="D165" s="472"/>
      <c r="E165" s="473"/>
      <c r="F165" s="472"/>
      <c r="G165" s="473"/>
      <c r="H165" s="472"/>
      <c r="I165" s="473"/>
      <c r="J165" s="472"/>
      <c r="K165" s="473"/>
      <c r="L165" s="472"/>
      <c r="M165" s="473"/>
      <c r="N165" s="472"/>
      <c r="O165" s="473"/>
      <c r="P165" s="472"/>
      <c r="Q165" s="473"/>
      <c r="R165" s="472"/>
      <c r="S165" s="473"/>
      <c r="T165" s="472"/>
      <c r="U165" s="473"/>
      <c r="V165" s="472"/>
      <c r="W165" s="473"/>
      <c r="X165" s="472"/>
      <c r="Y165" s="473"/>
      <c r="Z165" s="472"/>
      <c r="AA165" s="498"/>
      <c r="AB165" s="472"/>
      <c r="AC165" s="473"/>
      <c r="AF165" s="470" t="s">
        <v>1191</v>
      </c>
      <c r="AG165" s="470" t="s">
        <v>354</v>
      </c>
      <c r="AH165" s="470" t="s">
        <v>1192</v>
      </c>
      <c r="AI165" s="470" t="s">
        <v>1193</v>
      </c>
      <c r="AJ165" s="470" t="s">
        <v>303</v>
      </c>
      <c r="AK165" s="471" t="s">
        <v>1194</v>
      </c>
    </row>
    <row r="166" spans="1:37" ht="12.5" thickBot="1">
      <c r="A166" s="467"/>
      <c r="B166" s="444"/>
      <c r="C166" s="473"/>
      <c r="D166" s="444"/>
      <c r="E166" s="473"/>
      <c r="F166" s="444"/>
      <c r="G166" s="473"/>
      <c r="H166" s="444"/>
      <c r="I166" s="473"/>
      <c r="J166" s="444"/>
      <c r="K166" s="473"/>
      <c r="L166" s="444"/>
      <c r="M166" s="473"/>
      <c r="N166" s="444"/>
      <c r="O166" s="473"/>
      <c r="P166" s="444"/>
      <c r="Q166" s="473"/>
      <c r="R166" s="444"/>
      <c r="S166" s="473"/>
      <c r="T166" s="444"/>
      <c r="U166" s="473"/>
      <c r="V166" s="444"/>
      <c r="W166" s="473"/>
      <c r="X166" s="444"/>
      <c r="Y166" s="473"/>
      <c r="Z166" s="444"/>
      <c r="AA166" s="473"/>
      <c r="AB166" s="444"/>
      <c r="AC166" s="473"/>
      <c r="AF166" s="474"/>
      <c r="AG166" s="475"/>
      <c r="AH166" s="475"/>
      <c r="AI166" s="475"/>
      <c r="AJ166" s="475"/>
      <c r="AK166" s="476"/>
    </row>
    <row r="167" spans="1:37" ht="42.75" customHeight="1" thickBot="1">
      <c r="A167" s="467"/>
      <c r="B167" s="446"/>
      <c r="C167" s="477">
        <v>346.846</v>
      </c>
      <c r="D167" s="446" t="s">
        <v>1376</v>
      </c>
      <c r="E167" s="477">
        <v>300.19299999999998</v>
      </c>
      <c r="F167" s="446" t="s">
        <v>1376</v>
      </c>
      <c r="G167" s="477">
        <v>317</v>
      </c>
      <c r="H167" s="446"/>
      <c r="I167" s="477">
        <v>454</v>
      </c>
      <c r="J167" s="447"/>
      <c r="K167" s="477">
        <v>385</v>
      </c>
      <c r="L167" s="447"/>
      <c r="M167" s="477">
        <v>417.68799999999999</v>
      </c>
      <c r="N167" s="447"/>
      <c r="O167" s="477">
        <v>409.505</v>
      </c>
      <c r="P167" s="447"/>
      <c r="Q167" s="477">
        <v>385.16899999999998</v>
      </c>
      <c r="R167" s="447"/>
      <c r="S167" s="477">
        <v>345.19099999999997</v>
      </c>
      <c r="T167" s="447"/>
      <c r="U167" s="477">
        <v>332.38299999999998</v>
      </c>
      <c r="V167" s="447"/>
      <c r="W167" s="477">
        <v>393.62200000000001</v>
      </c>
      <c r="X167" s="447"/>
      <c r="Y167" s="477">
        <v>387.94799999999998</v>
      </c>
      <c r="Z167" s="447"/>
      <c r="AA167" s="477">
        <v>340.34800000000001</v>
      </c>
      <c r="AB167" s="447"/>
      <c r="AC167" s="477">
        <v>393.12099999999998</v>
      </c>
      <c r="AF167" s="470">
        <v>14</v>
      </c>
      <c r="AG167" s="470">
        <v>8</v>
      </c>
      <c r="AH167" s="470">
        <v>7</v>
      </c>
      <c r="AI167" s="470"/>
      <c r="AJ167" s="470"/>
      <c r="AK167" s="471"/>
    </row>
    <row r="168" spans="1:37" ht="12.5" thickBot="1">
      <c r="A168" s="467"/>
      <c r="B168" s="479"/>
      <c r="C168" s="473"/>
      <c r="D168" s="479"/>
      <c r="E168" s="473"/>
      <c r="F168" s="479"/>
      <c r="G168" s="473"/>
      <c r="H168" s="479"/>
      <c r="I168" s="473"/>
      <c r="J168" s="479"/>
      <c r="K168" s="473"/>
      <c r="L168" s="479"/>
      <c r="M168" s="473"/>
      <c r="N168" s="479"/>
      <c r="O168" s="473"/>
      <c r="P168" s="479"/>
      <c r="Q168" s="473"/>
      <c r="R168" s="479"/>
      <c r="S168" s="473"/>
      <c r="T168" s="479"/>
      <c r="U168" s="473"/>
      <c r="V168" s="479"/>
      <c r="W168" s="473"/>
      <c r="X168" s="479"/>
      <c r="Y168" s="473"/>
      <c r="Z168" s="479"/>
      <c r="AA168" s="473"/>
      <c r="AB168" s="479"/>
      <c r="AC168" s="473"/>
      <c r="AF168" s="474"/>
      <c r="AG168" s="475"/>
      <c r="AH168" s="475"/>
      <c r="AI168" s="475"/>
      <c r="AJ168" s="475"/>
      <c r="AK168" s="476"/>
    </row>
    <row r="169" spans="1:37">
      <c r="A169" s="467"/>
      <c r="B169" s="450" t="s">
        <v>185</v>
      </c>
      <c r="C169" s="450"/>
      <c r="D169" s="450" t="s">
        <v>185</v>
      </c>
      <c r="E169" s="450"/>
      <c r="F169" s="450" t="s">
        <v>119</v>
      </c>
      <c r="G169" s="450"/>
      <c r="H169" s="450" t="s">
        <v>182</v>
      </c>
      <c r="I169" s="450"/>
      <c r="J169" s="450" t="s">
        <v>248</v>
      </c>
      <c r="K169" s="450"/>
      <c r="L169" s="450" t="s">
        <v>248</v>
      </c>
      <c r="M169" s="450"/>
      <c r="N169" s="450" t="s">
        <v>132</v>
      </c>
      <c r="O169" s="450"/>
      <c r="P169" s="450" t="s">
        <v>182</v>
      </c>
      <c r="Q169" s="450"/>
      <c r="R169" s="450" t="s">
        <v>115</v>
      </c>
      <c r="S169" s="450"/>
      <c r="T169" s="450" t="s">
        <v>182</v>
      </c>
      <c r="U169" s="450"/>
      <c r="V169" s="450" t="s">
        <v>182</v>
      </c>
      <c r="W169" s="450"/>
      <c r="X169" s="450" t="s">
        <v>185</v>
      </c>
      <c r="Y169" s="450"/>
      <c r="Z169" s="450" t="s">
        <v>182</v>
      </c>
      <c r="AA169" s="450"/>
      <c r="AB169" s="450" t="s">
        <v>182</v>
      </c>
      <c r="AC169" s="473"/>
      <c r="AF169" s="474"/>
      <c r="AG169" s="475"/>
      <c r="AH169" s="475"/>
      <c r="AI169" s="475"/>
      <c r="AJ169" s="475"/>
      <c r="AK169" s="476"/>
    </row>
    <row r="170" spans="1:37">
      <c r="A170" s="467"/>
      <c r="B170" s="450" t="s">
        <v>1278</v>
      </c>
      <c r="C170" s="450"/>
      <c r="D170" s="450"/>
      <c r="E170" s="450"/>
      <c r="F170" s="450"/>
      <c r="G170" s="450"/>
      <c r="H170" s="450" t="s">
        <v>1276</v>
      </c>
      <c r="I170" s="450"/>
      <c r="J170" s="450"/>
      <c r="K170" s="450"/>
      <c r="L170" s="450"/>
      <c r="M170" s="450"/>
      <c r="N170" s="450"/>
      <c r="O170" s="450"/>
      <c r="P170" s="450"/>
      <c r="Q170" s="450"/>
      <c r="R170" s="450"/>
      <c r="S170" s="450"/>
      <c r="T170" s="450"/>
      <c r="U170" s="450"/>
      <c r="V170" s="450"/>
      <c r="W170" s="450"/>
      <c r="X170" s="450"/>
      <c r="Y170" s="450"/>
      <c r="Z170" s="450"/>
      <c r="AA170" s="450"/>
      <c r="AB170" s="450"/>
      <c r="AC170" s="473"/>
      <c r="AF170" s="474"/>
      <c r="AG170" s="475"/>
      <c r="AH170" s="475"/>
      <c r="AI170" s="475"/>
      <c r="AJ170" s="475"/>
      <c r="AK170" s="476"/>
    </row>
    <row r="171" spans="1:37">
      <c r="A171" s="467"/>
      <c r="C171" s="473"/>
      <c r="E171" s="473"/>
      <c r="G171" s="473"/>
      <c r="I171" s="473"/>
      <c r="K171" s="473"/>
      <c r="M171" s="473"/>
      <c r="O171" s="473"/>
      <c r="Q171" s="473"/>
      <c r="S171" s="473"/>
      <c r="U171" s="473"/>
      <c r="W171" s="473"/>
      <c r="Y171" s="473"/>
      <c r="AA171" s="473"/>
      <c r="AC171" s="473"/>
      <c r="AF171" s="474"/>
      <c r="AG171" s="475"/>
      <c r="AH171" s="475"/>
      <c r="AI171" s="475"/>
      <c r="AJ171" s="475"/>
      <c r="AK171" s="476"/>
    </row>
    <row r="172" spans="1:37">
      <c r="A172" s="467"/>
      <c r="B172" s="468" t="s">
        <v>209</v>
      </c>
      <c r="C172" s="443"/>
      <c r="D172" s="468" t="s">
        <v>231</v>
      </c>
      <c r="E172" s="443"/>
      <c r="F172" s="468" t="s">
        <v>379</v>
      </c>
      <c r="G172" s="443"/>
      <c r="H172" s="468" t="s">
        <v>263</v>
      </c>
      <c r="I172" s="443"/>
      <c r="J172" s="468" t="s">
        <v>1279</v>
      </c>
      <c r="K172" s="443"/>
      <c r="L172" s="468" t="s">
        <v>215</v>
      </c>
      <c r="M172" s="443"/>
      <c r="N172" s="468" t="s">
        <v>216</v>
      </c>
      <c r="O172" s="443"/>
      <c r="P172" s="468" t="s">
        <v>239</v>
      </c>
      <c r="Q172" s="443"/>
      <c r="R172" s="468" t="s">
        <v>240</v>
      </c>
      <c r="S172" s="443"/>
      <c r="T172" s="468" t="s">
        <v>241</v>
      </c>
      <c r="U172" s="443"/>
      <c r="V172" s="468" t="s">
        <v>381</v>
      </c>
      <c r="W172" s="468"/>
      <c r="X172" s="468" t="s">
        <v>383</v>
      </c>
      <c r="Y172" s="443"/>
      <c r="Z172" s="468" t="s">
        <v>384</v>
      </c>
      <c r="AA172" s="443"/>
      <c r="AB172" s="468" t="s">
        <v>253</v>
      </c>
      <c r="AC172" s="473"/>
      <c r="AF172" s="474"/>
      <c r="AG172" s="475"/>
      <c r="AH172" s="475"/>
      <c r="AI172" s="475"/>
      <c r="AJ172" s="475"/>
      <c r="AK172" s="476"/>
    </row>
    <row r="173" spans="1:37">
      <c r="A173" s="467"/>
      <c r="B173" s="472"/>
      <c r="C173" s="450"/>
      <c r="D173" s="472"/>
      <c r="E173" s="473"/>
      <c r="F173" s="472"/>
      <c r="G173" s="477"/>
      <c r="H173" s="472"/>
      <c r="I173" s="477"/>
      <c r="J173" s="472"/>
      <c r="K173" s="477"/>
      <c r="L173" s="472"/>
      <c r="M173" s="473"/>
      <c r="N173" s="472"/>
      <c r="O173" s="473"/>
      <c r="P173" s="472"/>
      <c r="Q173" s="473"/>
      <c r="R173" s="472"/>
      <c r="S173" s="473"/>
      <c r="T173" s="472"/>
      <c r="U173" s="473"/>
      <c r="V173" s="472"/>
      <c r="W173" s="481"/>
      <c r="X173" s="472"/>
      <c r="Y173" s="481"/>
      <c r="Z173" s="472"/>
      <c r="AA173" s="473"/>
      <c r="AB173" s="472"/>
      <c r="AC173" s="473"/>
      <c r="AF173" s="470" t="s">
        <v>1191</v>
      </c>
      <c r="AG173" s="470" t="s">
        <v>354</v>
      </c>
      <c r="AH173" s="470" t="s">
        <v>1192</v>
      </c>
      <c r="AI173" s="470" t="s">
        <v>1193</v>
      </c>
      <c r="AJ173" s="470" t="s">
        <v>303</v>
      </c>
      <c r="AK173" s="471" t="s">
        <v>1194</v>
      </c>
    </row>
    <row r="174" spans="1:37" ht="12.5" thickBot="1">
      <c r="A174" s="467"/>
      <c r="B174" s="444"/>
      <c r="C174" s="473"/>
      <c r="D174" s="444"/>
      <c r="E174" s="473"/>
      <c r="F174" s="444"/>
      <c r="G174" s="473"/>
      <c r="H174" s="444"/>
      <c r="I174" s="473"/>
      <c r="J174" s="444"/>
      <c r="K174" s="473"/>
      <c r="L174" s="444"/>
      <c r="M174" s="473"/>
      <c r="N174" s="444"/>
      <c r="O174" s="473"/>
      <c r="P174" s="444"/>
      <c r="Q174" s="473"/>
      <c r="R174" s="444"/>
      <c r="S174" s="473"/>
      <c r="T174" s="444"/>
      <c r="U174" s="473"/>
      <c r="V174" s="444"/>
      <c r="W174" s="473"/>
      <c r="X174" s="444"/>
      <c r="Y174" s="473"/>
      <c r="Z174" s="444"/>
      <c r="AA174" s="473"/>
      <c r="AB174" s="444"/>
      <c r="AC174" s="473"/>
      <c r="AF174" s="474"/>
      <c r="AG174" s="475"/>
      <c r="AH174" s="475"/>
      <c r="AI174" s="475"/>
      <c r="AJ174" s="475"/>
      <c r="AK174" s="476"/>
    </row>
    <row r="175" spans="1:37" ht="42.75" customHeight="1" thickBot="1">
      <c r="A175" s="467"/>
      <c r="B175" s="447"/>
      <c r="C175" s="477">
        <v>328.536</v>
      </c>
      <c r="D175" s="447"/>
      <c r="E175" s="477">
        <v>398.51499999999999</v>
      </c>
      <c r="F175" s="446"/>
      <c r="G175" s="477">
        <v>425.84800000000001</v>
      </c>
      <c r="H175" s="447"/>
      <c r="I175" s="477">
        <v>409.36900000000003</v>
      </c>
      <c r="J175" s="446"/>
      <c r="K175" s="477">
        <v>388.45499999999998</v>
      </c>
      <c r="L175" s="447"/>
      <c r="M175" s="477">
        <v>380.96100000000001</v>
      </c>
      <c r="N175" s="447"/>
      <c r="O175" s="477">
        <v>381.38900000000001</v>
      </c>
      <c r="P175" s="447"/>
      <c r="Q175" s="477">
        <v>344.59500000000003</v>
      </c>
      <c r="R175" s="447"/>
      <c r="S175" s="477">
        <v>395.64100000000002</v>
      </c>
      <c r="T175" s="447"/>
      <c r="U175" s="477">
        <v>414.76299999999998</v>
      </c>
      <c r="V175" s="447"/>
      <c r="W175" s="477">
        <v>401.92899999999997</v>
      </c>
      <c r="X175" s="446"/>
      <c r="Y175" s="477">
        <v>354.94900000000001</v>
      </c>
      <c r="Z175" s="451"/>
      <c r="AA175" s="477">
        <v>425</v>
      </c>
      <c r="AB175" s="451"/>
      <c r="AC175" s="482">
        <v>414</v>
      </c>
      <c r="AF175" s="470">
        <v>14</v>
      </c>
      <c r="AG175" s="470">
        <v>9</v>
      </c>
      <c r="AH175" s="470">
        <v>9</v>
      </c>
      <c r="AI175" s="470"/>
      <c r="AJ175" s="470"/>
      <c r="AK175" s="471"/>
    </row>
    <row r="176" spans="1:37" ht="12.5" thickBot="1">
      <c r="A176" s="467"/>
      <c r="B176" s="479"/>
      <c r="C176" s="473"/>
      <c r="D176" s="479"/>
      <c r="E176" s="473"/>
      <c r="F176" s="479"/>
      <c r="G176" s="473"/>
      <c r="H176" s="479"/>
      <c r="I176" s="473"/>
      <c r="J176" s="479"/>
      <c r="K176" s="473"/>
      <c r="L176" s="479"/>
      <c r="M176" s="473"/>
      <c r="N176" s="479"/>
      <c r="O176" s="473"/>
      <c r="P176" s="479"/>
      <c r="Q176" s="473"/>
      <c r="R176" s="479"/>
      <c r="S176" s="473"/>
      <c r="T176" s="479"/>
      <c r="U176" s="473"/>
      <c r="V176" s="479"/>
      <c r="W176" s="473"/>
      <c r="X176" s="479"/>
      <c r="Y176" s="473"/>
      <c r="Z176" s="479"/>
      <c r="AA176" s="473"/>
      <c r="AB176" s="479"/>
      <c r="AC176" s="473"/>
      <c r="AF176" s="474"/>
      <c r="AG176" s="475"/>
      <c r="AH176" s="475"/>
      <c r="AI176" s="475"/>
      <c r="AJ176" s="475"/>
      <c r="AK176" s="476"/>
    </row>
    <row r="177" spans="1:37">
      <c r="A177" s="467"/>
      <c r="B177" s="450" t="s">
        <v>182</v>
      </c>
      <c r="C177" s="450"/>
      <c r="D177" s="450" t="s">
        <v>182</v>
      </c>
      <c r="E177" s="450"/>
      <c r="F177" s="450" t="s">
        <v>115</v>
      </c>
      <c r="G177" s="450"/>
      <c r="H177" s="450" t="s">
        <v>242</v>
      </c>
      <c r="I177" s="450"/>
      <c r="J177" s="450" t="s">
        <v>119</v>
      </c>
      <c r="K177" s="450"/>
      <c r="L177" s="450" t="s">
        <v>182</v>
      </c>
      <c r="M177" s="450"/>
      <c r="N177" s="450" t="s">
        <v>185</v>
      </c>
      <c r="O177" s="450"/>
      <c r="P177" s="450" t="s">
        <v>182</v>
      </c>
      <c r="Q177" s="450"/>
      <c r="R177" s="450" t="s">
        <v>185</v>
      </c>
      <c r="S177" s="450"/>
      <c r="T177" s="450" t="s">
        <v>242</v>
      </c>
      <c r="U177" s="450"/>
      <c r="V177" s="450" t="s">
        <v>115</v>
      </c>
      <c r="W177" s="450"/>
      <c r="X177" s="450" t="s">
        <v>185</v>
      </c>
      <c r="Y177" s="450"/>
      <c r="Z177" s="450" t="s">
        <v>125</v>
      </c>
      <c r="AA177" s="450"/>
      <c r="AB177" s="450" t="s">
        <v>248</v>
      </c>
      <c r="AC177" s="473"/>
      <c r="AF177" s="474"/>
      <c r="AG177" s="475"/>
      <c r="AH177" s="475"/>
      <c r="AI177" s="475"/>
      <c r="AJ177" s="475"/>
      <c r="AK177" s="476"/>
    </row>
    <row r="178" spans="1:37">
      <c r="A178" s="467"/>
      <c r="B178" s="450"/>
      <c r="C178" s="450"/>
      <c r="D178" s="450"/>
      <c r="E178" s="450"/>
      <c r="F178" s="450"/>
      <c r="G178" s="450"/>
      <c r="H178" s="450"/>
      <c r="I178" s="450"/>
      <c r="J178" s="450"/>
      <c r="K178" s="450"/>
      <c r="L178" s="450"/>
      <c r="M178" s="450"/>
      <c r="N178" s="450"/>
      <c r="O178" s="450"/>
      <c r="P178" s="450"/>
      <c r="Q178" s="450"/>
      <c r="R178" s="450"/>
      <c r="S178" s="450"/>
      <c r="T178" s="450"/>
      <c r="U178" s="450"/>
      <c r="V178" s="450"/>
      <c r="W178" s="450"/>
      <c r="X178" s="450" t="s">
        <v>1277</v>
      </c>
      <c r="Y178" s="450"/>
      <c r="Z178" s="450"/>
      <c r="AA178" s="450"/>
      <c r="AB178" s="450"/>
      <c r="AC178" s="473"/>
      <c r="AF178" s="474"/>
      <c r="AG178" s="475"/>
      <c r="AH178" s="475"/>
      <c r="AI178" s="475"/>
      <c r="AJ178" s="475"/>
      <c r="AK178" s="476"/>
    </row>
    <row r="179" spans="1:37">
      <c r="A179" s="467"/>
      <c r="C179" s="473"/>
      <c r="E179" s="473"/>
      <c r="G179" s="473"/>
      <c r="I179" s="473"/>
      <c r="K179" s="473"/>
      <c r="M179" s="473"/>
      <c r="O179" s="473"/>
      <c r="Q179" s="473"/>
      <c r="S179" s="473"/>
      <c r="U179" s="473"/>
      <c r="W179" s="473"/>
      <c r="Y179" s="473"/>
      <c r="AA179" s="473"/>
      <c r="AC179" s="473"/>
      <c r="AF179" s="474"/>
      <c r="AG179" s="475"/>
      <c r="AH179" s="475"/>
      <c r="AI179" s="475"/>
      <c r="AJ179" s="475"/>
      <c r="AK179" s="476"/>
    </row>
    <row r="180" spans="1:37" ht="21.75" customHeight="1">
      <c r="A180" s="467"/>
      <c r="B180" s="468" t="s">
        <v>385</v>
      </c>
      <c r="C180" s="443"/>
      <c r="D180" s="468" t="s">
        <v>386</v>
      </c>
      <c r="E180" s="443"/>
      <c r="F180" s="468" t="s">
        <v>257</v>
      </c>
      <c r="G180" s="443"/>
      <c r="H180" s="468" t="s">
        <v>387</v>
      </c>
      <c r="I180" s="443"/>
      <c r="J180" s="468" t="s">
        <v>267</v>
      </c>
      <c r="K180" s="443"/>
      <c r="L180" s="468" t="s">
        <v>268</v>
      </c>
      <c r="M180" s="443"/>
      <c r="N180" s="468" t="s">
        <v>269</v>
      </c>
      <c r="O180" s="443"/>
      <c r="P180" s="468" t="s">
        <v>227</v>
      </c>
      <c r="Q180" s="443"/>
      <c r="R180" s="468" t="s">
        <v>271</v>
      </c>
      <c r="S180" s="443"/>
      <c r="T180" s="468" t="s">
        <v>391</v>
      </c>
      <c r="U180" s="443"/>
      <c r="V180" s="468" t="s">
        <v>392</v>
      </c>
      <c r="W180" s="443"/>
      <c r="X180" s="468" t="s">
        <v>393</v>
      </c>
      <c r="Y180" s="443"/>
      <c r="Z180" s="468" t="s">
        <v>394</v>
      </c>
      <c r="AA180" s="443"/>
      <c r="AB180" s="468" t="s">
        <v>225</v>
      </c>
      <c r="AC180" s="473"/>
      <c r="AF180" s="474"/>
      <c r="AG180" s="475"/>
      <c r="AH180" s="475"/>
      <c r="AI180" s="475"/>
      <c r="AJ180" s="475"/>
      <c r="AK180" s="476"/>
    </row>
    <row r="181" spans="1:37">
      <c r="A181" s="467"/>
      <c r="B181" s="472"/>
      <c r="C181" s="450"/>
      <c r="D181" s="472"/>
      <c r="E181" s="473"/>
      <c r="F181" s="472"/>
      <c r="G181" s="473"/>
      <c r="H181" s="472"/>
      <c r="I181" s="473"/>
      <c r="J181" s="472"/>
      <c r="K181" s="473"/>
      <c r="L181" s="472"/>
      <c r="M181" s="473"/>
      <c r="N181" s="472"/>
      <c r="O181" s="473"/>
      <c r="P181" s="472"/>
      <c r="Q181" s="473"/>
      <c r="R181" s="472"/>
      <c r="S181" s="473"/>
      <c r="T181" s="472"/>
      <c r="U181" s="473"/>
      <c r="V181" s="472"/>
      <c r="W181" s="473"/>
      <c r="X181" s="472"/>
      <c r="Y181" s="473"/>
      <c r="Z181" s="472"/>
      <c r="AA181" s="473"/>
      <c r="AB181" s="472"/>
      <c r="AC181" s="473"/>
      <c r="AF181" s="470" t="s">
        <v>1191</v>
      </c>
      <c r="AG181" s="470" t="s">
        <v>354</v>
      </c>
      <c r="AH181" s="470" t="s">
        <v>1192</v>
      </c>
      <c r="AI181" s="470" t="s">
        <v>1193</v>
      </c>
      <c r="AJ181" s="470" t="s">
        <v>303</v>
      </c>
      <c r="AK181" s="471" t="s">
        <v>1194</v>
      </c>
    </row>
    <row r="182" spans="1:37" ht="12.5" thickBot="1">
      <c r="A182" s="467"/>
      <c r="B182" s="444"/>
      <c r="C182" s="473"/>
      <c r="D182" s="444"/>
      <c r="E182" s="473"/>
      <c r="F182" s="444"/>
      <c r="G182" s="473"/>
      <c r="H182" s="444"/>
      <c r="I182" s="473"/>
      <c r="J182" s="444"/>
      <c r="K182" s="473"/>
      <c r="L182" s="444"/>
      <c r="M182" s="473"/>
      <c r="N182" s="444"/>
      <c r="O182" s="473"/>
      <c r="P182" s="444"/>
      <c r="Q182" s="473"/>
      <c r="R182" s="444"/>
      <c r="S182" s="473"/>
      <c r="T182" s="444"/>
      <c r="U182" s="473"/>
      <c r="V182" s="444"/>
      <c r="W182" s="473"/>
      <c r="X182" s="444"/>
      <c r="Y182" s="473"/>
      <c r="Z182" s="444"/>
      <c r="AA182" s="473"/>
      <c r="AB182" s="444"/>
      <c r="AC182" s="473"/>
      <c r="AF182" s="474"/>
      <c r="AG182" s="475"/>
      <c r="AH182" s="475"/>
      <c r="AI182" s="475"/>
      <c r="AJ182" s="475"/>
      <c r="AK182" s="476"/>
    </row>
    <row r="183" spans="1:37" ht="42.75" customHeight="1" thickBot="1">
      <c r="A183" s="467"/>
      <c r="B183" s="446"/>
      <c r="C183" s="477">
        <v>353.05200000000002</v>
      </c>
      <c r="D183" s="446"/>
      <c r="E183" s="477">
        <v>441.05500000000001</v>
      </c>
      <c r="F183" s="447"/>
      <c r="G183" s="477">
        <v>387.495</v>
      </c>
      <c r="H183" s="446"/>
      <c r="I183" s="477">
        <v>372.62700000000001</v>
      </c>
      <c r="J183" s="446"/>
      <c r="K183" s="477">
        <v>415.30399999999997</v>
      </c>
      <c r="L183" s="447"/>
      <c r="M183" s="477">
        <v>424.584</v>
      </c>
      <c r="N183" s="447"/>
      <c r="O183" s="477">
        <v>391.70400000000001</v>
      </c>
      <c r="P183" s="447"/>
      <c r="Q183" s="477">
        <v>410.46600000000001</v>
      </c>
      <c r="R183" s="447"/>
      <c r="S183" s="477">
        <v>385.541</v>
      </c>
      <c r="T183" s="446"/>
      <c r="U183" s="477">
        <v>418.31299999999999</v>
      </c>
      <c r="V183" s="447"/>
      <c r="W183" s="477">
        <v>421.47300000000001</v>
      </c>
      <c r="X183" s="447"/>
      <c r="Y183" s="477">
        <v>401.97899999999998</v>
      </c>
      <c r="Z183" s="562" t="s">
        <v>228</v>
      </c>
      <c r="AA183" s="477">
        <v>429.37900000000002</v>
      </c>
      <c r="AB183" s="447"/>
      <c r="AC183" s="477">
        <v>403.83199999999999</v>
      </c>
      <c r="AF183" s="470">
        <v>14</v>
      </c>
      <c r="AG183" s="470">
        <v>2</v>
      </c>
      <c r="AH183" s="470">
        <v>2</v>
      </c>
      <c r="AI183" s="470"/>
      <c r="AJ183" s="470"/>
      <c r="AK183" s="471"/>
    </row>
    <row r="184" spans="1:37" ht="12.5" thickBot="1">
      <c r="A184" s="467"/>
      <c r="B184" s="479"/>
      <c r="C184" s="473"/>
      <c r="D184" s="479"/>
      <c r="E184" s="473"/>
      <c r="F184" s="479"/>
      <c r="G184" s="473"/>
      <c r="H184" s="479"/>
      <c r="I184" s="473"/>
      <c r="J184" s="479"/>
      <c r="K184" s="473"/>
      <c r="L184" s="479"/>
      <c r="M184" s="473"/>
      <c r="N184" s="479"/>
      <c r="O184" s="473"/>
      <c r="P184" s="479"/>
      <c r="Q184" s="473"/>
      <c r="R184" s="479"/>
      <c r="S184" s="473"/>
      <c r="T184" s="479"/>
      <c r="U184" s="473"/>
      <c r="V184" s="479"/>
      <c r="W184" s="473"/>
      <c r="X184" s="479"/>
      <c r="Y184" s="473"/>
      <c r="Z184" s="479"/>
      <c r="AA184" s="473"/>
      <c r="AB184" s="479"/>
      <c r="AC184" s="473"/>
      <c r="AF184" s="474"/>
      <c r="AG184" s="475"/>
      <c r="AH184" s="475"/>
      <c r="AI184" s="475"/>
      <c r="AJ184" s="475"/>
      <c r="AK184" s="476"/>
    </row>
    <row r="185" spans="1:37">
      <c r="A185" s="467"/>
      <c r="B185" s="450" t="s">
        <v>182</v>
      </c>
      <c r="C185" s="450"/>
      <c r="D185" s="450" t="s">
        <v>188</v>
      </c>
      <c r="E185" s="450"/>
      <c r="F185" s="450" t="s">
        <v>248</v>
      </c>
      <c r="G185" s="450"/>
      <c r="H185" s="450" t="s">
        <v>132</v>
      </c>
      <c r="I185" s="450"/>
      <c r="J185" s="450" t="s">
        <v>182</v>
      </c>
      <c r="K185" s="450"/>
      <c r="L185" s="450" t="s">
        <v>185</v>
      </c>
      <c r="M185" s="450"/>
      <c r="N185" s="450" t="s">
        <v>182</v>
      </c>
      <c r="O185" s="450"/>
      <c r="P185" s="450" t="s">
        <v>182</v>
      </c>
      <c r="Q185" s="450"/>
      <c r="R185" s="556" t="s">
        <v>242</v>
      </c>
      <c r="S185" s="450"/>
      <c r="T185" s="556" t="s">
        <v>188</v>
      </c>
      <c r="U185" s="450"/>
      <c r="V185" s="450" t="s">
        <v>242</v>
      </c>
      <c r="W185" s="450"/>
      <c r="X185" s="450" t="s">
        <v>182</v>
      </c>
      <c r="Y185" s="450"/>
      <c r="Z185" s="450" t="s">
        <v>115</v>
      </c>
      <c r="AA185" s="450"/>
      <c r="AB185" s="450" t="s">
        <v>185</v>
      </c>
      <c r="AC185" s="473"/>
      <c r="AF185" s="474"/>
      <c r="AG185" s="475"/>
      <c r="AH185" s="475"/>
      <c r="AI185" s="475"/>
      <c r="AJ185" s="475"/>
      <c r="AK185" s="476"/>
    </row>
    <row r="186" spans="1:37">
      <c r="A186" s="467"/>
      <c r="B186" s="450" t="s">
        <v>1277</v>
      </c>
      <c r="C186" s="450"/>
      <c r="D186" s="450" t="s">
        <v>1277</v>
      </c>
      <c r="E186" s="450"/>
      <c r="F186" s="450"/>
      <c r="G186" s="450"/>
      <c r="H186" s="450"/>
      <c r="I186" s="450"/>
      <c r="J186" s="450" t="s">
        <v>1276</v>
      </c>
      <c r="K186" s="450"/>
      <c r="L186" s="450"/>
      <c r="M186" s="450"/>
      <c r="N186" s="450"/>
      <c r="O186" s="450"/>
      <c r="P186" s="450"/>
      <c r="Q186" s="450"/>
      <c r="R186" s="450"/>
      <c r="S186" s="450"/>
      <c r="T186" s="450"/>
      <c r="U186" s="450"/>
      <c r="V186" s="450"/>
      <c r="W186" s="450"/>
      <c r="X186" s="450"/>
      <c r="Y186" s="450"/>
      <c r="Z186" s="450"/>
      <c r="AA186" s="450"/>
      <c r="AB186" s="450"/>
      <c r="AC186" s="473"/>
      <c r="AF186" s="474"/>
      <c r="AG186" s="475"/>
      <c r="AH186" s="475"/>
      <c r="AI186" s="475"/>
      <c r="AJ186" s="475"/>
      <c r="AK186" s="476"/>
    </row>
    <row r="187" spans="1:37">
      <c r="A187" s="467"/>
      <c r="C187" s="473"/>
      <c r="E187" s="473"/>
      <c r="G187" s="473"/>
      <c r="I187" s="473"/>
      <c r="K187" s="473"/>
      <c r="M187" s="473"/>
      <c r="O187" s="473"/>
      <c r="Q187" s="473"/>
      <c r="S187" s="473"/>
      <c r="U187" s="473"/>
      <c r="W187" s="473"/>
      <c r="Y187" s="473"/>
      <c r="AA187" s="473"/>
      <c r="AC187" s="473"/>
      <c r="AF187" s="474"/>
      <c r="AG187" s="475"/>
      <c r="AH187" s="475"/>
      <c r="AI187" s="475"/>
      <c r="AJ187" s="475"/>
      <c r="AK187" s="476"/>
    </row>
    <row r="188" spans="1:37">
      <c r="A188" s="467"/>
      <c r="B188" s="468" t="s">
        <v>395</v>
      </c>
      <c r="C188" s="443"/>
      <c r="D188" s="468" t="s">
        <v>396</v>
      </c>
      <c r="E188" s="443"/>
      <c r="F188" s="468" t="s">
        <v>258</v>
      </c>
      <c r="G188" s="443"/>
      <c r="H188" s="468" t="s">
        <v>398</v>
      </c>
      <c r="I188" s="443"/>
      <c r="J188" s="468" t="s">
        <v>262</v>
      </c>
      <c r="K188" s="443"/>
      <c r="L188" s="468" t="s">
        <v>244</v>
      </c>
      <c r="M188" s="443"/>
      <c r="N188" s="468" t="s">
        <v>399</v>
      </c>
      <c r="O188" s="443"/>
      <c r="P188" s="468" t="s">
        <v>277</v>
      </c>
      <c r="Q188" s="443"/>
      <c r="R188" s="468" t="s">
        <v>280</v>
      </c>
      <c r="S188" s="443"/>
      <c r="T188" s="468" t="s">
        <v>400</v>
      </c>
      <c r="U188" s="443"/>
      <c r="V188" s="468" t="s">
        <v>401</v>
      </c>
      <c r="W188" s="443"/>
      <c r="X188" s="468" t="s">
        <v>402</v>
      </c>
      <c r="Y188" s="443"/>
      <c r="Z188" s="468" t="s">
        <v>403</v>
      </c>
      <c r="AA188" s="443"/>
      <c r="AB188" s="468" t="s">
        <v>404</v>
      </c>
      <c r="AC188" s="473"/>
      <c r="AF188" s="474"/>
      <c r="AG188" s="475"/>
      <c r="AH188" s="475"/>
      <c r="AI188" s="475"/>
      <c r="AJ188" s="475"/>
      <c r="AK188" s="476"/>
    </row>
    <row r="189" spans="1:37">
      <c r="A189" s="467"/>
      <c r="B189" s="472"/>
      <c r="C189" s="473"/>
      <c r="D189" s="472"/>
      <c r="E189" s="473"/>
      <c r="F189" s="472"/>
      <c r="G189" s="473"/>
      <c r="H189" s="472"/>
      <c r="I189" s="473"/>
      <c r="J189" s="472"/>
      <c r="K189" s="450"/>
      <c r="L189" s="472"/>
      <c r="M189" s="473"/>
      <c r="N189" s="472"/>
      <c r="O189" s="473"/>
      <c r="P189" s="472"/>
      <c r="Q189" s="450"/>
      <c r="R189" s="472"/>
      <c r="S189" s="450"/>
      <c r="T189" s="472"/>
      <c r="U189" s="473"/>
      <c r="V189" s="472"/>
      <c r="W189" s="473"/>
      <c r="X189" s="472"/>
      <c r="Y189" s="473"/>
      <c r="Z189" s="472"/>
      <c r="AA189" s="473"/>
      <c r="AB189" s="472"/>
      <c r="AC189" s="473"/>
      <c r="AF189" s="470" t="s">
        <v>1191</v>
      </c>
      <c r="AG189" s="470" t="s">
        <v>354</v>
      </c>
      <c r="AH189" s="470" t="s">
        <v>1192</v>
      </c>
      <c r="AI189" s="470" t="s">
        <v>1193</v>
      </c>
      <c r="AJ189" s="470" t="s">
        <v>303</v>
      </c>
      <c r="AK189" s="471" t="s">
        <v>1194</v>
      </c>
    </row>
    <row r="190" spans="1:37" ht="12.5" thickBot="1">
      <c r="A190" s="467"/>
      <c r="B190" s="444"/>
      <c r="C190" s="473"/>
      <c r="D190" s="444"/>
      <c r="E190" s="473"/>
      <c r="F190" s="444"/>
      <c r="G190" s="473"/>
      <c r="H190" s="444"/>
      <c r="I190" s="473"/>
      <c r="J190" s="444"/>
      <c r="K190" s="473"/>
      <c r="L190" s="444"/>
      <c r="M190" s="473"/>
      <c r="N190" s="444"/>
      <c r="O190" s="473"/>
      <c r="P190" s="444"/>
      <c r="Q190" s="473"/>
      <c r="R190" s="444"/>
      <c r="S190" s="473"/>
      <c r="T190" s="444"/>
      <c r="U190" s="473"/>
      <c r="V190" s="444"/>
      <c r="W190" s="473"/>
      <c r="X190" s="444"/>
      <c r="Y190" s="473"/>
      <c r="Z190" s="444"/>
      <c r="AA190" s="473"/>
      <c r="AB190" s="444"/>
      <c r="AC190" s="473"/>
      <c r="AF190" s="474"/>
      <c r="AG190" s="475"/>
      <c r="AH190" s="475"/>
      <c r="AI190" s="475"/>
      <c r="AJ190" s="475"/>
      <c r="AK190" s="476"/>
    </row>
    <row r="191" spans="1:37" ht="42.75" customHeight="1" thickBot="1">
      <c r="A191" s="467"/>
      <c r="B191" s="562"/>
      <c r="C191" s="477">
        <v>384.63</v>
      </c>
      <c r="D191" s="446"/>
      <c r="E191" s="477">
        <v>380.68200000000002</v>
      </c>
      <c r="F191" s="447"/>
      <c r="G191" s="477">
        <v>354.52600000000001</v>
      </c>
      <c r="H191" s="446" t="s">
        <v>1376</v>
      </c>
      <c r="I191" s="477">
        <v>405.57400000000001</v>
      </c>
      <c r="J191" s="447"/>
      <c r="K191" s="477">
        <v>416.87400000000002</v>
      </c>
      <c r="L191" s="447"/>
      <c r="M191" s="477">
        <v>380.76600000000002</v>
      </c>
      <c r="N191" s="446"/>
      <c r="O191" s="477">
        <v>411.81400000000002</v>
      </c>
      <c r="P191" s="447"/>
      <c r="Q191" s="482">
        <v>392.08</v>
      </c>
      <c r="R191" s="447"/>
      <c r="S191" s="477">
        <v>296.87299999999999</v>
      </c>
      <c r="T191" s="446"/>
      <c r="U191" s="477">
        <v>412.399</v>
      </c>
      <c r="V191" s="446"/>
      <c r="W191" s="477">
        <v>382.173</v>
      </c>
      <c r="X191" s="446"/>
      <c r="Y191" s="477">
        <v>452.73700000000002</v>
      </c>
      <c r="Z191" s="446"/>
      <c r="AA191" s="477">
        <v>420.20699999999999</v>
      </c>
      <c r="AB191" s="446"/>
      <c r="AC191" s="477">
        <v>395.01100000000002</v>
      </c>
      <c r="AF191" s="470">
        <v>14</v>
      </c>
      <c r="AG191" s="470">
        <v>5</v>
      </c>
      <c r="AH191" s="470"/>
      <c r="AI191" s="470"/>
      <c r="AJ191" s="470"/>
      <c r="AK191" s="471"/>
    </row>
    <row r="192" spans="1:37" ht="12.5" thickBot="1">
      <c r="A192" s="467"/>
      <c r="B192" s="568" t="s">
        <v>228</v>
      </c>
      <c r="C192" s="473"/>
      <c r="D192" s="568" t="s">
        <v>228</v>
      </c>
      <c r="E192" s="473"/>
      <c r="F192" s="479"/>
      <c r="G192" s="473"/>
      <c r="H192" s="479"/>
      <c r="I192" s="473"/>
      <c r="J192" s="479"/>
      <c r="K192" s="473"/>
      <c r="L192" s="479"/>
      <c r="M192" s="473"/>
      <c r="N192" s="479"/>
      <c r="O192" s="473"/>
      <c r="P192" s="479"/>
      <c r="Q192" s="473"/>
      <c r="R192" s="479"/>
      <c r="S192" s="473"/>
      <c r="T192" s="479"/>
      <c r="U192" s="473"/>
      <c r="V192" s="479"/>
      <c r="W192" s="473"/>
      <c r="X192" s="479"/>
      <c r="Y192" s="473"/>
      <c r="Z192" s="479"/>
      <c r="AA192" s="473"/>
      <c r="AB192" s="479"/>
      <c r="AF192" s="474"/>
      <c r="AG192" s="475"/>
      <c r="AH192" s="475"/>
      <c r="AI192" s="475"/>
      <c r="AJ192" s="475"/>
      <c r="AK192" s="476"/>
    </row>
    <row r="193" spans="1:37">
      <c r="A193" s="467"/>
      <c r="B193" s="450" t="s">
        <v>128</v>
      </c>
      <c r="C193" s="450"/>
      <c r="D193" s="450" t="s">
        <v>115</v>
      </c>
      <c r="E193" s="450"/>
      <c r="F193" s="450" t="s">
        <v>182</v>
      </c>
      <c r="G193" s="450"/>
      <c r="H193" s="450" t="s">
        <v>125</v>
      </c>
      <c r="I193" s="450"/>
      <c r="J193" s="450" t="s">
        <v>242</v>
      </c>
      <c r="K193" s="450"/>
      <c r="L193" s="450" t="s">
        <v>182</v>
      </c>
      <c r="M193" s="450"/>
      <c r="N193" s="450" t="s">
        <v>115</v>
      </c>
      <c r="O193" s="450"/>
      <c r="P193" s="450" t="s">
        <v>185</v>
      </c>
      <c r="Q193" s="450"/>
      <c r="R193" s="450" t="s">
        <v>248</v>
      </c>
      <c r="S193" s="450"/>
      <c r="T193" s="450" t="s">
        <v>115</v>
      </c>
      <c r="U193" s="450"/>
      <c r="V193" s="450" t="s">
        <v>115</v>
      </c>
      <c r="W193" s="450"/>
      <c r="X193" s="450" t="s">
        <v>248</v>
      </c>
      <c r="Y193" s="450"/>
      <c r="Z193" s="450" t="s">
        <v>115</v>
      </c>
      <c r="AA193" s="450"/>
      <c r="AB193" s="450" t="s">
        <v>248</v>
      </c>
      <c r="AF193" s="474"/>
      <c r="AG193" s="475"/>
      <c r="AH193" s="475"/>
      <c r="AI193" s="475"/>
      <c r="AJ193" s="475"/>
      <c r="AK193" s="476"/>
    </row>
    <row r="194" spans="1:37">
      <c r="A194" s="467"/>
      <c r="B194" s="450"/>
      <c r="C194" s="450"/>
      <c r="D194" s="450"/>
      <c r="E194" s="450"/>
      <c r="F194" s="450"/>
      <c r="G194" s="450"/>
      <c r="H194" s="450"/>
      <c r="I194" s="450"/>
      <c r="J194" s="450"/>
      <c r="K194" s="450"/>
      <c r="L194" s="450"/>
      <c r="M194" s="450"/>
      <c r="N194" s="450"/>
      <c r="O194" s="450"/>
      <c r="P194" s="450"/>
      <c r="Q194" s="450"/>
      <c r="R194" s="450"/>
      <c r="S194" s="450"/>
      <c r="T194" s="450"/>
      <c r="U194" s="450"/>
      <c r="V194" s="450"/>
      <c r="W194" s="450"/>
      <c r="X194" s="450"/>
      <c r="Y194" s="450"/>
      <c r="Z194" s="450"/>
      <c r="AA194" s="450"/>
      <c r="AB194" s="450"/>
      <c r="AF194" s="474"/>
      <c r="AG194" s="475"/>
      <c r="AH194" s="475"/>
      <c r="AI194" s="475"/>
      <c r="AJ194" s="475"/>
      <c r="AK194" s="476"/>
    </row>
    <row r="195" spans="1:37">
      <c r="A195" s="467"/>
      <c r="C195" s="473"/>
      <c r="E195" s="473"/>
      <c r="G195" s="473"/>
      <c r="I195" s="473"/>
      <c r="K195" s="473"/>
      <c r="M195" s="473"/>
      <c r="O195" s="473"/>
      <c r="Q195" s="473"/>
      <c r="S195" s="473"/>
      <c r="U195" s="473"/>
      <c r="W195" s="473"/>
      <c r="Y195" s="473"/>
      <c r="AA195" s="473"/>
      <c r="AF195" s="474"/>
      <c r="AG195" s="475"/>
      <c r="AH195" s="475"/>
      <c r="AI195" s="475"/>
      <c r="AJ195" s="475"/>
      <c r="AK195" s="476"/>
    </row>
    <row r="196" spans="1:37" ht="25.5" customHeight="1">
      <c r="A196" s="467"/>
      <c r="B196" s="468" t="s">
        <v>405</v>
      </c>
      <c r="C196" s="443"/>
      <c r="D196" s="468" t="s">
        <v>406</v>
      </c>
      <c r="E196" s="443"/>
      <c r="F196" s="468" t="s">
        <v>290</v>
      </c>
      <c r="G196" s="443"/>
      <c r="H196" s="468" t="s">
        <v>407</v>
      </c>
      <c r="I196" s="443"/>
      <c r="J196" s="468" t="s">
        <v>408</v>
      </c>
      <c r="K196" s="443"/>
      <c r="L196" s="468" t="s">
        <v>409</v>
      </c>
      <c r="M196" s="443"/>
      <c r="N196" s="468" t="s">
        <v>410</v>
      </c>
      <c r="O196" s="443"/>
      <c r="P196" s="468" t="s">
        <v>411</v>
      </c>
      <c r="Q196" s="443"/>
      <c r="R196" s="468" t="s">
        <v>412</v>
      </c>
      <c r="S196" s="443"/>
      <c r="T196" s="468" t="s">
        <v>414</v>
      </c>
      <c r="U196" s="443"/>
      <c r="V196" s="468" t="s">
        <v>1280</v>
      </c>
      <c r="W196" s="443"/>
      <c r="X196" s="468" t="s">
        <v>217</v>
      </c>
      <c r="Y196" s="443"/>
      <c r="Z196" s="468" t="s">
        <v>416</v>
      </c>
      <c r="AA196" s="443"/>
      <c r="AB196" s="468" t="s">
        <v>294</v>
      </c>
      <c r="AF196" s="474"/>
      <c r="AG196" s="475"/>
      <c r="AH196" s="475"/>
      <c r="AI196" s="475"/>
      <c r="AJ196" s="475"/>
      <c r="AK196" s="476"/>
    </row>
    <row r="197" spans="1:37">
      <c r="A197" s="467"/>
      <c r="B197" s="472"/>
      <c r="C197" s="473"/>
      <c r="D197" s="472"/>
      <c r="E197" s="473"/>
      <c r="F197" s="472"/>
      <c r="G197" s="473"/>
      <c r="H197" s="472"/>
      <c r="I197" s="473"/>
      <c r="J197" s="472"/>
      <c r="K197" s="473"/>
      <c r="L197" s="472"/>
      <c r="M197" s="473"/>
      <c r="N197" s="472"/>
      <c r="O197" s="473"/>
      <c r="P197" s="472"/>
      <c r="Q197" s="473"/>
      <c r="R197" s="472"/>
      <c r="S197" s="473"/>
      <c r="T197" s="472"/>
      <c r="U197" s="473"/>
      <c r="V197" s="472"/>
      <c r="W197" s="473"/>
      <c r="X197" s="472"/>
      <c r="Y197" s="473"/>
      <c r="Z197" s="472"/>
      <c r="AA197" s="473"/>
      <c r="AB197" s="472"/>
      <c r="AF197" s="470" t="s">
        <v>1191</v>
      </c>
      <c r="AG197" s="470" t="s">
        <v>354</v>
      </c>
      <c r="AH197" s="470" t="s">
        <v>1192</v>
      </c>
      <c r="AI197" s="470" t="s">
        <v>1193</v>
      </c>
      <c r="AJ197" s="470" t="s">
        <v>303</v>
      </c>
      <c r="AK197" s="471" t="s">
        <v>1194</v>
      </c>
    </row>
    <row r="198" spans="1:37" ht="12.5" thickBot="1">
      <c r="A198" s="467"/>
      <c r="B198" s="444"/>
      <c r="C198" s="473"/>
      <c r="D198" s="444"/>
      <c r="E198" s="473"/>
      <c r="F198" s="444"/>
      <c r="G198" s="473"/>
      <c r="H198" s="444"/>
      <c r="I198" s="473"/>
      <c r="J198" s="444"/>
      <c r="K198" s="473"/>
      <c r="L198" s="444"/>
      <c r="M198" s="473"/>
      <c r="N198" s="444"/>
      <c r="O198" s="473"/>
      <c r="P198" s="444"/>
      <c r="Q198" s="473"/>
      <c r="R198" s="444"/>
      <c r="S198" s="473"/>
      <c r="T198" s="444"/>
      <c r="U198" s="473"/>
      <c r="V198" s="444"/>
      <c r="W198" s="473"/>
      <c r="X198" s="444"/>
      <c r="Y198" s="473"/>
      <c r="Z198" s="444"/>
      <c r="AA198" s="473"/>
      <c r="AB198" s="444"/>
      <c r="AF198" s="474"/>
      <c r="AG198" s="475"/>
      <c r="AH198" s="475"/>
      <c r="AI198" s="475"/>
      <c r="AJ198" s="475"/>
      <c r="AK198" s="476"/>
    </row>
    <row r="199" spans="1:37" ht="43.5" customHeight="1" thickBot="1">
      <c r="A199" s="467"/>
      <c r="B199" s="446"/>
      <c r="C199" s="477">
        <v>386.73500000000001</v>
      </c>
      <c r="D199" s="447"/>
      <c r="E199" s="477">
        <v>378.62400000000002</v>
      </c>
      <c r="F199" s="447"/>
      <c r="G199" s="477">
        <v>350.21499999999997</v>
      </c>
      <c r="H199" s="446"/>
      <c r="I199" s="477">
        <v>357.90600000000001</v>
      </c>
      <c r="J199" s="446"/>
      <c r="K199" s="477">
        <v>237.476</v>
      </c>
      <c r="L199" s="446"/>
      <c r="M199" s="477">
        <v>440.03</v>
      </c>
      <c r="N199" s="446"/>
      <c r="O199" s="477">
        <v>503.74</v>
      </c>
      <c r="P199" s="446" t="s">
        <v>1376</v>
      </c>
      <c r="Q199" s="477">
        <v>437</v>
      </c>
      <c r="R199" s="446" t="s">
        <v>390</v>
      </c>
      <c r="S199" s="477">
        <v>430</v>
      </c>
      <c r="T199" s="447"/>
      <c r="U199" s="477">
        <v>409.27300000000002</v>
      </c>
      <c r="V199" s="447"/>
      <c r="W199" s="477">
        <v>312.44600000000003</v>
      </c>
      <c r="X199" s="447"/>
      <c r="Y199" s="477">
        <v>314.24700000000001</v>
      </c>
      <c r="Z199" s="447"/>
      <c r="AA199" s="477">
        <v>361.96</v>
      </c>
      <c r="AB199" s="447"/>
      <c r="AC199" s="483">
        <v>329.48599999999999</v>
      </c>
      <c r="AF199" s="470">
        <v>14</v>
      </c>
      <c r="AG199" s="470">
        <v>2</v>
      </c>
      <c r="AH199" s="470">
        <v>2</v>
      </c>
      <c r="AI199" s="470"/>
      <c r="AJ199" s="470"/>
      <c r="AK199" s="471"/>
    </row>
    <row r="200" spans="1:37" ht="12.5" thickBot="1">
      <c r="A200" s="467"/>
      <c r="B200" s="479"/>
      <c r="C200" s="473"/>
      <c r="D200" s="479"/>
      <c r="E200" s="473"/>
      <c r="F200" s="479"/>
      <c r="G200" s="473"/>
      <c r="H200" s="479"/>
      <c r="I200" s="473"/>
      <c r="J200" s="479"/>
      <c r="K200" s="473"/>
      <c r="L200" s="479"/>
      <c r="M200" s="473"/>
      <c r="N200" s="479"/>
      <c r="O200" s="473"/>
      <c r="P200" s="479"/>
      <c r="Q200" s="473"/>
      <c r="R200" s="479"/>
      <c r="S200" s="473"/>
      <c r="T200" s="479"/>
      <c r="U200" s="473"/>
      <c r="V200" s="479"/>
      <c r="W200" s="473"/>
      <c r="X200" s="479"/>
      <c r="Y200" s="473"/>
      <c r="Z200" s="479"/>
      <c r="AA200" s="473"/>
      <c r="AB200" s="479"/>
      <c r="AF200" s="474"/>
      <c r="AG200" s="475"/>
      <c r="AH200" s="475"/>
      <c r="AI200" s="475"/>
      <c r="AJ200" s="475"/>
      <c r="AK200" s="476"/>
    </row>
    <row r="201" spans="1:37">
      <c r="A201" s="467"/>
      <c r="B201" s="450" t="s">
        <v>125</v>
      </c>
      <c r="C201" s="450"/>
      <c r="D201" s="450" t="s">
        <v>182</v>
      </c>
      <c r="E201" s="450"/>
      <c r="F201" s="450" t="s">
        <v>182</v>
      </c>
      <c r="G201" s="450"/>
      <c r="H201" s="450" t="s">
        <v>182</v>
      </c>
      <c r="I201" s="450"/>
      <c r="J201" s="450" t="s">
        <v>115</v>
      </c>
      <c r="K201" s="450"/>
      <c r="L201" s="450" t="s">
        <v>115</v>
      </c>
      <c r="M201" s="450"/>
      <c r="N201" s="450" t="s">
        <v>167</v>
      </c>
      <c r="O201" s="450"/>
      <c r="P201" s="450" t="s">
        <v>167</v>
      </c>
      <c r="Q201" s="450"/>
      <c r="R201" s="450" t="s">
        <v>119</v>
      </c>
      <c r="S201" s="450"/>
      <c r="T201" s="450" t="s">
        <v>248</v>
      </c>
      <c r="U201" s="450"/>
      <c r="V201" s="450" t="s">
        <v>119</v>
      </c>
      <c r="W201" s="450"/>
      <c r="X201" s="450" t="s">
        <v>182</v>
      </c>
      <c r="Y201" s="450"/>
      <c r="Z201" s="450" t="s">
        <v>115</v>
      </c>
      <c r="AA201" s="450"/>
      <c r="AB201" s="450" t="s">
        <v>182</v>
      </c>
      <c r="AF201" s="474"/>
      <c r="AG201" s="475"/>
      <c r="AH201" s="475"/>
      <c r="AI201" s="475"/>
      <c r="AJ201" s="475"/>
      <c r="AK201" s="476"/>
    </row>
    <row r="202" spans="1:37">
      <c r="A202" s="467"/>
      <c r="B202" s="450"/>
      <c r="C202" s="450"/>
      <c r="D202" s="450"/>
      <c r="E202" s="450"/>
      <c r="F202" s="450"/>
      <c r="G202" s="450"/>
      <c r="H202" s="450"/>
      <c r="I202" s="450"/>
      <c r="J202" s="450"/>
      <c r="K202" s="450"/>
      <c r="L202" s="450"/>
      <c r="M202" s="450"/>
      <c r="N202" s="450"/>
      <c r="O202" s="450"/>
      <c r="P202" s="450"/>
      <c r="Q202" s="450"/>
      <c r="R202" s="450"/>
      <c r="S202" s="450"/>
      <c r="T202" s="450"/>
      <c r="U202" s="450"/>
      <c r="V202" s="450"/>
      <c r="W202" s="450"/>
      <c r="X202" s="450"/>
      <c r="Y202" s="450"/>
      <c r="Z202" s="450"/>
      <c r="AA202" s="450"/>
      <c r="AB202" s="450"/>
      <c r="AF202" s="474"/>
      <c r="AG202" s="475"/>
      <c r="AH202" s="475"/>
      <c r="AI202" s="475"/>
      <c r="AJ202" s="475"/>
      <c r="AK202" s="476"/>
    </row>
    <row r="203" spans="1:37">
      <c r="A203" s="467"/>
      <c r="C203" s="450"/>
      <c r="E203" s="450"/>
      <c r="G203" s="473"/>
      <c r="I203" s="473"/>
      <c r="K203" s="473"/>
      <c r="M203" s="473"/>
      <c r="O203" s="473"/>
      <c r="Q203" s="473"/>
      <c r="S203" s="473"/>
      <c r="U203" s="473"/>
      <c r="W203" s="473"/>
      <c r="Y203" s="473"/>
      <c r="AA203" s="473"/>
      <c r="AF203" s="474"/>
      <c r="AG203" s="475"/>
      <c r="AH203" s="475"/>
      <c r="AI203" s="475"/>
      <c r="AJ203" s="475"/>
      <c r="AK203" s="476"/>
    </row>
    <row r="204" spans="1:37">
      <c r="A204" s="467"/>
      <c r="B204" s="468" t="s">
        <v>276</v>
      </c>
      <c r="C204" s="443"/>
      <c r="D204" s="468" t="s">
        <v>417</v>
      </c>
      <c r="E204" s="443"/>
      <c r="F204" s="468" t="s">
        <v>418</v>
      </c>
      <c r="G204" s="443"/>
      <c r="H204" s="468" t="s">
        <v>419</v>
      </c>
      <c r="I204" s="443"/>
      <c r="J204" s="468" t="s">
        <v>169</v>
      </c>
      <c r="K204" s="443"/>
      <c r="L204" s="468" t="s">
        <v>1281</v>
      </c>
      <c r="M204" s="443"/>
      <c r="N204" s="468" t="s">
        <v>289</v>
      </c>
      <c r="O204" s="443"/>
      <c r="P204" s="468" t="s">
        <v>1282</v>
      </c>
      <c r="Q204" s="443"/>
      <c r="R204" s="468" t="s">
        <v>423</v>
      </c>
      <c r="S204" s="443"/>
      <c r="T204" s="468" t="s">
        <v>424</v>
      </c>
      <c r="U204" s="443"/>
      <c r="V204" s="468" t="s">
        <v>718</v>
      </c>
      <c r="W204" s="468"/>
      <c r="X204" s="468" t="s">
        <v>279</v>
      </c>
      <c r="Y204" s="468"/>
      <c r="Z204" s="468" t="s">
        <v>426</v>
      </c>
      <c r="AA204" s="468"/>
      <c r="AB204" s="468" t="s">
        <v>427</v>
      </c>
      <c r="AF204" s="474"/>
      <c r="AG204" s="475"/>
      <c r="AH204" s="475"/>
      <c r="AI204" s="475"/>
      <c r="AJ204" s="475"/>
      <c r="AK204" s="476"/>
    </row>
    <row r="205" spans="1:37">
      <c r="A205" s="467"/>
      <c r="B205" s="472"/>
      <c r="C205" s="473"/>
      <c r="D205" s="472"/>
      <c r="E205" s="473"/>
      <c r="F205" s="472"/>
      <c r="G205" s="473"/>
      <c r="H205" s="472"/>
      <c r="I205" s="473"/>
      <c r="J205" s="472"/>
      <c r="K205" s="473"/>
      <c r="L205" s="472"/>
      <c r="M205" s="473"/>
      <c r="N205" s="472"/>
      <c r="O205" s="473"/>
      <c r="P205" s="472"/>
      <c r="Q205" s="473"/>
      <c r="R205" s="472"/>
      <c r="S205" s="473"/>
      <c r="T205" s="472"/>
      <c r="U205" s="473"/>
      <c r="V205" s="472"/>
      <c r="W205" s="473"/>
      <c r="X205" s="472"/>
      <c r="Y205" s="473"/>
      <c r="Z205" s="472"/>
      <c r="AA205" s="473"/>
      <c r="AB205" s="472"/>
      <c r="AF205" s="470" t="s">
        <v>1191</v>
      </c>
      <c r="AG205" s="470" t="s">
        <v>354</v>
      </c>
      <c r="AH205" s="470" t="s">
        <v>1192</v>
      </c>
      <c r="AI205" s="470" t="s">
        <v>1193</v>
      </c>
      <c r="AJ205" s="470" t="s">
        <v>303</v>
      </c>
      <c r="AK205" s="471" t="s">
        <v>1194</v>
      </c>
    </row>
    <row r="206" spans="1:37" ht="12.5" thickBot="1">
      <c r="A206" s="467"/>
      <c r="B206" s="444"/>
      <c r="C206" s="473"/>
      <c r="D206" s="444"/>
      <c r="E206" s="473"/>
      <c r="F206" s="444"/>
      <c r="G206" s="473"/>
      <c r="H206" s="444"/>
      <c r="I206" s="473"/>
      <c r="J206" s="444"/>
      <c r="K206" s="473"/>
      <c r="L206" s="444"/>
      <c r="M206" s="473"/>
      <c r="N206" s="444"/>
      <c r="O206" s="473"/>
      <c r="P206" s="444"/>
      <c r="Q206" s="473"/>
      <c r="R206" s="444"/>
      <c r="S206" s="473"/>
      <c r="T206" s="444"/>
      <c r="U206" s="473"/>
      <c r="V206" s="444"/>
      <c r="W206" s="473"/>
      <c r="X206" s="444"/>
      <c r="Y206" s="473"/>
      <c r="Z206" s="444"/>
      <c r="AA206" s="473"/>
      <c r="AB206" s="444"/>
      <c r="AF206" s="474"/>
      <c r="AG206" s="475"/>
      <c r="AH206" s="475"/>
      <c r="AI206" s="475"/>
      <c r="AJ206" s="475"/>
      <c r="AK206" s="476"/>
    </row>
    <row r="207" spans="1:37" ht="42.75" customHeight="1" thickBot="1">
      <c r="A207" s="467"/>
      <c r="B207" s="447"/>
      <c r="C207" s="477">
        <v>371.327</v>
      </c>
      <c r="D207" s="447"/>
      <c r="E207" s="477">
        <v>417.91699999999997</v>
      </c>
      <c r="F207" s="446"/>
      <c r="G207" s="477">
        <v>376.988</v>
      </c>
      <c r="H207" s="446" t="s">
        <v>390</v>
      </c>
      <c r="I207" s="477">
        <v>343.79700000000003</v>
      </c>
      <c r="J207" s="447"/>
      <c r="K207" s="477">
        <v>318.69600000000003</v>
      </c>
      <c r="L207" s="447"/>
      <c r="M207" s="477">
        <v>308</v>
      </c>
      <c r="N207" s="447"/>
      <c r="O207" s="477">
        <v>324.87400000000002</v>
      </c>
      <c r="P207" s="446" t="s">
        <v>390</v>
      </c>
      <c r="Q207" s="477">
        <v>365.39100000000002</v>
      </c>
      <c r="R207" s="446"/>
      <c r="S207" s="477">
        <v>269.52499999999998</v>
      </c>
      <c r="T207" s="446"/>
      <c r="U207" s="477">
        <v>350.32600000000002</v>
      </c>
      <c r="V207" s="446"/>
      <c r="W207" s="477">
        <v>414</v>
      </c>
      <c r="X207" s="447"/>
      <c r="Y207" s="477">
        <v>424</v>
      </c>
      <c r="Z207" s="447"/>
      <c r="AA207" s="477">
        <v>405</v>
      </c>
      <c r="AB207" s="446"/>
      <c r="AC207" s="455">
        <v>426</v>
      </c>
      <c r="AF207" s="470">
        <v>14</v>
      </c>
      <c r="AG207" s="470">
        <v>4</v>
      </c>
      <c r="AH207" s="470">
        <v>2</v>
      </c>
      <c r="AI207" s="470"/>
      <c r="AJ207" s="470"/>
      <c r="AK207" s="471"/>
    </row>
    <row r="208" spans="1:37" ht="16.5" customHeight="1" thickBot="1">
      <c r="A208" s="467"/>
      <c r="B208" s="479"/>
      <c r="C208" s="473"/>
      <c r="D208" s="479"/>
      <c r="E208" s="473"/>
      <c r="F208" s="479"/>
      <c r="G208" s="473"/>
      <c r="H208" s="568" t="s">
        <v>228</v>
      </c>
      <c r="I208" s="473"/>
      <c r="J208" s="479"/>
      <c r="K208" s="473"/>
      <c r="L208" s="479"/>
      <c r="M208" s="473"/>
      <c r="N208" s="479"/>
      <c r="O208" s="473"/>
      <c r="P208" s="568" t="s">
        <v>228</v>
      </c>
      <c r="R208" s="479"/>
      <c r="T208" s="479"/>
      <c r="V208" s="479"/>
      <c r="X208" s="479"/>
      <c r="Z208" s="479"/>
      <c r="AB208" s="479"/>
      <c r="AF208" s="474"/>
      <c r="AG208" s="475"/>
      <c r="AH208" s="475"/>
      <c r="AI208" s="475"/>
      <c r="AJ208" s="475"/>
      <c r="AK208" s="476"/>
    </row>
    <row r="209" spans="1:37" ht="18" customHeight="1">
      <c r="A209" s="467"/>
      <c r="B209" s="450" t="s">
        <v>182</v>
      </c>
      <c r="C209" s="450"/>
      <c r="D209" s="450" t="s">
        <v>115</v>
      </c>
      <c r="E209" s="450"/>
      <c r="F209" s="450" t="s">
        <v>185</v>
      </c>
      <c r="G209" s="450"/>
      <c r="H209" s="450" t="s">
        <v>115</v>
      </c>
      <c r="I209" s="450"/>
      <c r="J209" s="450" t="s">
        <v>182</v>
      </c>
      <c r="K209" s="450"/>
      <c r="L209" s="450" t="s">
        <v>115</v>
      </c>
      <c r="M209" s="450"/>
      <c r="N209" s="450" t="s">
        <v>182</v>
      </c>
      <c r="O209" s="450"/>
      <c r="P209" s="450" t="s">
        <v>125</v>
      </c>
      <c r="Q209" s="450"/>
      <c r="R209" s="450" t="s">
        <v>182</v>
      </c>
      <c r="S209" s="450"/>
      <c r="T209" s="450" t="s">
        <v>170</v>
      </c>
      <c r="U209" s="450"/>
      <c r="V209" s="450" t="s">
        <v>115</v>
      </c>
      <c r="W209" s="450"/>
      <c r="X209" s="450" t="s">
        <v>242</v>
      </c>
      <c r="Y209" s="450"/>
      <c r="Z209" s="450" t="s">
        <v>182</v>
      </c>
      <c r="AA209" s="450"/>
      <c r="AB209" s="450" t="s">
        <v>185</v>
      </c>
      <c r="AF209" s="474"/>
      <c r="AG209" s="475"/>
      <c r="AH209" s="475"/>
      <c r="AI209" s="475"/>
      <c r="AJ209" s="475"/>
      <c r="AK209" s="476"/>
    </row>
    <row r="210" spans="1:37" ht="17.399999999999999" customHeight="1">
      <c r="A210" s="467"/>
      <c r="B210" s="450"/>
      <c r="C210" s="450"/>
      <c r="D210" s="450"/>
      <c r="E210" s="450"/>
      <c r="F210" s="450" t="s">
        <v>1277</v>
      </c>
      <c r="G210" s="473"/>
      <c r="H210" s="473"/>
      <c r="I210" s="473"/>
      <c r="J210" s="473"/>
      <c r="K210" s="473"/>
      <c r="L210" s="473"/>
      <c r="M210" s="473"/>
      <c r="N210" s="473"/>
      <c r="O210" s="473"/>
      <c r="P210" s="473"/>
      <c r="Q210" s="473"/>
      <c r="R210" s="450" t="s">
        <v>1277</v>
      </c>
      <c r="S210" s="473"/>
      <c r="T210" s="473"/>
      <c r="U210" s="473"/>
      <c r="V210" s="473"/>
      <c r="W210" s="473"/>
      <c r="X210" s="473"/>
      <c r="Y210" s="473"/>
      <c r="Z210" s="473"/>
      <c r="AA210" s="473"/>
      <c r="AB210" s="450" t="s">
        <v>1276</v>
      </c>
      <c r="AF210" s="474"/>
      <c r="AG210" s="475"/>
      <c r="AH210" s="475"/>
      <c r="AI210" s="475"/>
      <c r="AJ210" s="475"/>
      <c r="AK210" s="476"/>
    </row>
    <row r="211" spans="1:37">
      <c r="A211" s="467"/>
      <c r="C211" s="450"/>
      <c r="E211" s="450"/>
      <c r="G211" s="473"/>
      <c r="I211" s="473"/>
      <c r="K211" s="473"/>
      <c r="M211" s="473"/>
      <c r="O211" s="473"/>
      <c r="AF211" s="474"/>
      <c r="AG211" s="475"/>
      <c r="AH211" s="475"/>
      <c r="AI211" s="475"/>
      <c r="AJ211" s="475"/>
      <c r="AK211" s="476"/>
    </row>
    <row r="212" spans="1:37">
      <c r="A212" s="467"/>
      <c r="B212" s="468" t="s">
        <v>428</v>
      </c>
      <c r="C212" s="468"/>
      <c r="D212" s="468" t="s">
        <v>171</v>
      </c>
      <c r="E212" s="468"/>
      <c r="F212" s="468" t="s">
        <v>1328</v>
      </c>
      <c r="G212" s="468"/>
      <c r="H212" s="468" t="s">
        <v>1329</v>
      </c>
      <c r="I212" s="468"/>
      <c r="J212" s="468" t="s">
        <v>1330</v>
      </c>
      <c r="K212" s="468"/>
      <c r="L212" s="468" t="s">
        <v>1331</v>
      </c>
      <c r="M212" s="468"/>
      <c r="N212" s="468" t="s">
        <v>434</v>
      </c>
      <c r="O212" s="443"/>
      <c r="P212" s="468" t="s">
        <v>435</v>
      </c>
      <c r="R212" s="468" t="s">
        <v>436</v>
      </c>
      <c r="T212" s="468" t="s">
        <v>437</v>
      </c>
      <c r="V212" s="468" t="s">
        <v>438</v>
      </c>
      <c r="X212" s="468" t="s">
        <v>439</v>
      </c>
      <c r="Z212" s="468" t="s">
        <v>440</v>
      </c>
      <c r="AB212" s="468" t="s">
        <v>441</v>
      </c>
      <c r="AF212" s="474"/>
      <c r="AG212" s="475"/>
      <c r="AH212" s="475"/>
      <c r="AI212" s="475"/>
      <c r="AJ212" s="475"/>
      <c r="AK212" s="476"/>
    </row>
    <row r="213" spans="1:37">
      <c r="A213" s="467"/>
      <c r="B213" s="472"/>
      <c r="C213" s="473"/>
      <c r="D213" s="472"/>
      <c r="E213" s="473"/>
      <c r="F213" s="472"/>
      <c r="G213" s="473"/>
      <c r="H213" s="472"/>
      <c r="I213" s="473"/>
      <c r="J213" s="472"/>
      <c r="K213" s="473"/>
      <c r="L213" s="472"/>
      <c r="M213" s="473"/>
      <c r="N213" s="472"/>
      <c r="O213" s="473"/>
      <c r="P213" s="472"/>
      <c r="R213" s="472"/>
      <c r="S213" s="473"/>
      <c r="T213" s="472"/>
      <c r="U213" s="473"/>
      <c r="V213" s="472"/>
      <c r="W213" s="473"/>
      <c r="X213" s="472"/>
      <c r="Y213" s="473"/>
      <c r="Z213" s="472"/>
      <c r="AA213" s="473"/>
      <c r="AB213" s="472"/>
      <c r="AF213" s="470" t="s">
        <v>1191</v>
      </c>
      <c r="AG213" s="470" t="s">
        <v>354</v>
      </c>
      <c r="AH213" s="470" t="s">
        <v>1192</v>
      </c>
      <c r="AI213" s="470" t="s">
        <v>1193</v>
      </c>
      <c r="AJ213" s="470" t="s">
        <v>303</v>
      </c>
      <c r="AK213" s="471" t="s">
        <v>1194</v>
      </c>
    </row>
    <row r="214" spans="1:37" ht="16.5" customHeight="1" thickBot="1">
      <c r="A214" s="467"/>
      <c r="B214" s="444"/>
      <c r="C214" s="473"/>
      <c r="D214" s="444"/>
      <c r="E214" s="473"/>
      <c r="F214" s="444"/>
      <c r="G214" s="473"/>
      <c r="H214" s="444"/>
      <c r="I214" s="473"/>
      <c r="J214" s="444"/>
      <c r="K214" s="473"/>
      <c r="L214" s="444"/>
      <c r="M214" s="473"/>
      <c r="N214" s="444"/>
      <c r="O214" s="473"/>
      <c r="P214" s="444"/>
      <c r="R214" s="444"/>
      <c r="S214" s="473"/>
      <c r="T214" s="444"/>
      <c r="U214" s="473"/>
      <c r="V214" s="444"/>
      <c r="W214" s="473"/>
      <c r="X214" s="444"/>
      <c r="Y214" s="473"/>
      <c r="Z214" s="444"/>
      <c r="AA214" s="473"/>
      <c r="AB214" s="444"/>
      <c r="AF214" s="474"/>
      <c r="AG214" s="475"/>
      <c r="AH214" s="475"/>
      <c r="AI214" s="475"/>
      <c r="AJ214" s="475"/>
      <c r="AK214" s="476"/>
    </row>
    <row r="215" spans="1:37" ht="42.75" customHeight="1" thickBot="1">
      <c r="A215" s="467"/>
      <c r="B215" s="446"/>
      <c r="C215" s="477">
        <v>410</v>
      </c>
      <c r="D215" s="446"/>
      <c r="E215" s="477">
        <v>421</v>
      </c>
      <c r="F215" s="446"/>
      <c r="G215" s="477">
        <v>407.60700000000003</v>
      </c>
      <c r="H215" s="446"/>
      <c r="I215" s="477">
        <v>364.36399999999998</v>
      </c>
      <c r="J215" s="446"/>
      <c r="K215" s="477">
        <v>332.44799999999998</v>
      </c>
      <c r="L215" s="447"/>
      <c r="M215" s="477">
        <v>348.85300000000001</v>
      </c>
      <c r="N215" s="446"/>
      <c r="O215" s="477">
        <v>387.34800000000001</v>
      </c>
      <c r="P215" s="447"/>
      <c r="Q215" s="477">
        <v>452.637</v>
      </c>
      <c r="R215" s="446"/>
      <c r="S215" s="477">
        <v>386.95699999999999</v>
      </c>
      <c r="T215" s="446"/>
      <c r="U215" s="477">
        <v>382.14299999999997</v>
      </c>
      <c r="V215" s="446"/>
      <c r="W215" s="477">
        <v>336.46899999999999</v>
      </c>
      <c r="X215" s="446"/>
      <c r="Y215" s="477">
        <v>389.14</v>
      </c>
      <c r="Z215" s="446"/>
      <c r="AA215" s="477">
        <v>334.55399999999997</v>
      </c>
      <c r="AB215" s="446"/>
      <c r="AC215" s="477">
        <v>396.19799999999998</v>
      </c>
      <c r="AF215" s="470">
        <v>14</v>
      </c>
      <c r="AG215" s="470"/>
      <c r="AH215" s="470"/>
      <c r="AI215" s="470"/>
      <c r="AJ215" s="470"/>
      <c r="AK215" s="471"/>
    </row>
    <row r="216" spans="1:37" ht="16.5" customHeight="1" thickBot="1">
      <c r="A216" s="467"/>
      <c r="B216" s="479"/>
      <c r="D216" s="479"/>
      <c r="F216" s="479"/>
      <c r="H216" s="479"/>
      <c r="J216" s="479"/>
      <c r="L216" s="479"/>
      <c r="N216" s="479"/>
      <c r="P216" s="479"/>
      <c r="R216" s="479"/>
      <c r="T216" s="479"/>
      <c r="V216" s="479"/>
      <c r="X216" s="479"/>
      <c r="Z216" s="479"/>
      <c r="AB216" s="479"/>
      <c r="AF216" s="474"/>
      <c r="AG216" s="475"/>
      <c r="AH216" s="475"/>
      <c r="AI216" s="475"/>
      <c r="AJ216" s="475"/>
      <c r="AK216" s="476"/>
    </row>
    <row r="217" spans="1:37">
      <c r="A217" s="467"/>
      <c r="B217" s="450" t="s">
        <v>185</v>
      </c>
      <c r="C217" s="450"/>
      <c r="D217" s="450" t="s">
        <v>167</v>
      </c>
      <c r="E217" s="450"/>
      <c r="F217" s="450" t="s">
        <v>125</v>
      </c>
      <c r="G217" s="450"/>
      <c r="H217" s="450" t="s">
        <v>125</v>
      </c>
      <c r="I217" s="450"/>
      <c r="J217" s="450" t="s">
        <v>242</v>
      </c>
      <c r="K217" s="450"/>
      <c r="L217" s="450" t="s">
        <v>185</v>
      </c>
      <c r="M217" s="450"/>
      <c r="N217" s="450" t="s">
        <v>115</v>
      </c>
      <c r="O217" s="473"/>
      <c r="P217" s="450" t="s">
        <v>242</v>
      </c>
      <c r="R217" s="450" t="s">
        <v>125</v>
      </c>
      <c r="T217" s="450" t="s">
        <v>143</v>
      </c>
      <c r="V217" s="450" t="s">
        <v>182</v>
      </c>
      <c r="X217" s="450" t="s">
        <v>182</v>
      </c>
      <c r="Z217" s="450" t="s">
        <v>115</v>
      </c>
      <c r="AB217" s="450" t="s">
        <v>242</v>
      </c>
      <c r="AF217" s="474"/>
      <c r="AG217" s="475"/>
      <c r="AH217" s="475"/>
      <c r="AI217" s="475"/>
      <c r="AJ217" s="475"/>
      <c r="AK217" s="476"/>
    </row>
    <row r="218" spans="1:37" ht="14.4" customHeight="1">
      <c r="A218" s="467"/>
      <c r="AF218" s="474"/>
      <c r="AG218" s="475"/>
      <c r="AH218" s="475"/>
      <c r="AI218" s="475"/>
      <c r="AJ218" s="475"/>
      <c r="AK218" s="476"/>
    </row>
    <row r="219" spans="1:37" ht="26" customHeight="1">
      <c r="A219" s="467"/>
      <c r="AF219" s="474"/>
      <c r="AG219" s="475"/>
      <c r="AH219" s="475"/>
      <c r="AI219" s="475"/>
      <c r="AJ219" s="475"/>
      <c r="AK219" s="476"/>
    </row>
    <row r="220" spans="1:37">
      <c r="A220" s="467"/>
      <c r="B220" s="468" t="s">
        <v>443</v>
      </c>
      <c r="C220" s="443"/>
      <c r="D220" s="468" t="s">
        <v>444</v>
      </c>
      <c r="E220" s="443"/>
      <c r="F220" s="468" t="s">
        <v>445</v>
      </c>
      <c r="G220" s="443"/>
      <c r="H220" s="468" t="s">
        <v>446</v>
      </c>
      <c r="I220" s="443"/>
      <c r="J220" s="468" t="s">
        <v>447</v>
      </c>
      <c r="K220" s="443"/>
      <c r="L220" s="468" t="s">
        <v>448</v>
      </c>
      <c r="M220" s="468"/>
      <c r="N220" s="468" t="s">
        <v>449</v>
      </c>
      <c r="O220" s="443"/>
      <c r="P220" s="468" t="s">
        <v>450</v>
      </c>
      <c r="R220" s="468" t="s">
        <v>451</v>
      </c>
      <c r="T220" s="468" t="s">
        <v>452</v>
      </c>
      <c r="V220" s="468" t="s">
        <v>728</v>
      </c>
      <c r="X220" s="468" t="s">
        <v>455</v>
      </c>
      <c r="Z220" s="468" t="s">
        <v>456</v>
      </c>
      <c r="AB220" s="468" t="s">
        <v>457</v>
      </c>
      <c r="AF220" s="474"/>
      <c r="AG220" s="475"/>
      <c r="AH220" s="475"/>
      <c r="AI220" s="475"/>
      <c r="AJ220" s="475"/>
      <c r="AK220" s="476"/>
    </row>
    <row r="221" spans="1:37">
      <c r="A221" s="467"/>
      <c r="B221" s="472"/>
      <c r="C221" s="473"/>
      <c r="D221" s="472"/>
      <c r="E221" s="473"/>
      <c r="F221" s="472"/>
      <c r="G221" s="473"/>
      <c r="H221" s="472"/>
      <c r="I221" s="473"/>
      <c r="J221" s="472"/>
      <c r="K221" s="473"/>
      <c r="L221" s="472"/>
      <c r="M221" s="473"/>
      <c r="N221" s="472"/>
      <c r="O221" s="473"/>
      <c r="P221" s="472"/>
      <c r="R221" s="472"/>
      <c r="S221" s="473"/>
      <c r="T221" s="472"/>
      <c r="U221" s="473"/>
      <c r="V221" s="472"/>
      <c r="W221" s="473"/>
      <c r="X221" s="472"/>
      <c r="Y221" s="473"/>
      <c r="Z221" s="472"/>
      <c r="AA221" s="473"/>
      <c r="AB221" s="472"/>
      <c r="AF221" s="470" t="s">
        <v>1191</v>
      </c>
      <c r="AG221" s="470" t="s">
        <v>354</v>
      </c>
      <c r="AH221" s="470" t="s">
        <v>1192</v>
      </c>
      <c r="AI221" s="470" t="s">
        <v>1193</v>
      </c>
      <c r="AJ221" s="470" t="s">
        <v>303</v>
      </c>
      <c r="AK221" s="471" t="s">
        <v>1194</v>
      </c>
    </row>
    <row r="222" spans="1:37" ht="16.5" customHeight="1" thickBot="1">
      <c r="A222" s="467"/>
      <c r="B222" s="444"/>
      <c r="C222" s="473"/>
      <c r="D222" s="444"/>
      <c r="E222" s="473"/>
      <c r="F222" s="444"/>
      <c r="G222" s="473"/>
      <c r="H222" s="444"/>
      <c r="I222" s="473"/>
      <c r="J222" s="444"/>
      <c r="K222" s="473"/>
      <c r="L222" s="444"/>
      <c r="M222" s="473"/>
      <c r="N222" s="444"/>
      <c r="O222" s="473"/>
      <c r="P222" s="444"/>
      <c r="R222" s="444"/>
      <c r="S222" s="473"/>
      <c r="T222" s="444"/>
      <c r="U222" s="473"/>
      <c r="V222" s="444"/>
      <c r="W222" s="473"/>
      <c r="X222" s="444"/>
      <c r="Y222" s="473"/>
      <c r="Z222" s="444"/>
      <c r="AA222" s="473"/>
      <c r="AB222" s="444"/>
      <c r="AF222" s="474"/>
      <c r="AG222" s="475"/>
      <c r="AH222" s="475"/>
      <c r="AI222" s="475"/>
      <c r="AJ222" s="475"/>
      <c r="AK222" s="476"/>
    </row>
    <row r="223" spans="1:37" ht="42.75" customHeight="1" thickBot="1">
      <c r="A223" s="467"/>
      <c r="B223" s="446"/>
      <c r="C223" s="477">
        <v>233.292</v>
      </c>
      <c r="D223" s="446"/>
      <c r="E223" s="477">
        <v>467.18900000000002</v>
      </c>
      <c r="F223" s="446"/>
      <c r="G223" s="477">
        <v>423.01799999999997</v>
      </c>
      <c r="H223" s="447"/>
      <c r="I223" s="477">
        <v>248.691</v>
      </c>
      <c r="J223" s="447"/>
      <c r="K223" s="477">
        <v>282.02499999999998</v>
      </c>
      <c r="L223" s="447"/>
      <c r="M223" s="477">
        <v>398</v>
      </c>
      <c r="N223" s="447"/>
      <c r="O223" s="477">
        <v>370.48</v>
      </c>
      <c r="P223" s="446" t="s">
        <v>1376</v>
      </c>
      <c r="Q223" s="477">
        <v>437.33300000000003</v>
      </c>
      <c r="R223" s="446"/>
      <c r="S223" s="477">
        <v>435</v>
      </c>
      <c r="T223" s="446"/>
      <c r="U223" s="477">
        <v>406.61500000000001</v>
      </c>
      <c r="V223" s="446"/>
      <c r="W223" s="477">
        <v>388.49400000000003</v>
      </c>
      <c r="X223" s="446"/>
      <c r="Y223" s="477">
        <v>440.62599999999998</v>
      </c>
      <c r="Z223" s="446"/>
      <c r="AA223" s="477">
        <v>410.34199999999998</v>
      </c>
      <c r="AB223" s="446"/>
      <c r="AC223" s="477">
        <v>444.33100000000002</v>
      </c>
      <c r="AF223" s="470">
        <v>14</v>
      </c>
      <c r="AG223" s="470"/>
      <c r="AH223" s="470"/>
      <c r="AI223" s="470"/>
      <c r="AJ223" s="470"/>
      <c r="AK223" s="471"/>
    </row>
    <row r="224" spans="1:37" ht="16.5" customHeight="1" thickBot="1">
      <c r="A224" s="467"/>
      <c r="B224" s="479"/>
      <c r="D224" s="479"/>
      <c r="F224" s="479"/>
      <c r="H224" s="479"/>
      <c r="J224" s="479"/>
      <c r="L224" s="479"/>
      <c r="N224" s="479"/>
      <c r="P224" s="479"/>
      <c r="R224" s="479"/>
      <c r="T224" s="479"/>
      <c r="V224" s="479"/>
      <c r="X224" s="479"/>
      <c r="Z224" s="479"/>
      <c r="AB224" s="479"/>
      <c r="AF224" s="506"/>
      <c r="AG224" s="475"/>
      <c r="AH224" s="475"/>
      <c r="AI224" s="475"/>
      <c r="AJ224" s="475"/>
      <c r="AK224" s="476"/>
    </row>
    <row r="225" spans="1:37">
      <c r="A225" s="467"/>
      <c r="B225" s="450" t="s">
        <v>125</v>
      </c>
      <c r="C225" s="450"/>
      <c r="D225" s="450" t="s">
        <v>123</v>
      </c>
      <c r="E225" s="450"/>
      <c r="F225" s="450" t="s">
        <v>132</v>
      </c>
      <c r="G225" s="450"/>
      <c r="H225" s="450" t="s">
        <v>182</v>
      </c>
      <c r="I225" s="450"/>
      <c r="J225" s="450" t="s">
        <v>182</v>
      </c>
      <c r="K225" s="450"/>
      <c r="L225" s="450" t="s">
        <v>125</v>
      </c>
      <c r="M225" s="450"/>
      <c r="N225" s="450" t="s">
        <v>185</v>
      </c>
      <c r="O225" s="473"/>
      <c r="P225" s="450" t="s">
        <v>128</v>
      </c>
      <c r="R225" s="450" t="s">
        <v>143</v>
      </c>
      <c r="T225" s="450" t="s">
        <v>248</v>
      </c>
      <c r="V225" s="450" t="s">
        <v>115</v>
      </c>
      <c r="X225" s="450" t="s">
        <v>137</v>
      </c>
      <c r="Z225" s="450" t="s">
        <v>167</v>
      </c>
      <c r="AB225" s="450" t="s">
        <v>115</v>
      </c>
      <c r="AF225" s="474"/>
      <c r="AG225" s="475"/>
      <c r="AH225" s="475"/>
      <c r="AI225" s="475"/>
      <c r="AJ225" s="475"/>
      <c r="AK225" s="476"/>
    </row>
    <row r="226" spans="1:37">
      <c r="B226" s="450"/>
      <c r="C226" s="450"/>
      <c r="D226" s="450" t="s">
        <v>1276</v>
      </c>
      <c r="E226" s="450"/>
      <c r="F226" s="450" t="s">
        <v>1276</v>
      </c>
      <c r="G226" s="450"/>
      <c r="H226" s="450"/>
      <c r="I226" s="450"/>
      <c r="J226" s="450"/>
      <c r="K226" s="450"/>
      <c r="L226" s="450"/>
      <c r="M226" s="450"/>
      <c r="N226" s="450"/>
      <c r="O226" s="473"/>
      <c r="P226" s="450"/>
      <c r="R226" s="450"/>
      <c r="T226" s="450"/>
      <c r="V226" s="450" t="s">
        <v>1277</v>
      </c>
      <c r="X226" s="450"/>
      <c r="Z226" s="450"/>
      <c r="AB226" s="450"/>
      <c r="AF226" s="474"/>
      <c r="AG226" s="475"/>
      <c r="AH226" s="475"/>
      <c r="AI226" s="475"/>
      <c r="AJ226" s="475"/>
      <c r="AK226" s="475"/>
    </row>
    <row r="227" spans="1:37">
      <c r="AF227" s="507"/>
    </row>
    <row r="228" spans="1:37">
      <c r="B228" s="468" t="s">
        <v>458</v>
      </c>
      <c r="D228" s="468" t="s">
        <v>459</v>
      </c>
      <c r="F228" s="468" t="s">
        <v>460</v>
      </c>
      <c r="H228" s="468" t="s">
        <v>461</v>
      </c>
      <c r="J228" s="468" t="s">
        <v>462</v>
      </c>
      <c r="L228" s="468" t="s">
        <v>463</v>
      </c>
      <c r="N228" s="468" t="s">
        <v>464</v>
      </c>
      <c r="P228" s="468" t="s">
        <v>465</v>
      </c>
      <c r="R228" s="468" t="s">
        <v>467</v>
      </c>
      <c r="T228" s="468" t="s">
        <v>468</v>
      </c>
      <c r="V228" s="468" t="s">
        <v>469</v>
      </c>
      <c r="X228" s="468" t="s">
        <v>470</v>
      </c>
      <c r="Z228" s="468" t="s">
        <v>471</v>
      </c>
      <c r="AB228" s="468" t="s">
        <v>472</v>
      </c>
      <c r="AF228" s="507"/>
    </row>
    <row r="229" spans="1:37">
      <c r="A229" s="467"/>
      <c r="B229" s="472"/>
      <c r="C229" s="473"/>
      <c r="D229" s="472"/>
      <c r="E229" s="473"/>
      <c r="F229" s="472"/>
      <c r="G229" s="473"/>
      <c r="H229" s="472"/>
      <c r="I229" s="473"/>
      <c r="J229" s="472"/>
      <c r="K229" s="473"/>
      <c r="L229" s="472"/>
      <c r="M229" s="473"/>
      <c r="N229" s="472"/>
      <c r="O229" s="473"/>
      <c r="P229" s="472"/>
      <c r="R229" s="472"/>
      <c r="S229" s="473"/>
      <c r="T229" s="472"/>
      <c r="U229" s="473"/>
      <c r="V229" s="472"/>
      <c r="W229" s="473"/>
      <c r="X229" s="472"/>
      <c r="Y229" s="473"/>
      <c r="Z229" s="472"/>
      <c r="AA229" s="473"/>
      <c r="AB229" s="472"/>
      <c r="AF229" s="470" t="s">
        <v>1191</v>
      </c>
      <c r="AG229" s="470" t="s">
        <v>354</v>
      </c>
      <c r="AH229" s="470" t="s">
        <v>1192</v>
      </c>
      <c r="AI229" s="470" t="s">
        <v>1193</v>
      </c>
      <c r="AJ229" s="470" t="s">
        <v>303</v>
      </c>
      <c r="AK229" s="471" t="s">
        <v>1194</v>
      </c>
    </row>
    <row r="230" spans="1:37" ht="16.5" customHeight="1" thickBot="1">
      <c r="A230" s="467"/>
      <c r="B230" s="444"/>
      <c r="C230" s="473"/>
      <c r="D230" s="444"/>
      <c r="E230" s="473"/>
      <c r="F230" s="444"/>
      <c r="G230" s="473"/>
      <c r="H230" s="444"/>
      <c r="I230" s="473"/>
      <c r="J230" s="444"/>
      <c r="K230" s="473"/>
      <c r="L230" s="444"/>
      <c r="M230" s="473"/>
      <c r="N230" s="444"/>
      <c r="O230" s="473"/>
      <c r="P230" s="444"/>
      <c r="R230" s="444"/>
      <c r="S230" s="473"/>
      <c r="T230" s="444"/>
      <c r="U230" s="473"/>
      <c r="V230" s="444"/>
      <c r="W230" s="473"/>
      <c r="X230" s="444"/>
      <c r="Y230" s="473"/>
      <c r="Z230" s="444"/>
      <c r="AA230" s="473"/>
      <c r="AB230" s="444"/>
      <c r="AF230" s="474"/>
      <c r="AG230" s="475"/>
      <c r="AH230" s="475"/>
      <c r="AI230" s="475"/>
      <c r="AJ230" s="475"/>
      <c r="AK230" s="476"/>
    </row>
    <row r="231" spans="1:37" ht="42.75" customHeight="1" thickBot="1">
      <c r="A231" s="467"/>
      <c r="B231" s="446"/>
      <c r="C231" s="477">
        <v>189.80500000000001</v>
      </c>
      <c r="D231" s="446"/>
      <c r="E231" s="477">
        <v>157.88300000000001</v>
      </c>
      <c r="F231" s="446"/>
      <c r="G231" s="477">
        <v>200.685</v>
      </c>
      <c r="H231" s="446"/>
      <c r="I231" s="477">
        <v>165.49</v>
      </c>
      <c r="J231" s="446" t="s">
        <v>390</v>
      </c>
      <c r="K231" s="477">
        <v>403.85899999999998</v>
      </c>
      <c r="L231" s="446"/>
      <c r="M231" s="477">
        <v>434.78800000000001</v>
      </c>
      <c r="N231" s="446"/>
      <c r="O231" s="477">
        <v>425.38400000000001</v>
      </c>
      <c r="P231" s="446"/>
      <c r="Q231" s="477">
        <v>441.34500000000003</v>
      </c>
      <c r="R231" s="446"/>
      <c r="S231" s="477">
        <v>357.54300000000001</v>
      </c>
      <c r="T231" s="446"/>
      <c r="U231" s="477">
        <v>438.29300000000001</v>
      </c>
      <c r="V231" s="446"/>
      <c r="W231" s="477">
        <v>430</v>
      </c>
      <c r="X231" s="446"/>
      <c r="Y231" s="477">
        <v>410</v>
      </c>
      <c r="Z231" s="446"/>
      <c r="AA231" s="477">
        <v>439.976</v>
      </c>
      <c r="AB231" s="446"/>
      <c r="AC231" s="477">
        <v>424.44</v>
      </c>
      <c r="AF231" s="470">
        <v>14</v>
      </c>
      <c r="AG231" s="470"/>
      <c r="AH231" s="470"/>
      <c r="AI231" s="470"/>
      <c r="AJ231" s="470"/>
      <c r="AK231" s="471"/>
    </row>
    <row r="232" spans="1:37" ht="16.5" customHeight="1" thickBot="1">
      <c r="A232" s="467"/>
      <c r="B232" s="479"/>
      <c r="D232" s="479"/>
      <c r="F232" s="479"/>
      <c r="H232" s="479"/>
      <c r="J232" s="479"/>
      <c r="L232" s="479"/>
      <c r="N232" s="479"/>
      <c r="P232" s="479"/>
      <c r="R232" s="479"/>
      <c r="T232" s="479"/>
      <c r="V232" s="479"/>
      <c r="X232" s="479"/>
      <c r="Z232" s="479"/>
      <c r="AB232" s="479"/>
      <c r="AF232" s="474"/>
      <c r="AG232" s="475"/>
      <c r="AH232" s="475"/>
      <c r="AI232" s="475"/>
      <c r="AJ232" s="475"/>
      <c r="AK232" s="476"/>
    </row>
    <row r="233" spans="1:37">
      <c r="A233" s="467"/>
      <c r="B233" s="450" t="s">
        <v>132</v>
      </c>
      <c r="C233" s="450"/>
      <c r="D233" s="450" t="s">
        <v>123</v>
      </c>
      <c r="E233" s="450"/>
      <c r="F233" s="450" t="s">
        <v>125</v>
      </c>
      <c r="G233" s="450"/>
      <c r="H233" s="450" t="s">
        <v>115</v>
      </c>
      <c r="I233" s="450"/>
      <c r="J233" s="450" t="s">
        <v>115</v>
      </c>
      <c r="K233" s="450"/>
      <c r="L233" s="450" t="s">
        <v>248</v>
      </c>
      <c r="M233" s="450"/>
      <c r="N233" s="450" t="s">
        <v>115</v>
      </c>
      <c r="O233" s="473"/>
      <c r="P233" s="450" t="s">
        <v>132</v>
      </c>
      <c r="R233" s="450" t="s">
        <v>125</v>
      </c>
      <c r="T233" s="450" t="s">
        <v>182</v>
      </c>
      <c r="V233" s="450" t="s">
        <v>125</v>
      </c>
      <c r="X233" s="450" t="s">
        <v>185</v>
      </c>
      <c r="Z233" s="450" t="s">
        <v>132</v>
      </c>
      <c r="AB233" s="450" t="s">
        <v>137</v>
      </c>
      <c r="AF233" s="474"/>
      <c r="AG233" s="475"/>
      <c r="AH233" s="475"/>
      <c r="AI233" s="475"/>
      <c r="AJ233" s="475"/>
      <c r="AK233" s="476"/>
    </row>
    <row r="234" spans="1:37">
      <c r="B234" s="450" t="s">
        <v>1276</v>
      </c>
      <c r="C234" s="450"/>
      <c r="D234" s="450" t="s">
        <v>1276</v>
      </c>
      <c r="E234" s="450"/>
      <c r="F234" s="450"/>
      <c r="G234" s="450"/>
      <c r="H234" s="450"/>
      <c r="I234" s="450"/>
      <c r="J234" s="450"/>
      <c r="K234" s="450"/>
      <c r="L234" s="450"/>
      <c r="M234" s="450"/>
      <c r="N234" s="450" t="s">
        <v>1277</v>
      </c>
      <c r="O234" s="473"/>
      <c r="P234" s="450"/>
      <c r="R234" s="450"/>
      <c r="T234" s="450"/>
      <c r="V234" s="450"/>
      <c r="X234" s="450"/>
      <c r="Z234" s="450"/>
      <c r="AB234" s="450"/>
      <c r="AF234" s="474"/>
      <c r="AG234" s="475"/>
      <c r="AH234" s="475"/>
      <c r="AI234" s="475"/>
      <c r="AJ234" s="475"/>
      <c r="AK234" s="475"/>
    </row>
    <row r="235" spans="1:37">
      <c r="AF235" s="507"/>
    </row>
    <row r="236" spans="1:37">
      <c r="B236" s="468" t="s">
        <v>473</v>
      </c>
      <c r="D236" s="468" t="s">
        <v>474</v>
      </c>
      <c r="F236" s="468" t="s">
        <v>475</v>
      </c>
      <c r="H236" s="468" t="s">
        <v>476</v>
      </c>
      <c r="J236" s="468" t="s">
        <v>477</v>
      </c>
      <c r="L236" s="468" t="s">
        <v>478</v>
      </c>
      <c r="N236" s="468" t="s">
        <v>733</v>
      </c>
      <c r="P236" s="468" t="s">
        <v>734</v>
      </c>
      <c r="R236" s="468" t="s">
        <v>735</v>
      </c>
      <c r="T236" s="468" t="s">
        <v>736</v>
      </c>
      <c r="V236" s="468" t="s">
        <v>737</v>
      </c>
      <c r="X236" s="468" t="s">
        <v>738</v>
      </c>
      <c r="Z236" s="468" t="s">
        <v>739</v>
      </c>
      <c r="AB236" s="468" t="s">
        <v>740</v>
      </c>
      <c r="AF236" s="507"/>
    </row>
    <row r="237" spans="1:37">
      <c r="A237" s="467"/>
      <c r="B237" s="472"/>
      <c r="C237" s="473"/>
      <c r="D237" s="472"/>
      <c r="E237" s="473"/>
      <c r="F237" s="472"/>
      <c r="G237" s="473"/>
      <c r="H237" s="472"/>
      <c r="I237" s="473"/>
      <c r="J237" s="472"/>
      <c r="K237" s="473"/>
      <c r="L237" s="472"/>
      <c r="M237" s="473"/>
      <c r="N237" s="472"/>
      <c r="O237" s="473"/>
      <c r="P237" s="472"/>
      <c r="R237" s="472"/>
      <c r="S237" s="473"/>
      <c r="T237" s="472"/>
      <c r="U237" s="473"/>
      <c r="V237" s="472"/>
      <c r="W237" s="473"/>
      <c r="X237" s="472"/>
      <c r="Y237" s="473"/>
      <c r="Z237" s="472"/>
      <c r="AA237" s="473"/>
      <c r="AB237" s="472"/>
      <c r="AF237" s="470" t="s">
        <v>1191</v>
      </c>
      <c r="AG237" s="470"/>
      <c r="AH237" s="470"/>
      <c r="AI237" s="470"/>
      <c r="AJ237" s="470"/>
      <c r="AK237" s="471"/>
    </row>
    <row r="238" spans="1:37" ht="16.5" customHeight="1" thickBot="1">
      <c r="A238" s="467"/>
      <c r="B238" s="444"/>
      <c r="C238" s="473"/>
      <c r="D238" s="444"/>
      <c r="E238" s="473"/>
      <c r="F238" s="444"/>
      <c r="G238" s="473"/>
      <c r="H238" s="444"/>
      <c r="I238" s="473"/>
      <c r="J238" s="444"/>
      <c r="K238" s="473"/>
      <c r="L238" s="444"/>
      <c r="M238" s="473"/>
      <c r="N238" s="444"/>
      <c r="O238" s="473"/>
      <c r="P238" s="444"/>
      <c r="R238" s="444"/>
      <c r="S238" s="473"/>
      <c r="T238" s="444"/>
      <c r="U238" s="473"/>
      <c r="V238" s="444"/>
      <c r="W238" s="473"/>
      <c r="X238" s="444"/>
      <c r="Y238" s="473"/>
      <c r="Z238" s="444"/>
      <c r="AA238" s="473"/>
      <c r="AB238" s="444"/>
      <c r="AF238" s="474"/>
      <c r="AG238" s="475"/>
      <c r="AH238" s="475"/>
      <c r="AI238" s="475"/>
      <c r="AJ238" s="475"/>
      <c r="AK238" s="476"/>
    </row>
    <row r="239" spans="1:37" ht="42.75" customHeight="1" thickBot="1">
      <c r="A239" s="467"/>
      <c r="B239" s="447"/>
      <c r="C239" s="477">
        <v>439</v>
      </c>
      <c r="D239" s="447"/>
      <c r="E239" s="477">
        <v>395</v>
      </c>
      <c r="F239" s="447"/>
      <c r="G239" s="477">
        <v>401.113</v>
      </c>
      <c r="H239" s="446"/>
      <c r="I239" s="477">
        <v>413</v>
      </c>
      <c r="J239" s="447"/>
      <c r="K239" s="477">
        <v>402.25299999999999</v>
      </c>
      <c r="L239" s="446"/>
      <c r="M239" s="477">
        <v>250.69399999999999</v>
      </c>
      <c r="N239" s="446"/>
      <c r="O239" s="477">
        <v>425.61200000000002</v>
      </c>
      <c r="P239" s="446"/>
      <c r="Q239" s="477">
        <v>381.67500000000001</v>
      </c>
      <c r="R239" s="446"/>
      <c r="S239" s="477">
        <v>351.86900000000003</v>
      </c>
      <c r="T239" s="446"/>
      <c r="U239" s="477">
        <v>419.36099999999999</v>
      </c>
      <c r="V239" s="446"/>
      <c r="W239" s="477">
        <v>421.73899999999998</v>
      </c>
      <c r="X239" s="446"/>
      <c r="Y239" s="477">
        <v>403</v>
      </c>
      <c r="Z239" s="446"/>
      <c r="AA239" s="477">
        <v>355</v>
      </c>
      <c r="AB239" s="446"/>
      <c r="AC239" s="477">
        <v>355</v>
      </c>
      <c r="AF239" s="470">
        <v>14</v>
      </c>
      <c r="AG239" s="470"/>
      <c r="AH239" s="470"/>
      <c r="AI239" s="470"/>
      <c r="AJ239" s="470"/>
      <c r="AK239" s="471"/>
    </row>
    <row r="240" spans="1:37" ht="16.5" customHeight="1" thickBot="1">
      <c r="A240" s="467"/>
      <c r="B240" s="568"/>
      <c r="D240" s="479"/>
      <c r="F240" s="479"/>
      <c r="H240" s="479"/>
      <c r="J240" s="479"/>
      <c r="L240" s="479"/>
      <c r="N240" s="479"/>
      <c r="P240" s="479"/>
      <c r="R240" s="479"/>
      <c r="T240" s="479"/>
      <c r="V240" s="479"/>
      <c r="X240" s="479"/>
      <c r="Z240" s="479"/>
      <c r="AB240" s="479"/>
      <c r="AF240" s="474"/>
      <c r="AG240" s="475"/>
      <c r="AH240" s="475"/>
      <c r="AI240" s="475"/>
      <c r="AJ240" s="475"/>
      <c r="AK240" s="476"/>
    </row>
    <row r="241" spans="1:37">
      <c r="A241" s="467"/>
      <c r="B241" s="450" t="s">
        <v>143</v>
      </c>
      <c r="C241" s="450"/>
      <c r="D241" s="450" t="s">
        <v>185</v>
      </c>
      <c r="E241" s="450"/>
      <c r="F241" s="450" t="s">
        <v>185</v>
      </c>
      <c r="G241" s="450"/>
      <c r="H241" s="450" t="s">
        <v>115</v>
      </c>
      <c r="I241" s="450"/>
      <c r="J241" s="450" t="s">
        <v>242</v>
      </c>
      <c r="K241" s="450"/>
      <c r="L241" s="450" t="s">
        <v>125</v>
      </c>
      <c r="M241" s="450"/>
      <c r="N241" s="450" t="s">
        <v>128</v>
      </c>
      <c r="O241" s="473"/>
      <c r="P241" s="450" t="s">
        <v>185</v>
      </c>
      <c r="R241" s="450" t="s">
        <v>185</v>
      </c>
      <c r="T241" s="450" t="s">
        <v>115</v>
      </c>
      <c r="V241" s="450" t="s">
        <v>137</v>
      </c>
      <c r="X241" s="450" t="s">
        <v>137</v>
      </c>
      <c r="Z241" s="450" t="s">
        <v>182</v>
      </c>
      <c r="AB241" s="450" t="s">
        <v>182</v>
      </c>
      <c r="AF241" s="474"/>
      <c r="AG241" s="475"/>
      <c r="AH241" s="475"/>
      <c r="AI241" s="475"/>
      <c r="AJ241" s="475"/>
      <c r="AK241" s="476"/>
    </row>
    <row r="242" spans="1:37">
      <c r="B242" s="450"/>
      <c r="C242" s="450"/>
      <c r="D242" s="450"/>
      <c r="E242" s="450"/>
      <c r="F242" s="450"/>
      <c r="G242" s="450"/>
      <c r="H242" s="450"/>
      <c r="I242" s="450"/>
      <c r="J242" s="450"/>
      <c r="K242" s="450"/>
      <c r="L242" s="450"/>
      <c r="M242" s="450"/>
      <c r="N242" s="450"/>
      <c r="O242" s="473"/>
      <c r="P242" s="450"/>
      <c r="R242" s="450"/>
      <c r="T242" s="450"/>
      <c r="V242" s="450"/>
      <c r="X242" s="450"/>
      <c r="Z242" s="450"/>
      <c r="AB242" s="450"/>
      <c r="AF242" s="474"/>
      <c r="AG242" s="475"/>
      <c r="AH242" s="475"/>
      <c r="AI242" s="475"/>
      <c r="AJ242" s="475"/>
      <c r="AK242" s="475"/>
    </row>
    <row r="243" spans="1:37">
      <c r="AF243" s="507"/>
    </row>
    <row r="244" spans="1:37">
      <c r="B244" s="468" t="s">
        <v>741</v>
      </c>
      <c r="C244" s="468"/>
      <c r="D244" s="468" t="s">
        <v>742</v>
      </c>
      <c r="E244" s="468"/>
      <c r="F244" s="468" t="s">
        <v>743</v>
      </c>
      <c r="G244" s="468"/>
      <c r="H244" s="468" t="s">
        <v>744</v>
      </c>
      <c r="I244" s="468"/>
      <c r="J244" s="468" t="s">
        <v>745</v>
      </c>
      <c r="K244" s="468"/>
      <c r="L244" s="468" t="s">
        <v>746</v>
      </c>
      <c r="M244" s="468"/>
      <c r="N244" s="468" t="s">
        <v>747</v>
      </c>
      <c r="O244" s="468"/>
      <c r="P244" s="468" t="s">
        <v>748</v>
      </c>
      <c r="Q244" s="468"/>
      <c r="R244" s="468" t="s">
        <v>749</v>
      </c>
      <c r="T244" s="468" t="s">
        <v>750</v>
      </c>
      <c r="V244" s="468" t="s">
        <v>751</v>
      </c>
      <c r="X244" s="483" t="s">
        <v>752</v>
      </c>
      <c r="Z244" s="483" t="s">
        <v>753</v>
      </c>
      <c r="AB244" s="483" t="s">
        <v>754</v>
      </c>
      <c r="AF244" s="507"/>
    </row>
    <row r="245" spans="1:37">
      <c r="A245" s="467"/>
      <c r="B245" s="472"/>
      <c r="C245" s="473"/>
      <c r="D245" s="472"/>
      <c r="E245" s="473"/>
      <c r="F245" s="472"/>
      <c r="G245" s="473"/>
      <c r="H245" s="472"/>
      <c r="I245" s="473"/>
      <c r="J245" s="472"/>
      <c r="K245" s="473"/>
      <c r="L245" s="472"/>
      <c r="M245" s="473"/>
      <c r="N245" s="472"/>
      <c r="O245" s="473"/>
      <c r="P245" s="472"/>
      <c r="R245" s="472"/>
      <c r="S245" s="473"/>
      <c r="T245" s="472"/>
      <c r="U245" s="473"/>
      <c r="V245" s="472"/>
      <c r="W245" s="473"/>
      <c r="X245" s="472"/>
      <c r="Y245" s="473"/>
      <c r="Z245" s="472"/>
      <c r="AA245" s="473"/>
      <c r="AB245" s="472"/>
      <c r="AF245" s="470" t="s">
        <v>1191</v>
      </c>
      <c r="AG245" s="470" t="s">
        <v>354</v>
      </c>
      <c r="AH245" s="470" t="s">
        <v>1192</v>
      </c>
      <c r="AI245" s="470" t="s">
        <v>1193</v>
      </c>
      <c r="AJ245" s="470" t="s">
        <v>303</v>
      </c>
      <c r="AK245" s="471" t="s">
        <v>1194</v>
      </c>
    </row>
    <row r="246" spans="1:37" ht="16.5" customHeight="1" thickBot="1">
      <c r="A246" s="467"/>
      <c r="B246" s="444"/>
      <c r="C246" s="473"/>
      <c r="D246" s="444"/>
      <c r="E246" s="473"/>
      <c r="F246" s="444"/>
      <c r="G246" s="473"/>
      <c r="H246" s="444"/>
      <c r="I246" s="473"/>
      <c r="J246" s="444"/>
      <c r="K246" s="473"/>
      <c r="L246" s="444"/>
      <c r="M246" s="473"/>
      <c r="N246" s="444"/>
      <c r="O246" s="473"/>
      <c r="P246" s="444"/>
      <c r="R246" s="444"/>
      <c r="S246" s="473"/>
      <c r="T246" s="444"/>
      <c r="U246" s="473"/>
      <c r="V246" s="444"/>
      <c r="W246" s="473"/>
      <c r="X246" s="444"/>
      <c r="Y246" s="473"/>
      <c r="Z246" s="444"/>
      <c r="AA246" s="473"/>
      <c r="AB246" s="444"/>
      <c r="AF246" s="474"/>
      <c r="AG246" s="475"/>
      <c r="AH246" s="475"/>
      <c r="AI246" s="475"/>
      <c r="AJ246" s="475"/>
      <c r="AK246" s="476"/>
    </row>
    <row r="247" spans="1:37" ht="42.75" customHeight="1" thickBot="1">
      <c r="A247" s="467"/>
      <c r="B247" s="446"/>
      <c r="C247" s="477">
        <v>373.77100000000002</v>
      </c>
      <c r="D247" s="446"/>
      <c r="E247" s="477">
        <v>364</v>
      </c>
      <c r="F247" s="446"/>
      <c r="G247" s="477">
        <v>421</v>
      </c>
      <c r="H247" s="446"/>
      <c r="I247" s="477">
        <v>334</v>
      </c>
      <c r="J247" s="446"/>
      <c r="K247" s="477">
        <v>388.22</v>
      </c>
      <c r="L247" s="446"/>
      <c r="M247" s="477">
        <v>398</v>
      </c>
      <c r="N247" s="446"/>
      <c r="O247" s="477">
        <v>442.51499999999999</v>
      </c>
      <c r="P247" s="446"/>
      <c r="Q247" s="477">
        <v>415</v>
      </c>
      <c r="R247" s="446"/>
      <c r="S247" s="477">
        <v>417.96800000000002</v>
      </c>
      <c r="T247" s="446"/>
      <c r="U247" s="477">
        <v>424</v>
      </c>
      <c r="V247" s="446"/>
      <c r="W247" s="477">
        <v>415</v>
      </c>
      <c r="X247" s="446"/>
      <c r="Y247" s="477">
        <v>412.20499999999998</v>
      </c>
      <c r="Z247" s="446"/>
      <c r="AA247" s="477">
        <v>278</v>
      </c>
      <c r="AB247" s="446"/>
      <c r="AC247" s="503">
        <v>249.27199999999999</v>
      </c>
      <c r="AF247" s="470">
        <v>14</v>
      </c>
      <c r="AG247" s="470"/>
      <c r="AH247" s="470"/>
      <c r="AI247" s="470"/>
      <c r="AJ247" s="470"/>
      <c r="AK247" s="471"/>
    </row>
    <row r="248" spans="1:37" ht="16.5" customHeight="1" thickBot="1">
      <c r="A248" s="467"/>
      <c r="B248" s="479"/>
      <c r="D248" s="479"/>
      <c r="F248" s="479"/>
      <c r="H248" s="479"/>
      <c r="J248" s="479"/>
      <c r="L248" s="479"/>
      <c r="N248" s="479"/>
      <c r="P248" s="479"/>
      <c r="R248" s="479"/>
      <c r="T248" s="479"/>
      <c r="V248" s="479"/>
      <c r="X248" s="479"/>
      <c r="Z248" s="479"/>
      <c r="AB248" s="479"/>
      <c r="AF248" s="474"/>
      <c r="AG248" s="475"/>
      <c r="AH248" s="475"/>
      <c r="AI248" s="475"/>
      <c r="AJ248" s="475"/>
      <c r="AK248" s="476"/>
    </row>
    <row r="249" spans="1:37">
      <c r="A249" s="467"/>
      <c r="B249" s="450" t="s">
        <v>182</v>
      </c>
      <c r="C249" s="450"/>
      <c r="D249" s="450" t="s">
        <v>115</v>
      </c>
      <c r="E249" s="450"/>
      <c r="F249" s="450" t="s">
        <v>242</v>
      </c>
      <c r="G249" s="450"/>
      <c r="H249" s="450" t="s">
        <v>185</v>
      </c>
      <c r="I249" s="450"/>
      <c r="J249" s="450" t="s">
        <v>242</v>
      </c>
      <c r="K249" s="450"/>
      <c r="L249" s="450" t="s">
        <v>192</v>
      </c>
      <c r="M249" s="450"/>
      <c r="N249" s="450" t="s">
        <v>248</v>
      </c>
      <c r="O249" s="473"/>
      <c r="P249" s="450" t="s">
        <v>137</v>
      </c>
      <c r="Q249" s="450"/>
      <c r="R249" s="450" t="s">
        <v>242</v>
      </c>
      <c r="T249" s="450" t="s">
        <v>115</v>
      </c>
      <c r="V249" s="450" t="s">
        <v>185</v>
      </c>
      <c r="X249" s="483" t="s">
        <v>248</v>
      </c>
      <c r="Z249" s="483" t="s">
        <v>128</v>
      </c>
      <c r="AB249" s="483" t="s">
        <v>182</v>
      </c>
      <c r="AF249" s="474"/>
      <c r="AG249" s="475"/>
      <c r="AH249" s="475"/>
      <c r="AI249" s="475"/>
      <c r="AJ249" s="475"/>
      <c r="AK249" s="476"/>
    </row>
    <row r="250" spans="1:37">
      <c r="B250" s="450"/>
      <c r="C250" s="450"/>
      <c r="D250" s="450"/>
      <c r="E250" s="450"/>
      <c r="F250" s="450"/>
      <c r="G250" s="450"/>
      <c r="H250" s="450"/>
      <c r="I250" s="450"/>
      <c r="J250" s="450"/>
      <c r="K250" s="450"/>
      <c r="L250" s="450"/>
      <c r="M250" s="450"/>
      <c r="N250" s="450"/>
      <c r="O250" s="473"/>
      <c r="P250" s="450"/>
      <c r="Q250" s="450"/>
      <c r="R250" s="450"/>
      <c r="T250" s="450"/>
      <c r="V250" s="450"/>
      <c r="X250" s="483"/>
      <c r="Z250" s="483"/>
      <c r="AB250" s="483"/>
      <c r="AF250" s="474"/>
      <c r="AG250" s="475"/>
      <c r="AH250" s="475"/>
      <c r="AI250" s="475"/>
      <c r="AJ250" s="475"/>
      <c r="AK250" s="475"/>
    </row>
    <row r="251" spans="1:37">
      <c r="AF251" s="507"/>
    </row>
    <row r="252" spans="1:37">
      <c r="B252" s="483" t="s">
        <v>1283</v>
      </c>
      <c r="C252" s="483"/>
      <c r="D252" s="483" t="s">
        <v>755</v>
      </c>
      <c r="F252" s="483" t="s">
        <v>756</v>
      </c>
      <c r="H252" s="483" t="s">
        <v>1284</v>
      </c>
      <c r="J252" s="483" t="s">
        <v>758</v>
      </c>
      <c r="L252" s="483" t="s">
        <v>759</v>
      </c>
      <c r="N252" s="483" t="s">
        <v>760</v>
      </c>
      <c r="P252" s="483" t="s">
        <v>761</v>
      </c>
      <c r="R252" s="483" t="s">
        <v>762</v>
      </c>
      <c r="T252" s="483" t="s">
        <v>180</v>
      </c>
      <c r="V252" s="483" t="s">
        <v>181</v>
      </c>
      <c r="X252" s="483" t="s">
        <v>183</v>
      </c>
      <c r="Z252" s="483" t="s">
        <v>763</v>
      </c>
      <c r="AB252" s="483" t="s">
        <v>764</v>
      </c>
      <c r="AF252" s="507"/>
    </row>
    <row r="253" spans="1:37">
      <c r="A253" s="467"/>
      <c r="B253" s="472"/>
      <c r="C253" s="473"/>
      <c r="D253" s="472"/>
      <c r="E253" s="473"/>
      <c r="F253" s="472"/>
      <c r="G253" s="473"/>
      <c r="H253" s="472"/>
      <c r="I253" s="473"/>
      <c r="J253" s="472"/>
      <c r="K253" s="473"/>
      <c r="L253" s="472"/>
      <c r="M253" s="473"/>
      <c r="N253" s="472"/>
      <c r="O253" s="473"/>
      <c r="P253" s="472"/>
      <c r="R253" s="472"/>
      <c r="S253" s="473"/>
      <c r="T253" s="472"/>
      <c r="U253" s="473"/>
      <c r="V253" s="472"/>
      <c r="W253" s="473"/>
      <c r="X253" s="472"/>
      <c r="Y253" s="473"/>
      <c r="Z253" s="472"/>
      <c r="AA253" s="473"/>
      <c r="AB253" s="472"/>
      <c r="AF253" s="470" t="s">
        <v>1191</v>
      </c>
      <c r="AG253" s="470"/>
      <c r="AH253" s="470"/>
      <c r="AI253" s="470"/>
      <c r="AJ253" s="470"/>
      <c r="AK253" s="471"/>
    </row>
    <row r="254" spans="1:37" ht="16.5" customHeight="1" thickBot="1">
      <c r="A254" s="467"/>
      <c r="B254" s="444"/>
      <c r="C254" s="473"/>
      <c r="D254" s="444"/>
      <c r="E254" s="473"/>
      <c r="F254" s="444"/>
      <c r="G254" s="473"/>
      <c r="H254" s="444"/>
      <c r="I254" s="473"/>
      <c r="J254" s="444"/>
      <c r="K254" s="473"/>
      <c r="L254" s="444"/>
      <c r="M254" s="473"/>
      <c r="N254" s="444"/>
      <c r="O254" s="473"/>
      <c r="P254" s="444"/>
      <c r="R254" s="444"/>
      <c r="S254" s="473"/>
      <c r="T254" s="444"/>
      <c r="U254" s="473"/>
      <c r="V254" s="444"/>
      <c r="W254" s="473"/>
      <c r="X254" s="444"/>
      <c r="Y254" s="473"/>
      <c r="Z254" s="444"/>
      <c r="AA254" s="473"/>
      <c r="AB254" s="444"/>
      <c r="AF254" s="474"/>
      <c r="AG254" s="475"/>
      <c r="AH254" s="475"/>
      <c r="AI254" s="475"/>
      <c r="AJ254" s="475"/>
      <c r="AK254" s="476"/>
    </row>
    <row r="255" spans="1:37" ht="42.75" customHeight="1" thickBot="1">
      <c r="A255" s="467"/>
      <c r="B255" s="446"/>
      <c r="C255" s="477">
        <v>395</v>
      </c>
      <c r="D255" s="446"/>
      <c r="E255" s="477">
        <v>408</v>
      </c>
      <c r="F255" s="446"/>
      <c r="G255" s="477">
        <v>352.00200000000001</v>
      </c>
      <c r="H255" s="446"/>
      <c r="I255" s="477">
        <v>373.572</v>
      </c>
      <c r="J255" s="446"/>
      <c r="K255" s="477">
        <v>367</v>
      </c>
      <c r="L255" s="446"/>
      <c r="M255" s="477">
        <v>384</v>
      </c>
      <c r="N255" s="446"/>
      <c r="O255" s="477">
        <v>385</v>
      </c>
      <c r="P255" s="446"/>
      <c r="Q255" s="503">
        <v>419.36799999999999</v>
      </c>
      <c r="R255" s="446"/>
      <c r="S255" s="477">
        <v>288</v>
      </c>
      <c r="T255" s="446"/>
      <c r="U255" s="477">
        <v>404</v>
      </c>
      <c r="V255" s="446"/>
      <c r="W255" s="477">
        <v>413</v>
      </c>
      <c r="X255" s="446"/>
      <c r="Y255" s="477">
        <v>414</v>
      </c>
      <c r="Z255" s="446"/>
      <c r="AA255" s="477">
        <v>414</v>
      </c>
      <c r="AB255" s="446"/>
      <c r="AC255" s="503">
        <v>425</v>
      </c>
      <c r="AF255" s="470">
        <v>14</v>
      </c>
      <c r="AG255" s="470"/>
      <c r="AH255" s="470"/>
      <c r="AI255" s="470"/>
      <c r="AJ255" s="470"/>
      <c r="AK255" s="471"/>
    </row>
    <row r="256" spans="1:37" ht="16.5" customHeight="1" thickBot="1">
      <c r="A256" s="467"/>
      <c r="B256" s="479"/>
      <c r="D256" s="479"/>
      <c r="F256" s="479"/>
      <c r="H256" s="479"/>
      <c r="J256" s="479"/>
      <c r="L256" s="479"/>
      <c r="N256" s="479"/>
      <c r="P256" s="479"/>
      <c r="R256" s="479"/>
      <c r="T256" s="479"/>
      <c r="V256" s="479"/>
      <c r="X256" s="479"/>
      <c r="Z256" s="479"/>
      <c r="AB256" s="479"/>
      <c r="AF256" s="474"/>
      <c r="AG256" s="475"/>
      <c r="AH256" s="475"/>
      <c r="AI256" s="475"/>
      <c r="AJ256" s="475"/>
      <c r="AK256" s="476"/>
    </row>
    <row r="257" spans="1:37">
      <c r="A257" s="467"/>
      <c r="B257" s="450" t="s">
        <v>125</v>
      </c>
      <c r="C257" s="450"/>
      <c r="D257" s="450" t="s">
        <v>185</v>
      </c>
      <c r="E257" s="450"/>
      <c r="F257" s="450" t="s">
        <v>185</v>
      </c>
      <c r="G257" s="450"/>
      <c r="H257" s="450" t="s">
        <v>125</v>
      </c>
      <c r="I257" s="450"/>
      <c r="J257" s="450" t="s">
        <v>182</v>
      </c>
      <c r="K257" s="450"/>
      <c r="L257" s="450" t="s">
        <v>182</v>
      </c>
      <c r="M257" s="450"/>
      <c r="N257" s="450" t="s">
        <v>182</v>
      </c>
      <c r="O257" s="473"/>
      <c r="P257" s="450" t="s">
        <v>182</v>
      </c>
      <c r="R257" s="558" t="s">
        <v>115</v>
      </c>
      <c r="T257" s="558" t="s">
        <v>182</v>
      </c>
      <c r="V257" s="558" t="s">
        <v>182</v>
      </c>
      <c r="X257" s="558" t="s">
        <v>182</v>
      </c>
      <c r="Z257" s="558" t="s">
        <v>182</v>
      </c>
      <c r="AB257" s="558" t="s">
        <v>182</v>
      </c>
      <c r="AF257" s="474"/>
      <c r="AG257" s="475"/>
      <c r="AH257" s="475"/>
      <c r="AI257" s="475"/>
      <c r="AJ257" s="475"/>
      <c r="AK257" s="476"/>
    </row>
    <row r="258" spans="1:37">
      <c r="B258" s="450"/>
      <c r="C258" s="450"/>
      <c r="D258" s="450"/>
      <c r="E258" s="450"/>
      <c r="F258" s="450"/>
      <c r="G258" s="450"/>
      <c r="H258" s="450"/>
      <c r="I258" s="450"/>
      <c r="J258" s="450"/>
      <c r="K258" s="450"/>
      <c r="L258" s="450"/>
      <c r="M258" s="450"/>
      <c r="N258" s="450"/>
      <c r="O258" s="473"/>
      <c r="P258" s="450"/>
      <c r="R258" s="483"/>
      <c r="T258" s="483"/>
      <c r="V258" s="559" t="s">
        <v>454</v>
      </c>
      <c r="X258" s="483"/>
      <c r="Z258" s="483"/>
      <c r="AB258" s="483"/>
      <c r="AF258" s="474"/>
      <c r="AG258" s="475"/>
      <c r="AH258" s="475"/>
      <c r="AI258" s="475"/>
      <c r="AJ258" s="475"/>
      <c r="AK258" s="475"/>
    </row>
    <row r="259" spans="1:37">
      <c r="AF259" s="507"/>
    </row>
    <row r="260" spans="1:37">
      <c r="B260" s="483" t="s">
        <v>765</v>
      </c>
      <c r="C260" s="483"/>
      <c r="D260" s="483" t="s">
        <v>766</v>
      </c>
      <c r="E260" s="483"/>
      <c r="F260" s="483" t="s">
        <v>767</v>
      </c>
      <c r="G260" s="483"/>
      <c r="H260" s="483" t="s">
        <v>769</v>
      </c>
      <c r="I260" s="483"/>
      <c r="J260" s="483" t="s">
        <v>1361</v>
      </c>
      <c r="K260" s="483"/>
      <c r="L260" s="483" t="s">
        <v>1357</v>
      </c>
      <c r="M260" s="483"/>
      <c r="N260" s="483" t="s">
        <v>1358</v>
      </c>
      <c r="O260" s="483"/>
      <c r="P260" s="483" t="s">
        <v>1359</v>
      </c>
      <c r="Q260" s="483"/>
      <c r="R260" s="483" t="s">
        <v>1362</v>
      </c>
      <c r="S260" s="483"/>
      <c r="T260" s="483" t="s">
        <v>773</v>
      </c>
      <c r="U260" s="483"/>
      <c r="V260" s="483" t="s">
        <v>774</v>
      </c>
      <c r="W260" s="483"/>
      <c r="X260" s="483" t="s">
        <v>775</v>
      </c>
      <c r="Y260" s="483"/>
      <c r="Z260" s="483" t="s">
        <v>776</v>
      </c>
      <c r="AA260" s="483"/>
      <c r="AB260" s="483" t="s">
        <v>777</v>
      </c>
      <c r="AC260" s="483"/>
      <c r="AD260" s="483" t="s">
        <v>778</v>
      </c>
      <c r="AE260" s="483"/>
      <c r="AF260" s="507"/>
    </row>
    <row r="261" spans="1:37">
      <c r="A261" s="467"/>
      <c r="B261" s="472"/>
      <c r="C261" s="473"/>
      <c r="D261" s="472"/>
      <c r="E261" s="473"/>
      <c r="F261" s="472"/>
      <c r="G261" s="473"/>
      <c r="H261" s="472"/>
      <c r="I261" s="473"/>
      <c r="J261" s="472"/>
      <c r="K261" s="473"/>
      <c r="L261" s="472"/>
      <c r="M261" s="473"/>
      <c r="N261" s="472"/>
      <c r="O261" s="473"/>
      <c r="P261" s="472"/>
      <c r="R261" s="472"/>
      <c r="S261" s="473"/>
      <c r="T261" s="472"/>
      <c r="U261" s="473"/>
      <c r="V261" s="472"/>
      <c r="W261" s="473"/>
      <c r="X261" s="472"/>
      <c r="Y261" s="473"/>
      <c r="Z261" s="472"/>
      <c r="AA261" s="473"/>
      <c r="AB261" s="472"/>
      <c r="AD261" s="472"/>
      <c r="AF261" s="470" t="s">
        <v>1191</v>
      </c>
      <c r="AG261" s="470" t="s">
        <v>354</v>
      </c>
      <c r="AH261" s="470" t="s">
        <v>1192</v>
      </c>
      <c r="AI261" s="470" t="s">
        <v>1193</v>
      </c>
      <c r="AJ261" s="470" t="s">
        <v>303</v>
      </c>
      <c r="AK261" s="471" t="s">
        <v>1194</v>
      </c>
    </row>
    <row r="262" spans="1:37" ht="16.5" customHeight="1" thickBot="1">
      <c r="A262" s="467"/>
      <c r="B262" s="444"/>
      <c r="C262" s="473"/>
      <c r="D262" s="444"/>
      <c r="E262" s="473"/>
      <c r="F262" s="444"/>
      <c r="G262" s="473"/>
      <c r="H262" s="444"/>
      <c r="I262" s="473"/>
      <c r="J262" s="444"/>
      <c r="K262" s="473"/>
      <c r="L262" s="444"/>
      <c r="M262" s="473"/>
      <c r="N262" s="444"/>
      <c r="O262" s="473"/>
      <c r="P262" s="444"/>
      <c r="R262" s="444"/>
      <c r="S262" s="473"/>
      <c r="T262" s="444"/>
      <c r="U262" s="473"/>
      <c r="V262" s="444"/>
      <c r="W262" s="473"/>
      <c r="X262" s="444"/>
      <c r="Y262" s="473"/>
      <c r="Z262" s="444"/>
      <c r="AA262" s="473"/>
      <c r="AB262" s="444"/>
      <c r="AD262" s="444"/>
      <c r="AF262" s="474"/>
      <c r="AG262" s="475"/>
      <c r="AH262" s="475"/>
      <c r="AI262" s="475"/>
      <c r="AJ262" s="475"/>
      <c r="AK262" s="476"/>
    </row>
    <row r="263" spans="1:37" ht="32" customHeight="1" thickBot="1">
      <c r="A263" s="467"/>
      <c r="B263" s="446"/>
      <c r="C263" s="477">
        <v>410.108</v>
      </c>
      <c r="D263" s="560"/>
      <c r="E263" s="477">
        <v>414.82499999999999</v>
      </c>
      <c r="F263" s="560"/>
      <c r="G263" s="477">
        <v>360.43099999999998</v>
      </c>
      <c r="H263" s="560"/>
      <c r="I263" s="477">
        <v>226</v>
      </c>
      <c r="J263" s="560"/>
      <c r="K263" s="477">
        <v>438.03699999999998</v>
      </c>
      <c r="L263" s="560"/>
      <c r="M263" s="477">
        <v>402.73700000000002</v>
      </c>
      <c r="N263" s="560"/>
      <c r="O263" s="477">
        <v>433.49</v>
      </c>
      <c r="P263" s="560"/>
      <c r="Q263" s="477">
        <v>409.20600000000002</v>
      </c>
      <c r="R263" s="560"/>
      <c r="S263" s="477">
        <v>436.60500000000002</v>
      </c>
      <c r="T263" s="560"/>
      <c r="U263" s="477">
        <v>394.613</v>
      </c>
      <c r="V263" s="560"/>
      <c r="W263" s="477">
        <v>383.90100000000001</v>
      </c>
      <c r="X263" s="560"/>
      <c r="Y263" s="477">
        <v>356.322</v>
      </c>
      <c r="Z263" s="560"/>
      <c r="AA263" s="477">
        <v>378.30099999999999</v>
      </c>
      <c r="AB263" s="560"/>
      <c r="AC263" s="477">
        <v>356.02800000000002</v>
      </c>
      <c r="AD263" s="446"/>
      <c r="AF263" s="470">
        <v>14</v>
      </c>
      <c r="AG263" s="470"/>
      <c r="AH263" s="470"/>
      <c r="AI263" s="470"/>
      <c r="AJ263" s="470"/>
      <c r="AK263" s="471"/>
    </row>
    <row r="264" spans="1:37" ht="16.5" customHeight="1" thickBot="1">
      <c r="A264" s="467"/>
      <c r="B264" s="479"/>
      <c r="D264" s="479"/>
      <c r="F264" s="479"/>
      <c r="H264" s="479"/>
      <c r="J264" s="479"/>
      <c r="L264" s="479"/>
      <c r="N264" s="479"/>
      <c r="P264" s="479"/>
      <c r="R264" s="479"/>
      <c r="T264" s="479"/>
      <c r="V264" s="479"/>
      <c r="X264" s="479"/>
      <c r="Z264" s="479"/>
      <c r="AB264" s="479"/>
      <c r="AD264" s="479"/>
      <c r="AF264" s="474"/>
      <c r="AG264" s="475"/>
      <c r="AH264" s="475"/>
      <c r="AI264" s="475"/>
      <c r="AJ264" s="475"/>
      <c r="AK264" s="476"/>
    </row>
    <row r="265" spans="1:37">
      <c r="A265" s="467"/>
      <c r="B265" s="483" t="s">
        <v>185</v>
      </c>
      <c r="C265" s="483"/>
      <c r="D265" s="483" t="s">
        <v>182</v>
      </c>
      <c r="E265" s="483"/>
      <c r="F265" s="483" t="s">
        <v>242</v>
      </c>
      <c r="G265" s="483"/>
      <c r="H265" s="483" t="s">
        <v>125</v>
      </c>
      <c r="I265" s="483"/>
      <c r="J265" s="483" t="s">
        <v>125</v>
      </c>
      <c r="K265" s="483"/>
      <c r="L265" s="483" t="s">
        <v>248</v>
      </c>
      <c r="M265" s="483"/>
      <c r="N265" s="483" t="s">
        <v>185</v>
      </c>
      <c r="O265" s="483"/>
      <c r="P265" s="483" t="s">
        <v>242</v>
      </c>
      <c r="Q265" s="483"/>
      <c r="R265" s="483" t="s">
        <v>248</v>
      </c>
      <c r="S265" s="483"/>
      <c r="T265" s="483" t="s">
        <v>115</v>
      </c>
      <c r="U265" s="483"/>
      <c r="V265" s="483" t="s">
        <v>182</v>
      </c>
      <c r="W265" s="483"/>
      <c r="X265" s="483" t="s">
        <v>185</v>
      </c>
      <c r="Y265" s="483"/>
      <c r="Z265" s="483" t="s">
        <v>242</v>
      </c>
      <c r="AA265" s="483"/>
      <c r="AB265" s="483" t="s">
        <v>125</v>
      </c>
      <c r="AC265" s="483"/>
      <c r="AD265" s="483" t="s">
        <v>188</v>
      </c>
      <c r="AF265" s="474"/>
      <c r="AG265" s="475"/>
      <c r="AH265" s="475"/>
      <c r="AI265" s="475"/>
      <c r="AJ265" s="475"/>
      <c r="AK265" s="476"/>
    </row>
    <row r="266" spans="1:37">
      <c r="B266" s="450"/>
      <c r="C266" s="450"/>
      <c r="D266" s="450"/>
      <c r="E266" s="450"/>
      <c r="F266" s="450"/>
      <c r="G266" s="450"/>
      <c r="H266" s="450"/>
      <c r="I266" s="450"/>
      <c r="J266" s="450"/>
      <c r="K266" s="450"/>
      <c r="L266" s="450"/>
      <c r="M266" s="450"/>
      <c r="N266" s="450"/>
      <c r="O266" s="473"/>
      <c r="P266" s="450"/>
      <c r="R266" s="483"/>
      <c r="T266" s="483"/>
      <c r="V266" s="483"/>
      <c r="X266" s="483"/>
      <c r="Z266" s="483"/>
      <c r="AB266" s="483"/>
      <c r="AF266" s="474"/>
      <c r="AG266" s="475"/>
      <c r="AH266" s="475"/>
      <c r="AI266" s="475"/>
      <c r="AJ266" s="475"/>
      <c r="AK266" s="475"/>
    </row>
    <row r="267" spans="1:37">
      <c r="AF267" s="507"/>
    </row>
    <row r="268" spans="1:37">
      <c r="B268" s="483" t="s">
        <v>779</v>
      </c>
      <c r="D268" s="503" t="s">
        <v>780</v>
      </c>
      <c r="F268" s="503" t="s">
        <v>781</v>
      </c>
      <c r="H268" s="503" t="s">
        <v>782</v>
      </c>
      <c r="J268" s="483" t="s">
        <v>783</v>
      </c>
      <c r="L268" s="483" t="s">
        <v>784</v>
      </c>
      <c r="N268" s="483" t="s">
        <v>785</v>
      </c>
      <c r="P268" s="483" t="s">
        <v>786</v>
      </c>
      <c r="R268" s="483" t="s">
        <v>787</v>
      </c>
      <c r="T268" s="483" t="s">
        <v>788</v>
      </c>
      <c r="V268" s="483" t="s">
        <v>789</v>
      </c>
      <c r="X268" s="483" t="s">
        <v>790</v>
      </c>
      <c r="Z268" s="503" t="s">
        <v>791</v>
      </c>
      <c r="AB268" s="483" t="s">
        <v>792</v>
      </c>
      <c r="AF268" s="507"/>
    </row>
    <row r="269" spans="1:37">
      <c r="A269" s="467"/>
      <c r="B269" s="472"/>
      <c r="C269" s="473"/>
      <c r="D269" s="472"/>
      <c r="E269" s="473"/>
      <c r="F269" s="472"/>
      <c r="G269" s="473"/>
      <c r="H269" s="472"/>
      <c r="I269" s="473"/>
      <c r="J269" s="472"/>
      <c r="K269" s="473"/>
      <c r="L269" s="472"/>
      <c r="M269" s="473"/>
      <c r="N269" s="472"/>
      <c r="O269" s="473"/>
      <c r="P269" s="472"/>
      <c r="R269" s="472"/>
      <c r="S269" s="473"/>
      <c r="T269" s="472"/>
      <c r="U269" s="473"/>
      <c r="V269" s="472"/>
      <c r="W269" s="473"/>
      <c r="X269" s="472"/>
      <c r="Y269" s="473"/>
      <c r="Z269" s="472"/>
      <c r="AA269" s="473"/>
      <c r="AB269" s="472"/>
      <c r="AF269" s="470" t="s">
        <v>1191</v>
      </c>
      <c r="AG269" s="470"/>
      <c r="AH269" s="470"/>
      <c r="AI269" s="470"/>
      <c r="AJ269" s="470"/>
      <c r="AK269" s="471"/>
    </row>
    <row r="270" spans="1:37" ht="16.5" customHeight="1" thickBot="1">
      <c r="A270" s="467"/>
      <c r="B270" s="444"/>
      <c r="C270" s="473"/>
      <c r="D270" s="444"/>
      <c r="E270" s="473"/>
      <c r="F270" s="444"/>
      <c r="G270" s="473"/>
      <c r="H270" s="444"/>
      <c r="I270" s="473"/>
      <c r="J270" s="444"/>
      <c r="K270" s="473"/>
      <c r="L270" s="444"/>
      <c r="M270" s="473"/>
      <c r="N270" s="444"/>
      <c r="O270" s="473"/>
      <c r="P270" s="444"/>
      <c r="R270" s="444"/>
      <c r="S270" s="473"/>
      <c r="T270" s="444"/>
      <c r="U270" s="473"/>
      <c r="V270" s="444"/>
      <c r="W270" s="473"/>
      <c r="X270" s="444"/>
      <c r="Y270" s="473"/>
      <c r="Z270" s="444"/>
      <c r="AA270" s="473"/>
      <c r="AB270" s="444"/>
      <c r="AF270" s="474"/>
      <c r="AG270" s="475"/>
      <c r="AH270" s="475"/>
      <c r="AI270" s="475"/>
      <c r="AJ270" s="475"/>
      <c r="AK270" s="476"/>
    </row>
    <row r="271" spans="1:37" ht="32.5" customHeight="1" thickBot="1">
      <c r="A271" s="467"/>
      <c r="B271" s="446"/>
      <c r="C271" s="477">
        <v>381</v>
      </c>
      <c r="D271" s="446"/>
      <c r="E271" s="477">
        <v>334</v>
      </c>
      <c r="F271" s="446"/>
      <c r="G271" s="477">
        <v>347</v>
      </c>
      <c r="H271" s="446"/>
      <c r="I271" s="477">
        <v>375.54599999999999</v>
      </c>
      <c r="J271" s="446"/>
      <c r="K271" s="477">
        <v>392</v>
      </c>
      <c r="L271" s="446"/>
      <c r="M271" s="477">
        <v>407.97399999999999</v>
      </c>
      <c r="N271" s="446"/>
      <c r="O271" s="477">
        <v>392</v>
      </c>
      <c r="P271" s="446"/>
      <c r="Q271" s="503">
        <v>405</v>
      </c>
      <c r="R271" s="446"/>
      <c r="S271" s="477">
        <v>435</v>
      </c>
      <c r="T271" s="446"/>
      <c r="U271" s="477">
        <v>378.32799999999997</v>
      </c>
      <c r="V271" s="446"/>
      <c r="W271" s="477">
        <v>386</v>
      </c>
      <c r="X271" s="446"/>
      <c r="Y271" s="477">
        <v>391</v>
      </c>
      <c r="Z271" s="446"/>
      <c r="AA271" s="477">
        <v>399.827</v>
      </c>
      <c r="AB271" s="446"/>
      <c r="AC271" s="508">
        <v>437.00799999999998</v>
      </c>
      <c r="AF271" s="470">
        <v>14</v>
      </c>
      <c r="AG271" s="470"/>
      <c r="AH271" s="470"/>
      <c r="AI271" s="470"/>
      <c r="AJ271" s="470"/>
      <c r="AK271" s="471"/>
    </row>
    <row r="272" spans="1:37" ht="16.5" customHeight="1" thickBot="1">
      <c r="A272" s="467"/>
      <c r="B272" s="479"/>
      <c r="D272" s="479"/>
      <c r="F272" s="479"/>
      <c r="H272" s="479"/>
      <c r="J272" s="479"/>
      <c r="L272" s="479"/>
      <c r="N272" s="479"/>
      <c r="P272" s="479"/>
      <c r="R272" s="479"/>
      <c r="T272" s="479"/>
      <c r="V272" s="479"/>
      <c r="X272" s="479"/>
      <c r="Z272" s="479"/>
      <c r="AB272" s="479"/>
      <c r="AF272" s="474"/>
      <c r="AG272" s="475"/>
      <c r="AH272" s="475"/>
      <c r="AI272" s="475"/>
      <c r="AJ272" s="475"/>
      <c r="AK272" s="476"/>
    </row>
    <row r="273" spans="1:37">
      <c r="A273" s="467"/>
      <c r="B273" s="450" t="s">
        <v>188</v>
      </c>
      <c r="C273" s="450"/>
      <c r="D273" s="450" t="s">
        <v>182</v>
      </c>
      <c r="E273" s="450"/>
      <c r="F273" s="450" t="s">
        <v>182</v>
      </c>
      <c r="G273" s="450"/>
      <c r="H273" s="450" t="s">
        <v>182</v>
      </c>
      <c r="I273" s="450"/>
      <c r="J273" s="450" t="s">
        <v>137</v>
      </c>
      <c r="K273" s="450"/>
      <c r="L273" s="450" t="s">
        <v>248</v>
      </c>
      <c r="M273" s="450"/>
      <c r="N273" s="450" t="s">
        <v>119</v>
      </c>
      <c r="O273" s="473"/>
      <c r="P273" s="450" t="s">
        <v>185</v>
      </c>
      <c r="R273" s="483" t="s">
        <v>185</v>
      </c>
      <c r="T273" s="483" t="s">
        <v>185</v>
      </c>
      <c r="V273" s="483" t="s">
        <v>115</v>
      </c>
      <c r="X273" s="483" t="s">
        <v>182</v>
      </c>
      <c r="Z273" s="508" t="s">
        <v>242</v>
      </c>
      <c r="AB273" s="483" t="s">
        <v>137</v>
      </c>
      <c r="AF273" s="474"/>
      <c r="AG273" s="475"/>
      <c r="AH273" s="475"/>
      <c r="AI273" s="475"/>
      <c r="AJ273" s="475"/>
      <c r="AK273" s="476"/>
    </row>
    <row r="274" spans="1:37">
      <c r="B274" s="450"/>
      <c r="C274" s="450"/>
      <c r="D274" s="450"/>
      <c r="E274" s="450"/>
      <c r="F274" s="450"/>
      <c r="G274" s="450"/>
      <c r="H274" s="450"/>
      <c r="I274" s="450"/>
      <c r="J274" s="450"/>
      <c r="K274" s="450"/>
      <c r="L274" s="450"/>
      <c r="M274" s="450"/>
      <c r="N274" s="450"/>
      <c r="O274" s="473"/>
      <c r="P274" s="450"/>
      <c r="R274" s="483"/>
      <c r="T274" s="483"/>
      <c r="V274" s="483"/>
      <c r="X274" s="483"/>
      <c r="Z274" s="508"/>
      <c r="AB274" s="483"/>
      <c r="AF274" s="474"/>
      <c r="AG274" s="475"/>
      <c r="AH274" s="475"/>
      <c r="AI274" s="475"/>
      <c r="AJ274" s="475"/>
      <c r="AK274" s="475"/>
    </row>
    <row r="275" spans="1:37">
      <c r="AF275" s="507"/>
    </row>
    <row r="276" spans="1:37">
      <c r="B276" s="483" t="s">
        <v>793</v>
      </c>
      <c r="D276" s="503" t="s">
        <v>794</v>
      </c>
      <c r="F276" s="503" t="s">
        <v>795</v>
      </c>
      <c r="G276" s="503"/>
      <c r="H276" s="503" t="s">
        <v>796</v>
      </c>
      <c r="I276" s="503"/>
      <c r="J276" s="503" t="s">
        <v>797</v>
      </c>
      <c r="K276" s="503"/>
      <c r="L276" s="503" t="s">
        <v>798</v>
      </c>
      <c r="M276" s="503"/>
      <c r="N276" s="503" t="s">
        <v>799</v>
      </c>
      <c r="O276" s="503"/>
      <c r="P276" s="503" t="s">
        <v>800</v>
      </c>
      <c r="Q276" s="503"/>
      <c r="R276" s="503" t="s">
        <v>801</v>
      </c>
      <c r="S276" s="503"/>
      <c r="T276" s="503" t="s">
        <v>802</v>
      </c>
      <c r="U276" s="503"/>
      <c r="V276" s="503" t="s">
        <v>803</v>
      </c>
      <c r="W276" s="503"/>
      <c r="X276" s="503" t="s">
        <v>804</v>
      </c>
      <c r="Y276" s="503"/>
      <c r="Z276" s="503" t="s">
        <v>805</v>
      </c>
      <c r="AA276" s="503"/>
      <c r="AB276" s="503" t="s">
        <v>806</v>
      </c>
      <c r="AF276" s="507"/>
    </row>
    <row r="277" spans="1:37">
      <c r="A277" s="467"/>
      <c r="B277" s="472"/>
      <c r="C277" s="473"/>
      <c r="D277" s="472"/>
      <c r="E277" s="473"/>
      <c r="F277" s="472"/>
      <c r="G277" s="473"/>
      <c r="H277" s="472"/>
      <c r="I277" s="473"/>
      <c r="J277" s="472"/>
      <c r="K277" s="473"/>
      <c r="L277" s="472"/>
      <c r="M277" s="473"/>
      <c r="N277" s="472"/>
      <c r="O277" s="473"/>
      <c r="P277" s="472"/>
      <c r="R277" s="472"/>
      <c r="S277" s="473"/>
      <c r="T277" s="472"/>
      <c r="U277" s="473"/>
      <c r="V277" s="472"/>
      <c r="W277" s="473"/>
      <c r="X277" s="472"/>
      <c r="Y277" s="473"/>
      <c r="Z277" s="472"/>
      <c r="AA277" s="473"/>
      <c r="AB277" s="472"/>
      <c r="AF277" s="470" t="s">
        <v>1191</v>
      </c>
      <c r="AG277" s="470"/>
      <c r="AH277" s="470"/>
      <c r="AI277" s="470"/>
      <c r="AJ277" s="470"/>
      <c r="AK277" s="471"/>
    </row>
    <row r="278" spans="1:37" ht="16.5" customHeight="1" thickBot="1">
      <c r="A278" s="467"/>
      <c r="B278" s="444"/>
      <c r="C278" s="473"/>
      <c r="D278" s="444"/>
      <c r="E278" s="473"/>
      <c r="F278" s="444"/>
      <c r="G278" s="473"/>
      <c r="H278" s="444"/>
      <c r="I278" s="473"/>
      <c r="J278" s="444"/>
      <c r="K278" s="473"/>
      <c r="L278" s="444"/>
      <c r="M278" s="473"/>
      <c r="N278" s="444"/>
      <c r="O278" s="473"/>
      <c r="P278" s="444"/>
      <c r="R278" s="444"/>
      <c r="S278" s="473"/>
      <c r="T278" s="444"/>
      <c r="U278" s="473"/>
      <c r="V278" s="444"/>
      <c r="W278" s="473"/>
      <c r="X278" s="444"/>
      <c r="Y278" s="473"/>
      <c r="Z278" s="444"/>
      <c r="AA278" s="473"/>
      <c r="AB278" s="444"/>
      <c r="AF278" s="474"/>
      <c r="AG278" s="475"/>
      <c r="AH278" s="475"/>
      <c r="AI278" s="475"/>
      <c r="AJ278" s="475"/>
      <c r="AK278" s="476"/>
    </row>
    <row r="279" spans="1:37" ht="33" customHeight="1" thickBot="1">
      <c r="A279" s="467"/>
      <c r="B279" s="446"/>
      <c r="C279" s="477">
        <v>401.75700000000001</v>
      </c>
      <c r="D279" s="446"/>
      <c r="E279" s="477">
        <v>416.24299999999999</v>
      </c>
      <c r="F279" s="446"/>
      <c r="G279" s="477">
        <v>417</v>
      </c>
      <c r="H279" s="446"/>
      <c r="I279" s="477">
        <v>399</v>
      </c>
      <c r="J279" s="446"/>
      <c r="K279" s="477">
        <v>420</v>
      </c>
      <c r="L279" s="446"/>
      <c r="M279" s="477">
        <v>409</v>
      </c>
      <c r="N279" s="446"/>
      <c r="O279" s="477">
        <v>412</v>
      </c>
      <c r="P279" s="446"/>
      <c r="Q279" s="503">
        <v>400.40600000000001</v>
      </c>
      <c r="R279" s="446"/>
      <c r="S279" s="477">
        <v>232.12299999999999</v>
      </c>
      <c r="T279" s="446"/>
      <c r="U279" s="477">
        <v>442</v>
      </c>
      <c r="V279" s="446"/>
      <c r="W279" s="477">
        <v>385</v>
      </c>
      <c r="X279" s="446"/>
      <c r="Y279" s="477">
        <v>362</v>
      </c>
      <c r="Z279" s="446"/>
      <c r="AA279" s="477">
        <v>399</v>
      </c>
      <c r="AB279" s="446"/>
      <c r="AC279" s="503">
        <v>382.072</v>
      </c>
      <c r="AF279" s="470">
        <v>14</v>
      </c>
      <c r="AG279" s="470"/>
      <c r="AH279" s="470"/>
      <c r="AI279" s="470"/>
      <c r="AJ279" s="470"/>
      <c r="AK279" s="471"/>
    </row>
    <row r="280" spans="1:37" ht="16.5" customHeight="1" thickBot="1">
      <c r="A280" s="467"/>
      <c r="B280" s="479"/>
      <c r="D280" s="479"/>
      <c r="F280" s="479"/>
      <c r="H280" s="479"/>
      <c r="J280" s="479"/>
      <c r="L280" s="479"/>
      <c r="N280" s="479"/>
      <c r="P280" s="479"/>
      <c r="R280" s="479"/>
      <c r="T280" s="479"/>
      <c r="V280" s="479"/>
      <c r="X280" s="479"/>
      <c r="Z280" s="479"/>
      <c r="AB280" s="479"/>
      <c r="AF280" s="474"/>
      <c r="AG280" s="475"/>
      <c r="AH280" s="475"/>
      <c r="AI280" s="475"/>
      <c r="AJ280" s="475"/>
      <c r="AK280" s="476"/>
    </row>
    <row r="281" spans="1:37">
      <c r="A281" s="467"/>
      <c r="B281" s="450" t="s">
        <v>137</v>
      </c>
      <c r="C281" s="450"/>
      <c r="D281" s="450" t="s">
        <v>242</v>
      </c>
      <c r="E281" s="450"/>
      <c r="F281" s="450" t="s">
        <v>182</v>
      </c>
      <c r="G281" s="450"/>
      <c r="H281" s="450" t="s">
        <v>185</v>
      </c>
      <c r="I281" s="450"/>
      <c r="J281" s="450" t="s">
        <v>185</v>
      </c>
      <c r="K281" s="450"/>
      <c r="L281" s="450" t="s">
        <v>185</v>
      </c>
      <c r="M281" s="450"/>
      <c r="N281" s="450" t="s">
        <v>182</v>
      </c>
      <c r="O281" s="473"/>
      <c r="P281" s="450" t="s">
        <v>185</v>
      </c>
      <c r="R281" s="483" t="s">
        <v>192</v>
      </c>
      <c r="T281" s="483" t="s">
        <v>192</v>
      </c>
      <c r="U281" s="483"/>
      <c r="V281" s="483" t="s">
        <v>185</v>
      </c>
      <c r="X281" s="483" t="s">
        <v>182</v>
      </c>
      <c r="Z281" s="483" t="s">
        <v>182</v>
      </c>
      <c r="AB281" s="483" t="s">
        <v>185</v>
      </c>
      <c r="AF281" s="474"/>
      <c r="AG281" s="475"/>
      <c r="AH281" s="475"/>
      <c r="AI281" s="475"/>
      <c r="AJ281" s="475"/>
      <c r="AK281" s="476"/>
    </row>
    <row r="282" spans="1:37">
      <c r="B282" s="450"/>
      <c r="C282" s="450"/>
      <c r="D282" s="450"/>
      <c r="E282" s="450"/>
      <c r="F282" s="450"/>
      <c r="G282" s="450"/>
      <c r="H282" s="450"/>
      <c r="I282" s="450"/>
      <c r="J282" s="450"/>
      <c r="K282" s="450"/>
      <c r="L282" s="450"/>
      <c r="M282" s="450"/>
      <c r="N282" s="450"/>
      <c r="O282" s="473"/>
      <c r="P282" s="450"/>
      <c r="R282" s="483"/>
      <c r="T282" s="483"/>
      <c r="U282" s="483"/>
      <c r="V282" s="483"/>
      <c r="X282" s="483"/>
      <c r="Z282" s="483"/>
      <c r="AB282" s="483"/>
      <c r="AF282" s="474"/>
      <c r="AG282" s="475"/>
      <c r="AH282" s="475"/>
      <c r="AI282" s="475"/>
      <c r="AJ282" s="475"/>
      <c r="AK282" s="475"/>
    </row>
    <row r="283" spans="1:37">
      <c r="AF283" s="507"/>
    </row>
    <row r="284" spans="1:37">
      <c r="B284" s="483" t="s">
        <v>807</v>
      </c>
      <c r="D284" s="483" t="s">
        <v>808</v>
      </c>
      <c r="F284" s="503" t="s">
        <v>809</v>
      </c>
      <c r="H284" s="503" t="s">
        <v>1285</v>
      </c>
      <c r="J284" s="503" t="s">
        <v>810</v>
      </c>
      <c r="L284" s="503" t="s">
        <v>811</v>
      </c>
      <c r="N284" s="503" t="s">
        <v>812</v>
      </c>
      <c r="P284" s="503" t="s">
        <v>813</v>
      </c>
      <c r="R284" s="503" t="s">
        <v>814</v>
      </c>
      <c r="T284" s="503" t="s">
        <v>815</v>
      </c>
      <c r="U284" s="503"/>
      <c r="V284" s="503" t="s">
        <v>816</v>
      </c>
      <c r="W284" s="503"/>
      <c r="X284" s="503" t="s">
        <v>817</v>
      </c>
      <c r="Y284" s="503"/>
      <c r="Z284" s="503" t="s">
        <v>1286</v>
      </c>
      <c r="AA284" s="503"/>
      <c r="AB284" s="503" t="s">
        <v>1287</v>
      </c>
      <c r="AF284" s="507"/>
    </row>
    <row r="285" spans="1:37">
      <c r="A285" s="467"/>
      <c r="B285" s="472"/>
      <c r="C285" s="473"/>
      <c r="D285" s="472"/>
      <c r="E285" s="473"/>
      <c r="F285" s="472"/>
      <c r="G285" s="473"/>
      <c r="H285" s="472"/>
      <c r="I285" s="473"/>
      <c r="J285" s="472"/>
      <c r="K285" s="473"/>
      <c r="L285" s="472"/>
      <c r="M285" s="473"/>
      <c r="N285" s="472"/>
      <c r="O285" s="473"/>
      <c r="P285" s="472"/>
      <c r="R285" s="472"/>
      <c r="S285" s="473"/>
      <c r="T285" s="472"/>
      <c r="U285" s="473"/>
      <c r="V285" s="472"/>
      <c r="W285" s="473"/>
      <c r="X285" s="472"/>
      <c r="Y285" s="473"/>
      <c r="Z285" s="472"/>
      <c r="AA285" s="473"/>
      <c r="AB285" s="472"/>
      <c r="AF285" s="470" t="s">
        <v>1191</v>
      </c>
      <c r="AG285" s="470"/>
      <c r="AH285" s="470"/>
      <c r="AI285" s="470"/>
      <c r="AJ285" s="470"/>
      <c r="AK285" s="471"/>
    </row>
    <row r="286" spans="1:37" ht="16.5" customHeight="1" thickBot="1">
      <c r="A286" s="467"/>
      <c r="B286" s="444"/>
      <c r="C286" s="473"/>
      <c r="D286" s="444"/>
      <c r="E286" s="473"/>
      <c r="F286" s="444"/>
      <c r="G286" s="473"/>
      <c r="H286" s="444"/>
      <c r="I286" s="473"/>
      <c r="J286" s="444"/>
      <c r="K286" s="473"/>
      <c r="L286" s="444"/>
      <c r="M286" s="473"/>
      <c r="N286" s="444"/>
      <c r="O286" s="473"/>
      <c r="P286" s="444"/>
      <c r="R286" s="444"/>
      <c r="S286" s="473"/>
      <c r="T286" s="444"/>
      <c r="U286" s="473"/>
      <c r="V286" s="444"/>
      <c r="W286" s="473"/>
      <c r="X286" s="444"/>
      <c r="Y286" s="473"/>
      <c r="Z286" s="444"/>
      <c r="AA286" s="473"/>
      <c r="AB286" s="444"/>
      <c r="AF286" s="474"/>
      <c r="AG286" s="475"/>
      <c r="AH286" s="475"/>
      <c r="AI286" s="475"/>
      <c r="AJ286" s="475"/>
      <c r="AK286" s="476"/>
    </row>
    <row r="287" spans="1:37" ht="29.5" customHeight="1" thickBot="1">
      <c r="A287" s="467"/>
      <c r="B287" s="446"/>
      <c r="C287" s="477">
        <v>392</v>
      </c>
      <c r="D287" s="446" t="s">
        <v>1376</v>
      </c>
      <c r="E287" s="477">
        <v>422</v>
      </c>
      <c r="F287" s="451"/>
      <c r="G287" s="477">
        <v>409.45699999999999</v>
      </c>
      <c r="H287" s="451"/>
      <c r="I287" s="477">
        <v>373.69400000000002</v>
      </c>
      <c r="J287" s="451"/>
      <c r="K287" s="477">
        <v>381.61700000000002</v>
      </c>
      <c r="L287" s="451"/>
      <c r="M287" s="477">
        <v>381.822</v>
      </c>
      <c r="N287" s="451"/>
      <c r="O287" s="477">
        <v>391.43599999999998</v>
      </c>
      <c r="P287" s="451"/>
      <c r="Q287" s="503">
        <v>385.78399999999999</v>
      </c>
      <c r="R287" s="451"/>
      <c r="S287" s="477">
        <v>367.452</v>
      </c>
      <c r="T287" s="446"/>
      <c r="U287" s="477">
        <v>379.63</v>
      </c>
      <c r="V287" s="451"/>
      <c r="W287" s="477">
        <v>380.459</v>
      </c>
      <c r="X287" s="446" t="s">
        <v>390</v>
      </c>
      <c r="Y287" s="477">
        <v>382.97899999999998</v>
      </c>
      <c r="Z287" s="446"/>
      <c r="AA287" s="477">
        <v>241.49600000000001</v>
      </c>
      <c r="AB287" s="446"/>
      <c r="AC287" s="508">
        <v>403</v>
      </c>
      <c r="AF287" s="470">
        <v>14</v>
      </c>
      <c r="AG287" s="470"/>
      <c r="AH287" s="470"/>
      <c r="AI287" s="470"/>
      <c r="AJ287" s="470"/>
      <c r="AK287" s="471"/>
    </row>
    <row r="288" spans="1:37" ht="16.5" customHeight="1" thickBot="1">
      <c r="A288" s="467"/>
      <c r="B288" s="479"/>
      <c r="D288" s="479"/>
      <c r="F288" s="479"/>
      <c r="H288" s="479"/>
      <c r="J288" s="479"/>
      <c r="L288" s="479"/>
      <c r="N288" s="479"/>
      <c r="P288" s="479"/>
      <c r="R288" s="479"/>
      <c r="T288" s="479"/>
      <c r="V288" s="479"/>
      <c r="X288" s="479"/>
      <c r="Z288" s="479"/>
      <c r="AB288" s="479"/>
      <c r="AF288" s="474"/>
      <c r="AG288" s="475"/>
      <c r="AH288" s="475"/>
      <c r="AI288" s="475"/>
      <c r="AJ288" s="475"/>
      <c r="AK288" s="476"/>
    </row>
    <row r="289" spans="1:37">
      <c r="A289" s="467"/>
      <c r="B289" s="450" t="s">
        <v>115</v>
      </c>
      <c r="C289" s="450"/>
      <c r="D289" s="450" t="s">
        <v>185</v>
      </c>
      <c r="E289" s="450"/>
      <c r="F289" s="450" t="s">
        <v>182</v>
      </c>
      <c r="G289" s="450"/>
      <c r="H289" s="450" t="s">
        <v>115</v>
      </c>
      <c r="I289" s="450"/>
      <c r="J289" s="450" t="s">
        <v>182</v>
      </c>
      <c r="K289" s="450"/>
      <c r="L289" s="450" t="s">
        <v>182</v>
      </c>
      <c r="M289" s="450"/>
      <c r="N289" s="450" t="s">
        <v>182</v>
      </c>
      <c r="O289" s="473"/>
      <c r="P289" s="450" t="s">
        <v>182</v>
      </c>
      <c r="R289" s="483" t="s">
        <v>182</v>
      </c>
      <c r="T289" s="483" t="s">
        <v>182</v>
      </c>
      <c r="U289" s="483"/>
      <c r="V289" s="483" t="s">
        <v>182</v>
      </c>
      <c r="W289" s="483"/>
      <c r="X289" s="483" t="s">
        <v>182</v>
      </c>
      <c r="Y289" s="483"/>
      <c r="Z289" s="483" t="s">
        <v>182</v>
      </c>
      <c r="AA289" s="483"/>
      <c r="AB289" s="483" t="s">
        <v>119</v>
      </c>
      <c r="AF289" s="474"/>
      <c r="AG289" s="475"/>
      <c r="AH289" s="475"/>
      <c r="AI289" s="475"/>
      <c r="AJ289" s="475"/>
      <c r="AK289" s="476"/>
    </row>
    <row r="290" spans="1:37">
      <c r="B290" s="450"/>
      <c r="C290" s="450"/>
      <c r="D290" s="450"/>
      <c r="E290" s="450"/>
      <c r="F290" s="450"/>
      <c r="G290" s="450"/>
      <c r="H290" s="450"/>
      <c r="I290" s="450"/>
      <c r="J290" s="450"/>
      <c r="K290" s="450"/>
      <c r="L290" s="450"/>
      <c r="M290" s="450"/>
      <c r="N290" s="450"/>
      <c r="O290" s="473"/>
      <c r="P290" s="450"/>
      <c r="R290" s="483"/>
      <c r="T290" s="483"/>
      <c r="U290" s="483"/>
      <c r="V290" s="483"/>
      <c r="W290" s="483"/>
      <c r="X290" s="483"/>
      <c r="Y290" s="483"/>
      <c r="Z290" s="483"/>
      <c r="AA290" s="483"/>
      <c r="AB290" s="483"/>
      <c r="AF290" s="474"/>
      <c r="AG290" s="475"/>
      <c r="AH290" s="475"/>
      <c r="AI290" s="475"/>
      <c r="AJ290" s="475"/>
      <c r="AK290" s="475"/>
    </row>
    <row r="291" spans="1:37">
      <c r="AF291" s="507"/>
    </row>
    <row r="292" spans="1:37">
      <c r="A292" s="503"/>
      <c r="B292" s="483" t="s">
        <v>818</v>
      </c>
      <c r="C292" s="483"/>
      <c r="D292" s="483" t="s">
        <v>819</v>
      </c>
      <c r="E292" s="483"/>
      <c r="F292" s="483" t="s">
        <v>820</v>
      </c>
      <c r="G292" s="483"/>
      <c r="H292" s="483" t="s">
        <v>821</v>
      </c>
      <c r="I292" s="483"/>
      <c r="J292" s="483" t="s">
        <v>822</v>
      </c>
      <c r="K292" s="483"/>
      <c r="L292" s="483" t="s">
        <v>823</v>
      </c>
      <c r="M292" s="483"/>
      <c r="N292" s="483" t="s">
        <v>824</v>
      </c>
      <c r="O292" s="483"/>
      <c r="P292" s="483" t="s">
        <v>827</v>
      </c>
      <c r="Q292" s="483"/>
      <c r="R292" s="483" t="s">
        <v>1363</v>
      </c>
      <c r="S292" s="483"/>
      <c r="T292" s="483" t="s">
        <v>1364</v>
      </c>
      <c r="U292" s="483"/>
      <c r="V292" s="483" t="s">
        <v>1365</v>
      </c>
      <c r="W292" s="483"/>
      <c r="X292" s="483" t="s">
        <v>1366</v>
      </c>
      <c r="Y292" s="483"/>
      <c r="Z292" s="483" t="s">
        <v>1367</v>
      </c>
      <c r="AA292" s="483"/>
      <c r="AB292" s="483" t="s">
        <v>830</v>
      </c>
      <c r="AC292" s="483"/>
      <c r="AD292" s="483" t="s">
        <v>831</v>
      </c>
      <c r="AF292" s="507"/>
    </row>
    <row r="293" spans="1:37">
      <c r="A293" s="467"/>
      <c r="B293" s="472"/>
      <c r="C293" s="473"/>
      <c r="D293" s="472"/>
      <c r="E293" s="473"/>
      <c r="F293" s="472"/>
      <c r="G293" s="473"/>
      <c r="H293" s="472"/>
      <c r="I293" s="473"/>
      <c r="J293" s="472"/>
      <c r="K293" s="473"/>
      <c r="L293" s="472"/>
      <c r="M293" s="473"/>
      <c r="N293" s="472"/>
      <c r="O293" s="473"/>
      <c r="P293" s="472"/>
      <c r="R293" s="472"/>
      <c r="S293" s="473"/>
      <c r="T293" s="472"/>
      <c r="U293" s="473"/>
      <c r="V293" s="472"/>
      <c r="W293" s="473"/>
      <c r="X293" s="472"/>
      <c r="Y293" s="473"/>
      <c r="Z293" s="472"/>
      <c r="AA293" s="473"/>
      <c r="AB293" s="472"/>
      <c r="AF293" s="470" t="s">
        <v>1191</v>
      </c>
      <c r="AG293" s="470"/>
      <c r="AH293" s="470"/>
      <c r="AI293" s="470"/>
      <c r="AJ293" s="470"/>
      <c r="AK293" s="471"/>
    </row>
    <row r="294" spans="1:37" ht="16.5" customHeight="1" thickBot="1">
      <c r="A294" s="467"/>
      <c r="B294" s="444"/>
      <c r="C294" s="473"/>
      <c r="D294" s="444"/>
      <c r="E294" s="473"/>
      <c r="F294" s="444"/>
      <c r="G294" s="473"/>
      <c r="H294" s="444"/>
      <c r="I294" s="473"/>
      <c r="J294" s="444"/>
      <c r="K294" s="473"/>
      <c r="L294" s="444"/>
      <c r="M294" s="473"/>
      <c r="N294" s="444"/>
      <c r="O294" s="473"/>
      <c r="P294" s="444"/>
      <c r="R294" s="444"/>
      <c r="S294" s="473"/>
      <c r="T294" s="444"/>
      <c r="U294" s="473"/>
      <c r="V294" s="444"/>
      <c r="W294" s="473"/>
      <c r="X294" s="444"/>
      <c r="Y294" s="473"/>
      <c r="Z294" s="444"/>
      <c r="AA294" s="473"/>
      <c r="AB294" s="444"/>
      <c r="AD294" s="444"/>
      <c r="AF294" s="474"/>
      <c r="AG294" s="475"/>
      <c r="AH294" s="475"/>
      <c r="AI294" s="475"/>
      <c r="AJ294" s="475"/>
      <c r="AK294" s="476"/>
    </row>
    <row r="295" spans="1:37" ht="30" customHeight="1" thickBot="1">
      <c r="A295" s="467"/>
      <c r="B295" s="446"/>
      <c r="C295" s="508">
        <v>359.142</v>
      </c>
      <c r="D295" s="560"/>
      <c r="E295" s="508">
        <v>384.87799999999999</v>
      </c>
      <c r="F295" s="560"/>
      <c r="G295" s="508">
        <v>381.90499999999997</v>
      </c>
      <c r="H295" s="560"/>
      <c r="I295" s="508">
        <v>397.15199999999999</v>
      </c>
      <c r="J295" s="560"/>
      <c r="K295" s="508">
        <v>387.13099999999997</v>
      </c>
      <c r="L295" s="560"/>
      <c r="M295" s="508">
        <v>392.12400000000002</v>
      </c>
      <c r="N295" s="560"/>
      <c r="O295" s="508">
        <v>364.62299999999999</v>
      </c>
      <c r="P295" s="560"/>
      <c r="Q295" s="508">
        <v>188.369</v>
      </c>
      <c r="R295" s="560"/>
      <c r="S295" s="508">
        <v>396</v>
      </c>
      <c r="T295" s="560"/>
      <c r="U295" s="508">
        <v>425</v>
      </c>
      <c r="V295" s="560"/>
      <c r="W295" s="508">
        <v>407</v>
      </c>
      <c r="X295" s="560"/>
      <c r="Y295" s="508">
        <v>433</v>
      </c>
      <c r="Z295" s="560"/>
      <c r="AA295" s="508">
        <v>489.23</v>
      </c>
      <c r="AB295" s="446"/>
      <c r="AC295" s="508">
        <v>419.40300000000002</v>
      </c>
      <c r="AD295" s="446"/>
      <c r="AF295" s="470">
        <v>14</v>
      </c>
      <c r="AG295" s="470"/>
      <c r="AH295" s="470"/>
      <c r="AI295" s="470"/>
      <c r="AJ295" s="470"/>
      <c r="AK295" s="471"/>
    </row>
    <row r="296" spans="1:37" ht="16.5" customHeight="1" thickBot="1">
      <c r="A296" s="467"/>
      <c r="B296" s="479"/>
      <c r="D296" s="479"/>
      <c r="F296" s="479"/>
      <c r="H296" s="479"/>
      <c r="J296" s="479"/>
      <c r="L296" s="479"/>
      <c r="N296" s="479"/>
      <c r="P296" s="479"/>
      <c r="R296" s="479"/>
      <c r="T296" s="479"/>
      <c r="V296" s="479"/>
      <c r="X296" s="479"/>
      <c r="Z296" s="479"/>
      <c r="AB296" s="479"/>
      <c r="AD296" s="479"/>
      <c r="AF296" s="474"/>
      <c r="AG296" s="475"/>
      <c r="AH296" s="475"/>
      <c r="AI296" s="475"/>
      <c r="AJ296" s="475"/>
      <c r="AK296" s="476"/>
    </row>
    <row r="297" spans="1:37">
      <c r="A297" s="467"/>
      <c r="B297" s="450" t="s">
        <v>182</v>
      </c>
      <c r="C297" s="450"/>
      <c r="D297" s="450" t="s">
        <v>182</v>
      </c>
      <c r="E297" s="450"/>
      <c r="F297" s="450" t="s">
        <v>182</v>
      </c>
      <c r="G297" s="450"/>
      <c r="H297" s="450" t="s">
        <v>182</v>
      </c>
      <c r="I297" s="450"/>
      <c r="J297" s="450" t="s">
        <v>182</v>
      </c>
      <c r="K297" s="450"/>
      <c r="L297" s="450" t="s">
        <v>182</v>
      </c>
      <c r="M297" s="450"/>
      <c r="N297" s="450" t="s">
        <v>182</v>
      </c>
      <c r="O297" s="450"/>
      <c r="P297" s="450" t="s">
        <v>125</v>
      </c>
      <c r="Q297" s="450"/>
      <c r="R297" s="450" t="s">
        <v>125</v>
      </c>
      <c r="S297" s="450"/>
      <c r="T297" s="450" t="s">
        <v>188</v>
      </c>
      <c r="U297" s="450"/>
      <c r="V297" s="450" t="s">
        <v>185</v>
      </c>
      <c r="W297" s="450"/>
      <c r="X297" s="450" t="s">
        <v>182</v>
      </c>
      <c r="Y297" s="450"/>
      <c r="Z297" s="450" t="s">
        <v>132</v>
      </c>
      <c r="AA297" s="450"/>
      <c r="AB297" s="450" t="s">
        <v>147</v>
      </c>
      <c r="AC297" s="450"/>
      <c r="AD297" s="450" t="s">
        <v>147</v>
      </c>
      <c r="AF297" s="474"/>
      <c r="AG297" s="475"/>
      <c r="AH297" s="475"/>
      <c r="AI297" s="475"/>
      <c r="AJ297" s="475"/>
      <c r="AK297" s="476"/>
    </row>
    <row r="298" spans="1:37">
      <c r="AF298" s="507"/>
    </row>
    <row r="299" spans="1:37">
      <c r="AF299" s="507"/>
    </row>
    <row r="300" spans="1:37">
      <c r="A300" s="503"/>
      <c r="B300" s="503" t="s">
        <v>832</v>
      </c>
      <c r="C300" s="503"/>
      <c r="D300" s="503" t="s">
        <v>833</v>
      </c>
      <c r="E300" s="503"/>
      <c r="F300" s="503" t="s">
        <v>1288</v>
      </c>
      <c r="G300" s="503"/>
      <c r="H300" s="503" t="s">
        <v>835</v>
      </c>
      <c r="I300" s="503"/>
      <c r="J300" s="503" t="s">
        <v>836</v>
      </c>
      <c r="K300" s="503"/>
      <c r="L300" s="503" t="s">
        <v>837</v>
      </c>
      <c r="M300" s="503"/>
      <c r="N300" s="503" t="s">
        <v>838</v>
      </c>
      <c r="O300" s="503"/>
      <c r="P300" s="503" t="s">
        <v>1184</v>
      </c>
      <c r="AF300" s="507"/>
    </row>
    <row r="301" spans="1:37">
      <c r="A301" s="467"/>
      <c r="B301" s="472"/>
      <c r="C301" s="473"/>
      <c r="D301" s="472"/>
      <c r="E301" s="473"/>
      <c r="F301" s="472"/>
      <c r="G301" s="473"/>
      <c r="H301" s="472"/>
      <c r="I301" s="473"/>
      <c r="J301" s="472"/>
      <c r="K301" s="473"/>
      <c r="L301" s="472"/>
      <c r="M301" s="473"/>
      <c r="N301" s="472"/>
      <c r="O301" s="473"/>
      <c r="R301" s="472"/>
      <c r="S301" s="473"/>
      <c r="T301" s="472"/>
      <c r="U301" s="473"/>
      <c r="V301" s="472"/>
      <c r="W301" s="473"/>
      <c r="X301" s="472"/>
      <c r="Y301" s="473"/>
      <c r="Z301" s="472"/>
      <c r="AA301" s="473"/>
      <c r="AB301" s="472"/>
      <c r="AF301" s="470" t="s">
        <v>1191</v>
      </c>
      <c r="AG301" s="470"/>
      <c r="AH301" s="470"/>
      <c r="AI301" s="470"/>
      <c r="AJ301" s="470"/>
      <c r="AK301" s="471"/>
    </row>
    <row r="302" spans="1:37" ht="16.5" customHeight="1" thickBot="1">
      <c r="A302" s="467"/>
      <c r="B302" s="444"/>
      <c r="C302" s="473"/>
      <c r="D302" s="444"/>
      <c r="E302" s="473"/>
      <c r="F302" s="444"/>
      <c r="G302" s="473"/>
      <c r="H302" s="444"/>
      <c r="I302" s="473"/>
      <c r="J302" s="444"/>
      <c r="K302" s="473"/>
      <c r="L302" s="444"/>
      <c r="M302" s="473"/>
      <c r="N302" s="444"/>
      <c r="O302" s="473"/>
      <c r="P302" s="444"/>
      <c r="R302" s="444"/>
      <c r="S302" s="473"/>
      <c r="T302" s="444"/>
      <c r="U302" s="473"/>
      <c r="V302" s="444"/>
      <c r="W302" s="473"/>
      <c r="X302" s="444"/>
      <c r="Y302" s="473"/>
      <c r="Z302" s="444"/>
      <c r="AA302" s="473"/>
      <c r="AB302" s="444"/>
      <c r="AF302" s="474"/>
      <c r="AG302" s="475"/>
      <c r="AH302" s="475"/>
      <c r="AI302" s="475"/>
      <c r="AJ302" s="475"/>
      <c r="AK302" s="476"/>
    </row>
    <row r="303" spans="1:37" ht="32.5" customHeight="1" thickBot="1">
      <c r="A303" s="467"/>
      <c r="B303" s="446"/>
      <c r="C303" s="477">
        <v>242.63</v>
      </c>
      <c r="D303" s="560"/>
      <c r="E303" s="477">
        <v>342.72699999999998</v>
      </c>
      <c r="F303" s="560"/>
      <c r="G303" s="477">
        <v>389.221</v>
      </c>
      <c r="H303" s="560"/>
      <c r="I303" s="477">
        <v>220.25299999999999</v>
      </c>
      <c r="J303" s="560"/>
      <c r="K303" s="477">
        <v>241.31200000000001</v>
      </c>
      <c r="L303" s="560"/>
      <c r="M303" s="477">
        <v>214.90199999999999</v>
      </c>
      <c r="N303" s="560"/>
      <c r="O303" s="477">
        <v>113.742</v>
      </c>
      <c r="P303" s="446"/>
      <c r="R303" s="452"/>
      <c r="S303" s="477"/>
      <c r="T303" s="452"/>
      <c r="U303" s="477"/>
      <c r="V303" s="452"/>
      <c r="W303" s="477"/>
      <c r="X303" s="452"/>
      <c r="Y303" s="477"/>
      <c r="Z303" s="452"/>
      <c r="AA303" s="477"/>
      <c r="AB303" s="452"/>
      <c r="AF303" s="470">
        <v>7</v>
      </c>
      <c r="AG303" s="470"/>
      <c r="AH303" s="470"/>
      <c r="AI303" s="470"/>
      <c r="AJ303" s="470"/>
      <c r="AK303" s="471"/>
    </row>
    <row r="304" spans="1:37" ht="16.5" customHeight="1" thickBot="1">
      <c r="A304" s="467"/>
      <c r="B304" s="479"/>
      <c r="D304" s="479"/>
      <c r="F304" s="479"/>
      <c r="H304" s="479"/>
      <c r="J304" s="479"/>
      <c r="L304" s="479"/>
      <c r="N304" s="479"/>
      <c r="P304" s="479"/>
      <c r="R304" s="472"/>
      <c r="T304" s="472"/>
      <c r="V304" s="472"/>
      <c r="X304" s="472"/>
      <c r="Z304" s="472"/>
      <c r="AB304" s="472"/>
      <c r="AF304" s="474"/>
      <c r="AG304" s="475"/>
      <c r="AH304" s="475"/>
      <c r="AI304" s="475"/>
      <c r="AJ304" s="475"/>
      <c r="AK304" s="476"/>
    </row>
    <row r="305" spans="1:37">
      <c r="A305" s="467"/>
      <c r="B305" s="450" t="s">
        <v>117</v>
      </c>
      <c r="C305" s="450"/>
      <c r="D305" s="450" t="s">
        <v>117</v>
      </c>
      <c r="E305" s="450"/>
      <c r="F305" s="450" t="s">
        <v>167</v>
      </c>
      <c r="G305" s="450"/>
      <c r="H305" s="450" t="s">
        <v>201</v>
      </c>
      <c r="I305" s="450"/>
      <c r="J305" s="450" t="s">
        <v>201</v>
      </c>
      <c r="K305" s="450"/>
      <c r="L305" s="450" t="s">
        <v>147</v>
      </c>
      <c r="M305" s="450"/>
      <c r="N305" s="450" t="s">
        <v>125</v>
      </c>
      <c r="O305" s="473"/>
      <c r="P305" s="473"/>
      <c r="AF305" s="474"/>
      <c r="AG305" s="475"/>
      <c r="AH305" s="475"/>
      <c r="AI305" s="475"/>
      <c r="AJ305" s="475"/>
      <c r="AK305" s="476"/>
    </row>
    <row r="306" spans="1:37">
      <c r="AF306" s="507"/>
    </row>
    <row r="307" spans="1:37">
      <c r="AF307" s="507"/>
    </row>
    <row r="308" spans="1:37">
      <c r="A308" s="467"/>
      <c r="B308" s="472"/>
      <c r="C308" s="473"/>
      <c r="D308" s="472"/>
      <c r="E308" s="473"/>
      <c r="F308" s="472"/>
      <c r="G308" s="473"/>
      <c r="H308" s="472"/>
      <c r="I308" s="473"/>
      <c r="J308" s="472"/>
      <c r="K308" s="473"/>
      <c r="L308" s="472"/>
      <c r="M308" s="473"/>
      <c r="N308" s="472"/>
      <c r="O308" s="473"/>
      <c r="P308" s="472"/>
      <c r="R308" s="472"/>
      <c r="S308" s="473"/>
      <c r="T308" s="472"/>
      <c r="U308" s="473"/>
      <c r="V308" s="472"/>
      <c r="W308" s="473"/>
      <c r="X308" s="472"/>
      <c r="Y308" s="473"/>
      <c r="Z308" s="472"/>
      <c r="AA308" s="473"/>
      <c r="AB308" s="472"/>
      <c r="AF308" s="470" t="s">
        <v>1191</v>
      </c>
      <c r="AG308" s="470"/>
      <c r="AH308" s="470"/>
      <c r="AI308" s="470"/>
      <c r="AJ308" s="470"/>
      <c r="AK308" s="471"/>
    </row>
    <row r="309" spans="1:37" ht="16.5" customHeight="1">
      <c r="A309" s="467"/>
      <c r="B309" s="444"/>
      <c r="C309" s="473"/>
      <c r="D309" s="444"/>
      <c r="E309" s="473"/>
      <c r="F309" s="444"/>
      <c r="G309" s="473"/>
      <c r="H309" s="444"/>
      <c r="I309" s="473"/>
      <c r="J309" s="444"/>
      <c r="K309" s="473"/>
      <c r="L309" s="444"/>
      <c r="M309" s="473"/>
      <c r="N309" s="444"/>
      <c r="O309" s="473"/>
      <c r="P309" s="444"/>
      <c r="R309" s="444"/>
      <c r="S309" s="473"/>
      <c r="T309" s="444"/>
      <c r="U309" s="473"/>
      <c r="V309" s="444"/>
      <c r="W309" s="473"/>
      <c r="X309" s="444"/>
      <c r="Y309" s="473"/>
      <c r="Z309" s="444"/>
      <c r="AA309" s="473"/>
      <c r="AB309" s="444"/>
      <c r="AF309" s="474"/>
      <c r="AG309" s="475"/>
      <c r="AH309" s="475"/>
      <c r="AI309" s="475"/>
      <c r="AJ309" s="475"/>
      <c r="AK309" s="476"/>
    </row>
    <row r="310" spans="1:37" ht="42.75" customHeight="1">
      <c r="A310" s="467"/>
      <c r="B310" s="452"/>
      <c r="C310" s="477"/>
      <c r="D310" s="452"/>
      <c r="E310" s="477"/>
      <c r="F310" s="452"/>
      <c r="G310" s="477"/>
      <c r="H310" s="452"/>
      <c r="I310" s="477"/>
      <c r="J310" s="452"/>
      <c r="K310" s="477"/>
      <c r="L310" s="452"/>
      <c r="M310" s="477"/>
      <c r="N310" s="452"/>
      <c r="O310" s="473"/>
      <c r="P310" s="452"/>
      <c r="R310" s="452"/>
      <c r="S310" s="477"/>
      <c r="T310" s="452"/>
      <c r="U310" s="477"/>
      <c r="V310" s="452"/>
      <c r="W310" s="477"/>
      <c r="X310" s="452"/>
      <c r="Y310" s="477"/>
      <c r="Z310" s="452"/>
      <c r="AA310" s="477"/>
      <c r="AB310" s="452"/>
      <c r="AF310" s="470"/>
      <c r="AG310" s="470"/>
      <c r="AH310" s="470"/>
      <c r="AI310" s="470"/>
      <c r="AJ310" s="470"/>
      <c r="AK310" s="471"/>
    </row>
    <row r="311" spans="1:37" ht="16.5" customHeight="1">
      <c r="A311" s="467"/>
      <c r="B311" s="472"/>
      <c r="D311" s="472"/>
      <c r="F311" s="472"/>
      <c r="H311" s="472"/>
      <c r="J311" s="472"/>
      <c r="L311" s="472"/>
      <c r="N311" s="472"/>
      <c r="P311" s="472"/>
      <c r="R311" s="472"/>
      <c r="T311" s="472"/>
      <c r="V311" s="472"/>
      <c r="X311" s="472"/>
      <c r="Z311" s="472"/>
      <c r="AB311" s="472"/>
      <c r="AF311" s="474"/>
      <c r="AG311" s="475"/>
      <c r="AH311" s="475"/>
      <c r="AI311" s="475"/>
      <c r="AJ311" s="475"/>
      <c r="AK311" s="476"/>
    </row>
    <row r="312" spans="1:37">
      <c r="A312" s="467"/>
      <c r="B312" s="450"/>
      <c r="C312" s="450"/>
      <c r="D312" s="450"/>
      <c r="E312" s="450"/>
      <c r="F312" s="450"/>
      <c r="G312" s="450"/>
      <c r="H312" s="450"/>
      <c r="I312" s="450"/>
      <c r="J312" s="450"/>
      <c r="K312" s="450"/>
      <c r="L312" s="450"/>
      <c r="M312" s="450"/>
      <c r="N312" s="450"/>
      <c r="O312" s="473"/>
      <c r="P312" s="473"/>
      <c r="AF312" s="474"/>
      <c r="AG312" s="475"/>
      <c r="AH312" s="475"/>
      <c r="AI312" s="475"/>
      <c r="AJ312" s="475"/>
      <c r="AK312" s="476"/>
    </row>
    <row r="313" spans="1:37">
      <c r="AF313" s="507"/>
    </row>
    <row r="314" spans="1:37">
      <c r="AF314" s="470">
        <f>SUM(AF23:AF313)</f>
        <v>496</v>
      </c>
      <c r="AG314" s="470">
        <f>SUM(AG23:AG313)</f>
        <v>39</v>
      </c>
      <c r="AH314" s="470">
        <f>SUM(AH23:AH313)</f>
        <v>24</v>
      </c>
      <c r="AI314" s="470"/>
      <c r="AJ314" s="470"/>
      <c r="AK314" s="470"/>
    </row>
  </sheetData>
  <mergeCells count="73">
    <mergeCell ref="N6:P7"/>
    <mergeCell ref="A1:AE1"/>
    <mergeCell ref="A2:AD2"/>
    <mergeCell ref="A3:AE3"/>
    <mergeCell ref="A4:P5"/>
    <mergeCell ref="S4:U4"/>
    <mergeCell ref="W4:Z4"/>
    <mergeCell ref="S5:U5"/>
    <mergeCell ref="W5:Z5"/>
    <mergeCell ref="A6:B7"/>
    <mergeCell ref="C6:E7"/>
    <mergeCell ref="F6:G7"/>
    <mergeCell ref="H6:J7"/>
    <mergeCell ref="K6:M7"/>
    <mergeCell ref="N9:P9"/>
    <mergeCell ref="A8:B8"/>
    <mergeCell ref="C8:E8"/>
    <mergeCell ref="F8:G8"/>
    <mergeCell ref="H8:J8"/>
    <mergeCell ref="K8:M8"/>
    <mergeCell ref="N8:P8"/>
    <mergeCell ref="A9:B9"/>
    <mergeCell ref="C9:E9"/>
    <mergeCell ref="F9:G9"/>
    <mergeCell ref="H9:J9"/>
    <mergeCell ref="K9:M9"/>
    <mergeCell ref="N11:P11"/>
    <mergeCell ref="A10:B10"/>
    <mergeCell ref="C10:E10"/>
    <mergeCell ref="F10:G10"/>
    <mergeCell ref="H10:J10"/>
    <mergeCell ref="K10:M10"/>
    <mergeCell ref="N10:P10"/>
    <mergeCell ref="A11:B11"/>
    <mergeCell ref="C11:E11"/>
    <mergeCell ref="F11:G11"/>
    <mergeCell ref="H11:J11"/>
    <mergeCell ref="K11:M11"/>
    <mergeCell ref="V12:X12"/>
    <mergeCell ref="AB12:AC12"/>
    <mergeCell ref="A13:B13"/>
    <mergeCell ref="C13:E13"/>
    <mergeCell ref="F13:G13"/>
    <mergeCell ref="H13:J13"/>
    <mergeCell ref="K13:M13"/>
    <mergeCell ref="N13:P13"/>
    <mergeCell ref="V13:X13"/>
    <mergeCell ref="A12:B12"/>
    <mergeCell ref="C12:E12"/>
    <mergeCell ref="F12:G12"/>
    <mergeCell ref="H12:J12"/>
    <mergeCell ref="K12:M12"/>
    <mergeCell ref="N12:P12"/>
    <mergeCell ref="N15:P15"/>
    <mergeCell ref="A14:B14"/>
    <mergeCell ref="C14:E14"/>
    <mergeCell ref="F14:G14"/>
    <mergeCell ref="H14:J14"/>
    <mergeCell ref="K14:M14"/>
    <mergeCell ref="N14:P14"/>
    <mergeCell ref="A15:B15"/>
    <mergeCell ref="C15:E15"/>
    <mergeCell ref="F15:G15"/>
    <mergeCell ref="H15:J15"/>
    <mergeCell ref="K15:M15"/>
    <mergeCell ref="Z16:AA16"/>
    <mergeCell ref="AB16:AE16"/>
    <mergeCell ref="A16:B16"/>
    <mergeCell ref="C16:E16"/>
    <mergeCell ref="F16:G16"/>
    <mergeCell ref="H16:J16"/>
    <mergeCell ref="K16:M16"/>
    <mergeCell ref="N16:P16"/>
  </mergeCells>
  <conditionalFormatting sqref="B23">
    <cfRule type="cellIs" dxfId="1647" priority="1804" operator="equal">
      <formula>"F"</formula>
    </cfRule>
    <cfRule type="cellIs" dxfId="1646" priority="1805" operator="equal">
      <formula>"F"</formula>
    </cfRule>
    <cfRule type="cellIs" dxfId="1645" priority="1803" operator="equal">
      <formula>"U/P"</formula>
    </cfRule>
  </conditionalFormatting>
  <conditionalFormatting sqref="B31">
    <cfRule type="cellIs" dxfId="1644" priority="1627" operator="equal">
      <formula>"U/P"</formula>
    </cfRule>
    <cfRule type="cellIs" dxfId="1643" priority="1628" operator="equal">
      <formula>"F"</formula>
    </cfRule>
    <cfRule type="cellIs" dxfId="1642" priority="1629" operator="equal">
      <formula>"F"</formula>
    </cfRule>
  </conditionalFormatting>
  <conditionalFormatting sqref="B34 D34 F34 H34 J34 L34 N34 P34 R34 T34 V34 X34 Z34 AB34">
    <cfRule type="cellIs" dxfId="1641" priority="1798" operator="equal">
      <formula>0</formula>
    </cfRule>
  </conditionalFormatting>
  <conditionalFormatting sqref="B39">
    <cfRule type="cellIs" dxfId="1640" priority="1586" operator="equal">
      <formula>"F"</formula>
    </cfRule>
    <cfRule type="cellIs" dxfId="1639" priority="1587" operator="equal">
      <formula>"F"</formula>
    </cfRule>
    <cfRule type="cellIs" dxfId="1638" priority="1585" operator="equal">
      <formula>"U/P"</formula>
    </cfRule>
  </conditionalFormatting>
  <conditionalFormatting sqref="B47">
    <cfRule type="cellIs" dxfId="1637" priority="1543" operator="equal">
      <formula>"U/P"</formula>
    </cfRule>
    <cfRule type="cellIs" dxfId="1636" priority="1544" operator="equal">
      <formula>"F"</formula>
    </cfRule>
    <cfRule type="cellIs" dxfId="1635" priority="1545" operator="equal">
      <formula>"F"</formula>
    </cfRule>
  </conditionalFormatting>
  <conditionalFormatting sqref="B50 D50 F50 H50 J50 L50 N50 P50 R50 T50 V50 X50 Z50 AB50">
    <cfRule type="cellIs" dxfId="1634" priority="1797" operator="equal">
      <formula>0</formula>
    </cfRule>
  </conditionalFormatting>
  <conditionalFormatting sqref="B55">
    <cfRule type="cellIs" dxfId="1633" priority="1502" operator="equal">
      <formula>"F"</formula>
    </cfRule>
    <cfRule type="cellIs" dxfId="1632" priority="1501" operator="equal">
      <formula>"U/P"</formula>
    </cfRule>
    <cfRule type="cellIs" dxfId="1631" priority="1503" operator="equal">
      <formula>"F"</formula>
    </cfRule>
  </conditionalFormatting>
  <conditionalFormatting sqref="B58 D58 F58 H58 J58 L58 N58 P58 R58 T58 V58 X58 Z58 AB58">
    <cfRule type="cellIs" dxfId="1630" priority="1796" operator="equal">
      <formula>0</formula>
    </cfRule>
  </conditionalFormatting>
  <conditionalFormatting sqref="B63">
    <cfRule type="cellIs" dxfId="1629" priority="1459" operator="equal">
      <formula>"U/P"</formula>
    </cfRule>
    <cfRule type="cellIs" dxfId="1628" priority="1460" operator="equal">
      <formula>"F"</formula>
    </cfRule>
    <cfRule type="cellIs" dxfId="1627" priority="1461" operator="equal">
      <formula>"F"</formula>
    </cfRule>
  </conditionalFormatting>
  <conditionalFormatting sqref="B66 D66 F66 H66 J66 L66 N66 P66 R66 T66 V66 X66 Z66 AB66">
    <cfRule type="cellIs" dxfId="1626" priority="1795" operator="equal">
      <formula>0</formula>
    </cfRule>
  </conditionalFormatting>
  <conditionalFormatting sqref="B71">
    <cfRule type="cellIs" dxfId="1625" priority="1419" operator="equal">
      <formula>"F"</formula>
    </cfRule>
    <cfRule type="cellIs" dxfId="1624" priority="1418" operator="equal">
      <formula>"F"</formula>
    </cfRule>
    <cfRule type="cellIs" dxfId="1623" priority="1417" operator="equal">
      <formula>"U/P"</formula>
    </cfRule>
  </conditionalFormatting>
  <conditionalFormatting sqref="B74 D74 F74 H74 J74 L74 N74 P74 R74 T74 V74 X74 Z74 AB74">
    <cfRule type="cellIs" dxfId="1622" priority="1794" operator="equal">
      <formula>0</formula>
    </cfRule>
  </conditionalFormatting>
  <conditionalFormatting sqref="B79">
    <cfRule type="cellIs" dxfId="1621" priority="1376" operator="equal">
      <formula>"F"</formula>
    </cfRule>
    <cfRule type="cellIs" dxfId="1620" priority="1375" operator="equal">
      <formula>"U/P"</formula>
    </cfRule>
    <cfRule type="cellIs" dxfId="1619" priority="1377" operator="equal">
      <formula>"F"</formula>
    </cfRule>
  </conditionalFormatting>
  <conditionalFormatting sqref="B82 D82 F82 H82 J82 L82 N82 P82 R82 T82 V82 X82 Z82 AB82">
    <cfRule type="cellIs" dxfId="1618" priority="1781" operator="equal">
      <formula>0</formula>
    </cfRule>
  </conditionalFormatting>
  <conditionalFormatting sqref="B87">
    <cfRule type="cellIs" dxfId="1617" priority="1333" operator="equal">
      <formula>"U/P"</formula>
    </cfRule>
    <cfRule type="cellIs" dxfId="1616" priority="1334" operator="equal">
      <formula>"F"</formula>
    </cfRule>
    <cfRule type="cellIs" dxfId="1615" priority="1335" operator="equal">
      <formula>"F"</formula>
    </cfRule>
  </conditionalFormatting>
  <conditionalFormatting sqref="B90 D90 F90 H90 J90 L90 N90 P90 R90 T90 V90 X90 Z90 AB90">
    <cfRule type="cellIs" dxfId="1614" priority="1780" operator="equal">
      <formula>0</formula>
    </cfRule>
  </conditionalFormatting>
  <conditionalFormatting sqref="B95">
    <cfRule type="cellIs" dxfId="1613" priority="1292" operator="equal">
      <formula>"F"</formula>
    </cfRule>
    <cfRule type="cellIs" dxfId="1612" priority="1291" operator="equal">
      <formula>"U/P"</formula>
    </cfRule>
    <cfRule type="cellIs" dxfId="1611" priority="1293" operator="equal">
      <formula>"F"</formula>
    </cfRule>
  </conditionalFormatting>
  <conditionalFormatting sqref="B98 D98 F98 H98 J98 L98 N98 P98 R98 T98 V98 X98 Z98 AB98">
    <cfRule type="cellIs" dxfId="1610" priority="1779" operator="equal">
      <formula>0</formula>
    </cfRule>
  </conditionalFormatting>
  <conditionalFormatting sqref="B103">
    <cfRule type="cellIs" dxfId="1609" priority="1249" operator="equal">
      <formula>"U/P"</formula>
    </cfRule>
    <cfRule type="cellIs" dxfId="1608" priority="1250" operator="equal">
      <formula>"F"</formula>
    </cfRule>
    <cfRule type="cellIs" dxfId="1607" priority="1251" operator="equal">
      <formula>"F"</formula>
    </cfRule>
  </conditionalFormatting>
  <conditionalFormatting sqref="B106 D106 F106 H106 J106 L106 N106 P106 R106 T106 V106 X106 Z106 AB106">
    <cfRule type="cellIs" dxfId="1606" priority="1778" operator="equal">
      <formula>0</formula>
    </cfRule>
  </conditionalFormatting>
  <conditionalFormatting sqref="B111">
    <cfRule type="cellIs" dxfId="1605" priority="1208" operator="equal">
      <formula>"F"</formula>
    </cfRule>
    <cfRule type="cellIs" dxfId="1604" priority="1207" operator="equal">
      <formula>"U/P"</formula>
    </cfRule>
    <cfRule type="cellIs" dxfId="1603" priority="1209" operator="equal">
      <formula>"F"</formula>
    </cfRule>
  </conditionalFormatting>
  <conditionalFormatting sqref="B114 D114 F114 H114 J114 L114 N114 P114 R114 T114 V114 X114 Z114 AB114">
    <cfRule type="cellIs" dxfId="1602" priority="1777" operator="equal">
      <formula>0</formula>
    </cfRule>
  </conditionalFormatting>
  <conditionalFormatting sqref="B119">
    <cfRule type="cellIs" dxfId="1601" priority="1171" operator="equal">
      <formula>"U/P"</formula>
    </cfRule>
    <cfRule type="cellIs" dxfId="1600" priority="1172" operator="equal">
      <formula>"F"</formula>
    </cfRule>
    <cfRule type="cellIs" dxfId="1599" priority="1173" operator="equal">
      <formula>"F"</formula>
    </cfRule>
  </conditionalFormatting>
  <conditionalFormatting sqref="B122 D122 F122 H122 J122 L122 N122 P122 R122 T122 V122 X122 Z122 AB122">
    <cfRule type="cellIs" dxfId="1598" priority="1734" operator="equal">
      <formula>0</formula>
    </cfRule>
  </conditionalFormatting>
  <conditionalFormatting sqref="B127">
    <cfRule type="cellIs" dxfId="1597" priority="1131" operator="equal">
      <formula>"F"</formula>
    </cfRule>
    <cfRule type="cellIs" dxfId="1596" priority="1130" operator="equal">
      <formula>"F"</formula>
    </cfRule>
    <cfRule type="cellIs" dxfId="1595" priority="1129" operator="equal">
      <formula>"U/P"</formula>
    </cfRule>
  </conditionalFormatting>
  <conditionalFormatting sqref="B135">
    <cfRule type="cellIs" dxfId="1594" priority="1093" operator="equal">
      <formula>"U/P"</formula>
    </cfRule>
    <cfRule type="cellIs" dxfId="1593" priority="1094" operator="equal">
      <formula>"F"</formula>
    </cfRule>
    <cfRule type="cellIs" dxfId="1592" priority="1095" operator="equal">
      <formula>"F"</formula>
    </cfRule>
  </conditionalFormatting>
  <conditionalFormatting sqref="B138 D138 F138 H138 J138 L138 N138 P138 R138 T138 V138 X138 Z138 AB138">
    <cfRule type="cellIs" dxfId="1591" priority="1733" operator="equal">
      <formula>0</formula>
    </cfRule>
  </conditionalFormatting>
  <conditionalFormatting sqref="B143">
    <cfRule type="cellIs" dxfId="1590" priority="1759" operator="equal">
      <formula>"U/P"</formula>
    </cfRule>
    <cfRule type="cellIs" dxfId="1589" priority="1760" operator="equal">
      <formula>"F"</formula>
    </cfRule>
    <cfRule type="cellIs" dxfId="1588" priority="1761" operator="equal">
      <formula>"F"</formula>
    </cfRule>
  </conditionalFormatting>
  <conditionalFormatting sqref="B151">
    <cfRule type="cellIs" dxfId="1587" priority="1045" operator="equal">
      <formula>"U/P"</formula>
    </cfRule>
    <cfRule type="cellIs" dxfId="1586" priority="1046" operator="equal">
      <formula>"F"</formula>
    </cfRule>
    <cfRule type="cellIs" dxfId="1585" priority="1047" operator="equal">
      <formula>"F"</formula>
    </cfRule>
  </conditionalFormatting>
  <conditionalFormatting sqref="B154 D154 F154 H154 J154 L154 N154 P154 R154 T154 V154 X154 Z154 AB154">
    <cfRule type="cellIs" dxfId="1584" priority="1732" operator="equal">
      <formula>0</formula>
    </cfRule>
  </conditionalFormatting>
  <conditionalFormatting sqref="B159">
    <cfRule type="cellIs" dxfId="1583" priority="1011" operator="equal">
      <formula>"F"</formula>
    </cfRule>
    <cfRule type="cellIs" dxfId="1582" priority="1009" operator="equal">
      <formula>"U/P"</formula>
    </cfRule>
    <cfRule type="cellIs" dxfId="1581" priority="1010" operator="equal">
      <formula>"F"</formula>
    </cfRule>
  </conditionalFormatting>
  <conditionalFormatting sqref="B162 D162 F162 H162 J162 L162 N162 P162 R162 T162 V162 X162 Z162 AB162">
    <cfRule type="cellIs" dxfId="1580" priority="1731" operator="equal">
      <formula>0</formula>
    </cfRule>
  </conditionalFormatting>
  <conditionalFormatting sqref="B167">
    <cfRule type="cellIs" dxfId="1579" priority="969" operator="equal">
      <formula>"F"</formula>
    </cfRule>
    <cfRule type="cellIs" dxfId="1578" priority="968" operator="equal">
      <formula>"F"</formula>
    </cfRule>
    <cfRule type="cellIs" dxfId="1577" priority="967" operator="equal">
      <formula>"U/P"</formula>
    </cfRule>
  </conditionalFormatting>
  <conditionalFormatting sqref="B170">
    <cfRule type="cellIs" dxfId="1576" priority="231" operator="equal">
      <formula>0</formula>
    </cfRule>
  </conditionalFormatting>
  <conditionalFormatting sqref="B175">
    <cfRule type="cellIs" dxfId="1575" priority="926" operator="equal">
      <formula>"F"</formula>
    </cfRule>
    <cfRule type="cellIs" dxfId="1574" priority="925" operator="equal">
      <formula>"U/P"</formula>
    </cfRule>
    <cfRule type="cellIs" dxfId="1573" priority="927" operator="equal">
      <formula>"F"</formula>
    </cfRule>
  </conditionalFormatting>
  <conditionalFormatting sqref="B178 D178 F178 H178 J178 L178 N178 P178 R178 T178 V178 X178 Z178 AB178">
    <cfRule type="cellIs" dxfId="1572" priority="1729" operator="equal">
      <formula>0</formula>
    </cfRule>
  </conditionalFormatting>
  <conditionalFormatting sqref="B183">
    <cfRule type="cellIs" dxfId="1571" priority="1746" operator="equal">
      <formula>"F"</formula>
    </cfRule>
    <cfRule type="cellIs" dxfId="1570" priority="1744" operator="equal">
      <formula>"U/P"</formula>
    </cfRule>
    <cfRule type="cellIs" dxfId="1569" priority="1745" operator="equal">
      <formula>"F"</formula>
    </cfRule>
  </conditionalFormatting>
  <conditionalFormatting sqref="B186 D186 F186 H186 J186 L186 N186 P186 R186 T186 V186 X186 Z186 AB186">
    <cfRule type="cellIs" dxfId="1568" priority="1668" operator="equal">
      <formula>0</formula>
    </cfRule>
  </conditionalFormatting>
  <conditionalFormatting sqref="B191">
    <cfRule type="cellIs" dxfId="1567" priority="855" operator="equal">
      <formula>"F"</formula>
    </cfRule>
    <cfRule type="cellIs" dxfId="1566" priority="854" operator="equal">
      <formula>"F"</formula>
    </cfRule>
    <cfRule type="cellIs" dxfId="1565" priority="853" operator="equal">
      <formula>"U/P"</formula>
    </cfRule>
  </conditionalFormatting>
  <conditionalFormatting sqref="B194">
    <cfRule type="cellIs" dxfId="1564" priority="166" operator="equal">
      <formula>0</formula>
    </cfRule>
  </conditionalFormatting>
  <conditionalFormatting sqref="B199">
    <cfRule type="cellIs" dxfId="1563" priority="1714" operator="equal">
      <formula>"U/P"</formula>
    </cfRule>
    <cfRule type="cellIs" dxfId="1562" priority="1716" operator="equal">
      <formula>"F"</formula>
    </cfRule>
    <cfRule type="cellIs" dxfId="1561" priority="1715" operator="equal">
      <formula>"F"</formula>
    </cfRule>
  </conditionalFormatting>
  <conditionalFormatting sqref="B202 D202 F202 H202 J202 L202 N202 P202 R202 T202 V202 X202 Z202 AB202">
    <cfRule type="cellIs" dxfId="1560" priority="1666" operator="equal">
      <formula>0</formula>
    </cfRule>
  </conditionalFormatting>
  <conditionalFormatting sqref="B207">
    <cfRule type="cellIs" dxfId="1559" priority="1698" operator="equal">
      <formula>"F"</formula>
    </cfRule>
    <cfRule type="cellIs" dxfId="1558" priority="1697" operator="equal">
      <formula>"F"</formula>
    </cfRule>
    <cfRule type="cellIs" dxfId="1557" priority="1696" operator="equal">
      <formula>"U/P"</formula>
    </cfRule>
  </conditionalFormatting>
  <conditionalFormatting sqref="B215">
    <cfRule type="cellIs" dxfId="1556" priority="1676" operator="equal">
      <formula>"F"</formula>
    </cfRule>
    <cfRule type="cellIs" dxfId="1555" priority="1675" operator="equal">
      <formula>"U/P"</formula>
    </cfRule>
    <cfRule type="cellIs" dxfId="1554" priority="1677" operator="equal">
      <formula>"F"</formula>
    </cfRule>
  </conditionalFormatting>
  <conditionalFormatting sqref="B223">
    <cfRule type="cellIs" dxfId="1553" priority="753" operator="equal">
      <formula>"F"</formula>
    </cfRule>
    <cfRule type="cellIs" dxfId="1552" priority="752" operator="equal">
      <formula>"F"</formula>
    </cfRule>
    <cfRule type="cellIs" dxfId="1551" priority="751" operator="equal">
      <formula>"U/P"</formula>
    </cfRule>
  </conditionalFormatting>
  <conditionalFormatting sqref="B231">
    <cfRule type="cellIs" dxfId="1550" priority="693" operator="equal">
      <formula>"F"</formula>
    </cfRule>
    <cfRule type="cellIs" dxfId="1549" priority="692" operator="equal">
      <formula>"F"</formula>
    </cfRule>
    <cfRule type="cellIs" dxfId="1548" priority="691" operator="equal">
      <formula>"U/P"</formula>
    </cfRule>
  </conditionalFormatting>
  <conditionalFormatting sqref="B239">
    <cfRule type="cellIs" dxfId="1547" priority="25" operator="equal">
      <formula>"U/P"</formula>
    </cfRule>
    <cfRule type="cellIs" dxfId="1546" priority="27" operator="equal">
      <formula>"F"</formula>
    </cfRule>
    <cfRule type="cellIs" dxfId="1545" priority="26" operator="equal">
      <formula>"F"</formula>
    </cfRule>
  </conditionalFormatting>
  <conditionalFormatting sqref="B247">
    <cfRule type="cellIs" dxfId="1544" priority="608" operator="equal">
      <formula>"F"</formula>
    </cfRule>
    <cfRule type="cellIs" dxfId="1543" priority="609" operator="equal">
      <formula>"F"</formula>
    </cfRule>
    <cfRule type="cellIs" dxfId="1542" priority="607" operator="equal">
      <formula>"U/P"</formula>
    </cfRule>
  </conditionalFormatting>
  <conditionalFormatting sqref="B255">
    <cfRule type="cellIs" dxfId="1541" priority="565" operator="equal">
      <formula>"U/P"</formula>
    </cfRule>
    <cfRule type="cellIs" dxfId="1540" priority="567" operator="equal">
      <formula>"F"</formula>
    </cfRule>
    <cfRule type="cellIs" dxfId="1539" priority="566" operator="equal">
      <formula>"F"</formula>
    </cfRule>
  </conditionalFormatting>
  <conditionalFormatting sqref="B263">
    <cfRule type="cellIs" dxfId="1538" priority="523" operator="equal">
      <formula>"U/P"</formula>
    </cfRule>
    <cfRule type="cellIs" dxfId="1537" priority="524" operator="equal">
      <formula>"F"</formula>
    </cfRule>
    <cfRule type="cellIs" dxfId="1536" priority="525" operator="equal">
      <formula>"F"</formula>
    </cfRule>
  </conditionalFormatting>
  <conditionalFormatting sqref="B271">
    <cfRule type="cellIs" dxfId="1535" priority="481" operator="equal">
      <formula>"U/P"</formula>
    </cfRule>
    <cfRule type="cellIs" dxfId="1534" priority="482" operator="equal">
      <formula>"F"</formula>
    </cfRule>
    <cfRule type="cellIs" dxfId="1533" priority="483" operator="equal">
      <formula>"F"</formula>
    </cfRule>
  </conditionalFormatting>
  <conditionalFormatting sqref="B279">
    <cfRule type="cellIs" dxfId="1532" priority="441" operator="equal">
      <formula>"F"</formula>
    </cfRule>
    <cfRule type="cellIs" dxfId="1531" priority="440" operator="equal">
      <formula>"F"</formula>
    </cfRule>
    <cfRule type="cellIs" dxfId="1530" priority="439" operator="equal">
      <formula>"U/P"</formula>
    </cfRule>
  </conditionalFormatting>
  <conditionalFormatting sqref="B287">
    <cfRule type="cellIs" dxfId="1529" priority="398" operator="equal">
      <formula>"F"</formula>
    </cfRule>
    <cfRule type="cellIs" dxfId="1528" priority="399" operator="equal">
      <formula>"F"</formula>
    </cfRule>
    <cfRule type="cellIs" dxfId="1527" priority="397" operator="equal">
      <formula>"U/P"</formula>
    </cfRule>
  </conditionalFormatting>
  <conditionalFormatting sqref="B295">
    <cfRule type="cellIs" dxfId="1526" priority="356" operator="equal">
      <formula>"F"</formula>
    </cfRule>
    <cfRule type="cellIs" dxfId="1525" priority="355" operator="equal">
      <formula>"U/P"</formula>
    </cfRule>
    <cfRule type="cellIs" dxfId="1524" priority="357" operator="equal">
      <formula>"F"</formula>
    </cfRule>
  </conditionalFormatting>
  <conditionalFormatting sqref="B303">
    <cfRule type="cellIs" dxfId="1523" priority="313" operator="equal">
      <formula>"U/P"</formula>
    </cfRule>
    <cfRule type="cellIs" dxfId="1522" priority="314" operator="equal">
      <formula>"F"</formula>
    </cfRule>
    <cfRule type="cellIs" dxfId="1521" priority="315" operator="equal">
      <formula>"F"</formula>
    </cfRule>
  </conditionalFormatting>
  <conditionalFormatting sqref="B310">
    <cfRule type="cellIs" dxfId="1520" priority="272" operator="equal">
      <formula>"F"</formula>
    </cfRule>
    <cfRule type="cellIs" dxfId="1519" priority="273" operator="equal">
      <formula>"F"</formula>
    </cfRule>
    <cfRule type="cellIs" dxfId="1518" priority="271" operator="equal">
      <formula>"U/P"</formula>
    </cfRule>
  </conditionalFormatting>
  <conditionalFormatting sqref="D23">
    <cfRule type="cellIs" dxfId="1517" priority="1800" operator="equal">
      <formula>"U/P"</formula>
    </cfRule>
    <cfRule type="cellIs" dxfId="1516" priority="1802" operator="equal">
      <formula>"F"</formula>
    </cfRule>
    <cfRule type="cellIs" dxfId="1515" priority="1801" operator="equal">
      <formula>"F"</formula>
    </cfRule>
  </conditionalFormatting>
  <conditionalFormatting sqref="D26 F26 H26 J26 L26 N26 P26 R26 T26 V26 X26 Z26 AB26">
    <cfRule type="cellIs" dxfId="1514" priority="1799" operator="equal">
      <formula>0</formula>
    </cfRule>
  </conditionalFormatting>
  <conditionalFormatting sqref="D31">
    <cfRule type="cellIs" dxfId="1513" priority="1625" operator="equal">
      <formula>"F"</formula>
    </cfRule>
    <cfRule type="cellIs" dxfId="1512" priority="1626" operator="equal">
      <formula>"F"</formula>
    </cfRule>
    <cfRule type="cellIs" dxfId="1511" priority="1624" operator="equal">
      <formula>"U/P"</formula>
    </cfRule>
  </conditionalFormatting>
  <conditionalFormatting sqref="D39">
    <cfRule type="cellIs" dxfId="1510" priority="1582" operator="equal">
      <formula>"U/P"</formula>
    </cfRule>
    <cfRule type="cellIs" dxfId="1509" priority="1583" operator="equal">
      <formula>"F"</formula>
    </cfRule>
    <cfRule type="cellIs" dxfId="1508" priority="1584" operator="equal">
      <formula>"F"</formula>
    </cfRule>
  </conditionalFormatting>
  <conditionalFormatting sqref="D47">
    <cfRule type="cellIs" dxfId="1507" priority="1540" operator="equal">
      <formula>"U/P"</formula>
    </cfRule>
    <cfRule type="cellIs" dxfId="1506" priority="1541" operator="equal">
      <formula>"F"</formula>
    </cfRule>
    <cfRule type="cellIs" dxfId="1505" priority="1542" operator="equal">
      <formula>"F"</formula>
    </cfRule>
  </conditionalFormatting>
  <conditionalFormatting sqref="D55">
    <cfRule type="cellIs" dxfId="1504" priority="1499" operator="equal">
      <formula>"F"</formula>
    </cfRule>
    <cfRule type="cellIs" dxfId="1503" priority="1500" operator="equal">
      <formula>"F"</formula>
    </cfRule>
    <cfRule type="cellIs" dxfId="1502" priority="1498" operator="equal">
      <formula>"U/P"</formula>
    </cfRule>
  </conditionalFormatting>
  <conditionalFormatting sqref="D63">
    <cfRule type="cellIs" dxfId="1501" priority="1458" operator="equal">
      <formula>"F"</formula>
    </cfRule>
    <cfRule type="cellIs" dxfId="1500" priority="1457" operator="equal">
      <formula>"F"</formula>
    </cfRule>
    <cfRule type="cellIs" dxfId="1499" priority="1456" operator="equal">
      <formula>"U/P"</formula>
    </cfRule>
  </conditionalFormatting>
  <conditionalFormatting sqref="D71">
    <cfRule type="cellIs" dxfId="1498" priority="1416" operator="equal">
      <formula>"F"</formula>
    </cfRule>
    <cfRule type="cellIs" dxfId="1497" priority="1415" operator="equal">
      <formula>"F"</formula>
    </cfRule>
    <cfRule type="cellIs" dxfId="1496" priority="1414" operator="equal">
      <formula>"U/P"</formula>
    </cfRule>
  </conditionalFormatting>
  <conditionalFormatting sqref="D79">
    <cfRule type="cellIs" dxfId="1495" priority="1374" operator="equal">
      <formula>"F"</formula>
    </cfRule>
    <cfRule type="cellIs" dxfId="1494" priority="1372" operator="equal">
      <formula>"U/P"</formula>
    </cfRule>
    <cfRule type="cellIs" dxfId="1493" priority="1373" operator="equal">
      <formula>"F"</formula>
    </cfRule>
  </conditionalFormatting>
  <conditionalFormatting sqref="D87">
    <cfRule type="cellIs" dxfId="1492" priority="1331" operator="equal">
      <formula>"F"</formula>
    </cfRule>
    <cfRule type="cellIs" dxfId="1491" priority="1332" operator="equal">
      <formula>"F"</formula>
    </cfRule>
    <cfRule type="cellIs" dxfId="1490" priority="1330" operator="equal">
      <formula>"U/P"</formula>
    </cfRule>
  </conditionalFormatting>
  <conditionalFormatting sqref="D95">
    <cfRule type="cellIs" dxfId="1489" priority="1288" operator="equal">
      <formula>"U/P"</formula>
    </cfRule>
    <cfRule type="cellIs" dxfId="1488" priority="1289" operator="equal">
      <formula>"F"</formula>
    </cfRule>
    <cfRule type="cellIs" dxfId="1487" priority="1290" operator="equal">
      <formula>"F"</formula>
    </cfRule>
  </conditionalFormatting>
  <conditionalFormatting sqref="D103">
    <cfRule type="cellIs" dxfId="1486" priority="1248" operator="equal">
      <formula>"F"</formula>
    </cfRule>
    <cfRule type="cellIs" dxfId="1485" priority="1246" operator="equal">
      <formula>"U/P"</formula>
    </cfRule>
    <cfRule type="cellIs" dxfId="1484" priority="1247" operator="equal">
      <formula>"F"</formula>
    </cfRule>
  </conditionalFormatting>
  <conditionalFormatting sqref="D111">
    <cfRule type="cellIs" dxfId="1483" priority="1206" operator="equal">
      <formula>"F"</formula>
    </cfRule>
    <cfRule type="cellIs" dxfId="1482" priority="1205" operator="equal">
      <formula>"F"</formula>
    </cfRule>
    <cfRule type="cellIs" dxfId="1481" priority="1204" operator="equal">
      <formula>"U/P"</formula>
    </cfRule>
  </conditionalFormatting>
  <conditionalFormatting sqref="D119">
    <cfRule type="cellIs" dxfId="1480" priority="1170" operator="equal">
      <formula>"F"</formula>
    </cfRule>
    <cfRule type="cellIs" dxfId="1479" priority="1169" operator="equal">
      <formula>"F"</formula>
    </cfRule>
    <cfRule type="cellIs" dxfId="1478" priority="1168" operator="equal">
      <formula>"U/P"</formula>
    </cfRule>
  </conditionalFormatting>
  <conditionalFormatting sqref="D127">
    <cfRule type="cellIs" dxfId="1477" priority="1787" operator="equal">
      <formula>"F"</formula>
    </cfRule>
    <cfRule type="cellIs" dxfId="1476" priority="1786" operator="equal">
      <formula>"F"</formula>
    </cfRule>
    <cfRule type="cellIs" dxfId="1475" priority="1785" operator="equal">
      <formula>"U/P"</formula>
    </cfRule>
  </conditionalFormatting>
  <conditionalFormatting sqref="D135">
    <cfRule type="cellIs" dxfId="1474" priority="1091" operator="equal">
      <formula>"F"</formula>
    </cfRule>
    <cfRule type="cellIs" dxfId="1473" priority="1092" operator="equal">
      <formula>"F"</formula>
    </cfRule>
    <cfRule type="cellIs" dxfId="1472" priority="1090" operator="equal">
      <formula>"U/P"</formula>
    </cfRule>
  </conditionalFormatting>
  <conditionalFormatting sqref="D143">
    <cfRule type="cellIs" dxfId="1471" priority="756" operator="equal">
      <formula>"F"</formula>
    </cfRule>
    <cfRule type="cellIs" dxfId="1470" priority="754" operator="equal">
      <formula>"U/P"</formula>
    </cfRule>
    <cfRule type="cellIs" dxfId="1469" priority="755" operator="equal">
      <formula>"F"</formula>
    </cfRule>
  </conditionalFormatting>
  <conditionalFormatting sqref="D151">
    <cfRule type="cellIs" dxfId="1468" priority="1043" operator="equal">
      <formula>"F"</formula>
    </cfRule>
    <cfRule type="cellIs" dxfId="1467" priority="1044" operator="equal">
      <formula>"F"</formula>
    </cfRule>
    <cfRule type="cellIs" dxfId="1466" priority="1042" operator="equal">
      <formula>"U/P"</formula>
    </cfRule>
  </conditionalFormatting>
  <conditionalFormatting sqref="D159">
    <cfRule type="cellIs" dxfId="1465" priority="1006" operator="equal">
      <formula>"U/P"</formula>
    </cfRule>
    <cfRule type="cellIs" dxfId="1464" priority="1008" operator="equal">
      <formula>"F"</formula>
    </cfRule>
    <cfRule type="cellIs" dxfId="1463" priority="1007" operator="equal">
      <formula>"F"</formula>
    </cfRule>
  </conditionalFormatting>
  <conditionalFormatting sqref="D167">
    <cfRule type="cellIs" dxfId="1462" priority="964" operator="equal">
      <formula>"U/P"</formula>
    </cfRule>
    <cfRule type="cellIs" dxfId="1461" priority="966" operator="equal">
      <formula>"F"</formula>
    </cfRule>
    <cfRule type="cellIs" dxfId="1460" priority="965" operator="equal">
      <formula>"F"</formula>
    </cfRule>
  </conditionalFormatting>
  <conditionalFormatting sqref="D170 F170 J170 L170 N170 P170 R170 T170 V170 X170 Z170 AB170">
    <cfRule type="cellIs" dxfId="1459" priority="1730" operator="equal">
      <formula>0</formula>
    </cfRule>
  </conditionalFormatting>
  <conditionalFormatting sqref="D175">
    <cfRule type="cellIs" dxfId="1458" priority="922" operator="equal">
      <formula>"U/P"</formula>
    </cfRule>
    <cfRule type="cellIs" dxfId="1457" priority="923" operator="equal">
      <formula>"F"</formula>
    </cfRule>
    <cfRule type="cellIs" dxfId="1456" priority="924" operator="equal">
      <formula>"F"</formula>
    </cfRule>
  </conditionalFormatting>
  <conditionalFormatting sqref="D183">
    <cfRule type="cellIs" dxfId="1455" priority="1743" operator="equal">
      <formula>"F"</formula>
    </cfRule>
    <cfRule type="cellIs" dxfId="1454" priority="1741" operator="equal">
      <formula>"U/P"</formula>
    </cfRule>
    <cfRule type="cellIs" dxfId="1453" priority="1742" operator="equal">
      <formula>"F"</formula>
    </cfRule>
  </conditionalFormatting>
  <conditionalFormatting sqref="D191">
    <cfRule type="cellIs" dxfId="1452" priority="852" operator="equal">
      <formula>"F"</formula>
    </cfRule>
    <cfRule type="cellIs" dxfId="1451" priority="851" operator="equal">
      <formula>"F"</formula>
    </cfRule>
    <cfRule type="cellIs" dxfId="1450" priority="850" operator="equal">
      <formula>"U/P"</formula>
    </cfRule>
  </conditionalFormatting>
  <conditionalFormatting sqref="D194 F194 H194 J194 L194 N194 P194 R194 T194 V194 X194 Z194 AB194">
    <cfRule type="cellIs" dxfId="1449" priority="1667" operator="equal">
      <formula>0</formula>
    </cfRule>
  </conditionalFormatting>
  <conditionalFormatting sqref="D199">
    <cfRule type="cellIs" dxfId="1448" priority="224" operator="equal">
      <formula>"U/P"</formula>
    </cfRule>
    <cfRule type="cellIs" dxfId="1447" priority="225" operator="equal">
      <formula>"F"</formula>
    </cfRule>
    <cfRule type="cellIs" dxfId="1446" priority="226" operator="equal">
      <formula>"F"</formula>
    </cfRule>
  </conditionalFormatting>
  <conditionalFormatting sqref="D207">
    <cfRule type="cellIs" dxfId="1445" priority="180" operator="equal">
      <formula>"F"</formula>
    </cfRule>
    <cfRule type="cellIs" dxfId="1444" priority="181" operator="equal">
      <formula>"F"</formula>
    </cfRule>
    <cfRule type="cellIs" dxfId="1443" priority="179" operator="equal">
      <formula>"U/P"</formula>
    </cfRule>
  </conditionalFormatting>
  <conditionalFormatting sqref="D215">
    <cfRule type="cellIs" dxfId="1442" priority="780" operator="equal">
      <formula>"F"</formula>
    </cfRule>
    <cfRule type="cellIs" dxfId="1441" priority="778" operator="equal">
      <formula>"U/P"</formula>
    </cfRule>
    <cfRule type="cellIs" dxfId="1440" priority="779" operator="equal">
      <formula>"F"</formula>
    </cfRule>
  </conditionalFormatting>
  <conditionalFormatting sqref="D223">
    <cfRule type="cellIs" dxfId="1439" priority="742" operator="equal">
      <formula>"U/P"</formula>
    </cfRule>
    <cfRule type="cellIs" dxfId="1438" priority="743" operator="equal">
      <formula>"F"</formula>
    </cfRule>
    <cfRule type="cellIs" dxfId="1437" priority="744" operator="equal">
      <formula>"F"</formula>
    </cfRule>
  </conditionalFormatting>
  <conditionalFormatting sqref="D231">
    <cfRule type="cellIs" dxfId="1436" priority="684" operator="equal">
      <formula>"F"</formula>
    </cfRule>
    <cfRule type="cellIs" dxfId="1435" priority="683" operator="equal">
      <formula>"F"</formula>
    </cfRule>
    <cfRule type="cellIs" dxfId="1434" priority="682" operator="equal">
      <formula>"U/P"</formula>
    </cfRule>
  </conditionalFormatting>
  <conditionalFormatting sqref="D239">
    <cfRule type="cellIs" dxfId="1433" priority="215" operator="equal">
      <formula>"U/P"</formula>
    </cfRule>
    <cfRule type="cellIs" dxfId="1432" priority="216" operator="equal">
      <formula>"F"</formula>
    </cfRule>
    <cfRule type="cellIs" dxfId="1431" priority="217" operator="equal">
      <formula>"F"</formula>
    </cfRule>
  </conditionalFormatting>
  <conditionalFormatting sqref="D247">
    <cfRule type="cellIs" dxfId="1430" priority="600" operator="equal">
      <formula>"F"</formula>
    </cfRule>
    <cfRule type="cellIs" dxfId="1429" priority="599" operator="equal">
      <formula>"F"</formula>
    </cfRule>
    <cfRule type="cellIs" dxfId="1428" priority="598" operator="equal">
      <formula>"U/P"</formula>
    </cfRule>
  </conditionalFormatting>
  <conditionalFormatting sqref="D255">
    <cfRule type="cellIs" dxfId="1427" priority="556" operator="equal">
      <formula>"U/P"</formula>
    </cfRule>
    <cfRule type="cellIs" dxfId="1426" priority="557" operator="equal">
      <formula>"F"</formula>
    </cfRule>
    <cfRule type="cellIs" dxfId="1425" priority="558" operator="equal">
      <formula>"F"</formula>
    </cfRule>
  </conditionalFormatting>
  <conditionalFormatting sqref="D263">
    <cfRule type="cellIs" dxfId="1424" priority="155" operator="equal">
      <formula>"F"</formula>
    </cfRule>
    <cfRule type="cellIs" dxfId="1423" priority="156" operator="equal">
      <formula>"F"</formula>
    </cfRule>
    <cfRule type="cellIs" dxfId="1422" priority="154" operator="equal">
      <formula>"U/P"</formula>
    </cfRule>
  </conditionalFormatting>
  <conditionalFormatting sqref="D271">
    <cfRule type="cellIs" dxfId="1421" priority="474" operator="equal">
      <formula>"F"</formula>
    </cfRule>
    <cfRule type="cellIs" dxfId="1420" priority="473" operator="equal">
      <formula>"F"</formula>
    </cfRule>
    <cfRule type="cellIs" dxfId="1419" priority="472" operator="equal">
      <formula>"U/P"</formula>
    </cfRule>
  </conditionalFormatting>
  <conditionalFormatting sqref="D279">
    <cfRule type="cellIs" dxfId="1418" priority="432" operator="equal">
      <formula>"F"</formula>
    </cfRule>
    <cfRule type="cellIs" dxfId="1417" priority="430" operator="equal">
      <formula>"U/P"</formula>
    </cfRule>
    <cfRule type="cellIs" dxfId="1416" priority="431" operator="equal">
      <formula>"F"</formula>
    </cfRule>
  </conditionalFormatting>
  <conditionalFormatting sqref="D287">
    <cfRule type="cellIs" dxfId="1415" priority="390" operator="equal">
      <formula>"F"</formula>
    </cfRule>
    <cfRule type="cellIs" dxfId="1414" priority="389" operator="equal">
      <formula>"F"</formula>
    </cfRule>
    <cfRule type="cellIs" dxfId="1413" priority="388" operator="equal">
      <formula>"U/P"</formula>
    </cfRule>
  </conditionalFormatting>
  <conditionalFormatting sqref="D295">
    <cfRule type="cellIs" dxfId="1412" priority="94" operator="equal">
      <formula>"U/P"</formula>
    </cfRule>
    <cfRule type="cellIs" dxfId="1411" priority="95" operator="equal">
      <formula>"F"</formula>
    </cfRule>
    <cfRule type="cellIs" dxfId="1410" priority="96" operator="equal">
      <formula>"F"</formula>
    </cfRule>
  </conditionalFormatting>
  <conditionalFormatting sqref="D303">
    <cfRule type="cellIs" dxfId="1409" priority="115" operator="equal">
      <formula>"U/P"</formula>
    </cfRule>
    <cfRule type="cellIs" dxfId="1408" priority="116" operator="equal">
      <formula>"F"</formula>
    </cfRule>
    <cfRule type="cellIs" dxfId="1407" priority="117" operator="equal">
      <formula>"F"</formula>
    </cfRule>
  </conditionalFormatting>
  <conditionalFormatting sqref="D310">
    <cfRule type="cellIs" dxfId="1406" priority="262" operator="equal">
      <formula>"U/P"</formula>
    </cfRule>
    <cfRule type="cellIs" dxfId="1405" priority="263" operator="equal">
      <formula>"F"</formula>
    </cfRule>
    <cfRule type="cellIs" dxfId="1404" priority="264" operator="equal">
      <formula>"F"</formula>
    </cfRule>
  </conditionalFormatting>
  <conditionalFormatting sqref="F23">
    <cfRule type="cellIs" dxfId="1403" priority="1664" operator="equal">
      <formula>"F"</formula>
    </cfRule>
    <cfRule type="cellIs" dxfId="1402" priority="1663" operator="equal">
      <formula>"U/P"</formula>
    </cfRule>
    <cfRule type="cellIs" dxfId="1401" priority="1665" operator="equal">
      <formula>"F"</formula>
    </cfRule>
  </conditionalFormatting>
  <conditionalFormatting sqref="F31">
    <cfRule type="cellIs" dxfId="1400" priority="1621" operator="equal">
      <formula>"U/P"</formula>
    </cfRule>
    <cfRule type="cellIs" dxfId="1399" priority="1623" operator="equal">
      <formula>"F"</formula>
    </cfRule>
    <cfRule type="cellIs" dxfId="1398" priority="1622" operator="equal">
      <formula>"F"</formula>
    </cfRule>
  </conditionalFormatting>
  <conditionalFormatting sqref="F39">
    <cfRule type="cellIs" dxfId="1397" priority="1580" operator="equal">
      <formula>"F"</formula>
    </cfRule>
    <cfRule type="cellIs" dxfId="1396" priority="1581" operator="equal">
      <formula>"F"</formula>
    </cfRule>
    <cfRule type="cellIs" dxfId="1395" priority="1579" operator="equal">
      <formula>"U/P"</formula>
    </cfRule>
  </conditionalFormatting>
  <conditionalFormatting sqref="F47">
    <cfRule type="cellIs" dxfId="1394" priority="1538" operator="equal">
      <formula>"F"</formula>
    </cfRule>
    <cfRule type="cellIs" dxfId="1393" priority="1537" operator="equal">
      <formula>"U/P"</formula>
    </cfRule>
    <cfRule type="cellIs" dxfId="1392" priority="1539" operator="equal">
      <formula>"F"</formula>
    </cfRule>
  </conditionalFormatting>
  <conditionalFormatting sqref="F55">
    <cfRule type="cellIs" dxfId="1391" priority="1495" operator="equal">
      <formula>"U/P"</formula>
    </cfRule>
    <cfRule type="cellIs" dxfId="1390" priority="1497" operator="equal">
      <formula>"F"</formula>
    </cfRule>
    <cfRule type="cellIs" dxfId="1389" priority="1496" operator="equal">
      <formula>"F"</formula>
    </cfRule>
  </conditionalFormatting>
  <conditionalFormatting sqref="F63">
    <cfRule type="cellIs" dxfId="1388" priority="1453" operator="equal">
      <formula>"U/P"</formula>
    </cfRule>
    <cfRule type="cellIs" dxfId="1387" priority="1455" operator="equal">
      <formula>"F"</formula>
    </cfRule>
    <cfRule type="cellIs" dxfId="1386" priority="1454" operator="equal">
      <formula>"F"</formula>
    </cfRule>
  </conditionalFormatting>
  <conditionalFormatting sqref="F71">
    <cfRule type="cellIs" dxfId="1385" priority="1411" operator="equal">
      <formula>"U/P"</formula>
    </cfRule>
    <cfRule type="cellIs" dxfId="1384" priority="1412" operator="equal">
      <formula>"F"</formula>
    </cfRule>
    <cfRule type="cellIs" dxfId="1383" priority="1413" operator="equal">
      <formula>"F"</formula>
    </cfRule>
  </conditionalFormatting>
  <conditionalFormatting sqref="F79">
    <cfRule type="cellIs" dxfId="1382" priority="1370" operator="equal">
      <formula>"F"</formula>
    </cfRule>
    <cfRule type="cellIs" dxfId="1381" priority="1371" operator="equal">
      <formula>"F"</formula>
    </cfRule>
    <cfRule type="cellIs" dxfId="1380" priority="1369" operator="equal">
      <formula>"U/P"</formula>
    </cfRule>
  </conditionalFormatting>
  <conditionalFormatting sqref="F87">
    <cfRule type="cellIs" dxfId="1379" priority="1328" operator="equal">
      <formula>"F"</formula>
    </cfRule>
    <cfRule type="cellIs" dxfId="1378" priority="1327" operator="equal">
      <formula>"U/P"</formula>
    </cfRule>
    <cfRule type="cellIs" dxfId="1377" priority="1329" operator="equal">
      <formula>"F"</formula>
    </cfRule>
  </conditionalFormatting>
  <conditionalFormatting sqref="F95">
    <cfRule type="cellIs" dxfId="1376" priority="1285" operator="equal">
      <formula>"U/P"</formula>
    </cfRule>
    <cfRule type="cellIs" dxfId="1375" priority="1286" operator="equal">
      <formula>"F"</formula>
    </cfRule>
    <cfRule type="cellIs" dxfId="1374" priority="1287" operator="equal">
      <formula>"F"</formula>
    </cfRule>
  </conditionalFormatting>
  <conditionalFormatting sqref="F103">
    <cfRule type="cellIs" dxfId="1373" priority="1245" operator="equal">
      <formula>"F"</formula>
    </cfRule>
    <cfRule type="cellIs" dxfId="1372" priority="1244" operator="equal">
      <formula>"F"</formula>
    </cfRule>
    <cfRule type="cellIs" dxfId="1371" priority="1243" operator="equal">
      <formula>"U/P"</formula>
    </cfRule>
  </conditionalFormatting>
  <conditionalFormatting sqref="F111">
    <cfRule type="cellIs" dxfId="1370" priority="1203" operator="equal">
      <formula>"F"</formula>
    </cfRule>
    <cfRule type="cellIs" dxfId="1369" priority="1202" operator="equal">
      <formula>"F"</formula>
    </cfRule>
    <cfRule type="cellIs" dxfId="1368" priority="1201" operator="equal">
      <formula>"U/P"</formula>
    </cfRule>
  </conditionalFormatting>
  <conditionalFormatting sqref="F119">
    <cfRule type="cellIs" dxfId="1367" priority="1165" operator="equal">
      <formula>"U/P"</formula>
    </cfRule>
    <cfRule type="cellIs" dxfId="1366" priority="1167" operator="equal">
      <formula>"F"</formula>
    </cfRule>
    <cfRule type="cellIs" dxfId="1365" priority="1166" operator="equal">
      <formula>"F"</formula>
    </cfRule>
  </conditionalFormatting>
  <conditionalFormatting sqref="F127">
    <cfRule type="cellIs" dxfId="1364" priority="1784" operator="equal">
      <formula>"F"</formula>
    </cfRule>
    <cfRule type="cellIs" dxfId="1363" priority="1783" operator="equal">
      <formula>"F"</formula>
    </cfRule>
    <cfRule type="cellIs" dxfId="1362" priority="1782" operator="equal">
      <formula>"U/P"</formula>
    </cfRule>
  </conditionalFormatting>
  <conditionalFormatting sqref="F135">
    <cfRule type="cellIs" dxfId="1361" priority="1088" operator="equal">
      <formula>"F"</formula>
    </cfRule>
    <cfRule type="cellIs" dxfId="1360" priority="1089" operator="equal">
      <formula>"F"</formula>
    </cfRule>
    <cfRule type="cellIs" dxfId="1359" priority="1087" operator="equal">
      <formula>"U/P"</formula>
    </cfRule>
  </conditionalFormatting>
  <conditionalFormatting sqref="F143">
    <cfRule type="cellIs" dxfId="1358" priority="1756" operator="equal">
      <formula>"U/P"</formula>
    </cfRule>
    <cfRule type="cellIs" dxfId="1357" priority="1757" operator="equal">
      <formula>"F"</formula>
    </cfRule>
    <cfRule type="cellIs" dxfId="1356" priority="1758" operator="equal">
      <formula>"F"</formula>
    </cfRule>
  </conditionalFormatting>
  <conditionalFormatting sqref="F151">
    <cfRule type="cellIs" dxfId="1355" priority="1041" operator="equal">
      <formula>"F"</formula>
    </cfRule>
    <cfRule type="cellIs" dxfId="1354" priority="1039" operator="equal">
      <formula>"U/P"</formula>
    </cfRule>
    <cfRule type="cellIs" dxfId="1353" priority="1040" operator="equal">
      <formula>"F"</formula>
    </cfRule>
  </conditionalFormatting>
  <conditionalFormatting sqref="F159">
    <cfRule type="cellIs" dxfId="1352" priority="1005" operator="equal">
      <formula>"F"</formula>
    </cfRule>
    <cfRule type="cellIs" dxfId="1351" priority="1004" operator="equal">
      <formula>"F"</formula>
    </cfRule>
    <cfRule type="cellIs" dxfId="1350" priority="1003" operator="equal">
      <formula>"U/P"</formula>
    </cfRule>
  </conditionalFormatting>
  <conditionalFormatting sqref="F167">
    <cfRule type="cellIs" dxfId="1349" priority="962" operator="equal">
      <formula>"F"</formula>
    </cfRule>
    <cfRule type="cellIs" dxfId="1348" priority="961" operator="equal">
      <formula>"U/P"</formula>
    </cfRule>
    <cfRule type="cellIs" dxfId="1347" priority="963" operator="equal">
      <formula>"F"</formula>
    </cfRule>
  </conditionalFormatting>
  <conditionalFormatting sqref="F175">
    <cfRule type="cellIs" dxfId="1346" priority="921" operator="equal">
      <formula>"F"</formula>
    </cfRule>
    <cfRule type="cellIs" dxfId="1345" priority="920" operator="equal">
      <formula>"F"</formula>
    </cfRule>
    <cfRule type="cellIs" dxfId="1344" priority="919" operator="equal">
      <formula>"U/P"</formula>
    </cfRule>
  </conditionalFormatting>
  <conditionalFormatting sqref="F183">
    <cfRule type="cellIs" dxfId="1343" priority="1739" operator="equal">
      <formula>"F"</formula>
    </cfRule>
    <cfRule type="cellIs" dxfId="1342" priority="1740" operator="equal">
      <formula>"F"</formula>
    </cfRule>
    <cfRule type="cellIs" dxfId="1341" priority="1738" operator="equal">
      <formula>"U/P"</formula>
    </cfRule>
  </conditionalFormatting>
  <conditionalFormatting sqref="F191">
    <cfRule type="cellIs" dxfId="1340" priority="848" operator="equal">
      <formula>"F"</formula>
    </cfRule>
    <cfRule type="cellIs" dxfId="1339" priority="849" operator="equal">
      <formula>"F"</formula>
    </cfRule>
    <cfRule type="cellIs" dxfId="1338" priority="847" operator="equal">
      <formula>"U/P"</formula>
    </cfRule>
  </conditionalFormatting>
  <conditionalFormatting sqref="F199">
    <cfRule type="cellIs" dxfId="1337" priority="219" operator="equal">
      <formula>"F"</formula>
    </cfRule>
    <cfRule type="cellIs" dxfId="1336" priority="220" operator="equal">
      <formula>"F"</formula>
    </cfRule>
    <cfRule type="cellIs" dxfId="1335" priority="218" operator="equal">
      <formula>"U/P"</formula>
    </cfRule>
  </conditionalFormatting>
  <conditionalFormatting sqref="F207">
    <cfRule type="cellIs" dxfId="1334" priority="1694" operator="equal">
      <formula>"F"</formula>
    </cfRule>
    <cfRule type="cellIs" dxfId="1333" priority="1693" operator="equal">
      <formula>"U/P"</formula>
    </cfRule>
    <cfRule type="cellIs" dxfId="1332" priority="1695" operator="equal">
      <formula>"F"</formula>
    </cfRule>
  </conditionalFormatting>
  <conditionalFormatting sqref="F215">
    <cfRule type="cellIs" dxfId="1331" priority="777" operator="equal">
      <formula>"F"</formula>
    </cfRule>
    <cfRule type="cellIs" dxfId="1330" priority="776" operator="equal">
      <formula>"F"</formula>
    </cfRule>
    <cfRule type="cellIs" dxfId="1329" priority="775" operator="equal">
      <formula>"U/P"</formula>
    </cfRule>
  </conditionalFormatting>
  <conditionalFormatting sqref="F223">
    <cfRule type="cellIs" dxfId="1328" priority="741" operator="equal">
      <formula>"F"</formula>
    </cfRule>
    <cfRule type="cellIs" dxfId="1327" priority="739" operator="equal">
      <formula>"U/P"</formula>
    </cfRule>
    <cfRule type="cellIs" dxfId="1326" priority="740" operator="equal">
      <formula>"F"</formula>
    </cfRule>
  </conditionalFormatting>
  <conditionalFormatting sqref="F231">
    <cfRule type="cellIs" dxfId="1325" priority="681" operator="equal">
      <formula>"F"</formula>
    </cfRule>
    <cfRule type="cellIs" dxfId="1324" priority="680" operator="equal">
      <formula>"F"</formula>
    </cfRule>
    <cfRule type="cellIs" dxfId="1323" priority="679" operator="equal">
      <formula>"U/P"</formula>
    </cfRule>
  </conditionalFormatting>
  <conditionalFormatting sqref="F239">
    <cfRule type="cellIs" dxfId="1322" priority="208" operator="equal">
      <formula>"F"</formula>
    </cfRule>
    <cfRule type="cellIs" dxfId="1321" priority="206" operator="equal">
      <formula>"U/P"</formula>
    </cfRule>
    <cfRule type="cellIs" dxfId="1320" priority="207" operator="equal">
      <formula>"F"</formula>
    </cfRule>
  </conditionalFormatting>
  <conditionalFormatting sqref="F247">
    <cfRule type="cellIs" dxfId="1319" priority="597" operator="equal">
      <formula>"F"</formula>
    </cfRule>
    <cfRule type="cellIs" dxfId="1318" priority="596" operator="equal">
      <formula>"F"</formula>
    </cfRule>
    <cfRule type="cellIs" dxfId="1317" priority="595" operator="equal">
      <formula>"U/P"</formula>
    </cfRule>
  </conditionalFormatting>
  <conditionalFormatting sqref="F255">
    <cfRule type="cellIs" dxfId="1316" priority="553" operator="equal">
      <formula>"U/P"</formula>
    </cfRule>
    <cfRule type="cellIs" dxfId="1315" priority="554" operator="equal">
      <formula>"F"</formula>
    </cfRule>
    <cfRule type="cellIs" dxfId="1314" priority="555" operator="equal">
      <formula>"F"</formula>
    </cfRule>
  </conditionalFormatting>
  <conditionalFormatting sqref="F263">
    <cfRule type="cellIs" dxfId="1313" priority="151" operator="equal">
      <formula>"U/P"</formula>
    </cfRule>
    <cfRule type="cellIs" dxfId="1312" priority="152" operator="equal">
      <formula>"F"</formula>
    </cfRule>
    <cfRule type="cellIs" dxfId="1311" priority="153" operator="equal">
      <formula>"F"</formula>
    </cfRule>
  </conditionalFormatting>
  <conditionalFormatting sqref="F271">
    <cfRule type="cellIs" dxfId="1310" priority="470" operator="equal">
      <formula>"F"</formula>
    </cfRule>
    <cfRule type="cellIs" dxfId="1309" priority="469" operator="equal">
      <formula>"U/P"</formula>
    </cfRule>
    <cfRule type="cellIs" dxfId="1308" priority="471" operator="equal">
      <formula>"F"</formula>
    </cfRule>
  </conditionalFormatting>
  <conditionalFormatting sqref="F279">
    <cfRule type="cellIs" dxfId="1307" priority="427" operator="equal">
      <formula>"U/P"</formula>
    </cfRule>
    <cfRule type="cellIs" dxfId="1306" priority="429" operator="equal">
      <formula>"F"</formula>
    </cfRule>
    <cfRule type="cellIs" dxfId="1305" priority="428" operator="equal">
      <formula>"F"</formula>
    </cfRule>
  </conditionalFormatting>
  <conditionalFormatting sqref="F287">
    <cfRule type="cellIs" dxfId="1304" priority="6" operator="equal">
      <formula>"F"</formula>
    </cfRule>
    <cfRule type="cellIs" dxfId="1303" priority="5" operator="equal">
      <formula>"F"</formula>
    </cfRule>
    <cfRule type="cellIs" dxfId="1302" priority="4" operator="equal">
      <formula>"U/P"</formula>
    </cfRule>
  </conditionalFormatting>
  <conditionalFormatting sqref="F295">
    <cfRule type="cellIs" dxfId="1301" priority="92" operator="equal">
      <formula>"F"</formula>
    </cfRule>
    <cfRule type="cellIs" dxfId="1300" priority="93" operator="equal">
      <formula>"F"</formula>
    </cfRule>
    <cfRule type="cellIs" dxfId="1299" priority="91" operator="equal">
      <formula>"U/P"</formula>
    </cfRule>
  </conditionalFormatting>
  <conditionalFormatting sqref="F303">
    <cfRule type="cellIs" dxfId="1298" priority="114" operator="equal">
      <formula>"F"</formula>
    </cfRule>
    <cfRule type="cellIs" dxfId="1297" priority="113" operator="equal">
      <formula>"F"</formula>
    </cfRule>
    <cfRule type="cellIs" dxfId="1296" priority="112" operator="equal">
      <formula>"U/P"</formula>
    </cfRule>
  </conditionalFormatting>
  <conditionalFormatting sqref="F310">
    <cfRule type="cellIs" dxfId="1295" priority="237" operator="equal">
      <formula>"F"</formula>
    </cfRule>
    <cfRule type="cellIs" dxfId="1294" priority="236" operator="equal">
      <formula>"F"</formula>
    </cfRule>
    <cfRule type="cellIs" dxfId="1293" priority="235" operator="equal">
      <formula>"U/P"</formula>
    </cfRule>
  </conditionalFormatting>
  <conditionalFormatting sqref="H23">
    <cfRule type="cellIs" dxfId="1292" priority="1660" operator="equal">
      <formula>"U/P"</formula>
    </cfRule>
    <cfRule type="cellIs" dxfId="1291" priority="1662" operator="equal">
      <formula>"F"</formula>
    </cfRule>
    <cfRule type="cellIs" dxfId="1290" priority="1661" operator="equal">
      <formula>"F"</formula>
    </cfRule>
  </conditionalFormatting>
  <conditionalFormatting sqref="H31">
    <cfRule type="cellIs" dxfId="1289" priority="1620" operator="equal">
      <formula>"F"</formula>
    </cfRule>
    <cfRule type="cellIs" dxfId="1288" priority="1619" operator="equal">
      <formula>"F"</formula>
    </cfRule>
    <cfRule type="cellIs" dxfId="1287" priority="1618" operator="equal">
      <formula>"U/P"</formula>
    </cfRule>
  </conditionalFormatting>
  <conditionalFormatting sqref="H39">
    <cfRule type="cellIs" dxfId="1286" priority="1576" operator="equal">
      <formula>"U/P"</formula>
    </cfRule>
    <cfRule type="cellIs" dxfId="1285" priority="1577" operator="equal">
      <formula>"F"</formula>
    </cfRule>
    <cfRule type="cellIs" dxfId="1284" priority="1578" operator="equal">
      <formula>"F"</formula>
    </cfRule>
  </conditionalFormatting>
  <conditionalFormatting sqref="H47">
    <cfRule type="cellIs" dxfId="1283" priority="1536" operator="equal">
      <formula>"F"</formula>
    </cfRule>
    <cfRule type="cellIs" dxfId="1282" priority="1535" operator="equal">
      <formula>"F"</formula>
    </cfRule>
    <cfRule type="cellIs" dxfId="1281" priority="1534" operator="equal">
      <formula>"U/P"</formula>
    </cfRule>
  </conditionalFormatting>
  <conditionalFormatting sqref="H55">
    <cfRule type="cellIs" dxfId="1280" priority="1493" operator="equal">
      <formula>"F"</formula>
    </cfRule>
    <cfRule type="cellIs" dxfId="1279" priority="1494" operator="equal">
      <formula>"F"</formula>
    </cfRule>
    <cfRule type="cellIs" dxfId="1278" priority="1492" operator="equal">
      <formula>"U/P"</formula>
    </cfRule>
  </conditionalFormatting>
  <conditionalFormatting sqref="H63">
    <cfRule type="cellIs" dxfId="1277" priority="1451" operator="equal">
      <formula>"F"</formula>
    </cfRule>
    <cfRule type="cellIs" dxfId="1276" priority="1450" operator="equal">
      <formula>"U/P"</formula>
    </cfRule>
    <cfRule type="cellIs" dxfId="1275" priority="1452" operator="equal">
      <formula>"F"</formula>
    </cfRule>
  </conditionalFormatting>
  <conditionalFormatting sqref="H71">
    <cfRule type="cellIs" dxfId="1274" priority="1410" operator="equal">
      <formula>"F"</formula>
    </cfRule>
    <cfRule type="cellIs" dxfId="1273" priority="1408" operator="equal">
      <formula>"U/P"</formula>
    </cfRule>
    <cfRule type="cellIs" dxfId="1272" priority="1409" operator="equal">
      <formula>"F"</formula>
    </cfRule>
  </conditionalFormatting>
  <conditionalFormatting sqref="H79">
    <cfRule type="cellIs" dxfId="1271" priority="1366" operator="equal">
      <formula>"U/P"</formula>
    </cfRule>
    <cfRule type="cellIs" dxfId="1270" priority="1367" operator="equal">
      <formula>"F"</formula>
    </cfRule>
    <cfRule type="cellIs" dxfId="1269" priority="1368" operator="equal">
      <formula>"F"</formula>
    </cfRule>
  </conditionalFormatting>
  <conditionalFormatting sqref="H87">
    <cfRule type="cellIs" dxfId="1268" priority="1326" operator="equal">
      <formula>"F"</formula>
    </cfRule>
    <cfRule type="cellIs" dxfId="1267" priority="1324" operator="equal">
      <formula>"U/P"</formula>
    </cfRule>
    <cfRule type="cellIs" dxfId="1266" priority="1325" operator="equal">
      <formula>"F"</formula>
    </cfRule>
  </conditionalFormatting>
  <conditionalFormatting sqref="H95">
    <cfRule type="cellIs" dxfId="1265" priority="1282" operator="equal">
      <formula>"U/P"</formula>
    </cfRule>
    <cfRule type="cellIs" dxfId="1264" priority="1284" operator="equal">
      <formula>"F"</formula>
    </cfRule>
    <cfRule type="cellIs" dxfId="1263" priority="1283" operator="equal">
      <formula>"F"</formula>
    </cfRule>
  </conditionalFormatting>
  <conditionalFormatting sqref="H103">
    <cfRule type="cellIs" dxfId="1262" priority="1240" operator="equal">
      <formula>"U/P"</formula>
    </cfRule>
    <cfRule type="cellIs" dxfId="1261" priority="1241" operator="equal">
      <formula>"F"</formula>
    </cfRule>
    <cfRule type="cellIs" dxfId="1260" priority="1242" operator="equal">
      <formula>"F"</formula>
    </cfRule>
  </conditionalFormatting>
  <conditionalFormatting sqref="H111">
    <cfRule type="cellIs" dxfId="1259" priority="1200" operator="equal">
      <formula>"F"</formula>
    </cfRule>
    <cfRule type="cellIs" dxfId="1258" priority="1199" operator="equal">
      <formula>"F"</formula>
    </cfRule>
    <cfRule type="cellIs" dxfId="1257" priority="1198" operator="equal">
      <formula>"U/P"</formula>
    </cfRule>
  </conditionalFormatting>
  <conditionalFormatting sqref="H119">
    <cfRule type="cellIs" dxfId="1256" priority="1164" operator="equal">
      <formula>"F"</formula>
    </cfRule>
    <cfRule type="cellIs" dxfId="1255" priority="1163" operator="equal">
      <formula>"F"</formula>
    </cfRule>
    <cfRule type="cellIs" dxfId="1254" priority="1162" operator="equal">
      <formula>"U/P"</formula>
    </cfRule>
  </conditionalFormatting>
  <conditionalFormatting sqref="H127">
    <cfRule type="cellIs" dxfId="1253" priority="1126" operator="equal">
      <formula>"U/P"</formula>
    </cfRule>
    <cfRule type="cellIs" dxfId="1252" priority="1127" operator="equal">
      <formula>"F"</formula>
    </cfRule>
    <cfRule type="cellIs" dxfId="1251" priority="1128" operator="equal">
      <formula>"F"</formula>
    </cfRule>
  </conditionalFormatting>
  <conditionalFormatting sqref="H135">
    <cfRule type="cellIs" dxfId="1250" priority="1774" operator="equal">
      <formula>"U/P"</formula>
    </cfRule>
    <cfRule type="cellIs" dxfId="1249" priority="1775" operator="equal">
      <formula>"F"</formula>
    </cfRule>
    <cfRule type="cellIs" dxfId="1248" priority="1776" operator="equal">
      <formula>"F"</formula>
    </cfRule>
  </conditionalFormatting>
  <conditionalFormatting sqref="H143">
    <cfRule type="cellIs" dxfId="1247" priority="1755" operator="equal">
      <formula>"F"</formula>
    </cfRule>
    <cfRule type="cellIs" dxfId="1246" priority="1753" operator="equal">
      <formula>"U/P"</formula>
    </cfRule>
    <cfRule type="cellIs" dxfId="1245" priority="1754" operator="equal">
      <formula>"F"</formula>
    </cfRule>
  </conditionalFormatting>
  <conditionalFormatting sqref="H151">
    <cfRule type="cellIs" dxfId="1244" priority="1038" operator="equal">
      <formula>"F"</formula>
    </cfRule>
    <cfRule type="cellIs" dxfId="1243" priority="1037" operator="equal">
      <formula>"F"</formula>
    </cfRule>
    <cfRule type="cellIs" dxfId="1242" priority="1036" operator="equal">
      <formula>"U/P"</formula>
    </cfRule>
  </conditionalFormatting>
  <conditionalFormatting sqref="H159">
    <cfRule type="cellIs" dxfId="1241" priority="1001" operator="equal">
      <formula>"F"</formula>
    </cfRule>
    <cfRule type="cellIs" dxfId="1240" priority="1000" operator="equal">
      <formula>"U/P"</formula>
    </cfRule>
    <cfRule type="cellIs" dxfId="1239" priority="1002" operator="equal">
      <formula>"F"</formula>
    </cfRule>
  </conditionalFormatting>
  <conditionalFormatting sqref="H167">
    <cfRule type="cellIs" dxfId="1238" priority="959" operator="equal">
      <formula>"F"</formula>
    </cfRule>
    <cfRule type="cellIs" dxfId="1237" priority="958" operator="equal">
      <formula>"U/P"</formula>
    </cfRule>
    <cfRule type="cellIs" dxfId="1236" priority="960" operator="equal">
      <formula>"F"</formula>
    </cfRule>
  </conditionalFormatting>
  <conditionalFormatting sqref="H170">
    <cfRule type="cellIs" dxfId="1235" priority="230" operator="equal">
      <formula>0</formula>
    </cfRule>
  </conditionalFormatting>
  <conditionalFormatting sqref="H175">
    <cfRule type="cellIs" dxfId="1234" priority="918" operator="equal">
      <formula>"F"</formula>
    </cfRule>
    <cfRule type="cellIs" dxfId="1233" priority="916" operator="equal">
      <formula>"U/P"</formula>
    </cfRule>
    <cfRule type="cellIs" dxfId="1232" priority="917" operator="equal">
      <formula>"F"</formula>
    </cfRule>
  </conditionalFormatting>
  <conditionalFormatting sqref="H183">
    <cfRule type="cellIs" dxfId="1231" priority="883" operator="equal">
      <formula>"U/P"</formula>
    </cfRule>
    <cfRule type="cellIs" dxfId="1230" priority="885" operator="equal">
      <formula>"F"</formula>
    </cfRule>
    <cfRule type="cellIs" dxfId="1229" priority="884" operator="equal">
      <formula>"F"</formula>
    </cfRule>
  </conditionalFormatting>
  <conditionalFormatting sqref="H191">
    <cfRule type="cellIs" dxfId="1228" priority="845" operator="equal">
      <formula>"F"</formula>
    </cfRule>
    <cfRule type="cellIs" dxfId="1227" priority="846" operator="equal">
      <formula>"F"</formula>
    </cfRule>
    <cfRule type="cellIs" dxfId="1226" priority="844" operator="equal">
      <formula>"U/P"</formula>
    </cfRule>
  </conditionalFormatting>
  <conditionalFormatting sqref="H199">
    <cfRule type="cellIs" dxfId="1225" priority="1708" operator="equal">
      <formula>"U/P"</formula>
    </cfRule>
    <cfRule type="cellIs" dxfId="1224" priority="1710" operator="equal">
      <formula>"F"</formula>
    </cfRule>
    <cfRule type="cellIs" dxfId="1223" priority="1709" operator="equal">
      <formula>"F"</formula>
    </cfRule>
  </conditionalFormatting>
  <conditionalFormatting sqref="H207">
    <cfRule type="cellIs" dxfId="1222" priority="1691" operator="equal">
      <formula>"F"</formula>
    </cfRule>
    <cfRule type="cellIs" dxfId="1221" priority="1690" operator="equal">
      <formula>"U/P"</formula>
    </cfRule>
    <cfRule type="cellIs" dxfId="1220" priority="1692" operator="equal">
      <formula>"F"</formula>
    </cfRule>
  </conditionalFormatting>
  <conditionalFormatting sqref="H215">
    <cfRule type="cellIs" dxfId="1219" priority="774" operator="equal">
      <formula>"F"</formula>
    </cfRule>
    <cfRule type="cellIs" dxfId="1218" priority="773" operator="equal">
      <formula>"F"</formula>
    </cfRule>
    <cfRule type="cellIs" dxfId="1217" priority="772" operator="equal">
      <formula>"U/P"</formula>
    </cfRule>
  </conditionalFormatting>
  <conditionalFormatting sqref="H223">
    <cfRule type="cellIs" dxfId="1216" priority="197" operator="equal">
      <formula>"U/P"</formula>
    </cfRule>
    <cfRule type="cellIs" dxfId="1215" priority="198" operator="equal">
      <formula>"F"</formula>
    </cfRule>
    <cfRule type="cellIs" dxfId="1214" priority="199" operator="equal">
      <formula>"F"</formula>
    </cfRule>
  </conditionalFormatting>
  <conditionalFormatting sqref="H231">
    <cfRule type="cellIs" dxfId="1213" priority="678" operator="equal">
      <formula>"F"</formula>
    </cfRule>
    <cfRule type="cellIs" dxfId="1212" priority="677" operator="equal">
      <formula>"F"</formula>
    </cfRule>
    <cfRule type="cellIs" dxfId="1211" priority="676" operator="equal">
      <formula>"U/P"</formula>
    </cfRule>
  </conditionalFormatting>
  <conditionalFormatting sqref="H239">
    <cfRule type="cellIs" dxfId="1210" priority="634" operator="equal">
      <formula>"U/P"</formula>
    </cfRule>
    <cfRule type="cellIs" dxfId="1209" priority="636" operator="equal">
      <formula>"F"</formula>
    </cfRule>
    <cfRule type="cellIs" dxfId="1208" priority="635" operator="equal">
      <formula>"F"</formula>
    </cfRule>
  </conditionalFormatting>
  <conditionalFormatting sqref="H247">
    <cfRule type="cellIs" dxfId="1207" priority="592" operator="equal">
      <formula>"U/P"</formula>
    </cfRule>
    <cfRule type="cellIs" dxfId="1206" priority="593" operator="equal">
      <formula>"F"</formula>
    </cfRule>
    <cfRule type="cellIs" dxfId="1205" priority="594" operator="equal">
      <formula>"F"</formula>
    </cfRule>
  </conditionalFormatting>
  <conditionalFormatting sqref="H255">
    <cfRule type="cellIs" dxfId="1204" priority="550" operator="equal">
      <formula>"U/P"</formula>
    </cfRule>
    <cfRule type="cellIs" dxfId="1203" priority="551" operator="equal">
      <formula>"F"</formula>
    </cfRule>
    <cfRule type="cellIs" dxfId="1202" priority="552" operator="equal">
      <formula>"F"</formula>
    </cfRule>
  </conditionalFormatting>
  <conditionalFormatting sqref="H263">
    <cfRule type="cellIs" dxfId="1201" priority="148" operator="equal">
      <formula>"U/P"</formula>
    </cfRule>
    <cfRule type="cellIs" dxfId="1200" priority="149" operator="equal">
      <formula>"F"</formula>
    </cfRule>
    <cfRule type="cellIs" dxfId="1199" priority="150" operator="equal">
      <formula>"F"</formula>
    </cfRule>
  </conditionalFormatting>
  <conditionalFormatting sqref="H271">
    <cfRule type="cellIs" dxfId="1198" priority="467" operator="equal">
      <formula>"F"</formula>
    </cfRule>
    <cfRule type="cellIs" dxfId="1197" priority="466" operator="equal">
      <formula>"U/P"</formula>
    </cfRule>
    <cfRule type="cellIs" dxfId="1196" priority="468" operator="equal">
      <formula>"F"</formula>
    </cfRule>
  </conditionalFormatting>
  <conditionalFormatting sqref="H279">
    <cfRule type="cellIs" dxfId="1195" priority="424" operator="equal">
      <formula>"U/P"</formula>
    </cfRule>
    <cfRule type="cellIs" dxfId="1194" priority="425" operator="equal">
      <formula>"F"</formula>
    </cfRule>
    <cfRule type="cellIs" dxfId="1193" priority="426" operator="equal">
      <formula>"F"</formula>
    </cfRule>
  </conditionalFormatting>
  <conditionalFormatting sqref="H287">
    <cfRule type="cellIs" dxfId="1192" priority="33" operator="equal">
      <formula>"F"</formula>
    </cfRule>
    <cfRule type="cellIs" dxfId="1191" priority="32" operator="equal">
      <formula>"F"</formula>
    </cfRule>
    <cfRule type="cellIs" dxfId="1190" priority="31" operator="equal">
      <formula>"U/P"</formula>
    </cfRule>
  </conditionalFormatting>
  <conditionalFormatting sqref="H295">
    <cfRule type="cellIs" dxfId="1189" priority="90" operator="equal">
      <formula>"F"</formula>
    </cfRule>
    <cfRule type="cellIs" dxfId="1188" priority="89" operator="equal">
      <formula>"F"</formula>
    </cfRule>
    <cfRule type="cellIs" dxfId="1187" priority="88" operator="equal">
      <formula>"U/P"</formula>
    </cfRule>
  </conditionalFormatting>
  <conditionalFormatting sqref="H303">
    <cfRule type="cellIs" dxfId="1186" priority="109" operator="equal">
      <formula>"U/P"</formula>
    </cfRule>
    <cfRule type="cellIs" dxfId="1185" priority="111" operator="equal">
      <formula>"F"</formula>
    </cfRule>
    <cfRule type="cellIs" dxfId="1184" priority="110" operator="equal">
      <formula>"F"</formula>
    </cfRule>
  </conditionalFormatting>
  <conditionalFormatting sqref="H310">
    <cfRule type="cellIs" dxfId="1183" priority="234" operator="equal">
      <formula>"F"</formula>
    </cfRule>
    <cfRule type="cellIs" dxfId="1182" priority="233" operator="equal">
      <formula>"F"</formula>
    </cfRule>
    <cfRule type="cellIs" dxfId="1181" priority="232" operator="equal">
      <formula>"U/P"</formula>
    </cfRule>
  </conditionalFormatting>
  <conditionalFormatting sqref="J23">
    <cfRule type="cellIs" dxfId="1180" priority="1659" operator="equal">
      <formula>"F"</formula>
    </cfRule>
    <cfRule type="cellIs" dxfId="1179" priority="1658" operator="equal">
      <formula>"F"</formula>
    </cfRule>
    <cfRule type="cellIs" dxfId="1178" priority="1657" operator="equal">
      <formula>"U/P"</formula>
    </cfRule>
  </conditionalFormatting>
  <conditionalFormatting sqref="J31">
    <cfRule type="cellIs" dxfId="1177" priority="1617" operator="equal">
      <formula>"F"</formula>
    </cfRule>
    <cfRule type="cellIs" dxfId="1176" priority="1616" operator="equal">
      <formula>"F"</formula>
    </cfRule>
    <cfRule type="cellIs" dxfId="1175" priority="1615" operator="equal">
      <formula>"U/P"</formula>
    </cfRule>
  </conditionalFormatting>
  <conditionalFormatting sqref="J39">
    <cfRule type="cellIs" dxfId="1174" priority="1574" operator="equal">
      <formula>"F"</formula>
    </cfRule>
    <cfRule type="cellIs" dxfId="1173" priority="1573" operator="equal">
      <formula>"U/P"</formula>
    </cfRule>
    <cfRule type="cellIs" dxfId="1172" priority="1575" operator="equal">
      <formula>"F"</formula>
    </cfRule>
  </conditionalFormatting>
  <conditionalFormatting sqref="J47">
    <cfRule type="cellIs" dxfId="1171" priority="1531" operator="equal">
      <formula>"U/P"</formula>
    </cfRule>
    <cfRule type="cellIs" dxfId="1170" priority="1533" operator="equal">
      <formula>"F"</formula>
    </cfRule>
    <cfRule type="cellIs" dxfId="1169" priority="1532" operator="equal">
      <formula>"F"</formula>
    </cfRule>
  </conditionalFormatting>
  <conditionalFormatting sqref="J55">
    <cfRule type="cellIs" dxfId="1168" priority="1489" operator="equal">
      <formula>"U/P"</formula>
    </cfRule>
    <cfRule type="cellIs" dxfId="1167" priority="1491" operator="equal">
      <formula>"F"</formula>
    </cfRule>
    <cfRule type="cellIs" dxfId="1166" priority="1490" operator="equal">
      <formula>"F"</formula>
    </cfRule>
  </conditionalFormatting>
  <conditionalFormatting sqref="J63">
    <cfRule type="cellIs" dxfId="1165" priority="1447" operator="equal">
      <formula>"U/P"</formula>
    </cfRule>
    <cfRule type="cellIs" dxfId="1164" priority="1448" operator="equal">
      <formula>"F"</formula>
    </cfRule>
    <cfRule type="cellIs" dxfId="1163" priority="1449" operator="equal">
      <formula>"F"</formula>
    </cfRule>
  </conditionalFormatting>
  <conditionalFormatting sqref="J71">
    <cfRule type="cellIs" dxfId="1162" priority="1405" operator="equal">
      <formula>"U/P"</formula>
    </cfRule>
    <cfRule type="cellIs" dxfId="1161" priority="1407" operator="equal">
      <formula>"F"</formula>
    </cfRule>
    <cfRule type="cellIs" dxfId="1160" priority="1406" operator="equal">
      <formula>"F"</formula>
    </cfRule>
  </conditionalFormatting>
  <conditionalFormatting sqref="J79">
    <cfRule type="cellIs" dxfId="1159" priority="1365" operator="equal">
      <formula>"F"</formula>
    </cfRule>
    <cfRule type="cellIs" dxfId="1158" priority="1363" operator="equal">
      <formula>"U/P"</formula>
    </cfRule>
    <cfRule type="cellIs" dxfId="1157" priority="1364" operator="equal">
      <formula>"F"</formula>
    </cfRule>
  </conditionalFormatting>
  <conditionalFormatting sqref="J87">
    <cfRule type="cellIs" dxfId="1156" priority="1323" operator="equal">
      <formula>"F"</formula>
    </cfRule>
    <cfRule type="cellIs" dxfId="1155" priority="1321" operator="equal">
      <formula>"U/P"</formula>
    </cfRule>
    <cfRule type="cellIs" dxfId="1154" priority="1322" operator="equal">
      <formula>"F"</formula>
    </cfRule>
  </conditionalFormatting>
  <conditionalFormatting sqref="J95">
    <cfRule type="cellIs" dxfId="1153" priority="1280" operator="equal">
      <formula>"F"</formula>
    </cfRule>
    <cfRule type="cellIs" dxfId="1152" priority="1279" operator="equal">
      <formula>"U/P"</formula>
    </cfRule>
    <cfRule type="cellIs" dxfId="1151" priority="1281" operator="equal">
      <formula>"F"</formula>
    </cfRule>
  </conditionalFormatting>
  <conditionalFormatting sqref="J103">
    <cfRule type="cellIs" dxfId="1150" priority="1237" operator="equal">
      <formula>"U/P"</formula>
    </cfRule>
    <cfRule type="cellIs" dxfId="1149" priority="1239" operator="equal">
      <formula>"F"</formula>
    </cfRule>
    <cfRule type="cellIs" dxfId="1148" priority="1238" operator="equal">
      <formula>"F"</formula>
    </cfRule>
  </conditionalFormatting>
  <conditionalFormatting sqref="J111">
    <cfRule type="cellIs" dxfId="1147" priority="1195" operator="equal">
      <formula>"U/P"</formula>
    </cfRule>
    <cfRule type="cellIs" dxfId="1146" priority="1197" operator="equal">
      <formula>"F"</formula>
    </cfRule>
    <cfRule type="cellIs" dxfId="1145" priority="1196" operator="equal">
      <formula>"F"</formula>
    </cfRule>
  </conditionalFormatting>
  <conditionalFormatting sqref="J119">
    <cfRule type="cellIs" dxfId="1144" priority="1161" operator="equal">
      <formula>"F"</formula>
    </cfRule>
    <cfRule type="cellIs" dxfId="1143" priority="1160" operator="equal">
      <formula>"F"</formula>
    </cfRule>
    <cfRule type="cellIs" dxfId="1142" priority="1159" operator="equal">
      <formula>"U/P"</formula>
    </cfRule>
  </conditionalFormatting>
  <conditionalFormatting sqref="J127">
    <cfRule type="cellIs" dxfId="1141" priority="1123" operator="equal">
      <formula>"U/P"</formula>
    </cfRule>
    <cfRule type="cellIs" dxfId="1140" priority="1124" operator="equal">
      <formula>"F"</formula>
    </cfRule>
    <cfRule type="cellIs" dxfId="1139" priority="1125" operator="equal">
      <formula>"F"</formula>
    </cfRule>
  </conditionalFormatting>
  <conditionalFormatting sqref="J135">
    <cfRule type="cellIs" dxfId="1138" priority="1086" operator="equal">
      <formula>"F"</formula>
    </cfRule>
    <cfRule type="cellIs" dxfId="1137" priority="1085" operator="equal">
      <formula>"F"</formula>
    </cfRule>
    <cfRule type="cellIs" dxfId="1136" priority="1084" operator="equal">
      <formula>"U/P"</formula>
    </cfRule>
  </conditionalFormatting>
  <conditionalFormatting sqref="J143">
    <cfRule type="cellIs" dxfId="1135" priority="1071" operator="equal">
      <formula>"F"</formula>
    </cfRule>
    <cfRule type="cellIs" dxfId="1134" priority="1070" operator="equal">
      <formula>"F"</formula>
    </cfRule>
    <cfRule type="cellIs" dxfId="1133" priority="1069" operator="equal">
      <formula>"U/P"</formula>
    </cfRule>
  </conditionalFormatting>
  <conditionalFormatting sqref="J151">
    <cfRule type="cellIs" dxfId="1132" priority="1034" operator="equal">
      <formula>"F"</formula>
    </cfRule>
    <cfRule type="cellIs" dxfId="1131" priority="1035" operator="equal">
      <formula>"F"</formula>
    </cfRule>
    <cfRule type="cellIs" dxfId="1130" priority="1033" operator="equal">
      <formula>"U/P"</formula>
    </cfRule>
  </conditionalFormatting>
  <conditionalFormatting sqref="J159">
    <cfRule type="cellIs" dxfId="1129" priority="997" operator="equal">
      <formula>"U/P"</formula>
    </cfRule>
    <cfRule type="cellIs" dxfId="1128" priority="998" operator="equal">
      <formula>"F"</formula>
    </cfRule>
    <cfRule type="cellIs" dxfId="1127" priority="999" operator="equal">
      <formula>"F"</formula>
    </cfRule>
  </conditionalFormatting>
  <conditionalFormatting sqref="J167">
    <cfRule type="cellIs" dxfId="1126" priority="955" operator="equal">
      <formula>"U/P"</formula>
    </cfRule>
    <cfRule type="cellIs" dxfId="1125" priority="956" operator="equal">
      <formula>"F"</formula>
    </cfRule>
    <cfRule type="cellIs" dxfId="1124" priority="957" operator="equal">
      <formula>"F"</formula>
    </cfRule>
  </conditionalFormatting>
  <conditionalFormatting sqref="J175">
    <cfRule type="cellIs" dxfId="1123" priority="915" operator="equal">
      <formula>"F"</formula>
    </cfRule>
    <cfRule type="cellIs" dxfId="1122" priority="914" operator="equal">
      <formula>"F"</formula>
    </cfRule>
    <cfRule type="cellIs" dxfId="1121" priority="913" operator="equal">
      <formula>"U/P"</formula>
    </cfRule>
  </conditionalFormatting>
  <conditionalFormatting sqref="J183">
    <cfRule type="cellIs" dxfId="1120" priority="881" operator="equal">
      <formula>"F"</formula>
    </cfRule>
    <cfRule type="cellIs" dxfId="1119" priority="880" operator="equal">
      <formula>"U/P"</formula>
    </cfRule>
    <cfRule type="cellIs" dxfId="1118" priority="882" operator="equal">
      <formula>"F"</formula>
    </cfRule>
  </conditionalFormatting>
  <conditionalFormatting sqref="J191">
    <cfRule type="cellIs" dxfId="1117" priority="1727" operator="equal">
      <formula>"F"</formula>
    </cfRule>
    <cfRule type="cellIs" dxfId="1116" priority="1728" operator="equal">
      <formula>"F"</formula>
    </cfRule>
    <cfRule type="cellIs" dxfId="1115" priority="1726" operator="equal">
      <formula>"U/P"</formula>
    </cfRule>
  </conditionalFormatting>
  <conditionalFormatting sqref="J199">
    <cfRule type="cellIs" dxfId="1114" priority="822" operator="equal">
      <formula>"F"</formula>
    </cfRule>
    <cfRule type="cellIs" dxfId="1113" priority="821" operator="equal">
      <formula>"F"</formula>
    </cfRule>
    <cfRule type="cellIs" dxfId="1112" priority="820" operator="equal">
      <formula>"U/P"</formula>
    </cfRule>
  </conditionalFormatting>
  <conditionalFormatting sqref="J207">
    <cfRule type="cellIs" dxfId="1111" priority="1689" operator="equal">
      <formula>"F"</formula>
    </cfRule>
    <cfRule type="cellIs" dxfId="1110" priority="1688" operator="equal">
      <formula>"F"</formula>
    </cfRule>
    <cfRule type="cellIs" dxfId="1109" priority="1687" operator="equal">
      <formula>"U/P"</formula>
    </cfRule>
  </conditionalFormatting>
  <conditionalFormatting sqref="J215">
    <cfRule type="cellIs" dxfId="1108" priority="1674" operator="equal">
      <formula>"F"</formula>
    </cfRule>
    <cfRule type="cellIs" dxfId="1107" priority="1673" operator="equal">
      <formula>"F"</formula>
    </cfRule>
    <cfRule type="cellIs" dxfId="1106" priority="1672" operator="equal">
      <formula>"U/P"</formula>
    </cfRule>
  </conditionalFormatting>
  <conditionalFormatting sqref="J223">
    <cfRule type="cellIs" dxfId="1105" priority="190" operator="equal">
      <formula>"F"</formula>
    </cfRule>
    <cfRule type="cellIs" dxfId="1104" priority="189" operator="equal">
      <formula>"F"</formula>
    </cfRule>
    <cfRule type="cellIs" dxfId="1103" priority="188" operator="equal">
      <formula>"U/P"</formula>
    </cfRule>
  </conditionalFormatting>
  <conditionalFormatting sqref="J231">
    <cfRule type="cellIs" dxfId="1102" priority="689" operator="equal">
      <formula>"F"</formula>
    </cfRule>
    <cfRule type="cellIs" dxfId="1101" priority="690" operator="equal">
      <formula>"F"</formula>
    </cfRule>
    <cfRule type="cellIs" dxfId="1100" priority="688" operator="equal">
      <formula>"U/P"</formula>
    </cfRule>
  </conditionalFormatting>
  <conditionalFormatting sqref="J239">
    <cfRule type="cellIs" dxfId="1099" priority="60" operator="equal">
      <formula>"F"</formula>
    </cfRule>
    <cfRule type="cellIs" dxfId="1098" priority="58" operator="equal">
      <formula>"U/P"</formula>
    </cfRule>
    <cfRule type="cellIs" dxfId="1097" priority="59" operator="equal">
      <formula>"F"</formula>
    </cfRule>
  </conditionalFormatting>
  <conditionalFormatting sqref="J247">
    <cfRule type="cellIs" dxfId="1096" priority="606" operator="equal">
      <formula>"F"</formula>
    </cfRule>
    <cfRule type="cellIs" dxfId="1095" priority="604" operator="equal">
      <formula>"U/P"</formula>
    </cfRule>
    <cfRule type="cellIs" dxfId="1094" priority="605" operator="equal">
      <formula>"F"</formula>
    </cfRule>
  </conditionalFormatting>
  <conditionalFormatting sqref="J255">
    <cfRule type="cellIs" dxfId="1093" priority="562" operator="equal">
      <formula>"U/P"</formula>
    </cfRule>
    <cfRule type="cellIs" dxfId="1092" priority="564" operator="equal">
      <formula>"F"</formula>
    </cfRule>
    <cfRule type="cellIs" dxfId="1091" priority="563" operator="equal">
      <formula>"F"</formula>
    </cfRule>
  </conditionalFormatting>
  <conditionalFormatting sqref="J263">
    <cfRule type="cellIs" dxfId="1090" priority="162" operator="equal">
      <formula>"F"</formula>
    </cfRule>
    <cfRule type="cellIs" dxfId="1089" priority="161" operator="equal">
      <formula>"F"</formula>
    </cfRule>
    <cfRule type="cellIs" dxfId="1088" priority="160" operator="equal">
      <formula>"U/P"</formula>
    </cfRule>
  </conditionalFormatting>
  <conditionalFormatting sqref="J271">
    <cfRule type="cellIs" dxfId="1087" priority="480" operator="equal">
      <formula>"F"</formula>
    </cfRule>
    <cfRule type="cellIs" dxfId="1086" priority="478" operator="equal">
      <formula>"U/P"</formula>
    </cfRule>
    <cfRule type="cellIs" dxfId="1085" priority="479" operator="equal">
      <formula>"F"</formula>
    </cfRule>
  </conditionalFormatting>
  <conditionalFormatting sqref="J279">
    <cfRule type="cellIs" dxfId="1084" priority="438" operator="equal">
      <formula>"F"</formula>
    </cfRule>
    <cfRule type="cellIs" dxfId="1083" priority="436" operator="equal">
      <formula>"U/P"</formula>
    </cfRule>
    <cfRule type="cellIs" dxfId="1082" priority="437" operator="equal">
      <formula>"F"</formula>
    </cfRule>
  </conditionalFormatting>
  <conditionalFormatting sqref="J287">
    <cfRule type="cellIs" dxfId="1081" priority="13" operator="equal">
      <formula>"U/P"</formula>
    </cfRule>
    <cfRule type="cellIs" dxfId="1080" priority="14" operator="equal">
      <formula>"F"</formula>
    </cfRule>
    <cfRule type="cellIs" dxfId="1079" priority="15" operator="equal">
      <formula>"F"</formula>
    </cfRule>
  </conditionalFormatting>
  <conditionalFormatting sqref="J295">
    <cfRule type="cellIs" dxfId="1078" priority="100" operator="equal">
      <formula>"U/P"</formula>
    </cfRule>
    <cfRule type="cellIs" dxfId="1077" priority="101" operator="equal">
      <formula>"F"</formula>
    </cfRule>
    <cfRule type="cellIs" dxfId="1076" priority="102" operator="equal">
      <formula>"F"</formula>
    </cfRule>
  </conditionalFormatting>
  <conditionalFormatting sqref="J303">
    <cfRule type="cellIs" dxfId="1075" priority="120" operator="equal">
      <formula>"F"</formula>
    </cfRule>
    <cfRule type="cellIs" dxfId="1074" priority="118" operator="equal">
      <formula>"U/P"</formula>
    </cfRule>
    <cfRule type="cellIs" dxfId="1073" priority="119" operator="equal">
      <formula>"F"</formula>
    </cfRule>
  </conditionalFormatting>
  <conditionalFormatting sqref="J310">
    <cfRule type="cellIs" dxfId="1072" priority="268" operator="equal">
      <formula>"U/P"</formula>
    </cfRule>
    <cfRule type="cellIs" dxfId="1071" priority="269" operator="equal">
      <formula>"F"</formula>
    </cfRule>
    <cfRule type="cellIs" dxfId="1070" priority="270" operator="equal">
      <formula>"F"</formula>
    </cfRule>
  </conditionalFormatting>
  <conditionalFormatting sqref="L23">
    <cfRule type="cellIs" dxfId="1069" priority="1654" operator="equal">
      <formula>"U/P"</formula>
    </cfRule>
    <cfRule type="cellIs" dxfId="1068" priority="1655" operator="equal">
      <formula>"F"</formula>
    </cfRule>
    <cfRule type="cellIs" dxfId="1067" priority="1656" operator="equal">
      <formula>"F"</formula>
    </cfRule>
  </conditionalFormatting>
  <conditionalFormatting sqref="L31">
    <cfRule type="cellIs" dxfId="1066" priority="1612" operator="equal">
      <formula>"U/P"</formula>
    </cfRule>
    <cfRule type="cellIs" dxfId="1065" priority="1613" operator="equal">
      <formula>"F"</formula>
    </cfRule>
    <cfRule type="cellIs" dxfId="1064" priority="1614" operator="equal">
      <formula>"F"</formula>
    </cfRule>
  </conditionalFormatting>
  <conditionalFormatting sqref="L39">
    <cfRule type="cellIs" dxfId="1063" priority="1572" operator="equal">
      <formula>"F"</formula>
    </cfRule>
    <cfRule type="cellIs" dxfId="1062" priority="1571" operator="equal">
      <formula>"F"</formula>
    </cfRule>
    <cfRule type="cellIs" dxfId="1061" priority="1570" operator="equal">
      <formula>"U/P"</formula>
    </cfRule>
  </conditionalFormatting>
  <conditionalFormatting sqref="L47">
    <cfRule type="cellIs" dxfId="1060" priority="1529" operator="equal">
      <formula>"F"</formula>
    </cfRule>
    <cfRule type="cellIs" dxfId="1059" priority="1528" operator="equal">
      <formula>"U/P"</formula>
    </cfRule>
    <cfRule type="cellIs" dxfId="1058" priority="1530" operator="equal">
      <formula>"F"</formula>
    </cfRule>
  </conditionalFormatting>
  <conditionalFormatting sqref="L55">
    <cfRule type="cellIs" dxfId="1057" priority="1488" operator="equal">
      <formula>"F"</formula>
    </cfRule>
    <cfRule type="cellIs" dxfId="1056" priority="1487" operator="equal">
      <formula>"F"</formula>
    </cfRule>
    <cfRule type="cellIs" dxfId="1055" priority="1486" operator="equal">
      <formula>"U/P"</formula>
    </cfRule>
  </conditionalFormatting>
  <conditionalFormatting sqref="L63">
    <cfRule type="cellIs" dxfId="1054" priority="1446" operator="equal">
      <formula>"F"</formula>
    </cfRule>
    <cfRule type="cellIs" dxfId="1053" priority="1445" operator="equal">
      <formula>"F"</formula>
    </cfRule>
    <cfRule type="cellIs" dxfId="1052" priority="1444" operator="equal">
      <formula>"U/P"</formula>
    </cfRule>
  </conditionalFormatting>
  <conditionalFormatting sqref="L71">
    <cfRule type="cellIs" dxfId="1051" priority="1404" operator="equal">
      <formula>"F"</formula>
    </cfRule>
    <cfRule type="cellIs" dxfId="1050" priority="1403" operator="equal">
      <formula>"F"</formula>
    </cfRule>
    <cfRule type="cellIs" dxfId="1049" priority="1402" operator="equal">
      <formula>"U/P"</formula>
    </cfRule>
  </conditionalFormatting>
  <conditionalFormatting sqref="L79">
    <cfRule type="cellIs" dxfId="1048" priority="1362" operator="equal">
      <formula>"F"</formula>
    </cfRule>
    <cfRule type="cellIs" dxfId="1047" priority="1361" operator="equal">
      <formula>"F"</formula>
    </cfRule>
    <cfRule type="cellIs" dxfId="1046" priority="1360" operator="equal">
      <formula>"U/P"</formula>
    </cfRule>
  </conditionalFormatting>
  <conditionalFormatting sqref="L87">
    <cfRule type="cellIs" dxfId="1045" priority="1320" operator="equal">
      <formula>"F"</formula>
    </cfRule>
    <cfRule type="cellIs" dxfId="1044" priority="1318" operator="equal">
      <formula>"U/P"</formula>
    </cfRule>
    <cfRule type="cellIs" dxfId="1043" priority="1319" operator="equal">
      <formula>"F"</formula>
    </cfRule>
  </conditionalFormatting>
  <conditionalFormatting sqref="L95">
    <cfRule type="cellIs" dxfId="1042" priority="1278" operator="equal">
      <formula>"F"</formula>
    </cfRule>
    <cfRule type="cellIs" dxfId="1041" priority="1277" operator="equal">
      <formula>"F"</formula>
    </cfRule>
    <cfRule type="cellIs" dxfId="1040" priority="1276" operator="equal">
      <formula>"U/P"</formula>
    </cfRule>
  </conditionalFormatting>
  <conditionalFormatting sqref="L103">
    <cfRule type="cellIs" dxfId="1039" priority="19" operator="equal">
      <formula>"U/P"</formula>
    </cfRule>
    <cfRule type="cellIs" dxfId="1038" priority="20" operator="equal">
      <formula>"F"</formula>
    </cfRule>
    <cfRule type="cellIs" dxfId="1037" priority="21" operator="equal">
      <formula>"F"</formula>
    </cfRule>
  </conditionalFormatting>
  <conditionalFormatting sqref="L111">
    <cfRule type="cellIs" dxfId="1036" priority="1192" operator="equal">
      <formula>"U/P"</formula>
    </cfRule>
    <cfRule type="cellIs" dxfId="1035" priority="1193" operator="equal">
      <formula>"F"</formula>
    </cfRule>
    <cfRule type="cellIs" dxfId="1034" priority="1194" operator="equal">
      <formula>"F"</formula>
    </cfRule>
  </conditionalFormatting>
  <conditionalFormatting sqref="L119">
    <cfRule type="cellIs" dxfId="1033" priority="1158" operator="equal">
      <formula>"F"</formula>
    </cfRule>
    <cfRule type="cellIs" dxfId="1032" priority="1157" operator="equal">
      <formula>"F"</formula>
    </cfRule>
    <cfRule type="cellIs" dxfId="1031" priority="1156" operator="equal">
      <formula>"U/P"</formula>
    </cfRule>
  </conditionalFormatting>
  <conditionalFormatting sqref="L127">
    <cfRule type="cellIs" dxfId="1030" priority="1122" operator="equal">
      <formula>"F"</formula>
    </cfRule>
    <cfRule type="cellIs" dxfId="1029" priority="1121" operator="equal">
      <formula>"F"</formula>
    </cfRule>
    <cfRule type="cellIs" dxfId="1028" priority="1120" operator="equal">
      <formula>"U/P"</formula>
    </cfRule>
  </conditionalFormatting>
  <conditionalFormatting sqref="L135">
    <cfRule type="cellIs" dxfId="1027" priority="1771" operator="equal">
      <formula>"U/P"</formula>
    </cfRule>
    <cfRule type="cellIs" dxfId="1026" priority="1773" operator="equal">
      <formula>"F"</formula>
    </cfRule>
    <cfRule type="cellIs" dxfId="1025" priority="1772" operator="equal">
      <formula>"F"</formula>
    </cfRule>
  </conditionalFormatting>
  <conditionalFormatting sqref="L143">
    <cfRule type="cellIs" dxfId="1024" priority="1067" operator="equal">
      <formula>"F"</formula>
    </cfRule>
    <cfRule type="cellIs" dxfId="1023" priority="1066" operator="equal">
      <formula>"U/P"</formula>
    </cfRule>
    <cfRule type="cellIs" dxfId="1022" priority="1068" operator="equal">
      <formula>"F"</formula>
    </cfRule>
  </conditionalFormatting>
  <conditionalFormatting sqref="L151">
    <cfRule type="cellIs" dxfId="1021" priority="1032" operator="equal">
      <formula>"F"</formula>
    </cfRule>
    <cfRule type="cellIs" dxfId="1020" priority="1030" operator="equal">
      <formula>"U/P"</formula>
    </cfRule>
    <cfRule type="cellIs" dxfId="1019" priority="1031" operator="equal">
      <formula>"F"</formula>
    </cfRule>
  </conditionalFormatting>
  <conditionalFormatting sqref="L159">
    <cfRule type="cellIs" dxfId="1018" priority="994" operator="equal">
      <formula>"U/P"</formula>
    </cfRule>
    <cfRule type="cellIs" dxfId="1017" priority="996" operator="equal">
      <formula>"F"</formula>
    </cfRule>
    <cfRule type="cellIs" dxfId="1016" priority="995" operator="equal">
      <formula>"F"</formula>
    </cfRule>
  </conditionalFormatting>
  <conditionalFormatting sqref="L167">
    <cfRule type="cellIs" dxfId="1015" priority="954" operator="equal">
      <formula>"F"</formula>
    </cfRule>
    <cfRule type="cellIs" dxfId="1014" priority="953" operator="equal">
      <formula>"F"</formula>
    </cfRule>
    <cfRule type="cellIs" dxfId="1013" priority="952" operator="equal">
      <formula>"U/P"</formula>
    </cfRule>
  </conditionalFormatting>
  <conditionalFormatting sqref="L175">
    <cfRule type="cellIs" dxfId="1012" priority="912" operator="equal">
      <formula>"F"</formula>
    </cfRule>
    <cfRule type="cellIs" dxfId="1011" priority="911" operator="equal">
      <formula>"F"</formula>
    </cfRule>
    <cfRule type="cellIs" dxfId="1010" priority="910" operator="equal">
      <formula>"U/P"</formula>
    </cfRule>
  </conditionalFormatting>
  <conditionalFormatting sqref="L183">
    <cfRule type="cellIs" dxfId="1009" priority="877" operator="equal">
      <formula>"U/P"</formula>
    </cfRule>
    <cfRule type="cellIs" dxfId="1008" priority="878" operator="equal">
      <formula>"F"</formula>
    </cfRule>
    <cfRule type="cellIs" dxfId="1007" priority="879" operator="equal">
      <formula>"F"</formula>
    </cfRule>
  </conditionalFormatting>
  <conditionalFormatting sqref="L191">
    <cfRule type="cellIs" dxfId="1006" priority="1723" operator="equal">
      <formula>"U/P"</formula>
    </cfRule>
    <cfRule type="cellIs" dxfId="1005" priority="1724" operator="equal">
      <formula>"F"</formula>
    </cfRule>
    <cfRule type="cellIs" dxfId="1004" priority="1725" operator="equal">
      <formula>"F"</formula>
    </cfRule>
  </conditionalFormatting>
  <conditionalFormatting sqref="L199">
    <cfRule type="cellIs" dxfId="1003" priority="817" operator="equal">
      <formula>"U/P"</formula>
    </cfRule>
    <cfRule type="cellIs" dxfId="1002" priority="818" operator="equal">
      <formula>"F"</formula>
    </cfRule>
    <cfRule type="cellIs" dxfId="1001" priority="819" operator="equal">
      <formula>"F"</formula>
    </cfRule>
  </conditionalFormatting>
  <conditionalFormatting sqref="L207">
    <cfRule type="cellIs" dxfId="1000" priority="172" operator="equal">
      <formula>"F"</formula>
    </cfRule>
    <cfRule type="cellIs" dxfId="999" priority="171" operator="equal">
      <formula>"F"</formula>
    </cfRule>
    <cfRule type="cellIs" dxfId="998" priority="170" operator="equal">
      <formula>"U/P"</formula>
    </cfRule>
  </conditionalFormatting>
  <conditionalFormatting sqref="L215">
    <cfRule type="cellIs" dxfId="997" priority="178" operator="equal">
      <formula>"F"</formula>
    </cfRule>
    <cfRule type="cellIs" dxfId="996" priority="177" operator="equal">
      <formula>"F"</formula>
    </cfRule>
    <cfRule type="cellIs" dxfId="995" priority="176" operator="equal">
      <formula>"U/P"</formula>
    </cfRule>
  </conditionalFormatting>
  <conditionalFormatting sqref="L223">
    <cfRule type="cellIs" dxfId="994" priority="168" operator="equal">
      <formula>"F"</formula>
    </cfRule>
    <cfRule type="cellIs" dxfId="993" priority="167" operator="equal">
      <formula>"U/P"</formula>
    </cfRule>
    <cfRule type="cellIs" dxfId="992" priority="169" operator="equal">
      <formula>"F"</formula>
    </cfRule>
  </conditionalFormatting>
  <conditionalFormatting sqref="L231">
    <cfRule type="cellIs" dxfId="991" priority="675" operator="equal">
      <formula>"F"</formula>
    </cfRule>
    <cfRule type="cellIs" dxfId="990" priority="673" operator="equal">
      <formula>"U/P"</formula>
    </cfRule>
    <cfRule type="cellIs" dxfId="989" priority="674" operator="equal">
      <formula>"F"</formula>
    </cfRule>
  </conditionalFormatting>
  <conditionalFormatting sqref="L239">
    <cfRule type="cellIs" dxfId="988" priority="633" operator="equal">
      <formula>"F"</formula>
    </cfRule>
    <cfRule type="cellIs" dxfId="987" priority="631" operator="equal">
      <formula>"U/P"</formula>
    </cfRule>
    <cfRule type="cellIs" dxfId="986" priority="632" operator="equal">
      <formula>"F"</formula>
    </cfRule>
  </conditionalFormatting>
  <conditionalFormatting sqref="L247">
    <cfRule type="cellIs" dxfId="985" priority="589" operator="equal">
      <formula>"U/P"</formula>
    </cfRule>
    <cfRule type="cellIs" dxfId="984" priority="590" operator="equal">
      <formula>"F"</formula>
    </cfRule>
    <cfRule type="cellIs" dxfId="983" priority="591" operator="equal">
      <formula>"F"</formula>
    </cfRule>
  </conditionalFormatting>
  <conditionalFormatting sqref="L255">
    <cfRule type="cellIs" dxfId="982" priority="547" operator="equal">
      <formula>"U/P"</formula>
    </cfRule>
    <cfRule type="cellIs" dxfId="981" priority="548" operator="equal">
      <formula>"F"</formula>
    </cfRule>
    <cfRule type="cellIs" dxfId="980" priority="549" operator="equal">
      <formula>"F"</formula>
    </cfRule>
  </conditionalFormatting>
  <conditionalFormatting sqref="L263">
    <cfRule type="cellIs" dxfId="979" priority="147" operator="equal">
      <formula>"F"</formula>
    </cfRule>
    <cfRule type="cellIs" dxfId="978" priority="146" operator="equal">
      <formula>"F"</formula>
    </cfRule>
    <cfRule type="cellIs" dxfId="977" priority="145" operator="equal">
      <formula>"U/P"</formula>
    </cfRule>
  </conditionalFormatting>
  <conditionalFormatting sqref="L271">
    <cfRule type="cellIs" dxfId="976" priority="463" operator="equal">
      <formula>"U/P"</formula>
    </cfRule>
    <cfRule type="cellIs" dxfId="975" priority="464" operator="equal">
      <formula>"F"</formula>
    </cfRule>
    <cfRule type="cellIs" dxfId="974" priority="465" operator="equal">
      <formula>"F"</formula>
    </cfRule>
  </conditionalFormatting>
  <conditionalFormatting sqref="L279">
    <cfRule type="cellIs" dxfId="973" priority="423" operator="equal">
      <formula>"F"</formula>
    </cfRule>
    <cfRule type="cellIs" dxfId="972" priority="422" operator="equal">
      <formula>"F"</formula>
    </cfRule>
    <cfRule type="cellIs" dxfId="971" priority="421" operator="equal">
      <formula>"U/P"</formula>
    </cfRule>
  </conditionalFormatting>
  <conditionalFormatting sqref="L287">
    <cfRule type="cellIs" dxfId="970" priority="379" operator="equal">
      <formula>"U/P"</formula>
    </cfRule>
    <cfRule type="cellIs" dxfId="969" priority="381" operator="equal">
      <formula>"F"</formula>
    </cfRule>
    <cfRule type="cellIs" dxfId="968" priority="380" operator="equal">
      <formula>"F"</formula>
    </cfRule>
  </conditionalFormatting>
  <conditionalFormatting sqref="L295">
    <cfRule type="cellIs" dxfId="967" priority="85" operator="equal">
      <formula>"U/P"</formula>
    </cfRule>
    <cfRule type="cellIs" dxfId="966" priority="86" operator="equal">
      <formula>"F"</formula>
    </cfRule>
    <cfRule type="cellIs" dxfId="965" priority="87" operator="equal">
      <formula>"F"</formula>
    </cfRule>
  </conditionalFormatting>
  <conditionalFormatting sqref="L303">
    <cfRule type="cellIs" dxfId="964" priority="107" operator="equal">
      <formula>"F"</formula>
    </cfRule>
    <cfRule type="cellIs" dxfId="963" priority="108" operator="equal">
      <formula>"F"</formula>
    </cfRule>
    <cfRule type="cellIs" dxfId="962" priority="106" operator="equal">
      <formula>"U/P"</formula>
    </cfRule>
  </conditionalFormatting>
  <conditionalFormatting sqref="L310">
    <cfRule type="cellIs" dxfId="961" priority="261" operator="equal">
      <formula>"F"</formula>
    </cfRule>
    <cfRule type="cellIs" dxfId="960" priority="260" operator="equal">
      <formula>"F"</formula>
    </cfRule>
    <cfRule type="cellIs" dxfId="959" priority="259" operator="equal">
      <formula>"U/P"</formula>
    </cfRule>
  </conditionalFormatting>
  <conditionalFormatting sqref="N23">
    <cfRule type="cellIs" dxfId="958" priority="1651" operator="equal">
      <formula>"U/P"</formula>
    </cfRule>
    <cfRule type="cellIs" dxfId="957" priority="1652" operator="equal">
      <formula>"F"</formula>
    </cfRule>
    <cfRule type="cellIs" dxfId="956" priority="1653" operator="equal">
      <formula>"F"</formula>
    </cfRule>
  </conditionalFormatting>
  <conditionalFormatting sqref="N31">
    <cfRule type="cellIs" dxfId="955" priority="1610" operator="equal">
      <formula>"F"</formula>
    </cfRule>
    <cfRule type="cellIs" dxfId="954" priority="1609" operator="equal">
      <formula>"U/P"</formula>
    </cfRule>
    <cfRule type="cellIs" dxfId="953" priority="1611" operator="equal">
      <formula>"F"</formula>
    </cfRule>
  </conditionalFormatting>
  <conditionalFormatting sqref="N39">
    <cfRule type="cellIs" dxfId="952" priority="1569" operator="equal">
      <formula>"F"</formula>
    </cfRule>
    <cfRule type="cellIs" dxfId="951" priority="1568" operator="equal">
      <formula>"F"</formula>
    </cfRule>
    <cfRule type="cellIs" dxfId="950" priority="1567" operator="equal">
      <formula>"U/P"</formula>
    </cfRule>
  </conditionalFormatting>
  <conditionalFormatting sqref="N47">
    <cfRule type="cellIs" dxfId="949" priority="1527" operator="equal">
      <formula>"F"</formula>
    </cfRule>
    <cfRule type="cellIs" dxfId="948" priority="1526" operator="equal">
      <formula>"F"</formula>
    </cfRule>
    <cfRule type="cellIs" dxfId="947" priority="1525" operator="equal">
      <formula>"U/P"</formula>
    </cfRule>
  </conditionalFormatting>
  <conditionalFormatting sqref="N55">
    <cfRule type="cellIs" dxfId="946" priority="1485" operator="equal">
      <formula>"F"</formula>
    </cfRule>
    <cfRule type="cellIs" dxfId="945" priority="1484" operator="equal">
      <formula>"F"</formula>
    </cfRule>
    <cfRule type="cellIs" dxfId="944" priority="1483" operator="equal">
      <formula>"U/P"</formula>
    </cfRule>
  </conditionalFormatting>
  <conditionalFormatting sqref="N63">
    <cfRule type="cellIs" dxfId="943" priority="1442" operator="equal">
      <formula>"F"</formula>
    </cfRule>
    <cfRule type="cellIs" dxfId="942" priority="1443" operator="equal">
      <formula>"F"</formula>
    </cfRule>
    <cfRule type="cellIs" dxfId="941" priority="1441" operator="equal">
      <formula>"U/P"</formula>
    </cfRule>
  </conditionalFormatting>
  <conditionalFormatting sqref="N71">
    <cfRule type="cellIs" dxfId="940" priority="1401" operator="equal">
      <formula>"F"</formula>
    </cfRule>
    <cfRule type="cellIs" dxfId="939" priority="1400" operator="equal">
      <formula>"F"</formula>
    </cfRule>
    <cfRule type="cellIs" dxfId="938" priority="1399" operator="equal">
      <formula>"U/P"</formula>
    </cfRule>
  </conditionalFormatting>
  <conditionalFormatting sqref="N79">
    <cfRule type="cellIs" dxfId="937" priority="1359" operator="equal">
      <formula>"F"</formula>
    </cfRule>
    <cfRule type="cellIs" dxfId="936" priority="1358" operator="equal">
      <formula>"F"</formula>
    </cfRule>
    <cfRule type="cellIs" dxfId="935" priority="1357" operator="equal">
      <formula>"U/P"</formula>
    </cfRule>
  </conditionalFormatting>
  <conditionalFormatting sqref="N87">
    <cfRule type="cellIs" dxfId="934" priority="1317" operator="equal">
      <formula>"F"</formula>
    </cfRule>
    <cfRule type="cellIs" dxfId="933" priority="1315" operator="equal">
      <formula>"U/P"</formula>
    </cfRule>
    <cfRule type="cellIs" dxfId="932" priority="1316" operator="equal">
      <formula>"F"</formula>
    </cfRule>
  </conditionalFormatting>
  <conditionalFormatting sqref="N95">
    <cfRule type="cellIs" dxfId="931" priority="1274" operator="equal">
      <formula>"F"</formula>
    </cfRule>
    <cfRule type="cellIs" dxfId="930" priority="1275" operator="equal">
      <formula>"F"</formula>
    </cfRule>
    <cfRule type="cellIs" dxfId="929" priority="1273" operator="equal">
      <formula>"U/P"</formula>
    </cfRule>
  </conditionalFormatting>
  <conditionalFormatting sqref="N103">
    <cfRule type="cellIs" dxfId="928" priority="1236" operator="equal">
      <formula>"F"</formula>
    </cfRule>
    <cfRule type="cellIs" dxfId="927" priority="1235" operator="equal">
      <formula>"F"</formula>
    </cfRule>
    <cfRule type="cellIs" dxfId="926" priority="1234" operator="equal">
      <formula>"U/P"</formula>
    </cfRule>
  </conditionalFormatting>
  <conditionalFormatting sqref="N111">
    <cfRule type="cellIs" dxfId="925" priority="1191" operator="equal">
      <formula>"F"</formula>
    </cfRule>
    <cfRule type="cellIs" dxfId="924" priority="1190" operator="equal">
      <formula>"F"</formula>
    </cfRule>
    <cfRule type="cellIs" dxfId="923" priority="1189" operator="equal">
      <formula>"U/P"</formula>
    </cfRule>
  </conditionalFormatting>
  <conditionalFormatting sqref="N119">
    <cfRule type="cellIs" dxfId="922" priority="1155" operator="equal">
      <formula>"F"</formula>
    </cfRule>
    <cfRule type="cellIs" dxfId="921" priority="1154" operator="equal">
      <formula>"F"</formula>
    </cfRule>
    <cfRule type="cellIs" dxfId="920" priority="1153" operator="equal">
      <formula>"U/P"</formula>
    </cfRule>
  </conditionalFormatting>
  <conditionalFormatting sqref="N127">
    <cfRule type="cellIs" dxfId="919" priority="1118" operator="equal">
      <formula>"F"</formula>
    </cfRule>
    <cfRule type="cellIs" dxfId="918" priority="1117" operator="equal">
      <formula>"U/P"</formula>
    </cfRule>
    <cfRule type="cellIs" dxfId="917" priority="1119" operator="equal">
      <formula>"F"</formula>
    </cfRule>
  </conditionalFormatting>
  <conditionalFormatting sqref="N135">
    <cfRule type="cellIs" dxfId="916" priority="1770" operator="equal">
      <formula>"F"</formula>
    </cfRule>
    <cfRule type="cellIs" dxfId="915" priority="1769" operator="equal">
      <formula>"F"</formula>
    </cfRule>
    <cfRule type="cellIs" dxfId="914" priority="1768" operator="equal">
      <formula>"U/P"</formula>
    </cfRule>
  </conditionalFormatting>
  <conditionalFormatting sqref="N143">
    <cfRule type="cellIs" dxfId="913" priority="1064" operator="equal">
      <formula>"F"</formula>
    </cfRule>
    <cfRule type="cellIs" dxfId="912" priority="1065" operator="equal">
      <formula>"F"</formula>
    </cfRule>
    <cfRule type="cellIs" dxfId="911" priority="1063" operator="equal">
      <formula>"U/P"</formula>
    </cfRule>
  </conditionalFormatting>
  <conditionalFormatting sqref="N151">
    <cfRule type="cellIs" dxfId="910" priority="1029" operator="equal">
      <formula>"F"</formula>
    </cfRule>
    <cfRule type="cellIs" dxfId="909" priority="1028" operator="equal">
      <formula>"F"</formula>
    </cfRule>
    <cfRule type="cellIs" dxfId="908" priority="1027" operator="equal">
      <formula>"U/P"</formula>
    </cfRule>
  </conditionalFormatting>
  <conditionalFormatting sqref="N159">
    <cfRule type="cellIs" dxfId="907" priority="991" operator="equal">
      <formula>"U/P"</formula>
    </cfRule>
    <cfRule type="cellIs" dxfId="906" priority="993" operator="equal">
      <formula>"F"</formula>
    </cfRule>
    <cfRule type="cellIs" dxfId="905" priority="992" operator="equal">
      <formula>"F"</formula>
    </cfRule>
  </conditionalFormatting>
  <conditionalFormatting sqref="N167">
    <cfRule type="cellIs" dxfId="904" priority="18" operator="equal">
      <formula>"F"</formula>
    </cfRule>
    <cfRule type="cellIs" dxfId="903" priority="17" operator="equal">
      <formula>"F"</formula>
    </cfRule>
    <cfRule type="cellIs" dxfId="902" priority="16" operator="equal">
      <formula>"U/P"</formula>
    </cfRule>
  </conditionalFormatting>
  <conditionalFormatting sqref="N175">
    <cfRule type="cellIs" dxfId="901" priority="907" operator="equal">
      <formula>"U/P"</formula>
    </cfRule>
    <cfRule type="cellIs" dxfId="900" priority="909" operator="equal">
      <formula>"F"</formula>
    </cfRule>
    <cfRule type="cellIs" dxfId="899" priority="908" operator="equal">
      <formula>"F"</formula>
    </cfRule>
  </conditionalFormatting>
  <conditionalFormatting sqref="N183">
    <cfRule type="cellIs" dxfId="898" priority="63" operator="equal">
      <formula>"F"</formula>
    </cfRule>
    <cfRule type="cellIs" dxfId="897" priority="62" operator="equal">
      <formula>"F"</formula>
    </cfRule>
    <cfRule type="cellIs" dxfId="896" priority="61" operator="equal">
      <formula>"U/P"</formula>
    </cfRule>
  </conditionalFormatting>
  <conditionalFormatting sqref="N191">
    <cfRule type="cellIs" dxfId="895" priority="843" operator="equal">
      <formula>"F"</formula>
    </cfRule>
    <cfRule type="cellIs" dxfId="894" priority="841" operator="equal">
      <formula>"U/P"</formula>
    </cfRule>
    <cfRule type="cellIs" dxfId="893" priority="842" operator="equal">
      <formula>"F"</formula>
    </cfRule>
  </conditionalFormatting>
  <conditionalFormatting sqref="N199">
    <cfRule type="cellIs" dxfId="892" priority="816" operator="equal">
      <formula>"F"</formula>
    </cfRule>
    <cfRule type="cellIs" dxfId="891" priority="815" operator="equal">
      <formula>"F"</formula>
    </cfRule>
    <cfRule type="cellIs" dxfId="890" priority="814" operator="equal">
      <formula>"U/P"</formula>
    </cfRule>
  </conditionalFormatting>
  <conditionalFormatting sqref="N207">
    <cfRule type="cellIs" dxfId="889" priority="793" operator="equal">
      <formula>"U/P"</formula>
    </cfRule>
    <cfRule type="cellIs" dxfId="888" priority="794" operator="equal">
      <formula>"F"</formula>
    </cfRule>
    <cfRule type="cellIs" dxfId="887" priority="795" operator="equal">
      <formula>"F"</formula>
    </cfRule>
  </conditionalFormatting>
  <conditionalFormatting sqref="N215">
    <cfRule type="cellIs" dxfId="886" priority="766" operator="equal">
      <formula>"U/P"</formula>
    </cfRule>
    <cfRule type="cellIs" dxfId="885" priority="767" operator="equal">
      <formula>"F"</formula>
    </cfRule>
    <cfRule type="cellIs" dxfId="884" priority="768" operator="equal">
      <formula>"F"</formula>
    </cfRule>
  </conditionalFormatting>
  <conditionalFormatting sqref="N223">
    <cfRule type="cellIs" dxfId="883" priority="183" operator="equal">
      <formula>"F"</formula>
    </cfRule>
    <cfRule type="cellIs" dxfId="882" priority="184" operator="equal">
      <formula>"F"</formula>
    </cfRule>
    <cfRule type="cellIs" dxfId="881" priority="182" operator="equal">
      <formula>"U/P"</formula>
    </cfRule>
  </conditionalFormatting>
  <conditionalFormatting sqref="N231">
    <cfRule type="cellIs" dxfId="880" priority="672" operator="equal">
      <formula>"F"</formula>
    </cfRule>
    <cfRule type="cellIs" dxfId="879" priority="671" operator="equal">
      <formula>"F"</formula>
    </cfRule>
    <cfRule type="cellIs" dxfId="878" priority="670" operator="equal">
      <formula>"U/P"</formula>
    </cfRule>
  </conditionalFormatting>
  <conditionalFormatting sqref="N239">
    <cfRule type="cellIs" dxfId="877" priority="629" operator="equal">
      <formula>"F"</formula>
    </cfRule>
    <cfRule type="cellIs" dxfId="876" priority="630" operator="equal">
      <formula>"F"</formula>
    </cfRule>
    <cfRule type="cellIs" dxfId="875" priority="628" operator="equal">
      <formula>"U/P"</formula>
    </cfRule>
  </conditionalFormatting>
  <conditionalFormatting sqref="N247">
    <cfRule type="cellIs" dxfId="874" priority="587" operator="equal">
      <formula>"F"</formula>
    </cfRule>
    <cfRule type="cellIs" dxfId="873" priority="586" operator="equal">
      <formula>"U/P"</formula>
    </cfRule>
    <cfRule type="cellIs" dxfId="872" priority="588" operator="equal">
      <formula>"F"</formula>
    </cfRule>
  </conditionalFormatting>
  <conditionalFormatting sqref="N255">
    <cfRule type="cellIs" dxfId="871" priority="544" operator="equal">
      <formula>"U/P"</formula>
    </cfRule>
    <cfRule type="cellIs" dxfId="870" priority="546" operator="equal">
      <formula>"F"</formula>
    </cfRule>
    <cfRule type="cellIs" dxfId="869" priority="545" operator="equal">
      <formula>"F"</formula>
    </cfRule>
  </conditionalFormatting>
  <conditionalFormatting sqref="N263">
    <cfRule type="cellIs" dxfId="868" priority="142" operator="equal">
      <formula>"U/P"</formula>
    </cfRule>
    <cfRule type="cellIs" dxfId="867" priority="143" operator="equal">
      <formula>"F"</formula>
    </cfRule>
    <cfRule type="cellIs" dxfId="866" priority="144" operator="equal">
      <formula>"F"</formula>
    </cfRule>
  </conditionalFormatting>
  <conditionalFormatting sqref="N271">
    <cfRule type="cellIs" dxfId="865" priority="462" operator="equal">
      <formula>"F"</formula>
    </cfRule>
    <cfRule type="cellIs" dxfId="864" priority="460" operator="equal">
      <formula>"U/P"</formula>
    </cfRule>
    <cfRule type="cellIs" dxfId="863" priority="461" operator="equal">
      <formula>"F"</formula>
    </cfRule>
  </conditionalFormatting>
  <conditionalFormatting sqref="N279">
    <cfRule type="cellIs" dxfId="862" priority="420" operator="equal">
      <formula>"F"</formula>
    </cfRule>
    <cfRule type="cellIs" dxfId="861" priority="419" operator="equal">
      <formula>"F"</formula>
    </cfRule>
    <cfRule type="cellIs" dxfId="860" priority="418" operator="equal">
      <formula>"U/P"</formula>
    </cfRule>
  </conditionalFormatting>
  <conditionalFormatting sqref="N287">
    <cfRule type="cellIs" dxfId="859" priority="2" operator="equal">
      <formula>"F"</formula>
    </cfRule>
    <cfRule type="cellIs" dxfId="858" priority="1" operator="equal">
      <formula>"U/P"</formula>
    </cfRule>
    <cfRule type="cellIs" dxfId="857" priority="3" operator="equal">
      <formula>"F"</formula>
    </cfRule>
  </conditionalFormatting>
  <conditionalFormatting sqref="N295">
    <cfRule type="cellIs" dxfId="856" priority="82" operator="equal">
      <formula>"U/P"</formula>
    </cfRule>
    <cfRule type="cellIs" dxfId="855" priority="83" operator="equal">
      <formula>"F"</formula>
    </cfRule>
    <cfRule type="cellIs" dxfId="854" priority="84" operator="equal">
      <formula>"F"</formula>
    </cfRule>
  </conditionalFormatting>
  <conditionalFormatting sqref="N303">
    <cfRule type="cellIs" dxfId="853" priority="103" operator="equal">
      <formula>"U/P"</formula>
    </cfRule>
    <cfRule type="cellIs" dxfId="852" priority="105" operator="equal">
      <formula>"F"</formula>
    </cfRule>
    <cfRule type="cellIs" dxfId="851" priority="104" operator="equal">
      <formula>"F"</formula>
    </cfRule>
  </conditionalFormatting>
  <conditionalFormatting sqref="N310">
    <cfRule type="cellIs" dxfId="850" priority="256" operator="equal">
      <formula>"U/P"</formula>
    </cfRule>
    <cfRule type="cellIs" dxfId="849" priority="257" operator="equal">
      <formula>"F"</formula>
    </cfRule>
    <cfRule type="cellIs" dxfId="848" priority="258" operator="equal">
      <formula>"F"</formula>
    </cfRule>
  </conditionalFormatting>
  <conditionalFormatting sqref="P23">
    <cfRule type="cellIs" dxfId="847" priority="1648" operator="equal">
      <formula>"U/P"</formula>
    </cfRule>
    <cfRule type="cellIs" dxfId="846" priority="1649" operator="equal">
      <formula>"F"</formula>
    </cfRule>
    <cfRule type="cellIs" dxfId="845" priority="1650" operator="equal">
      <formula>"F"</formula>
    </cfRule>
  </conditionalFormatting>
  <conditionalFormatting sqref="P31">
    <cfRule type="cellIs" dxfId="844" priority="1606" operator="equal">
      <formula>"U/P"</formula>
    </cfRule>
    <cfRule type="cellIs" dxfId="843" priority="1607" operator="equal">
      <formula>"F"</formula>
    </cfRule>
    <cfRule type="cellIs" dxfId="842" priority="1608" operator="equal">
      <formula>"F"</formula>
    </cfRule>
  </conditionalFormatting>
  <conditionalFormatting sqref="P39">
    <cfRule type="cellIs" dxfId="841" priority="1566" operator="equal">
      <formula>"F"</formula>
    </cfRule>
    <cfRule type="cellIs" dxfId="840" priority="1565" operator="equal">
      <formula>"F"</formula>
    </cfRule>
    <cfRule type="cellIs" dxfId="839" priority="1564" operator="equal">
      <formula>"U/P"</formula>
    </cfRule>
  </conditionalFormatting>
  <conditionalFormatting sqref="P47">
    <cfRule type="cellIs" dxfId="838" priority="1522" operator="equal">
      <formula>"U/P"</formula>
    </cfRule>
    <cfRule type="cellIs" dxfId="837" priority="1524" operator="equal">
      <formula>"F"</formula>
    </cfRule>
    <cfRule type="cellIs" dxfId="836" priority="1523" operator="equal">
      <formula>"F"</formula>
    </cfRule>
  </conditionalFormatting>
  <conditionalFormatting sqref="P55">
    <cfRule type="cellIs" dxfId="835" priority="1480" operator="equal">
      <formula>"U/P"</formula>
    </cfRule>
    <cfRule type="cellIs" dxfId="834" priority="1482" operator="equal">
      <formula>"F"</formula>
    </cfRule>
    <cfRule type="cellIs" dxfId="833" priority="1481" operator="equal">
      <formula>"F"</formula>
    </cfRule>
  </conditionalFormatting>
  <conditionalFormatting sqref="P63">
    <cfRule type="cellIs" dxfId="832" priority="1440" operator="equal">
      <formula>"F"</formula>
    </cfRule>
    <cfRule type="cellIs" dxfId="831" priority="1439" operator="equal">
      <formula>"F"</formula>
    </cfRule>
    <cfRule type="cellIs" dxfId="830" priority="1438" operator="equal">
      <formula>"U/P"</formula>
    </cfRule>
  </conditionalFormatting>
  <conditionalFormatting sqref="P71">
    <cfRule type="cellIs" dxfId="829" priority="1398" operator="equal">
      <formula>"F"</formula>
    </cfRule>
    <cfRule type="cellIs" dxfId="828" priority="1397" operator="equal">
      <formula>"F"</formula>
    </cfRule>
    <cfRule type="cellIs" dxfId="827" priority="1396" operator="equal">
      <formula>"U/P"</formula>
    </cfRule>
  </conditionalFormatting>
  <conditionalFormatting sqref="P79">
    <cfRule type="cellIs" dxfId="826" priority="1355" operator="equal">
      <formula>"F"</formula>
    </cfRule>
    <cfRule type="cellIs" dxfId="825" priority="1354" operator="equal">
      <formula>"U/P"</formula>
    </cfRule>
    <cfRule type="cellIs" dxfId="824" priority="1356" operator="equal">
      <formula>"F"</formula>
    </cfRule>
  </conditionalFormatting>
  <conditionalFormatting sqref="P87">
    <cfRule type="cellIs" dxfId="823" priority="1314" operator="equal">
      <formula>"F"</formula>
    </cfRule>
    <cfRule type="cellIs" dxfId="822" priority="1312" operator="equal">
      <formula>"U/P"</formula>
    </cfRule>
    <cfRule type="cellIs" dxfId="821" priority="1313" operator="equal">
      <formula>"F"</formula>
    </cfRule>
  </conditionalFormatting>
  <conditionalFormatting sqref="P95">
    <cfRule type="cellIs" dxfId="820" priority="1272" operator="equal">
      <formula>"F"</formula>
    </cfRule>
    <cfRule type="cellIs" dxfId="819" priority="1271" operator="equal">
      <formula>"F"</formula>
    </cfRule>
    <cfRule type="cellIs" dxfId="818" priority="1270" operator="equal">
      <formula>"U/P"</formula>
    </cfRule>
  </conditionalFormatting>
  <conditionalFormatting sqref="P103">
    <cfRule type="cellIs" dxfId="817" priority="1233" operator="equal">
      <formula>"F"</formula>
    </cfRule>
    <cfRule type="cellIs" dxfId="816" priority="1231" operator="equal">
      <formula>"U/P"</formula>
    </cfRule>
    <cfRule type="cellIs" dxfId="815" priority="1232" operator="equal">
      <formula>"F"</formula>
    </cfRule>
  </conditionalFormatting>
  <conditionalFormatting sqref="P111">
    <cfRule type="cellIs" dxfId="814" priority="1187" operator="equal">
      <formula>"F"</formula>
    </cfRule>
    <cfRule type="cellIs" dxfId="813" priority="1186" operator="equal">
      <formula>"U/P"</formula>
    </cfRule>
    <cfRule type="cellIs" dxfId="812" priority="1188" operator="equal">
      <formula>"F"</formula>
    </cfRule>
  </conditionalFormatting>
  <conditionalFormatting sqref="P119">
    <cfRule type="cellIs" dxfId="811" priority="1150" operator="equal">
      <formula>"U/P"</formula>
    </cfRule>
    <cfRule type="cellIs" dxfId="810" priority="1151" operator="equal">
      <formula>"F"</formula>
    </cfRule>
    <cfRule type="cellIs" dxfId="809" priority="1152" operator="equal">
      <formula>"F"</formula>
    </cfRule>
  </conditionalFormatting>
  <conditionalFormatting sqref="P127">
    <cfRule type="cellIs" dxfId="808" priority="221" operator="equal">
      <formula>"U/P"</formula>
    </cfRule>
    <cfRule type="cellIs" dxfId="807" priority="222" operator="equal">
      <formula>"F"</formula>
    </cfRule>
    <cfRule type="cellIs" dxfId="806" priority="223" operator="equal">
      <formula>"F"</formula>
    </cfRule>
  </conditionalFormatting>
  <conditionalFormatting sqref="P135">
    <cfRule type="cellIs" dxfId="805" priority="1765" operator="equal">
      <formula>"U/P"</formula>
    </cfRule>
    <cfRule type="cellIs" dxfId="804" priority="1766" operator="equal">
      <formula>"F"</formula>
    </cfRule>
    <cfRule type="cellIs" dxfId="803" priority="1767" operator="equal">
      <formula>"F"</formula>
    </cfRule>
  </conditionalFormatting>
  <conditionalFormatting sqref="P143">
    <cfRule type="cellIs" dxfId="802" priority="1061" operator="equal">
      <formula>"F"</formula>
    </cfRule>
    <cfRule type="cellIs" dxfId="801" priority="1060" operator="equal">
      <formula>"U/P"</formula>
    </cfRule>
    <cfRule type="cellIs" dxfId="800" priority="1062" operator="equal">
      <formula>"F"</formula>
    </cfRule>
  </conditionalFormatting>
  <conditionalFormatting sqref="P151">
    <cfRule type="cellIs" dxfId="799" priority="1026" operator="equal">
      <formula>"F"</formula>
    </cfRule>
    <cfRule type="cellIs" dxfId="798" priority="1025" operator="equal">
      <formula>"F"</formula>
    </cfRule>
    <cfRule type="cellIs" dxfId="797" priority="1024" operator="equal">
      <formula>"U/P"</formula>
    </cfRule>
  </conditionalFormatting>
  <conditionalFormatting sqref="P159">
    <cfRule type="cellIs" dxfId="796" priority="988" operator="equal">
      <formula>"U/P"</formula>
    </cfRule>
    <cfRule type="cellIs" dxfId="795" priority="989" operator="equal">
      <formula>"F"</formula>
    </cfRule>
    <cfRule type="cellIs" dxfId="794" priority="990" operator="equal">
      <formula>"F"</formula>
    </cfRule>
  </conditionalFormatting>
  <conditionalFormatting sqref="P167">
    <cfRule type="cellIs" dxfId="793" priority="947" operator="equal">
      <formula>"F"</formula>
    </cfRule>
    <cfRule type="cellIs" dxfId="792" priority="946" operator="equal">
      <formula>"U/P"</formula>
    </cfRule>
    <cfRule type="cellIs" dxfId="791" priority="948" operator="equal">
      <formula>"F"</formula>
    </cfRule>
  </conditionalFormatting>
  <conditionalFormatting sqref="P175">
    <cfRule type="cellIs" dxfId="790" priority="906" operator="equal">
      <formula>"F"</formula>
    </cfRule>
    <cfRule type="cellIs" dxfId="789" priority="904" operator="equal">
      <formula>"U/P"</formula>
    </cfRule>
    <cfRule type="cellIs" dxfId="788" priority="905" operator="equal">
      <formula>"F"</formula>
    </cfRule>
  </conditionalFormatting>
  <conditionalFormatting sqref="P183">
    <cfRule type="cellIs" dxfId="787" priority="195" operator="equal">
      <formula>"F"</formula>
    </cfRule>
    <cfRule type="cellIs" dxfId="786" priority="196" operator="equal">
      <formula>"F"</formula>
    </cfRule>
    <cfRule type="cellIs" dxfId="785" priority="194" operator="equal">
      <formula>"U/P"</formula>
    </cfRule>
  </conditionalFormatting>
  <conditionalFormatting sqref="P191">
    <cfRule type="cellIs" dxfId="784" priority="838" operator="equal">
      <formula>"U/P"</formula>
    </cfRule>
    <cfRule type="cellIs" dxfId="783" priority="840" operator="equal">
      <formula>"F"</formula>
    </cfRule>
    <cfRule type="cellIs" dxfId="782" priority="839" operator="equal">
      <formula>"F"</formula>
    </cfRule>
  </conditionalFormatting>
  <conditionalFormatting sqref="P199">
    <cfRule type="cellIs" dxfId="781" priority="811" operator="equal">
      <formula>"U/P"</formula>
    </cfRule>
    <cfRule type="cellIs" dxfId="780" priority="813" operator="equal">
      <formula>"F"</formula>
    </cfRule>
    <cfRule type="cellIs" dxfId="779" priority="812" operator="equal">
      <formula>"F"</formula>
    </cfRule>
  </conditionalFormatting>
  <conditionalFormatting sqref="P207">
    <cfRule type="cellIs" dxfId="778" priority="790" operator="equal">
      <formula>"U/P"</formula>
    </cfRule>
    <cfRule type="cellIs" dxfId="777" priority="792" operator="equal">
      <formula>"F"</formula>
    </cfRule>
    <cfRule type="cellIs" dxfId="776" priority="791" operator="equal">
      <formula>"F"</formula>
    </cfRule>
  </conditionalFormatting>
  <conditionalFormatting sqref="P215">
    <cfRule type="cellIs" dxfId="775" priority="186" operator="equal">
      <formula>"F"</formula>
    </cfRule>
    <cfRule type="cellIs" dxfId="774" priority="187" operator="equal">
      <formula>"F"</formula>
    </cfRule>
    <cfRule type="cellIs" dxfId="773" priority="185" operator="equal">
      <formula>"U/P"</formula>
    </cfRule>
  </conditionalFormatting>
  <conditionalFormatting sqref="P223">
    <cfRule type="cellIs" dxfId="772" priority="745" operator="equal">
      <formula>"U/P"</formula>
    </cfRule>
    <cfRule type="cellIs" dxfId="771" priority="746" operator="equal">
      <formula>"F"</formula>
    </cfRule>
    <cfRule type="cellIs" dxfId="770" priority="747" operator="equal">
      <formula>"F"</formula>
    </cfRule>
  </conditionalFormatting>
  <conditionalFormatting sqref="P231">
    <cfRule type="cellIs" dxfId="769" priority="687" operator="equal">
      <formula>"F"</formula>
    </cfRule>
    <cfRule type="cellIs" dxfId="768" priority="686" operator="equal">
      <formula>"F"</formula>
    </cfRule>
    <cfRule type="cellIs" dxfId="767" priority="685" operator="equal">
      <formula>"U/P"</formula>
    </cfRule>
  </conditionalFormatting>
  <conditionalFormatting sqref="P239">
    <cfRule type="cellIs" dxfId="766" priority="644" operator="equal">
      <formula>"F"</formula>
    </cfRule>
    <cfRule type="cellIs" dxfId="765" priority="645" operator="equal">
      <formula>"F"</formula>
    </cfRule>
    <cfRule type="cellIs" dxfId="764" priority="643" operator="equal">
      <formula>"U/P"</formula>
    </cfRule>
  </conditionalFormatting>
  <conditionalFormatting sqref="P247">
    <cfRule type="cellIs" dxfId="763" priority="603" operator="equal">
      <formula>"F"</formula>
    </cfRule>
    <cfRule type="cellIs" dxfId="762" priority="602" operator="equal">
      <formula>"F"</formula>
    </cfRule>
    <cfRule type="cellIs" dxfId="761" priority="601" operator="equal">
      <formula>"U/P"</formula>
    </cfRule>
  </conditionalFormatting>
  <conditionalFormatting sqref="P255">
    <cfRule type="cellIs" dxfId="760" priority="559" operator="equal">
      <formula>"U/P"</formula>
    </cfRule>
    <cfRule type="cellIs" dxfId="759" priority="560" operator="equal">
      <formula>"F"</formula>
    </cfRule>
    <cfRule type="cellIs" dxfId="758" priority="561" operator="equal">
      <formula>"F"</formula>
    </cfRule>
  </conditionalFormatting>
  <conditionalFormatting sqref="P263">
    <cfRule type="cellIs" dxfId="757" priority="159" operator="equal">
      <formula>"F"</formula>
    </cfRule>
    <cfRule type="cellIs" dxfId="756" priority="157" operator="equal">
      <formula>"U/P"</formula>
    </cfRule>
    <cfRule type="cellIs" dxfId="755" priority="158" operator="equal">
      <formula>"F"</formula>
    </cfRule>
  </conditionalFormatting>
  <conditionalFormatting sqref="P271">
    <cfRule type="cellIs" dxfId="754" priority="477" operator="equal">
      <formula>"F"</formula>
    </cfRule>
    <cfRule type="cellIs" dxfId="753" priority="476" operator="equal">
      <formula>"F"</formula>
    </cfRule>
    <cfRule type="cellIs" dxfId="752" priority="475" operator="equal">
      <formula>"U/P"</formula>
    </cfRule>
  </conditionalFormatting>
  <conditionalFormatting sqref="P279">
    <cfRule type="cellIs" dxfId="751" priority="433" operator="equal">
      <formula>"U/P"</formula>
    </cfRule>
    <cfRule type="cellIs" dxfId="750" priority="434" operator="equal">
      <formula>"F"</formula>
    </cfRule>
    <cfRule type="cellIs" dxfId="749" priority="435" operator="equal">
      <formula>"F"</formula>
    </cfRule>
  </conditionalFormatting>
  <conditionalFormatting sqref="P287">
    <cfRule type="cellIs" dxfId="748" priority="39" operator="equal">
      <formula>"F"</formula>
    </cfRule>
    <cfRule type="cellIs" dxfId="747" priority="38" operator="equal">
      <formula>"F"</formula>
    </cfRule>
    <cfRule type="cellIs" dxfId="746" priority="37" operator="equal">
      <formula>"U/P"</formula>
    </cfRule>
  </conditionalFormatting>
  <conditionalFormatting sqref="P295">
    <cfRule type="cellIs" dxfId="745" priority="97" operator="equal">
      <formula>"U/P"</formula>
    </cfRule>
    <cfRule type="cellIs" dxfId="744" priority="99" operator="equal">
      <formula>"F"</formula>
    </cfRule>
    <cfRule type="cellIs" dxfId="743" priority="98" operator="equal">
      <formula>"F"</formula>
    </cfRule>
  </conditionalFormatting>
  <conditionalFormatting sqref="P303">
    <cfRule type="cellIs" dxfId="742" priority="309" operator="equal">
      <formula>"F"</formula>
    </cfRule>
    <cfRule type="cellIs" dxfId="741" priority="308" operator="equal">
      <formula>"F"</formula>
    </cfRule>
    <cfRule type="cellIs" dxfId="740" priority="307" operator="equal">
      <formula>"U/P"</formula>
    </cfRule>
  </conditionalFormatting>
  <conditionalFormatting sqref="P310">
    <cfRule type="cellIs" dxfId="739" priority="267" operator="equal">
      <formula>"F"</formula>
    </cfRule>
    <cfRule type="cellIs" dxfId="738" priority="265" operator="equal">
      <formula>"U/P"</formula>
    </cfRule>
    <cfRule type="cellIs" dxfId="737" priority="266" operator="equal">
      <formula>"F"</formula>
    </cfRule>
  </conditionalFormatting>
  <conditionalFormatting sqref="R23">
    <cfRule type="cellIs" dxfId="736" priority="1646" operator="equal">
      <formula>"F"</formula>
    </cfRule>
    <cfRule type="cellIs" dxfId="735" priority="1647" operator="equal">
      <formula>"F"</formula>
    </cfRule>
    <cfRule type="cellIs" dxfId="734" priority="1645" operator="equal">
      <formula>"U/P"</formula>
    </cfRule>
  </conditionalFormatting>
  <conditionalFormatting sqref="R31">
    <cfRule type="cellIs" dxfId="733" priority="1605" operator="equal">
      <formula>"F"</formula>
    </cfRule>
    <cfRule type="cellIs" dxfId="732" priority="1603" operator="equal">
      <formula>"U/P"</formula>
    </cfRule>
    <cfRule type="cellIs" dxfId="731" priority="1604" operator="equal">
      <formula>"F"</formula>
    </cfRule>
  </conditionalFormatting>
  <conditionalFormatting sqref="R39">
    <cfRule type="cellIs" dxfId="730" priority="1562" operator="equal">
      <formula>"F"</formula>
    </cfRule>
    <cfRule type="cellIs" dxfId="729" priority="1563" operator="equal">
      <formula>"F"</formula>
    </cfRule>
    <cfRule type="cellIs" dxfId="728" priority="1561" operator="equal">
      <formula>"U/P"</formula>
    </cfRule>
  </conditionalFormatting>
  <conditionalFormatting sqref="R47">
    <cfRule type="cellIs" dxfId="727" priority="1521" operator="equal">
      <formula>"F"</formula>
    </cfRule>
    <cfRule type="cellIs" dxfId="726" priority="1520" operator="equal">
      <formula>"F"</formula>
    </cfRule>
    <cfRule type="cellIs" dxfId="725" priority="1519" operator="equal">
      <formula>"U/P"</formula>
    </cfRule>
  </conditionalFormatting>
  <conditionalFormatting sqref="R55">
    <cfRule type="cellIs" dxfId="724" priority="1478" operator="equal">
      <formula>"F"</formula>
    </cfRule>
    <cfRule type="cellIs" dxfId="723" priority="1477" operator="equal">
      <formula>"U/P"</formula>
    </cfRule>
    <cfRule type="cellIs" dxfId="722" priority="1479" operator="equal">
      <formula>"F"</formula>
    </cfRule>
  </conditionalFormatting>
  <conditionalFormatting sqref="R63">
    <cfRule type="cellIs" dxfId="721" priority="1437" operator="equal">
      <formula>"F"</formula>
    </cfRule>
    <cfRule type="cellIs" dxfId="720" priority="1436" operator="equal">
      <formula>"F"</formula>
    </cfRule>
    <cfRule type="cellIs" dxfId="719" priority="1435" operator="equal">
      <formula>"U/P"</formula>
    </cfRule>
  </conditionalFormatting>
  <conditionalFormatting sqref="R71">
    <cfRule type="cellIs" dxfId="718" priority="1393" operator="equal">
      <formula>"U/P"</formula>
    </cfRule>
    <cfRule type="cellIs" dxfId="717" priority="1395" operator="equal">
      <formula>"F"</formula>
    </cfRule>
    <cfRule type="cellIs" dxfId="716" priority="1394" operator="equal">
      <formula>"F"</formula>
    </cfRule>
  </conditionalFormatting>
  <conditionalFormatting sqref="R79">
    <cfRule type="cellIs" dxfId="715" priority="1351" operator="equal">
      <formula>"U/P"</formula>
    </cfRule>
    <cfRule type="cellIs" dxfId="714" priority="1352" operator="equal">
      <formula>"F"</formula>
    </cfRule>
    <cfRule type="cellIs" dxfId="713" priority="1353" operator="equal">
      <formula>"F"</formula>
    </cfRule>
  </conditionalFormatting>
  <conditionalFormatting sqref="R87">
    <cfRule type="cellIs" dxfId="712" priority="1310" operator="equal">
      <formula>"F"</formula>
    </cfRule>
    <cfRule type="cellIs" dxfId="711" priority="1311" operator="equal">
      <formula>"F"</formula>
    </cfRule>
    <cfRule type="cellIs" dxfId="710" priority="1309" operator="equal">
      <formula>"U/P"</formula>
    </cfRule>
  </conditionalFormatting>
  <conditionalFormatting sqref="R95">
    <cfRule type="cellIs" dxfId="709" priority="1269" operator="equal">
      <formula>"F"</formula>
    </cfRule>
    <cfRule type="cellIs" dxfId="708" priority="1267" operator="equal">
      <formula>"U/P"</formula>
    </cfRule>
    <cfRule type="cellIs" dxfId="707" priority="1268" operator="equal">
      <formula>"F"</formula>
    </cfRule>
  </conditionalFormatting>
  <conditionalFormatting sqref="R103">
    <cfRule type="cellIs" dxfId="706" priority="1228" operator="equal">
      <formula>"U/P"</formula>
    </cfRule>
    <cfRule type="cellIs" dxfId="705" priority="1229" operator="equal">
      <formula>"F"</formula>
    </cfRule>
    <cfRule type="cellIs" dxfId="704" priority="1230" operator="equal">
      <formula>"F"</formula>
    </cfRule>
  </conditionalFormatting>
  <conditionalFormatting sqref="R111">
    <cfRule type="cellIs" dxfId="703" priority="1183" operator="equal">
      <formula>"U/P"</formula>
    </cfRule>
    <cfRule type="cellIs" dxfId="702" priority="1184" operator="equal">
      <formula>"F"</formula>
    </cfRule>
    <cfRule type="cellIs" dxfId="701" priority="1185" operator="equal">
      <formula>"F"</formula>
    </cfRule>
  </conditionalFormatting>
  <conditionalFormatting sqref="R119">
    <cfRule type="cellIs" dxfId="700" priority="1147" operator="equal">
      <formula>"U/P"</formula>
    </cfRule>
    <cfRule type="cellIs" dxfId="699" priority="1148" operator="equal">
      <formula>"F"</formula>
    </cfRule>
    <cfRule type="cellIs" dxfId="698" priority="1149" operator="equal">
      <formula>"F"</formula>
    </cfRule>
  </conditionalFormatting>
  <conditionalFormatting sqref="R127">
    <cfRule type="cellIs" dxfId="697" priority="202" operator="equal">
      <formula>"F"</formula>
    </cfRule>
    <cfRule type="cellIs" dxfId="696" priority="201" operator="equal">
      <formula>"F"</formula>
    </cfRule>
    <cfRule type="cellIs" dxfId="695" priority="200" operator="equal">
      <formula>"U/P"</formula>
    </cfRule>
  </conditionalFormatting>
  <conditionalFormatting sqref="R135">
    <cfRule type="cellIs" dxfId="694" priority="1082" operator="equal">
      <formula>"F"</formula>
    </cfRule>
    <cfRule type="cellIs" dxfId="693" priority="1083" operator="equal">
      <formula>"F"</formula>
    </cfRule>
    <cfRule type="cellIs" dxfId="692" priority="1081" operator="equal">
      <formula>"U/P"</formula>
    </cfRule>
  </conditionalFormatting>
  <conditionalFormatting sqref="R143">
    <cfRule type="cellIs" dxfId="691" priority="1058" operator="equal">
      <formula>"F"</formula>
    </cfRule>
    <cfRule type="cellIs" dxfId="690" priority="1057" operator="equal">
      <formula>"U/P"</formula>
    </cfRule>
    <cfRule type="cellIs" dxfId="689" priority="1059" operator="equal">
      <formula>"F"</formula>
    </cfRule>
  </conditionalFormatting>
  <conditionalFormatting sqref="R151">
    <cfRule type="cellIs" dxfId="688" priority="1021" operator="equal">
      <formula>"U/P"</formula>
    </cfRule>
    <cfRule type="cellIs" dxfId="687" priority="1023" operator="equal">
      <formula>"F"</formula>
    </cfRule>
    <cfRule type="cellIs" dxfId="686" priority="1022" operator="equal">
      <formula>"F"</formula>
    </cfRule>
  </conditionalFormatting>
  <conditionalFormatting sqref="R159">
    <cfRule type="cellIs" dxfId="685" priority="987" operator="equal">
      <formula>"F"</formula>
    </cfRule>
    <cfRule type="cellIs" dxfId="684" priority="986" operator="equal">
      <formula>"F"</formula>
    </cfRule>
    <cfRule type="cellIs" dxfId="683" priority="985" operator="equal">
      <formula>"U/P"</formula>
    </cfRule>
  </conditionalFormatting>
  <conditionalFormatting sqref="R167">
    <cfRule type="cellIs" dxfId="682" priority="49" operator="equal">
      <formula>"U/P"</formula>
    </cfRule>
    <cfRule type="cellIs" dxfId="681" priority="50" operator="equal">
      <formula>"F"</formula>
    </cfRule>
    <cfRule type="cellIs" dxfId="680" priority="51" operator="equal">
      <formula>"F"</formula>
    </cfRule>
  </conditionalFormatting>
  <conditionalFormatting sqref="R175">
    <cfRule type="cellIs" dxfId="679" priority="902" operator="equal">
      <formula>"F"</formula>
    </cfRule>
    <cfRule type="cellIs" dxfId="678" priority="901" operator="equal">
      <formula>"U/P"</formula>
    </cfRule>
    <cfRule type="cellIs" dxfId="677" priority="903" operator="equal">
      <formula>"F"</formula>
    </cfRule>
  </conditionalFormatting>
  <conditionalFormatting sqref="R183">
    <cfRule type="cellIs" dxfId="676" priority="173" operator="equal">
      <formula>"U/P"</formula>
    </cfRule>
    <cfRule type="cellIs" dxfId="675" priority="174" operator="equal">
      <formula>"F"</formula>
    </cfRule>
    <cfRule type="cellIs" dxfId="674" priority="175" operator="equal">
      <formula>"F"</formula>
    </cfRule>
  </conditionalFormatting>
  <conditionalFormatting sqref="R191">
    <cfRule type="cellIs" dxfId="673" priority="1722" operator="equal">
      <formula>"F"</formula>
    </cfRule>
    <cfRule type="cellIs" dxfId="672" priority="1720" operator="equal">
      <formula>"U/P"</formula>
    </cfRule>
    <cfRule type="cellIs" dxfId="671" priority="1721" operator="equal">
      <formula>"F"</formula>
    </cfRule>
  </conditionalFormatting>
  <conditionalFormatting sqref="R199">
    <cfRule type="cellIs" dxfId="670" priority="1707" operator="equal">
      <formula>"F"</formula>
    </cfRule>
    <cfRule type="cellIs" dxfId="669" priority="1705" operator="equal">
      <formula>"U/P"</formula>
    </cfRule>
    <cfRule type="cellIs" dxfId="668" priority="1706" operator="equal">
      <formula>"F"</formula>
    </cfRule>
  </conditionalFormatting>
  <conditionalFormatting sqref="R207">
    <cfRule type="cellIs" dxfId="667" priority="788" operator="equal">
      <formula>"F"</formula>
    </cfRule>
    <cfRule type="cellIs" dxfId="666" priority="787" operator="equal">
      <formula>"U/P"</formula>
    </cfRule>
    <cfRule type="cellIs" dxfId="665" priority="789" operator="equal">
      <formula>"F"</formula>
    </cfRule>
  </conditionalFormatting>
  <conditionalFormatting sqref="R215">
    <cfRule type="cellIs" dxfId="664" priority="718" operator="equal">
      <formula>"U/P"</formula>
    </cfRule>
    <cfRule type="cellIs" dxfId="663" priority="719" operator="equal">
      <formula>"F"</formula>
    </cfRule>
    <cfRule type="cellIs" dxfId="662" priority="720" operator="equal">
      <formula>"F"</formula>
    </cfRule>
  </conditionalFormatting>
  <conditionalFormatting sqref="R223">
    <cfRule type="cellIs" dxfId="661" priority="702" operator="equal">
      <formula>"F"</formula>
    </cfRule>
    <cfRule type="cellIs" dxfId="660" priority="701" operator="equal">
      <formula>"F"</formula>
    </cfRule>
    <cfRule type="cellIs" dxfId="659" priority="700" operator="equal">
      <formula>"U/P"</formula>
    </cfRule>
  </conditionalFormatting>
  <conditionalFormatting sqref="R231">
    <cfRule type="cellIs" dxfId="658" priority="659" operator="equal">
      <formula>"F"</formula>
    </cfRule>
    <cfRule type="cellIs" dxfId="657" priority="660" operator="equal">
      <formula>"F"</formula>
    </cfRule>
    <cfRule type="cellIs" dxfId="656" priority="658" operator="equal">
      <formula>"U/P"</formula>
    </cfRule>
  </conditionalFormatting>
  <conditionalFormatting sqref="R239">
    <cfRule type="cellIs" dxfId="655" priority="616" operator="equal">
      <formula>"U/P"</formula>
    </cfRule>
    <cfRule type="cellIs" dxfId="654" priority="617" operator="equal">
      <formula>"F"</formula>
    </cfRule>
    <cfRule type="cellIs" dxfId="653" priority="618" operator="equal">
      <formula>"F"</formula>
    </cfRule>
  </conditionalFormatting>
  <conditionalFormatting sqref="R247">
    <cfRule type="cellIs" dxfId="652" priority="576" operator="equal">
      <formula>"F"</formula>
    </cfRule>
    <cfRule type="cellIs" dxfId="651" priority="575" operator="equal">
      <formula>"F"</formula>
    </cfRule>
    <cfRule type="cellIs" dxfId="650" priority="574" operator="equal">
      <formula>"U/P"</formula>
    </cfRule>
  </conditionalFormatting>
  <conditionalFormatting sqref="R255">
    <cfRule type="cellIs" dxfId="649" priority="533" operator="equal">
      <formula>"F"</formula>
    </cfRule>
    <cfRule type="cellIs" dxfId="648" priority="534" operator="equal">
      <formula>"F"</formula>
    </cfRule>
    <cfRule type="cellIs" dxfId="647" priority="532" operator="equal">
      <formula>"U/P"</formula>
    </cfRule>
  </conditionalFormatting>
  <conditionalFormatting sqref="R263">
    <cfRule type="cellIs" dxfId="646" priority="126" operator="equal">
      <formula>"F"</formula>
    </cfRule>
    <cfRule type="cellIs" dxfId="645" priority="124" operator="equal">
      <formula>"U/P"</formula>
    </cfRule>
    <cfRule type="cellIs" dxfId="644" priority="125" operator="equal">
      <formula>"F"</formula>
    </cfRule>
  </conditionalFormatting>
  <conditionalFormatting sqref="R271">
    <cfRule type="cellIs" dxfId="643" priority="448" operator="equal">
      <formula>"U/P"</formula>
    </cfRule>
    <cfRule type="cellIs" dxfId="642" priority="449" operator="equal">
      <formula>"F"</formula>
    </cfRule>
    <cfRule type="cellIs" dxfId="641" priority="450" operator="equal">
      <formula>"F"</formula>
    </cfRule>
  </conditionalFormatting>
  <conditionalFormatting sqref="R279">
    <cfRule type="cellIs" dxfId="640" priority="406" operator="equal">
      <formula>"U/P"</formula>
    </cfRule>
    <cfRule type="cellIs" dxfId="639" priority="407" operator="equal">
      <formula>"F"</formula>
    </cfRule>
    <cfRule type="cellIs" dxfId="638" priority="408" operator="equal">
      <formula>"F"</formula>
    </cfRule>
  </conditionalFormatting>
  <conditionalFormatting sqref="R287">
    <cfRule type="cellIs" dxfId="637" priority="44" operator="equal">
      <formula>"F"</formula>
    </cfRule>
    <cfRule type="cellIs" dxfId="636" priority="45" operator="equal">
      <formula>"F"</formula>
    </cfRule>
    <cfRule type="cellIs" dxfId="635" priority="43" operator="equal">
      <formula>"U/P"</formula>
    </cfRule>
  </conditionalFormatting>
  <conditionalFormatting sqref="R295">
    <cfRule type="cellIs" dxfId="634" priority="77" operator="equal">
      <formula>"F"</formula>
    </cfRule>
    <cfRule type="cellIs" dxfId="633" priority="78" operator="equal">
      <formula>"F"</formula>
    </cfRule>
    <cfRule type="cellIs" dxfId="632" priority="76" operator="equal">
      <formula>"U/P"</formula>
    </cfRule>
  </conditionalFormatting>
  <conditionalFormatting sqref="R303">
    <cfRule type="cellIs" dxfId="631" priority="281" operator="equal">
      <formula>"F"</formula>
    </cfRule>
    <cfRule type="cellIs" dxfId="630" priority="282" operator="equal">
      <formula>"F"</formula>
    </cfRule>
    <cfRule type="cellIs" dxfId="629" priority="280" operator="equal">
      <formula>"U/P"</formula>
    </cfRule>
  </conditionalFormatting>
  <conditionalFormatting sqref="R310">
    <cfRule type="cellIs" dxfId="628" priority="245" operator="equal">
      <formula>"F"</formula>
    </cfRule>
    <cfRule type="cellIs" dxfId="627" priority="244" operator="equal">
      <formula>"U/P"</formula>
    </cfRule>
    <cfRule type="cellIs" dxfId="626" priority="246" operator="equal">
      <formula>"F"</formula>
    </cfRule>
  </conditionalFormatting>
  <conditionalFormatting sqref="T23">
    <cfRule type="cellIs" dxfId="625" priority="1642" operator="equal">
      <formula>"U/P"</formula>
    </cfRule>
    <cfRule type="cellIs" dxfId="624" priority="1644" operator="equal">
      <formula>"F"</formula>
    </cfRule>
    <cfRule type="cellIs" dxfId="623" priority="1643" operator="equal">
      <formula>"F"</formula>
    </cfRule>
  </conditionalFormatting>
  <conditionalFormatting sqref="T31">
    <cfRule type="cellIs" dxfId="622" priority="1602" operator="equal">
      <formula>"F"</formula>
    </cfRule>
    <cfRule type="cellIs" dxfId="621" priority="1601" operator="equal">
      <formula>"F"</formula>
    </cfRule>
    <cfRule type="cellIs" dxfId="620" priority="1600" operator="equal">
      <formula>"U/P"</formula>
    </cfRule>
  </conditionalFormatting>
  <conditionalFormatting sqref="T39">
    <cfRule type="cellIs" dxfId="619" priority="1558" operator="equal">
      <formula>"U/P"</formula>
    </cfRule>
    <cfRule type="cellIs" dxfId="618" priority="1559" operator="equal">
      <formula>"F"</formula>
    </cfRule>
    <cfRule type="cellIs" dxfId="617" priority="1560" operator="equal">
      <formula>"F"</formula>
    </cfRule>
  </conditionalFormatting>
  <conditionalFormatting sqref="T47">
    <cfRule type="cellIs" dxfId="616" priority="1517" operator="equal">
      <formula>"F"</formula>
    </cfRule>
    <cfRule type="cellIs" dxfId="615" priority="1516" operator="equal">
      <formula>"U/P"</formula>
    </cfRule>
    <cfRule type="cellIs" dxfId="614" priority="1518" operator="equal">
      <formula>"F"</formula>
    </cfRule>
  </conditionalFormatting>
  <conditionalFormatting sqref="T55">
    <cfRule type="cellIs" dxfId="613" priority="1475" operator="equal">
      <formula>"F"</formula>
    </cfRule>
    <cfRule type="cellIs" dxfId="612" priority="1476" operator="equal">
      <formula>"F"</formula>
    </cfRule>
    <cfRule type="cellIs" dxfId="611" priority="1474" operator="equal">
      <formula>"U/P"</formula>
    </cfRule>
  </conditionalFormatting>
  <conditionalFormatting sqref="T63">
    <cfRule type="cellIs" dxfId="610" priority="1432" operator="equal">
      <formula>"U/P"</formula>
    </cfRule>
    <cfRule type="cellIs" dxfId="609" priority="1434" operator="equal">
      <formula>"F"</formula>
    </cfRule>
    <cfRule type="cellIs" dxfId="608" priority="1433" operator="equal">
      <formula>"F"</formula>
    </cfRule>
  </conditionalFormatting>
  <conditionalFormatting sqref="T71">
    <cfRule type="cellIs" dxfId="607" priority="1391" operator="equal">
      <formula>"F"</formula>
    </cfRule>
    <cfRule type="cellIs" dxfId="606" priority="1392" operator="equal">
      <formula>"F"</formula>
    </cfRule>
    <cfRule type="cellIs" dxfId="605" priority="1390" operator="equal">
      <formula>"U/P"</formula>
    </cfRule>
  </conditionalFormatting>
  <conditionalFormatting sqref="T79">
    <cfRule type="cellIs" dxfId="604" priority="1350" operator="equal">
      <formula>"F"</formula>
    </cfRule>
    <cfRule type="cellIs" dxfId="603" priority="1349" operator="equal">
      <formula>"F"</formula>
    </cfRule>
    <cfRule type="cellIs" dxfId="602" priority="1348" operator="equal">
      <formula>"U/P"</formula>
    </cfRule>
  </conditionalFormatting>
  <conditionalFormatting sqref="T87">
    <cfRule type="cellIs" dxfId="601" priority="1308" operator="equal">
      <formula>"F"</formula>
    </cfRule>
    <cfRule type="cellIs" dxfId="600" priority="1306" operator="equal">
      <formula>"U/P"</formula>
    </cfRule>
    <cfRule type="cellIs" dxfId="599" priority="1307" operator="equal">
      <formula>"F"</formula>
    </cfRule>
  </conditionalFormatting>
  <conditionalFormatting sqref="T95">
    <cfRule type="cellIs" dxfId="598" priority="1264" operator="equal">
      <formula>"U/P"</formula>
    </cfRule>
    <cfRule type="cellIs" dxfId="597" priority="1265" operator="equal">
      <formula>"F"</formula>
    </cfRule>
    <cfRule type="cellIs" dxfId="596" priority="1266" operator="equal">
      <formula>"F"</formula>
    </cfRule>
  </conditionalFormatting>
  <conditionalFormatting sqref="T103">
    <cfRule type="cellIs" dxfId="595" priority="1227" operator="equal">
      <formula>"F"</formula>
    </cfRule>
    <cfRule type="cellIs" dxfId="594" priority="1226" operator="equal">
      <formula>"F"</formula>
    </cfRule>
    <cfRule type="cellIs" dxfId="593" priority="1225" operator="equal">
      <formula>"U/P"</formula>
    </cfRule>
  </conditionalFormatting>
  <conditionalFormatting sqref="T111">
    <cfRule type="cellIs" dxfId="592" priority="1181" operator="equal">
      <formula>"F"</formula>
    </cfRule>
    <cfRule type="cellIs" dxfId="591" priority="1182" operator="equal">
      <formula>"F"</formula>
    </cfRule>
    <cfRule type="cellIs" dxfId="590" priority="1180" operator="equal">
      <formula>"U/P"</formula>
    </cfRule>
  </conditionalFormatting>
  <conditionalFormatting sqref="T119">
    <cfRule type="cellIs" dxfId="589" priority="1145" operator="equal">
      <formula>"F"</formula>
    </cfRule>
    <cfRule type="cellIs" dxfId="588" priority="1146" operator="equal">
      <formula>"F"</formula>
    </cfRule>
    <cfRule type="cellIs" dxfId="587" priority="1144" operator="equal">
      <formula>"U/P"</formula>
    </cfRule>
  </conditionalFormatting>
  <conditionalFormatting sqref="T127">
    <cfRule type="cellIs" dxfId="586" priority="1108" operator="equal">
      <formula>"U/P"</formula>
    </cfRule>
    <cfRule type="cellIs" dxfId="585" priority="1109" operator="equal">
      <formula>"F"</formula>
    </cfRule>
    <cfRule type="cellIs" dxfId="584" priority="1110" operator="equal">
      <formula>"F"</formula>
    </cfRule>
  </conditionalFormatting>
  <conditionalFormatting sqref="T135">
    <cfRule type="cellIs" dxfId="583" priority="1079" operator="equal">
      <formula>"F"</formula>
    </cfRule>
    <cfRule type="cellIs" dxfId="582" priority="1080" operator="equal">
      <formula>"F"</formula>
    </cfRule>
    <cfRule type="cellIs" dxfId="581" priority="1078" operator="equal">
      <formula>"U/P"</formula>
    </cfRule>
  </conditionalFormatting>
  <conditionalFormatting sqref="T143">
    <cfRule type="cellIs" dxfId="580" priority="191" operator="equal">
      <formula>"U/P"</formula>
    </cfRule>
    <cfRule type="cellIs" dxfId="579" priority="192" operator="equal">
      <formula>"F"</formula>
    </cfRule>
    <cfRule type="cellIs" dxfId="578" priority="193" operator="equal">
      <formula>"F"</formula>
    </cfRule>
  </conditionalFormatting>
  <conditionalFormatting sqref="T151">
    <cfRule type="cellIs" dxfId="577" priority="1018" operator="equal">
      <formula>"U/P"</formula>
    </cfRule>
    <cfRule type="cellIs" dxfId="576" priority="1020" operator="equal">
      <formula>"F"</formula>
    </cfRule>
    <cfRule type="cellIs" dxfId="575" priority="1019" operator="equal">
      <formula>"F"</formula>
    </cfRule>
  </conditionalFormatting>
  <conditionalFormatting sqref="T159">
    <cfRule type="cellIs" dxfId="574" priority="984" operator="equal">
      <formula>"F"</formula>
    </cfRule>
    <cfRule type="cellIs" dxfId="573" priority="982" operator="equal">
      <formula>"U/P"</formula>
    </cfRule>
    <cfRule type="cellIs" dxfId="572" priority="983" operator="equal">
      <formula>"F"</formula>
    </cfRule>
  </conditionalFormatting>
  <conditionalFormatting sqref="T167">
    <cfRule type="cellIs" dxfId="571" priority="941" operator="equal">
      <formula>"F"</formula>
    </cfRule>
    <cfRule type="cellIs" dxfId="570" priority="942" operator="equal">
      <formula>"F"</formula>
    </cfRule>
    <cfRule type="cellIs" dxfId="569" priority="940" operator="equal">
      <formula>"U/P"</formula>
    </cfRule>
  </conditionalFormatting>
  <conditionalFormatting sqref="T175">
    <cfRule type="cellIs" dxfId="568" priority="899" operator="equal">
      <formula>"F"</formula>
    </cfRule>
    <cfRule type="cellIs" dxfId="567" priority="898" operator="equal">
      <formula>"U/P"</formula>
    </cfRule>
    <cfRule type="cellIs" dxfId="566" priority="900" operator="equal">
      <formula>"F"</formula>
    </cfRule>
  </conditionalFormatting>
  <conditionalFormatting sqref="T183">
    <cfRule type="cellIs" dxfId="565" priority="869" operator="equal">
      <formula>"F"</formula>
    </cfRule>
    <cfRule type="cellIs" dxfId="564" priority="868" operator="equal">
      <formula>"U/P"</formula>
    </cfRule>
    <cfRule type="cellIs" dxfId="563" priority="870" operator="equal">
      <formula>"F"</formula>
    </cfRule>
  </conditionalFormatting>
  <conditionalFormatting sqref="T191">
    <cfRule type="cellIs" dxfId="562" priority="1718" operator="equal">
      <formula>"F"</formula>
    </cfRule>
    <cfRule type="cellIs" dxfId="561" priority="1717" operator="equal">
      <formula>"U/P"</formula>
    </cfRule>
    <cfRule type="cellIs" dxfId="560" priority="1719" operator="equal">
      <formula>"F"</formula>
    </cfRule>
  </conditionalFormatting>
  <conditionalFormatting sqref="T199">
    <cfRule type="cellIs" dxfId="559" priority="210" operator="equal">
      <formula>"F"</formula>
    </cfRule>
    <cfRule type="cellIs" dxfId="558" priority="209" operator="equal">
      <formula>"U/P"</formula>
    </cfRule>
    <cfRule type="cellIs" dxfId="557" priority="211" operator="equal">
      <formula>"F"</formula>
    </cfRule>
  </conditionalFormatting>
  <conditionalFormatting sqref="T207">
    <cfRule type="cellIs" dxfId="556" priority="785" operator="equal">
      <formula>"F"</formula>
    </cfRule>
    <cfRule type="cellIs" dxfId="555" priority="786" operator="equal">
      <formula>"F"</formula>
    </cfRule>
    <cfRule type="cellIs" dxfId="554" priority="784" operator="equal">
      <formula>"U/P"</formula>
    </cfRule>
  </conditionalFormatting>
  <conditionalFormatting sqref="T215">
    <cfRule type="cellIs" dxfId="553" priority="717" operator="equal">
      <formula>"F"</formula>
    </cfRule>
    <cfRule type="cellIs" dxfId="552" priority="716" operator="equal">
      <formula>"F"</formula>
    </cfRule>
    <cfRule type="cellIs" dxfId="551" priority="715" operator="equal">
      <formula>"U/P"</formula>
    </cfRule>
  </conditionalFormatting>
  <conditionalFormatting sqref="T223">
    <cfRule type="cellIs" dxfId="550" priority="697" operator="equal">
      <formula>"U/P"</formula>
    </cfRule>
    <cfRule type="cellIs" dxfId="549" priority="699" operator="equal">
      <formula>"F"</formula>
    </cfRule>
    <cfRule type="cellIs" dxfId="548" priority="698" operator="equal">
      <formula>"F"</formula>
    </cfRule>
  </conditionalFormatting>
  <conditionalFormatting sqref="T231">
    <cfRule type="cellIs" dxfId="547" priority="656" operator="equal">
      <formula>"F"</formula>
    </cfRule>
    <cfRule type="cellIs" dxfId="546" priority="657" operator="equal">
      <formula>"F"</formula>
    </cfRule>
    <cfRule type="cellIs" dxfId="545" priority="655" operator="equal">
      <formula>"U/P"</formula>
    </cfRule>
  </conditionalFormatting>
  <conditionalFormatting sqref="T239">
    <cfRule type="cellIs" dxfId="544" priority="614" operator="equal">
      <formula>"F"</formula>
    </cfRule>
    <cfRule type="cellIs" dxfId="543" priority="613" operator="equal">
      <formula>"U/P"</formula>
    </cfRule>
    <cfRule type="cellIs" dxfId="542" priority="615" operator="equal">
      <formula>"F"</formula>
    </cfRule>
  </conditionalFormatting>
  <conditionalFormatting sqref="T247">
    <cfRule type="cellIs" dxfId="541" priority="572" operator="equal">
      <formula>"F"</formula>
    </cfRule>
    <cfRule type="cellIs" dxfId="540" priority="573" operator="equal">
      <formula>"F"</formula>
    </cfRule>
    <cfRule type="cellIs" dxfId="539" priority="571" operator="equal">
      <formula>"U/P"</formula>
    </cfRule>
  </conditionalFormatting>
  <conditionalFormatting sqref="T255">
    <cfRule type="cellIs" dxfId="538" priority="530" operator="equal">
      <formula>"F"</formula>
    </cfRule>
    <cfRule type="cellIs" dxfId="537" priority="529" operator="equal">
      <formula>"U/P"</formula>
    </cfRule>
    <cfRule type="cellIs" dxfId="536" priority="531" operator="equal">
      <formula>"F"</formula>
    </cfRule>
  </conditionalFormatting>
  <conditionalFormatting sqref="T263">
    <cfRule type="cellIs" dxfId="535" priority="135" operator="equal">
      <formula>"F"</formula>
    </cfRule>
    <cfRule type="cellIs" dxfId="534" priority="133" operator="equal">
      <formula>"U/P"</formula>
    </cfRule>
    <cfRule type="cellIs" dxfId="533" priority="134" operator="equal">
      <formula>"F"</formula>
    </cfRule>
  </conditionalFormatting>
  <conditionalFormatting sqref="T271">
    <cfRule type="cellIs" dxfId="532" priority="446" operator="equal">
      <formula>"F"</formula>
    </cfRule>
    <cfRule type="cellIs" dxfId="531" priority="445" operator="equal">
      <formula>"U/P"</formula>
    </cfRule>
    <cfRule type="cellIs" dxfId="530" priority="447" operator="equal">
      <formula>"F"</formula>
    </cfRule>
  </conditionalFormatting>
  <conditionalFormatting sqref="T279">
    <cfRule type="cellIs" dxfId="529" priority="405" operator="equal">
      <formula>"F"</formula>
    </cfRule>
    <cfRule type="cellIs" dxfId="528" priority="404" operator="equal">
      <formula>"F"</formula>
    </cfRule>
    <cfRule type="cellIs" dxfId="527" priority="403" operator="equal">
      <formula>"U/P"</formula>
    </cfRule>
  </conditionalFormatting>
  <conditionalFormatting sqref="T287">
    <cfRule type="cellIs" dxfId="526" priority="361" operator="equal">
      <formula>"U/P"</formula>
    </cfRule>
    <cfRule type="cellIs" dxfId="525" priority="363" operator="equal">
      <formula>"F"</formula>
    </cfRule>
    <cfRule type="cellIs" dxfId="524" priority="362" operator="equal">
      <formula>"F"</formula>
    </cfRule>
  </conditionalFormatting>
  <conditionalFormatting sqref="T295">
    <cfRule type="cellIs" dxfId="523" priority="75" operator="equal">
      <formula>"F"</formula>
    </cfRule>
    <cfRule type="cellIs" dxfId="522" priority="74" operator="equal">
      <formula>"F"</formula>
    </cfRule>
    <cfRule type="cellIs" dxfId="521" priority="73" operator="equal">
      <formula>"U/P"</formula>
    </cfRule>
  </conditionalFormatting>
  <conditionalFormatting sqref="T303">
    <cfRule type="cellIs" dxfId="520" priority="277" operator="equal">
      <formula>"U/P"</formula>
    </cfRule>
    <cfRule type="cellIs" dxfId="519" priority="279" operator="equal">
      <formula>"F"</formula>
    </cfRule>
    <cfRule type="cellIs" dxfId="518" priority="278" operator="equal">
      <formula>"F"</formula>
    </cfRule>
  </conditionalFormatting>
  <conditionalFormatting sqref="T310">
    <cfRule type="cellIs" dxfId="517" priority="243" operator="equal">
      <formula>"F"</formula>
    </cfRule>
    <cfRule type="cellIs" dxfId="516" priority="242" operator="equal">
      <formula>"F"</formula>
    </cfRule>
    <cfRule type="cellIs" dxfId="515" priority="241" operator="equal">
      <formula>"U/P"</formula>
    </cfRule>
  </conditionalFormatting>
  <conditionalFormatting sqref="V23">
    <cfRule type="cellIs" dxfId="514" priority="1641" operator="equal">
      <formula>"F"</formula>
    </cfRule>
    <cfRule type="cellIs" dxfId="513" priority="1639" operator="equal">
      <formula>"U/P"</formula>
    </cfRule>
    <cfRule type="cellIs" dxfId="512" priority="1640" operator="equal">
      <formula>"F"</formula>
    </cfRule>
  </conditionalFormatting>
  <conditionalFormatting sqref="V31">
    <cfRule type="cellIs" dxfId="511" priority="1597" operator="equal">
      <formula>"U/P"</formula>
    </cfRule>
    <cfRule type="cellIs" dxfId="510" priority="1598" operator="equal">
      <formula>"F"</formula>
    </cfRule>
    <cfRule type="cellIs" dxfId="509" priority="1599" operator="equal">
      <formula>"F"</formula>
    </cfRule>
  </conditionalFormatting>
  <conditionalFormatting sqref="V39">
    <cfRule type="cellIs" dxfId="508" priority="1557" operator="equal">
      <formula>"F"</formula>
    </cfRule>
    <cfRule type="cellIs" dxfId="507" priority="1556" operator="equal">
      <formula>"F"</formula>
    </cfRule>
    <cfRule type="cellIs" dxfId="506" priority="1555" operator="equal">
      <formula>"U/P"</formula>
    </cfRule>
  </conditionalFormatting>
  <conditionalFormatting sqref="V47">
    <cfRule type="cellIs" dxfId="505" priority="1514" operator="equal">
      <formula>"F"</formula>
    </cfRule>
    <cfRule type="cellIs" dxfId="504" priority="1515" operator="equal">
      <formula>"F"</formula>
    </cfRule>
    <cfRule type="cellIs" dxfId="503" priority="1513" operator="equal">
      <formula>"U/P"</formula>
    </cfRule>
  </conditionalFormatting>
  <conditionalFormatting sqref="V55">
    <cfRule type="cellIs" dxfId="502" priority="1471" operator="equal">
      <formula>"U/P"</formula>
    </cfRule>
    <cfRule type="cellIs" dxfId="501" priority="1473" operator="equal">
      <formula>"F"</formula>
    </cfRule>
    <cfRule type="cellIs" dxfId="500" priority="1472" operator="equal">
      <formula>"F"</formula>
    </cfRule>
  </conditionalFormatting>
  <conditionalFormatting sqref="V63">
    <cfRule type="cellIs" dxfId="499" priority="1431" operator="equal">
      <formula>"F"</formula>
    </cfRule>
    <cfRule type="cellIs" dxfId="498" priority="1430" operator="equal">
      <formula>"F"</formula>
    </cfRule>
    <cfRule type="cellIs" dxfId="497" priority="1429" operator="equal">
      <formula>"U/P"</formula>
    </cfRule>
  </conditionalFormatting>
  <conditionalFormatting sqref="V71">
    <cfRule type="cellIs" dxfId="496" priority="1387" operator="equal">
      <formula>"U/P"</formula>
    </cfRule>
    <cfRule type="cellIs" dxfId="495" priority="1388" operator="equal">
      <formula>"F"</formula>
    </cfRule>
    <cfRule type="cellIs" dxfId="494" priority="1389" operator="equal">
      <formula>"F"</formula>
    </cfRule>
  </conditionalFormatting>
  <conditionalFormatting sqref="V79">
    <cfRule type="cellIs" dxfId="493" priority="1345" operator="equal">
      <formula>"U/P"</formula>
    </cfRule>
    <cfRule type="cellIs" dxfId="492" priority="1346" operator="equal">
      <formula>"F"</formula>
    </cfRule>
    <cfRule type="cellIs" dxfId="491" priority="1347" operator="equal">
      <formula>"F"</formula>
    </cfRule>
  </conditionalFormatting>
  <conditionalFormatting sqref="V87">
    <cfRule type="cellIs" dxfId="490" priority="1303" operator="equal">
      <formula>"U/P"</formula>
    </cfRule>
    <cfRule type="cellIs" dxfId="489" priority="1304" operator="equal">
      <formula>"F"</formula>
    </cfRule>
    <cfRule type="cellIs" dxfId="488" priority="1305" operator="equal">
      <formula>"F"</formula>
    </cfRule>
  </conditionalFormatting>
  <conditionalFormatting sqref="V95">
    <cfRule type="cellIs" dxfId="487" priority="1261" operator="equal">
      <formula>"U/P"</formula>
    </cfRule>
    <cfRule type="cellIs" dxfId="486" priority="1263" operator="equal">
      <formula>"F"</formula>
    </cfRule>
    <cfRule type="cellIs" dxfId="485" priority="1262" operator="equal">
      <formula>"F"</formula>
    </cfRule>
  </conditionalFormatting>
  <conditionalFormatting sqref="V103">
    <cfRule type="cellIs" dxfId="484" priority="1224" operator="equal">
      <formula>"F"</formula>
    </cfRule>
    <cfRule type="cellIs" dxfId="483" priority="1222" operator="equal">
      <formula>"U/P"</formula>
    </cfRule>
    <cfRule type="cellIs" dxfId="482" priority="1223" operator="equal">
      <formula>"F"</formula>
    </cfRule>
  </conditionalFormatting>
  <conditionalFormatting sqref="V111">
    <cfRule type="cellIs" dxfId="481" priority="1793" operator="equal">
      <formula>"F"</formula>
    </cfRule>
    <cfRule type="cellIs" dxfId="480" priority="1792" operator="equal">
      <formula>"F"</formula>
    </cfRule>
    <cfRule type="cellIs" dxfId="479" priority="1791" operator="equal">
      <formula>"U/P"</formula>
    </cfRule>
  </conditionalFormatting>
  <conditionalFormatting sqref="V119">
    <cfRule type="cellIs" dxfId="478" priority="1141" operator="equal">
      <formula>"U/P"</formula>
    </cfRule>
    <cfRule type="cellIs" dxfId="477" priority="1142" operator="equal">
      <formula>"F"</formula>
    </cfRule>
    <cfRule type="cellIs" dxfId="476" priority="1143" operator="equal">
      <formula>"F"</formula>
    </cfRule>
  </conditionalFormatting>
  <conditionalFormatting sqref="V127">
    <cfRule type="cellIs" dxfId="475" priority="1107" operator="equal">
      <formula>"F"</formula>
    </cfRule>
    <cfRule type="cellIs" dxfId="474" priority="1106" operator="equal">
      <formula>"F"</formula>
    </cfRule>
    <cfRule type="cellIs" dxfId="473" priority="1105" operator="equal">
      <formula>"U/P"</formula>
    </cfRule>
  </conditionalFormatting>
  <conditionalFormatting sqref="V135">
    <cfRule type="cellIs" dxfId="472" priority="1077" operator="equal">
      <formula>"F"</formula>
    </cfRule>
    <cfRule type="cellIs" dxfId="471" priority="1076" operator="equal">
      <formula>"F"</formula>
    </cfRule>
    <cfRule type="cellIs" dxfId="470" priority="1075" operator="equal">
      <formula>"U/P"</formula>
    </cfRule>
  </conditionalFormatting>
  <conditionalFormatting sqref="V143">
    <cfRule type="cellIs" dxfId="469" priority="64" operator="equal">
      <formula>"U/P"</formula>
    </cfRule>
    <cfRule type="cellIs" dxfId="468" priority="65" operator="equal">
      <formula>"F"</formula>
    </cfRule>
    <cfRule type="cellIs" dxfId="467" priority="66" operator="equal">
      <formula>"F"</formula>
    </cfRule>
  </conditionalFormatting>
  <conditionalFormatting sqref="V151">
    <cfRule type="cellIs" dxfId="466" priority="1017" operator="equal">
      <formula>"F"</formula>
    </cfRule>
    <cfRule type="cellIs" dxfId="465" priority="1016" operator="equal">
      <formula>"F"</formula>
    </cfRule>
    <cfRule type="cellIs" dxfId="464" priority="1015" operator="equal">
      <formula>"U/P"</formula>
    </cfRule>
  </conditionalFormatting>
  <conditionalFormatting sqref="V159">
    <cfRule type="cellIs" dxfId="463" priority="229" operator="equal">
      <formula>"F"</formula>
    </cfRule>
    <cfRule type="cellIs" dxfId="462" priority="228" operator="equal">
      <formula>"F"</formula>
    </cfRule>
    <cfRule type="cellIs" dxfId="461" priority="227" operator="equal">
      <formula>"U/P"</formula>
    </cfRule>
  </conditionalFormatting>
  <conditionalFormatting sqref="V167">
    <cfRule type="cellIs" dxfId="460" priority="939" operator="equal">
      <formula>"F"</formula>
    </cfRule>
    <cfRule type="cellIs" dxfId="459" priority="938" operator="equal">
      <formula>"F"</formula>
    </cfRule>
    <cfRule type="cellIs" dxfId="458" priority="937" operator="equal">
      <formula>"U/P"</formula>
    </cfRule>
  </conditionalFormatting>
  <conditionalFormatting sqref="V175">
    <cfRule type="cellIs" dxfId="457" priority="34" operator="equal">
      <formula>"U/P"</formula>
    </cfRule>
    <cfRule type="cellIs" dxfId="456" priority="35" operator="equal">
      <formula>"F"</formula>
    </cfRule>
    <cfRule type="cellIs" dxfId="455" priority="36" operator="equal">
      <formula>"F"</formula>
    </cfRule>
  </conditionalFormatting>
  <conditionalFormatting sqref="V183">
    <cfRule type="cellIs" dxfId="454" priority="30" operator="equal">
      <formula>"F"</formula>
    </cfRule>
    <cfRule type="cellIs" dxfId="453" priority="28" operator="equal">
      <formula>"U/P"</formula>
    </cfRule>
    <cfRule type="cellIs" dxfId="452" priority="29" operator="equal">
      <formula>"F"</formula>
    </cfRule>
  </conditionalFormatting>
  <conditionalFormatting sqref="V191">
    <cfRule type="cellIs" dxfId="451" priority="836" operator="equal">
      <formula>"F"</formula>
    </cfRule>
    <cfRule type="cellIs" dxfId="450" priority="835" operator="equal">
      <formula>"U/P"</formula>
    </cfRule>
    <cfRule type="cellIs" dxfId="449" priority="837" operator="equal">
      <formula>"F"</formula>
    </cfRule>
  </conditionalFormatting>
  <conditionalFormatting sqref="V199">
    <cfRule type="cellIs" dxfId="448" priority="8" operator="equal">
      <formula>"F"</formula>
    </cfRule>
    <cfRule type="cellIs" dxfId="447" priority="9" operator="equal">
      <formula>"F"</formula>
    </cfRule>
    <cfRule type="cellIs" dxfId="446" priority="7" operator="equal">
      <formula>"U/P"</formula>
    </cfRule>
  </conditionalFormatting>
  <conditionalFormatting sqref="V207">
    <cfRule type="cellIs" dxfId="445" priority="782" operator="equal">
      <formula>"F"</formula>
    </cfRule>
    <cfRule type="cellIs" dxfId="444" priority="783" operator="equal">
      <formula>"F"</formula>
    </cfRule>
    <cfRule type="cellIs" dxfId="443" priority="781" operator="equal">
      <formula>"U/P"</formula>
    </cfRule>
  </conditionalFormatting>
  <conditionalFormatting sqref="V215">
    <cfRule type="cellIs" dxfId="442" priority="713" operator="equal">
      <formula>"F"</formula>
    </cfRule>
    <cfRule type="cellIs" dxfId="441" priority="714" operator="equal">
      <formula>"F"</formula>
    </cfRule>
    <cfRule type="cellIs" dxfId="440" priority="712" operator="equal">
      <formula>"U/P"</formula>
    </cfRule>
  </conditionalFormatting>
  <conditionalFormatting sqref="V223">
    <cfRule type="cellIs" dxfId="439" priority="694" operator="equal">
      <formula>"U/P"</formula>
    </cfRule>
    <cfRule type="cellIs" dxfId="438" priority="695" operator="equal">
      <formula>"F"</formula>
    </cfRule>
    <cfRule type="cellIs" dxfId="437" priority="696" operator="equal">
      <formula>"F"</formula>
    </cfRule>
  </conditionalFormatting>
  <conditionalFormatting sqref="V231">
    <cfRule type="cellIs" dxfId="436" priority="654" operator="equal">
      <formula>"F"</formula>
    </cfRule>
    <cfRule type="cellIs" dxfId="435" priority="652" operator="equal">
      <formula>"U/P"</formula>
    </cfRule>
    <cfRule type="cellIs" dxfId="434" priority="653" operator="equal">
      <formula>"F"</formula>
    </cfRule>
  </conditionalFormatting>
  <conditionalFormatting sqref="V239">
    <cfRule type="cellIs" dxfId="433" priority="611" operator="equal">
      <formula>"F"</formula>
    </cfRule>
    <cfRule type="cellIs" dxfId="432" priority="612" operator="equal">
      <formula>"F"</formula>
    </cfRule>
    <cfRule type="cellIs" dxfId="431" priority="610" operator="equal">
      <formula>"U/P"</formula>
    </cfRule>
  </conditionalFormatting>
  <conditionalFormatting sqref="V247">
    <cfRule type="cellIs" dxfId="430" priority="569" operator="equal">
      <formula>"F"</formula>
    </cfRule>
    <cfRule type="cellIs" dxfId="429" priority="570" operator="equal">
      <formula>"F"</formula>
    </cfRule>
    <cfRule type="cellIs" dxfId="428" priority="568" operator="equal">
      <formula>"U/P"</formula>
    </cfRule>
  </conditionalFormatting>
  <conditionalFormatting sqref="V255">
    <cfRule type="cellIs" dxfId="427" priority="528" operator="equal">
      <formula>"F"</formula>
    </cfRule>
    <cfRule type="cellIs" dxfId="426" priority="526" operator="equal">
      <formula>"U/P"</formula>
    </cfRule>
    <cfRule type="cellIs" dxfId="425" priority="527" operator="equal">
      <formula>"F"</formula>
    </cfRule>
  </conditionalFormatting>
  <conditionalFormatting sqref="V263">
    <cfRule type="cellIs" dxfId="424" priority="131" operator="equal">
      <formula>"F"</formula>
    </cfRule>
    <cfRule type="cellIs" dxfId="423" priority="132" operator="equal">
      <formula>"F"</formula>
    </cfRule>
    <cfRule type="cellIs" dxfId="422" priority="130" operator="equal">
      <formula>"U/P"</formula>
    </cfRule>
  </conditionalFormatting>
  <conditionalFormatting sqref="V271">
    <cfRule type="cellIs" dxfId="421" priority="442" operator="equal">
      <formula>"U/P"</formula>
    </cfRule>
    <cfRule type="cellIs" dxfId="420" priority="443" operator="equal">
      <formula>"F"</formula>
    </cfRule>
    <cfRule type="cellIs" dxfId="419" priority="444" operator="equal">
      <formula>"F"</formula>
    </cfRule>
  </conditionalFormatting>
  <conditionalFormatting sqref="V279">
    <cfRule type="cellIs" dxfId="418" priority="400" operator="equal">
      <formula>"U/P"</formula>
    </cfRule>
    <cfRule type="cellIs" dxfId="417" priority="401" operator="equal">
      <formula>"F"</formula>
    </cfRule>
    <cfRule type="cellIs" dxfId="416" priority="402" operator="equal">
      <formula>"F"</formula>
    </cfRule>
  </conditionalFormatting>
  <conditionalFormatting sqref="V287">
    <cfRule type="cellIs" dxfId="415" priority="11" operator="equal">
      <formula>"F"</formula>
    </cfRule>
    <cfRule type="cellIs" dxfId="414" priority="10" operator="equal">
      <formula>"U/P"</formula>
    </cfRule>
    <cfRule type="cellIs" dxfId="413" priority="12" operator="equal">
      <formula>"F"</formula>
    </cfRule>
  </conditionalFormatting>
  <conditionalFormatting sqref="V295">
    <cfRule type="cellIs" dxfId="412" priority="71" operator="equal">
      <formula>"F"</formula>
    </cfRule>
    <cfRule type="cellIs" dxfId="411" priority="72" operator="equal">
      <formula>"F"</formula>
    </cfRule>
    <cfRule type="cellIs" dxfId="410" priority="70" operator="equal">
      <formula>"U/P"</formula>
    </cfRule>
  </conditionalFormatting>
  <conditionalFormatting sqref="V303">
    <cfRule type="cellIs" dxfId="409" priority="276" operator="equal">
      <formula>"F"</formula>
    </cfRule>
    <cfRule type="cellIs" dxfId="408" priority="275" operator="equal">
      <formula>"F"</formula>
    </cfRule>
    <cfRule type="cellIs" dxfId="407" priority="274" operator="equal">
      <formula>"U/P"</formula>
    </cfRule>
  </conditionalFormatting>
  <conditionalFormatting sqref="V310">
    <cfRule type="cellIs" dxfId="406" priority="239" operator="equal">
      <formula>"F"</formula>
    </cfRule>
    <cfRule type="cellIs" dxfId="405" priority="240" operator="equal">
      <formula>"F"</formula>
    </cfRule>
    <cfRule type="cellIs" dxfId="404" priority="238" operator="equal">
      <formula>"U/P"</formula>
    </cfRule>
  </conditionalFormatting>
  <conditionalFormatting sqref="X23">
    <cfRule type="cellIs" dxfId="403" priority="1637" operator="equal">
      <formula>"F"</formula>
    </cfRule>
    <cfRule type="cellIs" dxfId="402" priority="1636" operator="equal">
      <formula>"U/P"</formula>
    </cfRule>
    <cfRule type="cellIs" dxfId="401" priority="1638" operator="equal">
      <formula>"F"</formula>
    </cfRule>
  </conditionalFormatting>
  <conditionalFormatting sqref="X31">
    <cfRule type="cellIs" dxfId="400" priority="1596" operator="equal">
      <formula>"F"</formula>
    </cfRule>
    <cfRule type="cellIs" dxfId="399" priority="1594" operator="equal">
      <formula>"U/P"</formula>
    </cfRule>
    <cfRule type="cellIs" dxfId="398" priority="1595" operator="equal">
      <formula>"F"</formula>
    </cfRule>
  </conditionalFormatting>
  <conditionalFormatting sqref="X39">
    <cfRule type="cellIs" dxfId="397" priority="1554" operator="equal">
      <formula>"F"</formula>
    </cfRule>
    <cfRule type="cellIs" dxfId="396" priority="1553" operator="equal">
      <formula>"F"</formula>
    </cfRule>
    <cfRule type="cellIs" dxfId="395" priority="1552" operator="equal">
      <formula>"U/P"</formula>
    </cfRule>
  </conditionalFormatting>
  <conditionalFormatting sqref="X47">
    <cfRule type="cellIs" dxfId="394" priority="1510" operator="equal">
      <formula>"U/P"</formula>
    </cfRule>
    <cfRule type="cellIs" dxfId="393" priority="1512" operator="equal">
      <formula>"F"</formula>
    </cfRule>
    <cfRule type="cellIs" dxfId="392" priority="1511" operator="equal">
      <formula>"F"</formula>
    </cfRule>
  </conditionalFormatting>
  <conditionalFormatting sqref="X55">
    <cfRule type="cellIs" dxfId="391" priority="1470" operator="equal">
      <formula>"F"</formula>
    </cfRule>
    <cfRule type="cellIs" dxfId="390" priority="1468" operator="equal">
      <formula>"U/P"</formula>
    </cfRule>
    <cfRule type="cellIs" dxfId="389" priority="1469" operator="equal">
      <formula>"F"</formula>
    </cfRule>
  </conditionalFormatting>
  <conditionalFormatting sqref="X63">
    <cfRule type="cellIs" dxfId="388" priority="1428" operator="equal">
      <formula>"F"</formula>
    </cfRule>
    <cfRule type="cellIs" dxfId="387" priority="1426" operator="equal">
      <formula>"U/P"</formula>
    </cfRule>
    <cfRule type="cellIs" dxfId="386" priority="1427" operator="equal">
      <formula>"F"</formula>
    </cfRule>
  </conditionalFormatting>
  <conditionalFormatting sqref="X71">
    <cfRule type="cellIs" dxfId="385" priority="1386" operator="equal">
      <formula>"F"</formula>
    </cfRule>
    <cfRule type="cellIs" dxfId="384" priority="1385" operator="equal">
      <formula>"F"</formula>
    </cfRule>
    <cfRule type="cellIs" dxfId="383" priority="1384" operator="equal">
      <formula>"U/P"</formula>
    </cfRule>
  </conditionalFormatting>
  <conditionalFormatting sqref="X79">
    <cfRule type="cellIs" dxfId="382" priority="1344" operator="equal">
      <formula>"F"</formula>
    </cfRule>
    <cfRule type="cellIs" dxfId="381" priority="1343" operator="equal">
      <formula>"F"</formula>
    </cfRule>
    <cfRule type="cellIs" dxfId="380" priority="1342" operator="equal">
      <formula>"U/P"</formula>
    </cfRule>
  </conditionalFormatting>
  <conditionalFormatting sqref="X87">
    <cfRule type="cellIs" dxfId="379" priority="1301" operator="equal">
      <formula>"F"</formula>
    </cfRule>
    <cfRule type="cellIs" dxfId="378" priority="1300" operator="equal">
      <formula>"U/P"</formula>
    </cfRule>
    <cfRule type="cellIs" dxfId="377" priority="1302" operator="equal">
      <formula>"F"</formula>
    </cfRule>
  </conditionalFormatting>
  <conditionalFormatting sqref="X95">
    <cfRule type="cellIs" dxfId="376" priority="1260" operator="equal">
      <formula>"F"</formula>
    </cfRule>
    <cfRule type="cellIs" dxfId="375" priority="1258" operator="equal">
      <formula>"U/P"</formula>
    </cfRule>
    <cfRule type="cellIs" dxfId="374" priority="1259" operator="equal">
      <formula>"F"</formula>
    </cfRule>
  </conditionalFormatting>
  <conditionalFormatting sqref="X103">
    <cfRule type="cellIs" dxfId="373" priority="1219" operator="equal">
      <formula>"U/P"</formula>
    </cfRule>
    <cfRule type="cellIs" dxfId="372" priority="1220" operator="equal">
      <formula>"F"</formula>
    </cfRule>
    <cfRule type="cellIs" dxfId="371" priority="1221" operator="equal">
      <formula>"F"</formula>
    </cfRule>
  </conditionalFormatting>
  <conditionalFormatting sqref="X111">
    <cfRule type="cellIs" dxfId="370" priority="1788" operator="equal">
      <formula>"U/P"</formula>
    </cfRule>
    <cfRule type="cellIs" dxfId="369" priority="1789" operator="equal">
      <formula>"F"</formula>
    </cfRule>
    <cfRule type="cellIs" dxfId="368" priority="1790" operator="equal">
      <formula>"F"</formula>
    </cfRule>
  </conditionalFormatting>
  <conditionalFormatting sqref="X119">
    <cfRule type="cellIs" dxfId="367" priority="1140" operator="equal">
      <formula>"F"</formula>
    </cfRule>
    <cfRule type="cellIs" dxfId="366" priority="1139" operator="equal">
      <formula>"F"</formula>
    </cfRule>
    <cfRule type="cellIs" dxfId="365" priority="1138" operator="equal">
      <formula>"U/P"</formula>
    </cfRule>
  </conditionalFormatting>
  <conditionalFormatting sqref="X127">
    <cfRule type="cellIs" dxfId="364" priority="1102" operator="equal">
      <formula>"U/P"</formula>
    </cfRule>
    <cfRule type="cellIs" dxfId="363" priority="1103" operator="equal">
      <formula>"F"</formula>
    </cfRule>
    <cfRule type="cellIs" dxfId="362" priority="1104" operator="equal">
      <formula>"F"</formula>
    </cfRule>
  </conditionalFormatting>
  <conditionalFormatting sqref="X135">
    <cfRule type="cellIs" dxfId="361" priority="1072" operator="equal">
      <formula>"U/P"</formula>
    </cfRule>
    <cfRule type="cellIs" dxfId="360" priority="1073" operator="equal">
      <formula>"F"</formula>
    </cfRule>
    <cfRule type="cellIs" dxfId="359" priority="1074" operator="equal">
      <formula>"F"</formula>
    </cfRule>
  </conditionalFormatting>
  <conditionalFormatting sqref="X143">
    <cfRule type="cellIs" dxfId="358" priority="1049" operator="equal">
      <formula>"F"</formula>
    </cfRule>
    <cfRule type="cellIs" dxfId="357" priority="1050" operator="equal">
      <formula>"F"</formula>
    </cfRule>
    <cfRule type="cellIs" dxfId="356" priority="1048" operator="equal">
      <formula>"U/P"</formula>
    </cfRule>
  </conditionalFormatting>
  <conditionalFormatting sqref="X151">
    <cfRule type="cellIs" dxfId="355" priority="1013" operator="equal">
      <formula>"F"</formula>
    </cfRule>
    <cfRule type="cellIs" dxfId="354" priority="1014" operator="equal">
      <formula>"F"</formula>
    </cfRule>
    <cfRule type="cellIs" dxfId="353" priority="1012" operator="equal">
      <formula>"U/P"</formula>
    </cfRule>
  </conditionalFormatting>
  <conditionalFormatting sqref="X159">
    <cfRule type="cellIs" dxfId="352" priority="977" operator="equal">
      <formula>"F"</formula>
    </cfRule>
    <cfRule type="cellIs" dxfId="351" priority="978" operator="equal">
      <formula>"F"</formula>
    </cfRule>
    <cfRule type="cellIs" dxfId="350" priority="976" operator="equal">
      <formula>"U/P"</formula>
    </cfRule>
  </conditionalFormatting>
  <conditionalFormatting sqref="X167">
    <cfRule type="cellIs" dxfId="349" priority="935" operator="equal">
      <formula>"F"</formula>
    </cfRule>
    <cfRule type="cellIs" dxfId="348" priority="936" operator="equal">
      <formula>"F"</formula>
    </cfRule>
    <cfRule type="cellIs" dxfId="347" priority="934" operator="equal">
      <formula>"U/P"</formula>
    </cfRule>
  </conditionalFormatting>
  <conditionalFormatting sqref="X175">
    <cfRule type="cellIs" dxfId="346" priority="893" operator="equal">
      <formula>"F"</formula>
    </cfRule>
    <cfRule type="cellIs" dxfId="345" priority="894" operator="equal">
      <formula>"F"</formula>
    </cfRule>
    <cfRule type="cellIs" dxfId="344" priority="892" operator="equal">
      <formula>"U/P"</formula>
    </cfRule>
  </conditionalFormatting>
  <conditionalFormatting sqref="X183">
    <cfRule type="cellIs" dxfId="343" priority="42" operator="equal">
      <formula>"F"</formula>
    </cfRule>
    <cfRule type="cellIs" dxfId="342" priority="41" operator="equal">
      <formula>"F"</formula>
    </cfRule>
    <cfRule type="cellIs" dxfId="341" priority="40" operator="equal">
      <formula>"U/P"</formula>
    </cfRule>
  </conditionalFormatting>
  <conditionalFormatting sqref="X191">
    <cfRule type="cellIs" dxfId="340" priority="833" operator="equal">
      <formula>"F"</formula>
    </cfRule>
    <cfRule type="cellIs" dxfId="339" priority="834" operator="equal">
      <formula>"F"</formula>
    </cfRule>
    <cfRule type="cellIs" dxfId="338" priority="832" operator="equal">
      <formula>"U/P"</formula>
    </cfRule>
  </conditionalFormatting>
  <conditionalFormatting sqref="X199">
    <cfRule type="cellIs" dxfId="337" priority="805" operator="equal">
      <formula>"U/P"</formula>
    </cfRule>
    <cfRule type="cellIs" dxfId="336" priority="806" operator="equal">
      <formula>"F"</formula>
    </cfRule>
    <cfRule type="cellIs" dxfId="335" priority="807" operator="equal">
      <formula>"F"</formula>
    </cfRule>
  </conditionalFormatting>
  <conditionalFormatting sqref="X207">
    <cfRule type="cellIs" dxfId="334" priority="1684" operator="equal">
      <formula>"U/P"</formula>
    </cfRule>
    <cfRule type="cellIs" dxfId="333" priority="1685" operator="equal">
      <formula>"F"</formula>
    </cfRule>
    <cfRule type="cellIs" dxfId="332" priority="1686" operator="equal">
      <formula>"F"</formula>
    </cfRule>
  </conditionalFormatting>
  <conditionalFormatting sqref="X215">
    <cfRule type="cellIs" dxfId="331" priority="728" operator="equal">
      <formula>"F"</formula>
    </cfRule>
    <cfRule type="cellIs" dxfId="330" priority="729" operator="equal">
      <formula>"F"</formula>
    </cfRule>
    <cfRule type="cellIs" dxfId="329" priority="727" operator="equal">
      <formula>"U/P"</formula>
    </cfRule>
  </conditionalFormatting>
  <conditionalFormatting sqref="X223">
    <cfRule type="cellIs" dxfId="328" priority="711" operator="equal">
      <formula>"F"</formula>
    </cfRule>
    <cfRule type="cellIs" dxfId="327" priority="710" operator="equal">
      <formula>"F"</formula>
    </cfRule>
    <cfRule type="cellIs" dxfId="326" priority="709" operator="equal">
      <formula>"U/P"</formula>
    </cfRule>
  </conditionalFormatting>
  <conditionalFormatting sqref="X231">
    <cfRule type="cellIs" dxfId="325" priority="667" operator="equal">
      <formula>"U/P"</formula>
    </cfRule>
    <cfRule type="cellIs" dxfId="324" priority="668" operator="equal">
      <formula>"F"</formula>
    </cfRule>
    <cfRule type="cellIs" dxfId="323" priority="669" operator="equal">
      <formula>"F"</formula>
    </cfRule>
  </conditionalFormatting>
  <conditionalFormatting sqref="X239">
    <cfRule type="cellIs" dxfId="322" priority="627" operator="equal">
      <formula>"F"</formula>
    </cfRule>
    <cfRule type="cellIs" dxfId="321" priority="626" operator="equal">
      <formula>"F"</formula>
    </cfRule>
    <cfRule type="cellIs" dxfId="320" priority="625" operator="equal">
      <formula>"U/P"</formula>
    </cfRule>
  </conditionalFormatting>
  <conditionalFormatting sqref="X247">
    <cfRule type="cellIs" dxfId="319" priority="583" operator="equal">
      <formula>"U/P"</formula>
    </cfRule>
    <cfRule type="cellIs" dxfId="318" priority="585" operator="equal">
      <formula>"F"</formula>
    </cfRule>
    <cfRule type="cellIs" dxfId="317" priority="584" operator="equal">
      <formula>"F"</formula>
    </cfRule>
  </conditionalFormatting>
  <conditionalFormatting sqref="X255">
    <cfRule type="cellIs" dxfId="316" priority="543" operator="equal">
      <formula>"F"</formula>
    </cfRule>
    <cfRule type="cellIs" dxfId="315" priority="541" operator="equal">
      <formula>"U/P"</formula>
    </cfRule>
    <cfRule type="cellIs" dxfId="314" priority="542" operator="equal">
      <formula>"F"</formula>
    </cfRule>
  </conditionalFormatting>
  <conditionalFormatting sqref="X263">
    <cfRule type="cellIs" dxfId="313" priority="129" operator="equal">
      <formula>"F"</formula>
    </cfRule>
    <cfRule type="cellIs" dxfId="312" priority="128" operator="equal">
      <formula>"F"</formula>
    </cfRule>
    <cfRule type="cellIs" dxfId="311" priority="127" operator="equal">
      <formula>"U/P"</formula>
    </cfRule>
  </conditionalFormatting>
  <conditionalFormatting sqref="X271">
    <cfRule type="cellIs" dxfId="310" priority="457" operator="equal">
      <formula>"U/P"</formula>
    </cfRule>
    <cfRule type="cellIs" dxfId="309" priority="458" operator="equal">
      <formula>"F"</formula>
    </cfRule>
    <cfRule type="cellIs" dxfId="308" priority="459" operator="equal">
      <formula>"F"</formula>
    </cfRule>
  </conditionalFormatting>
  <conditionalFormatting sqref="X279">
    <cfRule type="cellIs" dxfId="307" priority="415" operator="equal">
      <formula>"U/P"</formula>
    </cfRule>
    <cfRule type="cellIs" dxfId="306" priority="416" operator="equal">
      <formula>"F"</formula>
    </cfRule>
    <cfRule type="cellIs" dxfId="305" priority="417" operator="equal">
      <formula>"F"</formula>
    </cfRule>
  </conditionalFormatting>
  <conditionalFormatting sqref="X287">
    <cfRule type="cellIs" dxfId="304" priority="373" operator="equal">
      <formula>"U/P"</formula>
    </cfRule>
    <cfRule type="cellIs" dxfId="303" priority="375" operator="equal">
      <formula>"F"</formula>
    </cfRule>
    <cfRule type="cellIs" dxfId="302" priority="374" operator="equal">
      <formula>"F"</formula>
    </cfRule>
  </conditionalFormatting>
  <conditionalFormatting sqref="X295">
    <cfRule type="cellIs" dxfId="301" priority="81" operator="equal">
      <formula>"F"</formula>
    </cfRule>
    <cfRule type="cellIs" dxfId="300" priority="80" operator="equal">
      <formula>"F"</formula>
    </cfRule>
    <cfRule type="cellIs" dxfId="299" priority="79" operator="equal">
      <formula>"U/P"</formula>
    </cfRule>
  </conditionalFormatting>
  <conditionalFormatting sqref="X303">
    <cfRule type="cellIs" dxfId="298" priority="289" operator="equal">
      <formula>"U/P"</formula>
    </cfRule>
    <cfRule type="cellIs" dxfId="297" priority="291" operator="equal">
      <formula>"F"</formula>
    </cfRule>
    <cfRule type="cellIs" dxfId="296" priority="290" operator="equal">
      <formula>"F"</formula>
    </cfRule>
  </conditionalFormatting>
  <conditionalFormatting sqref="X310">
    <cfRule type="cellIs" dxfId="295" priority="254" operator="equal">
      <formula>"F"</formula>
    </cfRule>
    <cfRule type="cellIs" dxfId="294" priority="255" operator="equal">
      <formula>"F"</formula>
    </cfRule>
    <cfRule type="cellIs" dxfId="293" priority="253" operator="equal">
      <formula>"U/P"</formula>
    </cfRule>
  </conditionalFormatting>
  <conditionalFormatting sqref="Z23">
    <cfRule type="cellIs" dxfId="292" priority="1635" operator="equal">
      <formula>"F"</formula>
    </cfRule>
    <cfRule type="cellIs" dxfId="291" priority="1633" operator="equal">
      <formula>"U/P"</formula>
    </cfRule>
    <cfRule type="cellIs" dxfId="290" priority="1634" operator="equal">
      <formula>"F"</formula>
    </cfRule>
  </conditionalFormatting>
  <conditionalFormatting sqref="Z31">
    <cfRule type="cellIs" dxfId="289" priority="1592" operator="equal">
      <formula>"F"</formula>
    </cfRule>
    <cfRule type="cellIs" dxfId="288" priority="1593" operator="equal">
      <formula>"F"</formula>
    </cfRule>
    <cfRule type="cellIs" dxfId="287" priority="1591" operator="equal">
      <formula>"U/P"</formula>
    </cfRule>
  </conditionalFormatting>
  <conditionalFormatting sqref="Z39">
    <cfRule type="cellIs" dxfId="286" priority="1551" operator="equal">
      <formula>"F"</formula>
    </cfRule>
    <cfRule type="cellIs" dxfId="285" priority="1549" operator="equal">
      <formula>"U/P"</formula>
    </cfRule>
    <cfRule type="cellIs" dxfId="284" priority="1550" operator="equal">
      <formula>"F"</formula>
    </cfRule>
  </conditionalFormatting>
  <conditionalFormatting sqref="Z47">
    <cfRule type="cellIs" dxfId="283" priority="1507" operator="equal">
      <formula>"U/P"</formula>
    </cfRule>
    <cfRule type="cellIs" dxfId="282" priority="1508" operator="equal">
      <formula>"F"</formula>
    </cfRule>
    <cfRule type="cellIs" dxfId="281" priority="1509" operator="equal">
      <formula>"F"</formula>
    </cfRule>
  </conditionalFormatting>
  <conditionalFormatting sqref="Z55">
    <cfRule type="cellIs" dxfId="280" priority="1467" operator="equal">
      <formula>"F"</formula>
    </cfRule>
    <cfRule type="cellIs" dxfId="279" priority="1466" operator="equal">
      <formula>"F"</formula>
    </cfRule>
    <cfRule type="cellIs" dxfId="278" priority="1465" operator="equal">
      <formula>"U/P"</formula>
    </cfRule>
  </conditionalFormatting>
  <conditionalFormatting sqref="Z63">
    <cfRule type="cellIs" dxfId="277" priority="1425" operator="equal">
      <formula>"F"</formula>
    </cfRule>
    <cfRule type="cellIs" dxfId="276" priority="1424" operator="equal">
      <formula>"F"</formula>
    </cfRule>
    <cfRule type="cellIs" dxfId="275" priority="1423" operator="equal">
      <formula>"U/P"</formula>
    </cfRule>
  </conditionalFormatting>
  <conditionalFormatting sqref="Z71">
    <cfRule type="cellIs" dxfId="274" priority="1381" operator="equal">
      <formula>"U/P"</formula>
    </cfRule>
    <cfRule type="cellIs" dxfId="273" priority="1382" operator="equal">
      <formula>"F"</formula>
    </cfRule>
    <cfRule type="cellIs" dxfId="272" priority="1383" operator="equal">
      <formula>"F"</formula>
    </cfRule>
  </conditionalFormatting>
  <conditionalFormatting sqref="Z79">
    <cfRule type="cellIs" dxfId="271" priority="1339" operator="equal">
      <formula>"U/P"</formula>
    </cfRule>
    <cfRule type="cellIs" dxfId="270" priority="1340" operator="equal">
      <formula>"F"</formula>
    </cfRule>
    <cfRule type="cellIs" dxfId="269" priority="1341" operator="equal">
      <formula>"F"</formula>
    </cfRule>
  </conditionalFormatting>
  <conditionalFormatting sqref="Z87">
    <cfRule type="cellIs" dxfId="268" priority="1298" operator="equal">
      <formula>"F"</formula>
    </cfRule>
    <cfRule type="cellIs" dxfId="267" priority="1297" operator="equal">
      <formula>"U/P"</formula>
    </cfRule>
    <cfRule type="cellIs" dxfId="266" priority="1299" operator="equal">
      <formula>"F"</formula>
    </cfRule>
  </conditionalFormatting>
  <conditionalFormatting sqref="Z95">
    <cfRule type="cellIs" dxfId="265" priority="1257" operator="equal">
      <formula>"F"</formula>
    </cfRule>
    <cfRule type="cellIs" dxfId="264" priority="1256" operator="equal">
      <formula>"F"</formula>
    </cfRule>
    <cfRule type="cellIs" dxfId="263" priority="1255" operator="equal">
      <formula>"U/P"</formula>
    </cfRule>
  </conditionalFormatting>
  <conditionalFormatting sqref="Z103">
    <cfRule type="cellIs" dxfId="262" priority="1218" operator="equal">
      <formula>"F"</formula>
    </cfRule>
    <cfRule type="cellIs" dxfId="261" priority="1216" operator="equal">
      <formula>"U/P"</formula>
    </cfRule>
    <cfRule type="cellIs" dxfId="260" priority="1217" operator="equal">
      <formula>"F"</formula>
    </cfRule>
  </conditionalFormatting>
  <conditionalFormatting sqref="Z111">
    <cfRule type="cellIs" dxfId="259" priority="1178" operator="equal">
      <formula>"F"</formula>
    </cfRule>
    <cfRule type="cellIs" dxfId="258" priority="1179" operator="equal">
      <formula>"F"</formula>
    </cfRule>
    <cfRule type="cellIs" dxfId="257" priority="1177" operator="equal">
      <formula>"U/P"</formula>
    </cfRule>
  </conditionalFormatting>
  <conditionalFormatting sqref="Z119">
    <cfRule type="cellIs" dxfId="256" priority="1136" operator="equal">
      <formula>"F"</formula>
    </cfRule>
    <cfRule type="cellIs" dxfId="255" priority="1137" operator="equal">
      <formula>"F"</formula>
    </cfRule>
    <cfRule type="cellIs" dxfId="254" priority="1135" operator="equal">
      <formula>"U/P"</formula>
    </cfRule>
  </conditionalFormatting>
  <conditionalFormatting sqref="Z127">
    <cfRule type="cellIs" dxfId="253" priority="1099" operator="equal">
      <formula>"U/P"</formula>
    </cfRule>
    <cfRule type="cellIs" dxfId="252" priority="1101" operator="equal">
      <formula>"F"</formula>
    </cfRule>
    <cfRule type="cellIs" dxfId="251" priority="1100" operator="equal">
      <formula>"F"</formula>
    </cfRule>
  </conditionalFormatting>
  <conditionalFormatting sqref="Z135">
    <cfRule type="cellIs" dxfId="250" priority="759" operator="equal">
      <formula>"F"</formula>
    </cfRule>
    <cfRule type="cellIs" dxfId="249" priority="758" operator="equal">
      <formula>"F"</formula>
    </cfRule>
    <cfRule type="cellIs" dxfId="248" priority="757" operator="equal">
      <formula>"U/P"</formula>
    </cfRule>
  </conditionalFormatting>
  <conditionalFormatting sqref="Z143">
    <cfRule type="cellIs" dxfId="247" priority="1751" operator="equal">
      <formula>"F"</formula>
    </cfRule>
    <cfRule type="cellIs" dxfId="246" priority="1750" operator="equal">
      <formula>"U/P"</formula>
    </cfRule>
    <cfRule type="cellIs" dxfId="245" priority="1752" operator="equal">
      <formula>"F"</formula>
    </cfRule>
  </conditionalFormatting>
  <conditionalFormatting sqref="Z151">
    <cfRule type="cellIs" dxfId="244" priority="764" operator="equal">
      <formula>"F"</formula>
    </cfRule>
    <cfRule type="cellIs" dxfId="243" priority="765" operator="equal">
      <formula>"F"</formula>
    </cfRule>
    <cfRule type="cellIs" dxfId="242" priority="763" operator="equal">
      <formula>"U/P"</formula>
    </cfRule>
  </conditionalFormatting>
  <conditionalFormatting sqref="Z159">
    <cfRule type="cellIs" dxfId="241" priority="973" operator="equal">
      <formula>"U/P"</formula>
    </cfRule>
    <cfRule type="cellIs" dxfId="240" priority="974" operator="equal">
      <formula>"F"</formula>
    </cfRule>
    <cfRule type="cellIs" dxfId="239" priority="975" operator="equal">
      <formula>"F"</formula>
    </cfRule>
  </conditionalFormatting>
  <conditionalFormatting sqref="Z167">
    <cfRule type="cellIs" dxfId="238" priority="932" operator="equal">
      <formula>"F"</formula>
    </cfRule>
    <cfRule type="cellIs" dxfId="237" priority="933" operator="equal">
      <formula>"F"</formula>
    </cfRule>
    <cfRule type="cellIs" dxfId="236" priority="931" operator="equal">
      <formula>"U/P"</formula>
    </cfRule>
  </conditionalFormatting>
  <conditionalFormatting sqref="Z175">
    <cfRule type="cellIs" dxfId="235" priority="46" operator="equal">
      <formula>"U/P"</formula>
    </cfRule>
    <cfRule type="cellIs" dxfId="234" priority="48" operator="equal">
      <formula>"F"</formula>
    </cfRule>
    <cfRule type="cellIs" dxfId="233" priority="47" operator="equal">
      <formula>"F"</formula>
    </cfRule>
  </conditionalFormatting>
  <conditionalFormatting sqref="Z183">
    <cfRule type="cellIs" dxfId="232" priority="861" operator="equal">
      <formula>"F"</formula>
    </cfRule>
    <cfRule type="cellIs" dxfId="231" priority="860" operator="equal">
      <formula>"F"</formula>
    </cfRule>
    <cfRule type="cellIs" dxfId="230" priority="859" operator="equal">
      <formula>"U/P"</formula>
    </cfRule>
  </conditionalFormatting>
  <conditionalFormatting sqref="Z191">
    <cfRule type="cellIs" dxfId="229" priority="831" operator="equal">
      <formula>"F"</formula>
    </cfRule>
    <cfRule type="cellIs" dxfId="228" priority="830" operator="equal">
      <formula>"F"</formula>
    </cfRule>
    <cfRule type="cellIs" dxfId="227" priority="829" operator="equal">
      <formula>"U/P"</formula>
    </cfRule>
  </conditionalFormatting>
  <conditionalFormatting sqref="Z199">
    <cfRule type="cellIs" dxfId="226" priority="55" operator="equal">
      <formula>"U/P"</formula>
    </cfRule>
    <cfRule type="cellIs" dxfId="225" priority="56" operator="equal">
      <formula>"F"</formula>
    </cfRule>
    <cfRule type="cellIs" dxfId="224" priority="57" operator="equal">
      <formula>"F"</formula>
    </cfRule>
  </conditionalFormatting>
  <conditionalFormatting sqref="Z207">
    <cfRule type="cellIs" dxfId="223" priority="213" operator="equal">
      <formula>"F"</formula>
    </cfRule>
    <cfRule type="cellIs" dxfId="222" priority="214" operator="equal">
      <formula>"F"</formula>
    </cfRule>
    <cfRule type="cellIs" dxfId="221" priority="212" operator="equal">
      <formula>"U/P"</formula>
    </cfRule>
  </conditionalFormatting>
  <conditionalFormatting sqref="Z215">
    <cfRule type="cellIs" dxfId="220" priority="724" operator="equal">
      <formula>"U/P"</formula>
    </cfRule>
    <cfRule type="cellIs" dxfId="219" priority="725" operator="equal">
      <formula>"F"</formula>
    </cfRule>
    <cfRule type="cellIs" dxfId="218" priority="726" operator="equal">
      <formula>"F"</formula>
    </cfRule>
  </conditionalFormatting>
  <conditionalFormatting sqref="Z223">
    <cfRule type="cellIs" dxfId="217" priority="707" operator="equal">
      <formula>"F"</formula>
    </cfRule>
    <cfRule type="cellIs" dxfId="216" priority="706" operator="equal">
      <formula>"U/P"</formula>
    </cfRule>
    <cfRule type="cellIs" dxfId="215" priority="708" operator="equal">
      <formula>"F"</formula>
    </cfRule>
  </conditionalFormatting>
  <conditionalFormatting sqref="Z231">
    <cfRule type="cellIs" dxfId="214" priority="666" operator="equal">
      <formula>"F"</formula>
    </cfRule>
    <cfRule type="cellIs" dxfId="213" priority="664" operator="equal">
      <formula>"U/P"</formula>
    </cfRule>
    <cfRule type="cellIs" dxfId="212" priority="665" operator="equal">
      <formula>"F"</formula>
    </cfRule>
  </conditionalFormatting>
  <conditionalFormatting sqref="Z239">
    <cfRule type="cellIs" dxfId="211" priority="623" operator="equal">
      <formula>"F"</formula>
    </cfRule>
    <cfRule type="cellIs" dxfId="210" priority="624" operator="equal">
      <formula>"F"</formula>
    </cfRule>
    <cfRule type="cellIs" dxfId="209" priority="622" operator="equal">
      <formula>"U/P"</formula>
    </cfRule>
  </conditionalFormatting>
  <conditionalFormatting sqref="Z247">
    <cfRule type="cellIs" dxfId="208" priority="582" operator="equal">
      <formula>"F"</formula>
    </cfRule>
    <cfRule type="cellIs" dxfId="207" priority="581" operator="equal">
      <formula>"F"</formula>
    </cfRule>
    <cfRule type="cellIs" dxfId="206" priority="580" operator="equal">
      <formula>"U/P"</formula>
    </cfRule>
  </conditionalFormatting>
  <conditionalFormatting sqref="Z255">
    <cfRule type="cellIs" dxfId="205" priority="538" operator="equal">
      <formula>"U/P"</formula>
    </cfRule>
    <cfRule type="cellIs" dxfId="204" priority="540" operator="equal">
      <formula>"F"</formula>
    </cfRule>
    <cfRule type="cellIs" dxfId="203" priority="539" operator="equal">
      <formula>"F"</formula>
    </cfRule>
  </conditionalFormatting>
  <conditionalFormatting sqref="Z263">
    <cfRule type="cellIs" dxfId="202" priority="141" operator="equal">
      <formula>"F"</formula>
    </cfRule>
    <cfRule type="cellIs" dxfId="201" priority="140" operator="equal">
      <formula>"F"</formula>
    </cfRule>
    <cfRule type="cellIs" dxfId="200" priority="139" operator="equal">
      <formula>"U/P"</formula>
    </cfRule>
  </conditionalFormatting>
  <conditionalFormatting sqref="Z271">
    <cfRule type="cellIs" dxfId="199" priority="456" operator="equal">
      <formula>"F"</formula>
    </cfRule>
    <cfRule type="cellIs" dxfId="198" priority="455" operator="equal">
      <formula>"F"</formula>
    </cfRule>
    <cfRule type="cellIs" dxfId="197" priority="454" operator="equal">
      <formula>"U/P"</formula>
    </cfRule>
  </conditionalFormatting>
  <conditionalFormatting sqref="Z279">
    <cfRule type="cellIs" dxfId="196" priority="412" operator="equal">
      <formula>"U/P"</formula>
    </cfRule>
    <cfRule type="cellIs" dxfId="195" priority="413" operator="equal">
      <formula>"F"</formula>
    </cfRule>
    <cfRule type="cellIs" dxfId="194" priority="414" operator="equal">
      <formula>"F"</formula>
    </cfRule>
  </conditionalFormatting>
  <conditionalFormatting sqref="Z287">
    <cfRule type="cellIs" dxfId="193" priority="370" operator="equal">
      <formula>"U/P"</formula>
    </cfRule>
    <cfRule type="cellIs" dxfId="192" priority="371" operator="equal">
      <formula>"F"</formula>
    </cfRule>
    <cfRule type="cellIs" dxfId="191" priority="372" operator="equal">
      <formula>"F"</formula>
    </cfRule>
  </conditionalFormatting>
  <conditionalFormatting sqref="Z295">
    <cfRule type="cellIs" dxfId="190" priority="69" operator="equal">
      <formula>"F"</formula>
    </cfRule>
    <cfRule type="cellIs" dxfId="189" priority="68" operator="equal">
      <formula>"F"</formula>
    </cfRule>
    <cfRule type="cellIs" dxfId="188" priority="67" operator="equal">
      <formula>"U/P"</formula>
    </cfRule>
  </conditionalFormatting>
  <conditionalFormatting sqref="Z303">
    <cfRule type="cellIs" dxfId="187" priority="286" operator="equal">
      <formula>"U/P"</formula>
    </cfRule>
    <cfRule type="cellIs" dxfId="186" priority="287" operator="equal">
      <formula>"F"</formula>
    </cfRule>
    <cfRule type="cellIs" dxfId="185" priority="288" operator="equal">
      <formula>"F"</formula>
    </cfRule>
  </conditionalFormatting>
  <conditionalFormatting sqref="Z310">
    <cfRule type="cellIs" dxfId="184" priority="250" operator="equal">
      <formula>"U/P"</formula>
    </cfRule>
    <cfRule type="cellIs" dxfId="183" priority="251" operator="equal">
      <formula>"F"</formula>
    </cfRule>
    <cfRule type="cellIs" dxfId="182" priority="252" operator="equal">
      <formula>"F"</formula>
    </cfRule>
  </conditionalFormatting>
  <conditionalFormatting sqref="AB23">
    <cfRule type="cellIs" dxfId="181" priority="1630" operator="equal">
      <formula>"U/P"</formula>
    </cfRule>
    <cfRule type="cellIs" dxfId="180" priority="1631" operator="equal">
      <formula>"F"</formula>
    </cfRule>
    <cfRule type="cellIs" dxfId="179" priority="1632" operator="equal">
      <formula>"F"</formula>
    </cfRule>
  </conditionalFormatting>
  <conditionalFormatting sqref="AB31">
    <cfRule type="cellIs" dxfId="178" priority="1590" operator="equal">
      <formula>"F"</formula>
    </cfRule>
    <cfRule type="cellIs" dxfId="177" priority="1589" operator="equal">
      <formula>"F"</formula>
    </cfRule>
    <cfRule type="cellIs" dxfId="176" priority="1588" operator="equal">
      <formula>"U/P"</formula>
    </cfRule>
  </conditionalFormatting>
  <conditionalFormatting sqref="AB39">
    <cfRule type="cellIs" dxfId="175" priority="1548" operator="equal">
      <formula>"F"</formula>
    </cfRule>
    <cfRule type="cellIs" dxfId="174" priority="1547" operator="equal">
      <formula>"F"</formula>
    </cfRule>
    <cfRule type="cellIs" dxfId="173" priority="1546" operator="equal">
      <formula>"U/P"</formula>
    </cfRule>
  </conditionalFormatting>
  <conditionalFormatting sqref="AB47">
    <cfRule type="cellIs" dxfId="172" priority="1504" operator="equal">
      <formula>"U/P"</formula>
    </cfRule>
    <cfRule type="cellIs" dxfId="171" priority="1505" operator="equal">
      <formula>"F"</formula>
    </cfRule>
    <cfRule type="cellIs" dxfId="170" priority="1506" operator="equal">
      <formula>"F"</formula>
    </cfRule>
  </conditionalFormatting>
  <conditionalFormatting sqref="AB55">
    <cfRule type="cellIs" dxfId="169" priority="1462" operator="equal">
      <formula>"U/P"</formula>
    </cfRule>
    <cfRule type="cellIs" dxfId="168" priority="1464" operator="equal">
      <formula>"F"</formula>
    </cfRule>
    <cfRule type="cellIs" dxfId="167" priority="1463" operator="equal">
      <formula>"F"</formula>
    </cfRule>
  </conditionalFormatting>
  <conditionalFormatting sqref="AB63">
    <cfRule type="cellIs" dxfId="166" priority="1422" operator="equal">
      <formula>"F"</formula>
    </cfRule>
    <cfRule type="cellIs" dxfId="165" priority="1420" operator="equal">
      <formula>"U/P"</formula>
    </cfRule>
    <cfRule type="cellIs" dxfId="164" priority="1421" operator="equal">
      <formula>"F"</formula>
    </cfRule>
  </conditionalFormatting>
  <conditionalFormatting sqref="AB71">
    <cfRule type="cellIs" dxfId="163" priority="1378" operator="equal">
      <formula>"U/P"</formula>
    </cfRule>
    <cfRule type="cellIs" dxfId="162" priority="1379" operator="equal">
      <formula>"F"</formula>
    </cfRule>
    <cfRule type="cellIs" dxfId="161" priority="1380" operator="equal">
      <formula>"F"</formula>
    </cfRule>
  </conditionalFormatting>
  <conditionalFormatting sqref="AB79">
    <cfRule type="cellIs" dxfId="160" priority="1338" operator="equal">
      <formula>"F"</formula>
    </cfRule>
    <cfRule type="cellIs" dxfId="159" priority="1337" operator="equal">
      <formula>"F"</formula>
    </cfRule>
    <cfRule type="cellIs" dxfId="158" priority="1336" operator="equal">
      <formula>"U/P"</formula>
    </cfRule>
  </conditionalFormatting>
  <conditionalFormatting sqref="AB87">
    <cfRule type="cellIs" dxfId="157" priority="1294" operator="equal">
      <formula>"U/P"</formula>
    </cfRule>
    <cfRule type="cellIs" dxfId="156" priority="1296" operator="equal">
      <formula>"F"</formula>
    </cfRule>
    <cfRule type="cellIs" dxfId="155" priority="1295" operator="equal">
      <formula>"F"</formula>
    </cfRule>
  </conditionalFormatting>
  <conditionalFormatting sqref="AB95">
    <cfRule type="cellIs" dxfId="154" priority="1252" operator="equal">
      <formula>"U/P"</formula>
    </cfRule>
    <cfRule type="cellIs" dxfId="153" priority="1254" operator="equal">
      <formula>"F"</formula>
    </cfRule>
    <cfRule type="cellIs" dxfId="152" priority="1253" operator="equal">
      <formula>"F"</formula>
    </cfRule>
  </conditionalFormatting>
  <conditionalFormatting sqref="AB103">
    <cfRule type="cellIs" dxfId="151" priority="1213" operator="equal">
      <formula>"U/P"</formula>
    </cfRule>
    <cfRule type="cellIs" dxfId="150" priority="1214" operator="equal">
      <formula>"F"</formula>
    </cfRule>
    <cfRule type="cellIs" dxfId="149" priority="1215" operator="equal">
      <formula>"F"</formula>
    </cfRule>
  </conditionalFormatting>
  <conditionalFormatting sqref="AB111">
    <cfRule type="cellIs" dxfId="148" priority="1174" operator="equal">
      <formula>"U/P"</formula>
    </cfRule>
    <cfRule type="cellIs" dxfId="147" priority="1175" operator="equal">
      <formula>"F"</formula>
    </cfRule>
    <cfRule type="cellIs" dxfId="146" priority="1176" operator="equal">
      <formula>"F"</formula>
    </cfRule>
  </conditionalFormatting>
  <conditionalFormatting sqref="AB119">
    <cfRule type="cellIs" dxfId="145" priority="1134" operator="equal">
      <formula>"F"</formula>
    </cfRule>
    <cfRule type="cellIs" dxfId="144" priority="1132" operator="equal">
      <formula>"U/P"</formula>
    </cfRule>
    <cfRule type="cellIs" dxfId="143" priority="1133" operator="equal">
      <formula>"F"</formula>
    </cfRule>
  </conditionalFormatting>
  <conditionalFormatting sqref="AB127">
    <cfRule type="cellIs" dxfId="142" priority="1096" operator="equal">
      <formula>"U/P"</formula>
    </cfRule>
    <cfRule type="cellIs" dxfId="141" priority="1097" operator="equal">
      <formula>"F"</formula>
    </cfRule>
    <cfRule type="cellIs" dxfId="140" priority="1098" operator="equal">
      <formula>"F"</formula>
    </cfRule>
  </conditionalFormatting>
  <conditionalFormatting sqref="AB135">
    <cfRule type="cellIs" dxfId="139" priority="1764" operator="equal">
      <formula>"F"</formula>
    </cfRule>
    <cfRule type="cellIs" dxfId="138" priority="1762" operator="equal">
      <formula>"U/P"</formula>
    </cfRule>
    <cfRule type="cellIs" dxfId="137" priority="1763" operator="equal">
      <formula>"F"</formula>
    </cfRule>
  </conditionalFormatting>
  <conditionalFormatting sqref="AB143">
    <cfRule type="cellIs" dxfId="136" priority="1748" operator="equal">
      <formula>"F"</formula>
    </cfRule>
    <cfRule type="cellIs" dxfId="135" priority="1747" operator="equal">
      <formula>"U/P"</formula>
    </cfRule>
    <cfRule type="cellIs" dxfId="134" priority="1749" operator="equal">
      <formula>"F"</formula>
    </cfRule>
  </conditionalFormatting>
  <conditionalFormatting sqref="AB151">
    <cfRule type="cellIs" dxfId="133" priority="761" operator="equal">
      <formula>"F"</formula>
    </cfRule>
    <cfRule type="cellIs" dxfId="132" priority="760" operator="equal">
      <formula>"U/P"</formula>
    </cfRule>
    <cfRule type="cellIs" dxfId="131" priority="762" operator="equal">
      <formula>"F"</formula>
    </cfRule>
  </conditionalFormatting>
  <conditionalFormatting sqref="AB159">
    <cfRule type="cellIs" dxfId="130" priority="971" operator="equal">
      <formula>"F"</formula>
    </cfRule>
    <cfRule type="cellIs" dxfId="129" priority="972" operator="equal">
      <formula>"F"</formula>
    </cfRule>
    <cfRule type="cellIs" dxfId="128" priority="970" operator="equal">
      <formula>"U/P"</formula>
    </cfRule>
  </conditionalFormatting>
  <conditionalFormatting sqref="AB167">
    <cfRule type="cellIs" dxfId="127" priority="928" operator="equal">
      <formula>"U/P"</formula>
    </cfRule>
    <cfRule type="cellIs" dxfId="126" priority="930" operator="equal">
      <formula>"F"</formula>
    </cfRule>
    <cfRule type="cellIs" dxfId="125" priority="929" operator="equal">
      <formula>"F"</formula>
    </cfRule>
  </conditionalFormatting>
  <conditionalFormatting sqref="AB175">
    <cfRule type="cellIs" dxfId="124" priority="888" operator="equal">
      <formula>"F"</formula>
    </cfRule>
    <cfRule type="cellIs" dxfId="123" priority="887" operator="equal">
      <formula>"F"</formula>
    </cfRule>
    <cfRule type="cellIs" dxfId="122" priority="886" operator="equal">
      <formula>"U/P"</formula>
    </cfRule>
  </conditionalFormatting>
  <conditionalFormatting sqref="AB183">
    <cfRule type="cellIs" dxfId="121" priority="204" operator="equal">
      <formula>"F"</formula>
    </cfRule>
    <cfRule type="cellIs" dxfId="120" priority="203" operator="equal">
      <formula>"U/P"</formula>
    </cfRule>
    <cfRule type="cellIs" dxfId="119" priority="205" operator="equal">
      <formula>"F"</formula>
    </cfRule>
  </conditionalFormatting>
  <conditionalFormatting sqref="AB191">
    <cfRule type="cellIs" dxfId="118" priority="826" operator="equal">
      <formula>"U/P"</formula>
    </cfRule>
    <cfRule type="cellIs" dxfId="117" priority="827" operator="equal">
      <formula>"F"</formula>
    </cfRule>
    <cfRule type="cellIs" dxfId="116" priority="828" operator="equal">
      <formula>"F"</formula>
    </cfRule>
  </conditionalFormatting>
  <conditionalFormatting sqref="AB199">
    <cfRule type="cellIs" dxfId="115" priority="1701" operator="equal">
      <formula>"F"</formula>
    </cfRule>
    <cfRule type="cellIs" dxfId="114" priority="1700" operator="equal">
      <formula>"F"</formula>
    </cfRule>
    <cfRule type="cellIs" dxfId="113" priority="1699" operator="equal">
      <formula>"U/P"</formula>
    </cfRule>
  </conditionalFormatting>
  <conditionalFormatting sqref="AB207">
    <cfRule type="cellIs" dxfId="112" priority="1678" operator="equal">
      <formula>"U/P"</formula>
    </cfRule>
    <cfRule type="cellIs" dxfId="111" priority="1680" operator="equal">
      <formula>"F"</formula>
    </cfRule>
    <cfRule type="cellIs" dxfId="110" priority="1679" operator="equal">
      <formula>"F"</formula>
    </cfRule>
  </conditionalFormatting>
  <conditionalFormatting sqref="AB215">
    <cfRule type="cellIs" dxfId="109" priority="721" operator="equal">
      <formula>"U/P"</formula>
    </cfRule>
    <cfRule type="cellIs" dxfId="108" priority="723" operator="equal">
      <formula>"F"</formula>
    </cfRule>
    <cfRule type="cellIs" dxfId="107" priority="722" operator="equal">
      <formula>"F"</formula>
    </cfRule>
  </conditionalFormatting>
  <conditionalFormatting sqref="AB223">
    <cfRule type="cellIs" dxfId="106" priority="703" operator="equal">
      <formula>"U/P"</formula>
    </cfRule>
    <cfRule type="cellIs" dxfId="105" priority="705" operator="equal">
      <formula>"F"</formula>
    </cfRule>
    <cfRule type="cellIs" dxfId="104" priority="704" operator="equal">
      <formula>"F"</formula>
    </cfRule>
  </conditionalFormatting>
  <conditionalFormatting sqref="AB231">
    <cfRule type="cellIs" dxfId="103" priority="663" operator="equal">
      <formula>"F"</formula>
    </cfRule>
    <cfRule type="cellIs" dxfId="102" priority="662" operator="equal">
      <formula>"F"</formula>
    </cfRule>
    <cfRule type="cellIs" dxfId="101" priority="661" operator="equal">
      <formula>"U/P"</formula>
    </cfRule>
  </conditionalFormatting>
  <conditionalFormatting sqref="AB239">
    <cfRule type="cellIs" dxfId="100" priority="621" operator="equal">
      <formula>"F"</formula>
    </cfRule>
    <cfRule type="cellIs" dxfId="99" priority="619" operator="equal">
      <formula>"U/P"</formula>
    </cfRule>
    <cfRule type="cellIs" dxfId="98" priority="620" operator="equal">
      <formula>"F"</formula>
    </cfRule>
  </conditionalFormatting>
  <conditionalFormatting sqref="AB247">
    <cfRule type="cellIs" dxfId="97" priority="579" operator="equal">
      <formula>"F"</formula>
    </cfRule>
    <cfRule type="cellIs" dxfId="96" priority="578" operator="equal">
      <formula>"F"</formula>
    </cfRule>
    <cfRule type="cellIs" dxfId="95" priority="577" operator="equal">
      <formula>"U/P"</formula>
    </cfRule>
  </conditionalFormatting>
  <conditionalFormatting sqref="AB255">
    <cfRule type="cellIs" dxfId="94" priority="536" operator="equal">
      <formula>"F"</formula>
    </cfRule>
    <cfRule type="cellIs" dxfId="93" priority="537" operator="equal">
      <formula>"F"</formula>
    </cfRule>
    <cfRule type="cellIs" dxfId="92" priority="535" operator="equal">
      <formula>"U/P"</formula>
    </cfRule>
  </conditionalFormatting>
  <conditionalFormatting sqref="AB263">
    <cfRule type="cellIs" dxfId="91" priority="136" operator="equal">
      <formula>"U/P"</formula>
    </cfRule>
    <cfRule type="cellIs" dxfId="90" priority="137" operator="equal">
      <formula>"F"</formula>
    </cfRule>
    <cfRule type="cellIs" dxfId="89" priority="138" operator="equal">
      <formula>"F"</formula>
    </cfRule>
  </conditionalFormatting>
  <conditionalFormatting sqref="AB271">
    <cfRule type="cellIs" dxfId="88" priority="451" operator="equal">
      <formula>"U/P"</formula>
    </cfRule>
    <cfRule type="cellIs" dxfId="87" priority="453" operator="equal">
      <formula>"F"</formula>
    </cfRule>
    <cfRule type="cellIs" dxfId="86" priority="452" operator="equal">
      <formula>"F"</formula>
    </cfRule>
  </conditionalFormatting>
  <conditionalFormatting sqref="AB279">
    <cfRule type="cellIs" dxfId="85" priority="411" operator="equal">
      <formula>"F"</formula>
    </cfRule>
    <cfRule type="cellIs" dxfId="84" priority="409" operator="equal">
      <formula>"U/P"</formula>
    </cfRule>
    <cfRule type="cellIs" dxfId="83" priority="410" operator="equal">
      <formula>"F"</formula>
    </cfRule>
  </conditionalFormatting>
  <conditionalFormatting sqref="AB287">
    <cfRule type="cellIs" dxfId="82" priority="368" operator="equal">
      <formula>"F"</formula>
    </cfRule>
    <cfRule type="cellIs" dxfId="81" priority="367" operator="equal">
      <formula>"U/P"</formula>
    </cfRule>
    <cfRule type="cellIs" dxfId="80" priority="369" operator="equal">
      <formula>"F"</formula>
    </cfRule>
  </conditionalFormatting>
  <conditionalFormatting sqref="AB295">
    <cfRule type="cellIs" dxfId="79" priority="325" operator="equal">
      <formula>"U/P"</formula>
    </cfRule>
    <cfRule type="cellIs" dxfId="78" priority="327" operator="equal">
      <formula>"F"</formula>
    </cfRule>
    <cfRule type="cellIs" dxfId="77" priority="326" operator="equal">
      <formula>"F"</formula>
    </cfRule>
  </conditionalFormatting>
  <conditionalFormatting sqref="AB303">
    <cfRule type="cellIs" dxfId="76" priority="283" operator="equal">
      <formula>"U/P"</formula>
    </cfRule>
    <cfRule type="cellIs" dxfId="75" priority="284" operator="equal">
      <formula>"F"</formula>
    </cfRule>
    <cfRule type="cellIs" dxfId="74" priority="285" operator="equal">
      <formula>"F"</formula>
    </cfRule>
  </conditionalFormatting>
  <conditionalFormatting sqref="AB310">
    <cfRule type="cellIs" dxfId="73" priority="249" operator="equal">
      <formula>"F"</formula>
    </cfRule>
    <cfRule type="cellIs" dxfId="72" priority="247" operator="equal">
      <formula>"U/P"</formula>
    </cfRule>
    <cfRule type="cellIs" dxfId="71" priority="248" operator="equal">
      <formula>"F"</formula>
    </cfRule>
  </conditionalFormatting>
  <conditionalFormatting sqref="AD103">
    <cfRule type="cellIs" dxfId="70" priority="1210" operator="equal">
      <formula>"U/P"</formula>
    </cfRule>
    <cfRule type="cellIs" dxfId="69" priority="1211" operator="equal">
      <formula>"F"</formula>
    </cfRule>
    <cfRule type="cellIs" dxfId="68" priority="1212" operator="equal">
      <formula>"F"</formula>
    </cfRule>
  </conditionalFormatting>
  <conditionalFormatting sqref="AD263">
    <cfRule type="cellIs" dxfId="67" priority="164" operator="equal">
      <formula>"F"</formula>
    </cfRule>
    <cfRule type="cellIs" dxfId="66" priority="165" operator="equal">
      <formula>"F"</formula>
    </cfRule>
    <cfRule type="cellIs" dxfId="65" priority="163" operator="equal">
      <formula>"U/P"</formula>
    </cfRule>
  </conditionalFormatting>
  <conditionalFormatting sqref="AD295">
    <cfRule type="cellIs" dxfId="64" priority="121" operator="equal">
      <formula>"U/P"</formula>
    </cfRule>
    <cfRule type="cellIs" dxfId="63" priority="123" operator="equal">
      <formula>"F"</formula>
    </cfRule>
    <cfRule type="cellIs" dxfId="62" priority="122" operator="equal">
      <formula>"F"</formula>
    </cfRule>
  </conditionalFormatting>
  <pageMargins left="0.7" right="0.7" top="0.75" bottom="0.75" header="0.3" footer="0.3"/>
  <pageSetup paperSize="9" scale="33" orientation="portrait" r:id="rId1"/>
  <rowBreaks count="3" manualBreakCount="3">
    <brk id="131" max="16383" man="1"/>
    <brk id="258" max="16383" man="1"/>
    <brk id="274" max="16383" man="1"/>
  </rowBreaks>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BE0E1A-C7F0-4881-BF34-21A73FD661B6}">
  <dimension ref="B3:I42"/>
  <sheetViews>
    <sheetView topLeftCell="A19" workbookViewId="0">
      <selection activeCell="I38" sqref="I38"/>
    </sheetView>
  </sheetViews>
  <sheetFormatPr defaultRowHeight="14.5"/>
  <cols>
    <col min="5" max="5" width="10.54296875" bestFit="1" customWidth="1"/>
  </cols>
  <sheetData>
    <row r="3" spans="2:7">
      <c r="B3" s="430" t="s">
        <v>82</v>
      </c>
      <c r="C3" s="430" t="s">
        <v>1119</v>
      </c>
      <c r="D3" s="430" t="s">
        <v>1092</v>
      </c>
      <c r="E3" s="430" t="s">
        <v>1120</v>
      </c>
      <c r="F3" s="434" t="s">
        <v>1121</v>
      </c>
      <c r="G3" s="434" t="s">
        <v>1122</v>
      </c>
    </row>
    <row r="4" spans="2:7">
      <c r="B4" s="323">
        <v>1</v>
      </c>
      <c r="C4" s="324" t="s">
        <v>225</v>
      </c>
      <c r="D4" s="324" t="s">
        <v>185</v>
      </c>
      <c r="E4" s="431" t="s">
        <v>210</v>
      </c>
      <c r="F4" s="310">
        <v>1.86</v>
      </c>
      <c r="G4" s="435">
        <v>12.47</v>
      </c>
    </row>
    <row r="5" spans="2:7">
      <c r="B5" s="323">
        <f>B4+1</f>
        <v>2</v>
      </c>
      <c r="C5" s="324" t="s">
        <v>231</v>
      </c>
      <c r="D5" s="324" t="s">
        <v>182</v>
      </c>
      <c r="E5" s="431" t="s">
        <v>210</v>
      </c>
      <c r="F5" s="310">
        <v>1.57</v>
      </c>
      <c r="G5" s="310">
        <v>11.05</v>
      </c>
    </row>
    <row r="6" spans="2:7">
      <c r="B6" s="323">
        <f t="shared" ref="B6:B41" si="0">B5+1</f>
        <v>3</v>
      </c>
      <c r="C6" s="324" t="s">
        <v>209</v>
      </c>
      <c r="D6" s="324" t="s">
        <v>182</v>
      </c>
      <c r="E6" s="431" t="s">
        <v>210</v>
      </c>
      <c r="F6" s="310">
        <v>1.57</v>
      </c>
      <c r="G6" s="310">
        <v>11.05</v>
      </c>
    </row>
    <row r="7" spans="2:7">
      <c r="B7" s="323">
        <f t="shared" si="0"/>
        <v>4</v>
      </c>
      <c r="C7" s="314" t="s">
        <v>212</v>
      </c>
      <c r="D7" s="314" t="s">
        <v>182</v>
      </c>
      <c r="E7" s="432" t="s">
        <v>210</v>
      </c>
      <c r="F7" s="310">
        <v>1.57</v>
      </c>
      <c r="G7" s="310">
        <v>11.05</v>
      </c>
    </row>
    <row r="8" spans="2:7">
      <c r="B8" s="323">
        <f t="shared" si="0"/>
        <v>5</v>
      </c>
      <c r="C8" s="314" t="s">
        <v>213</v>
      </c>
      <c r="D8" s="314" t="s">
        <v>182</v>
      </c>
      <c r="E8" s="432" t="s">
        <v>210</v>
      </c>
      <c r="F8" s="310">
        <v>1.57</v>
      </c>
      <c r="G8" s="310">
        <v>11.05</v>
      </c>
    </row>
    <row r="9" spans="2:7">
      <c r="B9" s="323">
        <f t="shared" si="0"/>
        <v>6</v>
      </c>
      <c r="C9" s="314" t="s">
        <v>214</v>
      </c>
      <c r="D9" s="314" t="s">
        <v>185</v>
      </c>
      <c r="E9" s="432" t="s">
        <v>210</v>
      </c>
      <c r="F9" s="310">
        <v>1.86</v>
      </c>
      <c r="G9" s="435">
        <v>12.47</v>
      </c>
    </row>
    <row r="10" spans="2:7">
      <c r="B10" s="323">
        <f t="shared" si="0"/>
        <v>7</v>
      </c>
      <c r="C10" s="314" t="s">
        <v>236</v>
      </c>
      <c r="D10" s="314" t="s">
        <v>182</v>
      </c>
      <c r="E10" s="432" t="s">
        <v>210</v>
      </c>
      <c r="F10" s="310">
        <v>1.57</v>
      </c>
      <c r="G10" s="310">
        <v>11.05</v>
      </c>
    </row>
    <row r="11" spans="2:7">
      <c r="B11" s="323">
        <f t="shared" si="0"/>
        <v>8</v>
      </c>
      <c r="C11" s="314" t="s">
        <v>237</v>
      </c>
      <c r="D11" s="314" t="s">
        <v>182</v>
      </c>
      <c r="E11" s="432" t="s">
        <v>210</v>
      </c>
      <c r="F11" s="310">
        <v>1.57</v>
      </c>
      <c r="G11" s="310">
        <v>11.05</v>
      </c>
    </row>
    <row r="12" spans="2:7">
      <c r="B12" s="323">
        <f t="shared" si="0"/>
        <v>9</v>
      </c>
      <c r="C12" s="314" t="s">
        <v>215</v>
      </c>
      <c r="D12" s="314" t="s">
        <v>182</v>
      </c>
      <c r="E12" s="432" t="s">
        <v>210</v>
      </c>
      <c r="F12" s="310">
        <v>1.57</v>
      </c>
      <c r="G12" s="310">
        <v>11.05</v>
      </c>
    </row>
    <row r="13" spans="2:7">
      <c r="B13" s="323">
        <f t="shared" si="0"/>
        <v>10</v>
      </c>
      <c r="C13" s="314" t="s">
        <v>216</v>
      </c>
      <c r="D13" s="314" t="s">
        <v>185</v>
      </c>
      <c r="E13" s="432" t="s">
        <v>210</v>
      </c>
      <c r="F13" s="310">
        <v>1.86</v>
      </c>
      <c r="G13" s="435">
        <v>12.47</v>
      </c>
    </row>
    <row r="14" spans="2:7">
      <c r="B14" s="323">
        <f t="shared" si="0"/>
        <v>11</v>
      </c>
      <c r="C14" s="314" t="s">
        <v>239</v>
      </c>
      <c r="D14" s="314" t="s">
        <v>182</v>
      </c>
      <c r="E14" s="432" t="s">
        <v>210</v>
      </c>
      <c r="F14" s="310">
        <v>1.57</v>
      </c>
      <c r="G14" s="310">
        <v>11.05</v>
      </c>
    </row>
    <row r="15" spans="2:7">
      <c r="B15" s="323">
        <f t="shared" si="0"/>
        <v>12</v>
      </c>
      <c r="C15" s="314" t="s">
        <v>240</v>
      </c>
      <c r="D15" s="314" t="s">
        <v>185</v>
      </c>
      <c r="E15" s="432" t="s">
        <v>210</v>
      </c>
      <c r="F15" s="310">
        <v>1.86</v>
      </c>
      <c r="G15" s="435">
        <v>12.47</v>
      </c>
    </row>
    <row r="16" spans="2:7">
      <c r="B16" s="323">
        <f t="shared" si="0"/>
        <v>13</v>
      </c>
      <c r="C16" s="314" t="s">
        <v>241</v>
      </c>
      <c r="D16" s="314" t="s">
        <v>242</v>
      </c>
      <c r="E16" s="432" t="s">
        <v>210</v>
      </c>
      <c r="F16" s="310">
        <v>1.86</v>
      </c>
      <c r="G16" s="435">
        <v>12.47</v>
      </c>
    </row>
    <row r="17" spans="2:7">
      <c r="B17" s="323">
        <f t="shared" si="0"/>
        <v>14</v>
      </c>
      <c r="C17" s="324" t="s">
        <v>251</v>
      </c>
      <c r="D17" s="324" t="s">
        <v>248</v>
      </c>
      <c r="E17" s="431" t="s">
        <v>210</v>
      </c>
      <c r="F17" s="310">
        <v>1.86</v>
      </c>
      <c r="G17" s="435">
        <v>12.47</v>
      </c>
    </row>
    <row r="18" spans="2:7">
      <c r="B18" s="323">
        <f t="shared" si="0"/>
        <v>15</v>
      </c>
      <c r="C18" s="314" t="s">
        <v>244</v>
      </c>
      <c r="D18" s="314" t="s">
        <v>182</v>
      </c>
      <c r="E18" s="432" t="s">
        <v>210</v>
      </c>
      <c r="F18" s="310">
        <v>1.57</v>
      </c>
      <c r="G18" s="310">
        <v>11.05</v>
      </c>
    </row>
    <row r="19" spans="2:7">
      <c r="B19" s="323">
        <f t="shared" si="0"/>
        <v>16</v>
      </c>
      <c r="C19" s="326" t="s">
        <v>253</v>
      </c>
      <c r="D19" s="314" t="s">
        <v>248</v>
      </c>
      <c r="E19" s="432" t="s">
        <v>210</v>
      </c>
      <c r="F19" s="310">
        <v>1.86</v>
      </c>
      <c r="G19" s="435">
        <v>12.47</v>
      </c>
    </row>
    <row r="20" spans="2:7">
      <c r="B20" s="323">
        <f t="shared" si="0"/>
        <v>17</v>
      </c>
      <c r="C20" s="328" t="s">
        <v>217</v>
      </c>
      <c r="D20" s="324" t="s">
        <v>182</v>
      </c>
      <c r="E20" s="431" t="s">
        <v>292</v>
      </c>
      <c r="F20" s="310">
        <v>1.08</v>
      </c>
      <c r="G20" s="310">
        <v>8.68</v>
      </c>
    </row>
    <row r="21" spans="2:7">
      <c r="B21" s="323">
        <f t="shared" si="0"/>
        <v>18</v>
      </c>
      <c r="C21" s="328" t="s">
        <v>259</v>
      </c>
      <c r="D21" s="324" t="s">
        <v>248</v>
      </c>
      <c r="E21" s="431" t="s">
        <v>210</v>
      </c>
      <c r="F21" s="310">
        <v>1.86</v>
      </c>
      <c r="G21" s="435">
        <v>12.47</v>
      </c>
    </row>
    <row r="22" spans="2:7">
      <c r="B22" s="323">
        <f t="shared" si="0"/>
        <v>19</v>
      </c>
      <c r="C22" s="329" t="s">
        <v>247</v>
      </c>
      <c r="D22" s="324" t="s">
        <v>248</v>
      </c>
      <c r="E22" s="431" t="s">
        <v>210</v>
      </c>
      <c r="F22" s="310">
        <v>1.86</v>
      </c>
      <c r="G22" s="435">
        <v>12.47</v>
      </c>
    </row>
    <row r="23" spans="2:7">
      <c r="B23" s="323">
        <f t="shared" si="0"/>
        <v>20</v>
      </c>
      <c r="C23" s="330" t="s">
        <v>257</v>
      </c>
      <c r="D23" s="314" t="s">
        <v>248</v>
      </c>
      <c r="E23" s="432" t="s">
        <v>210</v>
      </c>
      <c r="F23" s="310">
        <v>1.86</v>
      </c>
      <c r="G23" s="435">
        <v>12.47</v>
      </c>
    </row>
    <row r="24" spans="2:7">
      <c r="B24" s="323">
        <f t="shared" si="0"/>
        <v>21</v>
      </c>
      <c r="C24" s="331" t="s">
        <v>262</v>
      </c>
      <c r="D24" s="314" t="s">
        <v>242</v>
      </c>
      <c r="E24" s="432" t="s">
        <v>210</v>
      </c>
      <c r="F24" s="310">
        <v>1.86</v>
      </c>
      <c r="G24" s="435">
        <v>12.47</v>
      </c>
    </row>
    <row r="25" spans="2:7">
      <c r="B25" s="323">
        <f t="shared" si="0"/>
        <v>22</v>
      </c>
      <c r="C25" s="332" t="s">
        <v>263</v>
      </c>
      <c r="D25" s="314" t="s">
        <v>242</v>
      </c>
      <c r="E25" s="432" t="s">
        <v>210</v>
      </c>
      <c r="F25" s="310">
        <v>1.86</v>
      </c>
      <c r="G25" s="435">
        <v>12.47</v>
      </c>
    </row>
    <row r="26" spans="2:7">
      <c r="B26" s="323">
        <f t="shared" si="0"/>
        <v>23</v>
      </c>
      <c r="C26" s="329" t="s">
        <v>293</v>
      </c>
      <c r="D26" s="324" t="s">
        <v>182</v>
      </c>
      <c r="E26" s="431" t="s">
        <v>210</v>
      </c>
      <c r="F26" s="310">
        <v>1.57</v>
      </c>
      <c r="G26" s="310">
        <v>11.05</v>
      </c>
    </row>
    <row r="27" spans="2:7">
      <c r="B27" s="323">
        <f t="shared" si="0"/>
        <v>24</v>
      </c>
      <c r="C27" s="316" t="s">
        <v>294</v>
      </c>
      <c r="D27" s="316" t="s">
        <v>182</v>
      </c>
      <c r="E27" s="432" t="s">
        <v>210</v>
      </c>
      <c r="F27" s="310">
        <v>1.57</v>
      </c>
      <c r="G27" s="310">
        <v>11.05</v>
      </c>
    </row>
    <row r="28" spans="2:7">
      <c r="B28" s="323">
        <f t="shared" si="0"/>
        <v>25</v>
      </c>
      <c r="C28" s="316" t="s">
        <v>279</v>
      </c>
      <c r="D28" s="316" t="s">
        <v>242</v>
      </c>
      <c r="E28" s="432" t="s">
        <v>210</v>
      </c>
      <c r="F28" s="310">
        <v>1.86</v>
      </c>
      <c r="G28" s="435">
        <v>12.47</v>
      </c>
    </row>
    <row r="29" spans="2:7">
      <c r="B29" s="323">
        <f t="shared" si="0"/>
        <v>26</v>
      </c>
      <c r="C29" s="316" t="s">
        <v>260</v>
      </c>
      <c r="D29" s="316" t="s">
        <v>182</v>
      </c>
      <c r="E29" s="432" t="s">
        <v>210</v>
      </c>
      <c r="F29" s="310">
        <v>1.57</v>
      </c>
      <c r="G29" s="310">
        <v>11.05</v>
      </c>
    </row>
    <row r="30" spans="2:7">
      <c r="B30" s="323">
        <f t="shared" si="0"/>
        <v>27</v>
      </c>
      <c r="C30" s="316" t="s">
        <v>276</v>
      </c>
      <c r="D30" s="316" t="s">
        <v>182</v>
      </c>
      <c r="E30" s="432" t="s">
        <v>210</v>
      </c>
      <c r="F30" s="310">
        <v>1.57</v>
      </c>
      <c r="G30" s="310">
        <v>11.05</v>
      </c>
    </row>
    <row r="31" spans="2:7">
      <c r="B31" s="323">
        <f t="shared" si="0"/>
        <v>28</v>
      </c>
      <c r="C31" s="316" t="s">
        <v>268</v>
      </c>
      <c r="D31" s="316" t="s">
        <v>185</v>
      </c>
      <c r="E31" s="432" t="s">
        <v>210</v>
      </c>
      <c r="F31" s="310">
        <v>1.86</v>
      </c>
      <c r="G31" s="435">
        <v>12.47</v>
      </c>
    </row>
    <row r="32" spans="2:7">
      <c r="B32" s="323">
        <f t="shared" si="0"/>
        <v>29</v>
      </c>
      <c r="C32" s="316" t="s">
        <v>274</v>
      </c>
      <c r="D32" s="316" t="s">
        <v>248</v>
      </c>
      <c r="E32" s="432" t="s">
        <v>210</v>
      </c>
      <c r="F32" s="310">
        <v>1.86</v>
      </c>
      <c r="G32" s="435">
        <v>12.47</v>
      </c>
    </row>
    <row r="33" spans="2:9">
      <c r="B33" s="323">
        <f t="shared" si="0"/>
        <v>30</v>
      </c>
      <c r="C33" s="316" t="s">
        <v>261</v>
      </c>
      <c r="D33" s="316" t="s">
        <v>248</v>
      </c>
      <c r="E33" s="432" t="s">
        <v>210</v>
      </c>
      <c r="F33" s="310">
        <v>1.86</v>
      </c>
      <c r="G33" s="435">
        <v>12.47</v>
      </c>
    </row>
    <row r="34" spans="2:9">
      <c r="B34" s="323">
        <f t="shared" si="0"/>
        <v>31</v>
      </c>
      <c r="C34" s="316" t="s">
        <v>275</v>
      </c>
      <c r="D34" s="316" t="s">
        <v>248</v>
      </c>
      <c r="E34" s="432" t="s">
        <v>210</v>
      </c>
      <c r="F34" s="310">
        <v>1.86</v>
      </c>
      <c r="G34" s="435">
        <v>12.47</v>
      </c>
    </row>
    <row r="35" spans="2:9">
      <c r="B35" s="323">
        <f t="shared" si="0"/>
        <v>32</v>
      </c>
      <c r="C35" s="316" t="s">
        <v>258</v>
      </c>
      <c r="D35" s="316" t="s">
        <v>182</v>
      </c>
      <c r="E35" s="432" t="s">
        <v>210</v>
      </c>
      <c r="F35" s="310">
        <v>1.57</v>
      </c>
      <c r="G35" s="310">
        <v>11.05</v>
      </c>
    </row>
    <row r="36" spans="2:9">
      <c r="B36" s="323">
        <f t="shared" si="0"/>
        <v>33</v>
      </c>
      <c r="C36" s="316" t="s">
        <v>277</v>
      </c>
      <c r="D36" s="316" t="s">
        <v>185</v>
      </c>
      <c r="E36" s="433" t="s">
        <v>210</v>
      </c>
      <c r="F36" s="310">
        <v>1.86</v>
      </c>
      <c r="G36" s="435">
        <v>12.47</v>
      </c>
    </row>
    <row r="37" spans="2:9">
      <c r="B37" s="323">
        <f t="shared" si="0"/>
        <v>34</v>
      </c>
      <c r="C37" s="316" t="s">
        <v>285</v>
      </c>
      <c r="D37" s="316" t="s">
        <v>185</v>
      </c>
      <c r="E37" s="433" t="s">
        <v>210</v>
      </c>
      <c r="F37" s="310">
        <v>1.86</v>
      </c>
      <c r="G37" s="435">
        <v>12.47</v>
      </c>
    </row>
    <row r="38" spans="2:9">
      <c r="B38" s="323">
        <f t="shared" si="0"/>
        <v>35</v>
      </c>
      <c r="C38" s="316" t="s">
        <v>289</v>
      </c>
      <c r="D38" s="316" t="s">
        <v>182</v>
      </c>
      <c r="E38" s="432" t="s">
        <v>292</v>
      </c>
      <c r="F38" s="310">
        <v>1.08</v>
      </c>
      <c r="G38" s="310">
        <v>8.68</v>
      </c>
      <c r="I38" s="430" t="s">
        <v>1123</v>
      </c>
    </row>
    <row r="39" spans="2:9">
      <c r="B39" s="323">
        <f t="shared" si="0"/>
        <v>36</v>
      </c>
      <c r="C39" s="316" t="s">
        <v>280</v>
      </c>
      <c r="D39" s="316" t="s">
        <v>248</v>
      </c>
      <c r="E39" s="433" t="s">
        <v>210</v>
      </c>
      <c r="F39" s="310">
        <v>1.86</v>
      </c>
      <c r="G39" s="435">
        <v>12.47</v>
      </c>
    </row>
    <row r="40" spans="2:9">
      <c r="B40" s="323">
        <f t="shared" si="0"/>
        <v>37</v>
      </c>
      <c r="C40" s="316" t="s">
        <v>284</v>
      </c>
      <c r="D40" s="316" t="s">
        <v>185</v>
      </c>
      <c r="E40" s="433" t="s">
        <v>210</v>
      </c>
      <c r="F40" s="310">
        <v>1.86</v>
      </c>
      <c r="G40" s="435">
        <v>12.47</v>
      </c>
    </row>
    <row r="41" spans="2:9">
      <c r="B41" s="323">
        <f t="shared" si="0"/>
        <v>38</v>
      </c>
      <c r="C41" s="316" t="s">
        <v>355</v>
      </c>
      <c r="D41" s="316" t="s">
        <v>248</v>
      </c>
      <c r="E41" s="433" t="s">
        <v>210</v>
      </c>
      <c r="F41" s="310">
        <v>1.86</v>
      </c>
      <c r="G41" s="435">
        <v>12.47</v>
      </c>
    </row>
    <row r="42" spans="2:9">
      <c r="F42">
        <f>SUM(F4:F41)</f>
        <v>65.059999999999988</v>
      </c>
      <c r="G42">
        <f>SUM(G4:G41)</f>
        <v>446.40000000000038</v>
      </c>
      <c r="H42">
        <f>SUM(F42:G42)</f>
        <v>511.46000000000038</v>
      </c>
    </row>
  </sheetData>
  <conditionalFormatting sqref="C4:C41">
    <cfRule type="duplicateValues" dxfId="61" priority="266"/>
  </conditionalFormatting>
  <conditionalFormatting sqref="C6:C26">
    <cfRule type="duplicateValues" dxfId="60" priority="21"/>
  </conditionalFormatting>
  <conditionalFormatting sqref="C6:C41">
    <cfRule type="duplicateValues" dxfId="59" priority="17"/>
    <cfRule type="duplicateValues" dxfId="58" priority="22" stopIfTrue="1"/>
  </conditionalFormatting>
  <conditionalFormatting sqref="D10">
    <cfRule type="duplicateValues" dxfId="57" priority="8"/>
    <cfRule type="duplicateValues" dxfId="56" priority="9"/>
    <cfRule type="duplicateValues" dxfId="55" priority="10" stopIfTrue="1"/>
  </conditionalFormatting>
  <conditionalFormatting sqref="D11">
    <cfRule type="duplicateValues" dxfId="54" priority="5"/>
    <cfRule type="duplicateValues" dxfId="53" priority="6"/>
    <cfRule type="duplicateValues" dxfId="52" priority="7" stopIfTrue="1"/>
  </conditionalFormatting>
  <conditionalFormatting sqref="D16">
    <cfRule type="duplicateValues" dxfId="51" priority="18"/>
    <cfRule type="duplicateValues" dxfId="50" priority="19"/>
    <cfRule type="duplicateValues" dxfId="49" priority="20" stopIfTrue="1"/>
  </conditionalFormatting>
  <conditionalFormatting sqref="D5:E5">
    <cfRule type="duplicateValues" dxfId="48" priority="260"/>
    <cfRule type="duplicateValues" dxfId="47" priority="261"/>
    <cfRule type="duplicateValues" dxfId="46" priority="262" stopIfTrue="1"/>
  </conditionalFormatting>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R225"/>
  <sheetViews>
    <sheetView topLeftCell="A148" zoomScale="90" zoomScaleNormal="90" workbookViewId="0">
      <selection activeCell="B171" sqref="B171"/>
    </sheetView>
  </sheetViews>
  <sheetFormatPr defaultColWidth="9" defaultRowHeight="14.5"/>
  <cols>
    <col min="4" max="4" width="12" customWidth="1"/>
    <col min="24" max="43" width="9" hidden="1" customWidth="1"/>
  </cols>
  <sheetData>
    <row r="1" spans="1:43">
      <c r="A1" s="1678" t="s">
        <v>298</v>
      </c>
      <c r="B1" s="1678"/>
      <c r="C1" s="1678"/>
      <c r="D1" s="1678"/>
      <c r="E1" s="1678"/>
      <c r="F1" s="1678"/>
      <c r="G1" s="1678"/>
      <c r="H1" s="1678"/>
      <c r="I1" s="1678"/>
      <c r="J1" s="1678"/>
      <c r="K1" s="1678"/>
      <c r="L1" s="1678"/>
      <c r="M1" s="1678"/>
      <c r="N1" s="1678"/>
      <c r="O1" s="1678"/>
      <c r="P1" s="1678"/>
      <c r="Q1" s="1678"/>
      <c r="R1" s="1678"/>
      <c r="S1" s="1678"/>
      <c r="T1" s="1678"/>
      <c r="U1" s="1678"/>
      <c r="V1" s="1679"/>
    </row>
    <row r="2" spans="1:43" ht="15" thickBot="1">
      <c r="A2" s="1680" t="s">
        <v>299</v>
      </c>
      <c r="B2" s="1510"/>
      <c r="C2" s="1510"/>
      <c r="D2" s="1510"/>
      <c r="E2" s="1510"/>
      <c r="F2" s="1510"/>
      <c r="G2" s="1510"/>
      <c r="H2" s="1510"/>
      <c r="I2" s="1510"/>
      <c r="J2" s="1510"/>
      <c r="K2" s="1510"/>
      <c r="L2" s="1510"/>
      <c r="M2" s="1510"/>
      <c r="N2" s="1510"/>
      <c r="O2" s="1510"/>
      <c r="P2" s="1510"/>
      <c r="Q2" s="1510"/>
      <c r="R2" s="1510"/>
      <c r="S2" s="1510"/>
      <c r="T2" s="1510"/>
      <c r="U2" s="1510"/>
      <c r="V2" s="1681"/>
    </row>
    <row r="3" spans="1:43">
      <c r="A3" s="125"/>
      <c r="B3" s="126"/>
      <c r="C3" s="126"/>
      <c r="D3" s="126"/>
      <c r="E3" s="126"/>
      <c r="F3" s="126"/>
      <c r="G3" s="126"/>
      <c r="H3" s="126"/>
      <c r="I3" s="126"/>
      <c r="J3" s="126"/>
      <c r="K3" s="126"/>
      <c r="L3" s="126"/>
      <c r="M3" s="126"/>
      <c r="N3" s="126"/>
      <c r="O3" s="126"/>
      <c r="P3" s="126"/>
      <c r="Q3" s="126"/>
      <c r="R3" s="126"/>
      <c r="S3" s="126"/>
      <c r="T3" s="126"/>
      <c r="U3" s="163"/>
      <c r="V3" s="164"/>
    </row>
    <row r="4" spans="1:43" ht="14.5" customHeight="1">
      <c r="A4" s="1673" t="s">
        <v>300</v>
      </c>
      <c r="B4" s="1501"/>
      <c r="C4" s="127"/>
      <c r="D4" s="1674" t="s">
        <v>1086</v>
      </c>
      <c r="E4" s="1675"/>
      <c r="F4" s="1669" t="s">
        <v>302</v>
      </c>
      <c r="G4" s="1671" t="s">
        <v>303</v>
      </c>
      <c r="H4" s="1512" t="s">
        <v>304</v>
      </c>
      <c r="I4" s="1513"/>
      <c r="J4" s="1514"/>
      <c r="K4" s="128" t="s">
        <v>305</v>
      </c>
      <c r="L4" s="1512" t="s">
        <v>306</v>
      </c>
      <c r="M4" s="1513"/>
      <c r="N4" s="1514"/>
      <c r="O4" s="1512" t="s">
        <v>307</v>
      </c>
      <c r="P4" s="1513"/>
      <c r="Q4" s="1514"/>
      <c r="R4" s="1682"/>
      <c r="S4" s="1515"/>
      <c r="T4" s="1515"/>
      <c r="U4" s="166"/>
      <c r="V4" s="167"/>
    </row>
    <row r="5" spans="1:43" ht="14.5" customHeight="1">
      <c r="A5" s="1673"/>
      <c r="B5" s="1501"/>
      <c r="C5" s="127"/>
      <c r="D5" s="1676"/>
      <c r="E5" s="1677"/>
      <c r="F5" s="1670"/>
      <c r="G5" s="1672"/>
      <c r="H5" s="128" t="s">
        <v>308</v>
      </c>
      <c r="I5" s="128" t="s">
        <v>278</v>
      </c>
      <c r="J5" s="128" t="s">
        <v>309</v>
      </c>
      <c r="K5" s="128" t="s">
        <v>308</v>
      </c>
      <c r="L5" s="128" t="s">
        <v>308</v>
      </c>
      <c r="M5" s="128" t="s">
        <v>278</v>
      </c>
      <c r="N5" s="128" t="s">
        <v>309</v>
      </c>
      <c r="O5" s="128" t="s">
        <v>308</v>
      </c>
      <c r="P5" s="128" t="s">
        <v>278</v>
      </c>
      <c r="Q5" s="128" t="s">
        <v>309</v>
      </c>
      <c r="R5" s="165"/>
      <c r="S5" s="165"/>
      <c r="T5" s="165"/>
      <c r="U5" s="166"/>
      <c r="V5" s="167"/>
    </row>
    <row r="6" spans="1:43" ht="14.5" customHeight="1">
      <c r="A6" s="129"/>
      <c r="B6" s="127"/>
      <c r="C6" s="127"/>
      <c r="D6" s="1493" t="s">
        <v>1085</v>
      </c>
      <c r="E6" s="1494"/>
      <c r="F6" s="130">
        <v>196</v>
      </c>
      <c r="G6" s="131">
        <v>74.397999999999996</v>
      </c>
      <c r="H6" s="130">
        <v>39</v>
      </c>
      <c r="I6" s="130">
        <v>4</v>
      </c>
      <c r="J6" s="130">
        <f>F6-H6-I6</f>
        <v>153</v>
      </c>
      <c r="K6" s="130">
        <v>25</v>
      </c>
      <c r="L6" s="130"/>
      <c r="M6" s="130"/>
      <c r="N6" s="130">
        <f>F6-L6</f>
        <v>196</v>
      </c>
      <c r="O6" s="130"/>
      <c r="P6" s="130"/>
      <c r="Q6" s="168">
        <f>G6-O6</f>
        <v>74.397999999999996</v>
      </c>
      <c r="R6" s="165"/>
      <c r="S6" s="165"/>
      <c r="T6" s="169"/>
      <c r="U6" s="166"/>
      <c r="V6" s="167"/>
    </row>
    <row r="7" spans="1:43" ht="14.5" customHeight="1">
      <c r="A7" s="132"/>
      <c r="B7" s="133"/>
      <c r="C7" s="133"/>
      <c r="D7" s="133"/>
      <c r="E7" s="133"/>
      <c r="F7" s="133"/>
      <c r="G7" s="133"/>
      <c r="H7" s="133"/>
      <c r="I7" s="133"/>
      <c r="J7" s="133"/>
      <c r="K7" s="133"/>
      <c r="L7" s="133"/>
      <c r="M7" s="133"/>
      <c r="N7" s="133"/>
      <c r="O7" s="133"/>
      <c r="P7" s="133"/>
      <c r="Q7" s="133"/>
      <c r="R7" s="133"/>
      <c r="S7" s="133"/>
      <c r="T7" s="133"/>
      <c r="U7" s="170"/>
      <c r="V7" s="167"/>
    </row>
    <row r="8" spans="1:43">
      <c r="A8" s="132"/>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170"/>
      <c r="V8" s="167"/>
    </row>
    <row r="9" spans="1:43">
      <c r="A9" s="132"/>
      <c r="B9" s="133"/>
      <c r="C9" s="133"/>
      <c r="D9" s="133"/>
      <c r="E9" s="133"/>
      <c r="F9" s="133"/>
      <c r="G9" s="133"/>
      <c r="H9" s="133"/>
      <c r="I9" s="133"/>
      <c r="J9" s="133"/>
      <c r="K9" s="133"/>
      <c r="L9" s="133"/>
      <c r="M9" s="133"/>
      <c r="N9" s="133"/>
      <c r="O9" s="133"/>
      <c r="P9" s="133"/>
      <c r="Q9" s="133"/>
      <c r="R9" s="133"/>
      <c r="S9" s="133"/>
      <c r="T9" s="133"/>
      <c r="U9" s="170"/>
      <c r="V9" s="167"/>
      <c r="Y9" s="403" t="s">
        <v>1087</v>
      </c>
      <c r="AE9" s="403" t="s">
        <v>1088</v>
      </c>
      <c r="AJ9" s="403" t="s">
        <v>1089</v>
      </c>
      <c r="AO9" s="403" t="s">
        <v>1090</v>
      </c>
    </row>
    <row r="10" spans="1:43" ht="15" thickBot="1">
      <c r="A10" s="134"/>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171">
        <f>B10+F10+H10+J10+L10+D10+N10+P10+R10+T10</f>
        <v>3579.8500000000004</v>
      </c>
      <c r="V10" s="167"/>
      <c r="X10" s="420" t="s">
        <v>1094</v>
      </c>
      <c r="Y10" s="420" t="s">
        <v>1095</v>
      </c>
      <c r="Z10" s="420" t="s">
        <v>1096</v>
      </c>
      <c r="AA10" s="420" t="s">
        <v>1097</v>
      </c>
      <c r="AB10" s="403"/>
      <c r="AC10" s="403"/>
      <c r="AD10" s="420" t="s">
        <v>1094</v>
      </c>
      <c r="AE10" s="420" t="s">
        <v>1095</v>
      </c>
      <c r="AF10" s="420" t="s">
        <v>1096</v>
      </c>
      <c r="AG10" s="420" t="s">
        <v>1097</v>
      </c>
      <c r="AI10" s="420" t="s">
        <v>1094</v>
      </c>
      <c r="AJ10" s="420" t="s">
        <v>1095</v>
      </c>
      <c r="AK10" s="420" t="s">
        <v>1096</v>
      </c>
      <c r="AL10" s="420" t="s">
        <v>1097</v>
      </c>
      <c r="AN10" s="420" t="s">
        <v>1094</v>
      </c>
      <c r="AO10" s="420" t="s">
        <v>1095</v>
      </c>
      <c r="AP10" s="420" t="s">
        <v>1096</v>
      </c>
      <c r="AQ10" s="420" t="s">
        <v>1097</v>
      </c>
    </row>
    <row r="11" spans="1:43" ht="15.5" thickTop="1" thickBot="1">
      <c r="A11" s="136"/>
      <c r="B11" s="137"/>
      <c r="C11" s="138"/>
      <c r="D11" s="139"/>
      <c r="E11" s="138"/>
      <c r="F11" s="133"/>
      <c r="G11" s="140"/>
      <c r="H11" s="139"/>
      <c r="I11" s="140"/>
      <c r="J11" s="139"/>
      <c r="K11" s="140"/>
      <c r="L11" s="139"/>
      <c r="M11" s="140"/>
      <c r="N11" s="139"/>
      <c r="O11" s="140"/>
      <c r="P11" s="139"/>
      <c r="Q11" s="140"/>
      <c r="R11" s="139"/>
      <c r="S11" s="140"/>
      <c r="T11" s="162"/>
      <c r="U11" s="171"/>
      <c r="V11" s="167"/>
      <c r="X11" s="310"/>
      <c r="Y11" s="310"/>
      <c r="Z11" s="310"/>
      <c r="AA11" s="310"/>
      <c r="AD11" s="310"/>
      <c r="AE11" s="310"/>
      <c r="AF11" s="310"/>
      <c r="AG11" s="310"/>
      <c r="AI11" s="310"/>
      <c r="AJ11" s="310"/>
      <c r="AK11" s="310"/>
      <c r="AL11" s="310"/>
      <c r="AN11" s="310"/>
      <c r="AO11" s="310"/>
      <c r="AP11" s="310"/>
      <c r="AQ11" s="310"/>
    </row>
    <row r="12" spans="1:43" ht="15.5" thickTop="1" thickBot="1">
      <c r="A12" s="132"/>
      <c r="B12" s="133"/>
      <c r="C12" s="141"/>
      <c r="D12" s="139"/>
      <c r="E12" s="141"/>
      <c r="F12" s="133"/>
      <c r="G12" s="141" t="s">
        <v>390</v>
      </c>
      <c r="H12" s="139"/>
      <c r="I12" s="141"/>
      <c r="J12" s="139"/>
      <c r="K12" s="141"/>
      <c r="L12" s="139"/>
      <c r="M12" s="141"/>
      <c r="N12" s="139"/>
      <c r="O12" s="141"/>
      <c r="P12" s="139"/>
      <c r="Q12" s="141"/>
      <c r="R12" s="139"/>
      <c r="S12" s="141"/>
      <c r="T12" s="162"/>
      <c r="U12" s="170"/>
      <c r="V12" s="167"/>
      <c r="X12" s="310">
        <f>COUNTIF($C$14:$V$14, "DA+0")</f>
        <v>1</v>
      </c>
      <c r="Y12" s="310">
        <f>COUNTIF($C$14:$V$14, "DA+3")</f>
        <v>3</v>
      </c>
      <c r="Z12" s="310">
        <f>COUNTIF($C$14:$V$14, "DA+6")</f>
        <v>1</v>
      </c>
      <c r="AA12" s="310">
        <f>COUNTIF($C$14:$V$14, "DA+9")</f>
        <v>0</v>
      </c>
      <c r="AD12" s="310">
        <f>COUNTIF($C$14:$V$14, "DB+0")</f>
        <v>1</v>
      </c>
      <c r="AE12" s="310">
        <f>COUNTIF($C$14:$V$14, "DB+3")</f>
        <v>0</v>
      </c>
      <c r="AF12" s="310">
        <f>COUNTIF($C$14:$V$14, "DB+6")</f>
        <v>0</v>
      </c>
      <c r="AG12" s="310">
        <f>COUNTIF($C$14:$V$14, "DB+9")</f>
        <v>0</v>
      </c>
      <c r="AI12" s="310">
        <f>COUNTIF($C$14:$V$14, "DC+0")</f>
        <v>0</v>
      </c>
      <c r="AJ12" s="310">
        <f>COUNTIF($C$14:$V$14, "DC+3")</f>
        <v>0</v>
      </c>
      <c r="AK12" s="310">
        <f>COUNTIF($C$14:$V$14, "DC+6")</f>
        <v>0</v>
      </c>
      <c r="AL12" s="310">
        <f>COUNTIF($C$14:$V$14, "DC+9")</f>
        <v>0</v>
      </c>
      <c r="AN12" s="310">
        <f>COUNTIF($C$14:$V$14, "DD+0")</f>
        <v>1</v>
      </c>
      <c r="AO12" s="310">
        <f>COUNTIF($C$14:$V$14, "DD+3")</f>
        <v>0</v>
      </c>
      <c r="AP12" s="310">
        <f>COUNTIF($C$14:$V$14, "DD+6")</f>
        <v>0</v>
      </c>
      <c r="AQ12" s="310">
        <f>COUNTIF($C$14:$V$14, "DD+9")</f>
        <v>0</v>
      </c>
    </row>
    <row r="13" spans="1:43" ht="15" thickTop="1">
      <c r="A13" s="142"/>
      <c r="B13" s="143"/>
      <c r="C13" s="144" t="s">
        <v>310</v>
      </c>
      <c r="D13" s="145"/>
      <c r="E13" s="384" t="s">
        <v>272</v>
      </c>
      <c r="F13" s="145"/>
      <c r="G13" s="384" t="s">
        <v>273</v>
      </c>
      <c r="H13" s="145"/>
      <c r="I13" s="384" t="s">
        <v>311</v>
      </c>
      <c r="J13" s="133"/>
      <c r="K13" s="144" t="s">
        <v>312</v>
      </c>
      <c r="L13" s="133"/>
      <c r="M13" s="384" t="s">
        <v>313</v>
      </c>
      <c r="N13" s="133"/>
      <c r="O13" s="144" t="s">
        <v>314</v>
      </c>
      <c r="P13" s="133"/>
      <c r="Q13" s="144" t="s">
        <v>315</v>
      </c>
      <c r="R13" s="133"/>
      <c r="S13" s="384" t="s">
        <v>316</v>
      </c>
      <c r="T13" s="133"/>
      <c r="U13" s="170"/>
      <c r="V13" s="167"/>
      <c r="X13" s="310"/>
      <c r="Y13" s="310"/>
      <c r="Z13" s="310"/>
      <c r="AA13" s="310"/>
      <c r="AD13" s="310"/>
      <c r="AE13" s="310"/>
      <c r="AF13" s="310"/>
      <c r="AG13" s="310"/>
      <c r="AI13" s="310"/>
      <c r="AJ13" s="310"/>
      <c r="AK13" s="310"/>
      <c r="AL13" s="310"/>
      <c r="AN13" s="310"/>
      <c r="AO13" s="310"/>
      <c r="AP13" s="310"/>
      <c r="AQ13" s="310"/>
    </row>
    <row r="14" spans="1:43">
      <c r="A14" s="146"/>
      <c r="B14" s="143"/>
      <c r="C14" s="147" t="s">
        <v>117</v>
      </c>
      <c r="D14" s="148"/>
      <c r="E14" s="148" t="s">
        <v>185</v>
      </c>
      <c r="F14" s="148"/>
      <c r="G14" s="149" t="s">
        <v>182</v>
      </c>
      <c r="H14" s="148"/>
      <c r="I14" s="149" t="s">
        <v>185</v>
      </c>
      <c r="J14" s="149"/>
      <c r="K14" s="147" t="s">
        <v>119</v>
      </c>
      <c r="L14" s="149"/>
      <c r="M14" s="149" t="s">
        <v>242</v>
      </c>
      <c r="N14" s="149"/>
      <c r="O14" s="147" t="s">
        <v>125</v>
      </c>
      <c r="P14" s="149"/>
      <c r="Q14" s="147" t="s">
        <v>319</v>
      </c>
      <c r="R14" s="149"/>
      <c r="S14" s="149" t="s">
        <v>185</v>
      </c>
      <c r="T14" s="133"/>
      <c r="U14" s="170"/>
      <c r="V14" s="167"/>
      <c r="X14" s="310"/>
      <c r="Y14" s="310"/>
      <c r="Z14" s="310"/>
      <c r="AA14" s="310"/>
      <c r="AD14" s="310"/>
      <c r="AE14" s="310"/>
      <c r="AF14" s="310"/>
      <c r="AG14" s="310"/>
      <c r="AI14" s="310"/>
      <c r="AJ14" s="310"/>
      <c r="AK14" s="310"/>
      <c r="AL14" s="310"/>
      <c r="AN14" s="310"/>
      <c r="AO14" s="310"/>
      <c r="AP14" s="310"/>
      <c r="AQ14" s="310"/>
    </row>
    <row r="15" spans="1:43">
      <c r="A15" s="150"/>
      <c r="B15" s="151"/>
      <c r="C15" s="151"/>
      <c r="D15" s="151"/>
      <c r="E15" s="151"/>
      <c r="F15" s="151"/>
      <c r="G15" s="151"/>
      <c r="H15" s="151"/>
      <c r="I15" s="151"/>
      <c r="J15" s="151"/>
      <c r="K15" s="159" t="s">
        <v>220</v>
      </c>
      <c r="L15" s="151"/>
      <c r="M15" s="159" t="s">
        <v>220</v>
      </c>
      <c r="N15" s="151"/>
      <c r="O15" s="151"/>
      <c r="P15" s="151"/>
      <c r="Q15" s="151"/>
      <c r="R15" s="151"/>
      <c r="S15" s="151"/>
      <c r="T15" s="172"/>
      <c r="U15" s="173"/>
      <c r="V15" s="174"/>
      <c r="X15" s="310"/>
      <c r="Y15" s="310"/>
      <c r="Z15" s="310"/>
      <c r="AA15" s="310"/>
      <c r="AD15" s="310"/>
      <c r="AE15" s="310"/>
      <c r="AF15" s="310"/>
      <c r="AG15" s="310"/>
      <c r="AI15" s="310"/>
      <c r="AJ15" s="310"/>
      <c r="AK15" s="310"/>
      <c r="AL15" s="310"/>
      <c r="AN15" s="310"/>
      <c r="AO15" s="310"/>
      <c r="AP15" s="310"/>
      <c r="AQ15" s="310"/>
    </row>
    <row r="16" spans="1:43">
      <c r="A16" s="152"/>
      <c r="B16" s="153"/>
      <c r="C16" s="153"/>
      <c r="D16" s="153"/>
      <c r="E16" s="153"/>
      <c r="F16" s="153"/>
      <c r="G16" s="153"/>
      <c r="H16" s="153"/>
      <c r="I16" s="153"/>
      <c r="J16" s="153"/>
      <c r="K16" s="153"/>
      <c r="L16" s="153"/>
      <c r="M16" s="153"/>
      <c r="N16" s="153"/>
      <c r="O16" s="153"/>
      <c r="P16" s="153"/>
      <c r="Q16" s="153"/>
      <c r="R16" s="153"/>
      <c r="S16" s="153"/>
      <c r="T16" s="153"/>
      <c r="U16" s="175"/>
      <c r="V16" s="176"/>
      <c r="X16" s="310"/>
      <c r="Y16" s="310"/>
      <c r="Z16" s="310"/>
      <c r="AA16" s="310"/>
      <c r="AD16" s="310"/>
      <c r="AE16" s="310"/>
      <c r="AF16" s="310"/>
      <c r="AG16" s="310"/>
      <c r="AI16" s="310"/>
      <c r="AJ16" s="310"/>
      <c r="AK16" s="310"/>
      <c r="AL16" s="310"/>
      <c r="AN16" s="310"/>
      <c r="AO16" s="310"/>
      <c r="AP16" s="310"/>
      <c r="AQ16" s="310"/>
    </row>
    <row r="17" spans="1:43">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177"/>
      <c r="X17" s="310"/>
      <c r="Y17" s="310"/>
      <c r="Z17" s="310"/>
      <c r="AA17" s="310"/>
      <c r="AD17" s="310"/>
      <c r="AE17" s="310"/>
      <c r="AF17" s="310"/>
      <c r="AG17" s="310"/>
      <c r="AI17" s="310"/>
      <c r="AJ17" s="310"/>
      <c r="AK17" s="310"/>
      <c r="AL17" s="310"/>
      <c r="AN17" s="310"/>
      <c r="AO17" s="310"/>
      <c r="AP17" s="310"/>
      <c r="AQ17" s="310"/>
    </row>
    <row r="18" spans="1:43">
      <c r="A18" s="132"/>
      <c r="B18" s="149"/>
      <c r="C18" s="149"/>
      <c r="D18" s="149"/>
      <c r="E18" s="149"/>
      <c r="F18" s="149"/>
      <c r="G18" s="149"/>
      <c r="H18" s="149"/>
      <c r="I18" s="149"/>
      <c r="J18" s="149"/>
      <c r="K18" s="149"/>
      <c r="L18" s="149"/>
      <c r="M18" s="149"/>
      <c r="N18" s="149"/>
      <c r="O18" s="149"/>
      <c r="P18" s="149"/>
      <c r="Q18" s="149"/>
      <c r="R18" s="149"/>
      <c r="S18" s="149"/>
      <c r="T18" s="149"/>
      <c r="U18" s="133"/>
      <c r="V18" s="177"/>
      <c r="X18" s="310"/>
      <c r="Y18" s="310"/>
      <c r="Z18" s="310"/>
      <c r="AA18" s="310"/>
      <c r="AD18" s="310"/>
      <c r="AE18" s="310"/>
      <c r="AF18" s="310"/>
      <c r="AG18" s="310"/>
      <c r="AI18" s="310"/>
      <c r="AJ18" s="310"/>
      <c r="AK18" s="310"/>
      <c r="AL18" s="310"/>
      <c r="AN18" s="310"/>
      <c r="AO18" s="310"/>
      <c r="AP18" s="310"/>
      <c r="AQ18" s="310"/>
    </row>
    <row r="19" spans="1:43" ht="15" thickBot="1">
      <c r="A19" s="132"/>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178">
        <f>C19+G19+I19+K19+M19+E19+O19+Q19+S19+U19</f>
        <v>3657.9500000000003</v>
      </c>
      <c r="X19" s="310"/>
      <c r="Y19" s="310"/>
      <c r="Z19" s="310"/>
      <c r="AA19" s="310"/>
      <c r="AD19" s="310"/>
      <c r="AE19" s="310"/>
      <c r="AF19" s="310"/>
      <c r="AG19" s="310"/>
      <c r="AI19" s="310"/>
      <c r="AJ19" s="310"/>
      <c r="AK19" s="310"/>
      <c r="AL19" s="310"/>
      <c r="AN19" s="310"/>
      <c r="AO19" s="310"/>
      <c r="AP19" s="310"/>
      <c r="AQ19" s="310"/>
    </row>
    <row r="20" spans="1:43" ht="15.5" thickTop="1" thickBot="1">
      <c r="A20" s="132"/>
      <c r="B20" s="140"/>
      <c r="C20" s="139"/>
      <c r="D20" s="140"/>
      <c r="E20" s="139"/>
      <c r="F20" s="140"/>
      <c r="G20" s="133"/>
      <c r="H20" s="140"/>
      <c r="I20" s="139"/>
      <c r="J20" s="140"/>
      <c r="K20" s="139"/>
      <c r="L20" s="140"/>
      <c r="M20" s="139"/>
      <c r="N20" s="140"/>
      <c r="O20" s="139"/>
      <c r="P20" s="140"/>
      <c r="Q20" s="139"/>
      <c r="R20" s="140"/>
      <c r="S20" s="139"/>
      <c r="T20" s="140"/>
      <c r="U20" s="162"/>
      <c r="V20" s="178"/>
      <c r="X20" s="310"/>
      <c r="Y20" s="310"/>
      <c r="Z20" s="310"/>
      <c r="AA20" s="310"/>
      <c r="AD20" s="310"/>
      <c r="AE20" s="310"/>
      <c r="AF20" s="310"/>
      <c r="AG20" s="310"/>
      <c r="AI20" s="310"/>
      <c r="AJ20" s="310"/>
      <c r="AK20" s="310"/>
      <c r="AL20" s="310"/>
      <c r="AN20" s="310"/>
      <c r="AO20" s="310"/>
      <c r="AP20" s="310"/>
      <c r="AQ20" s="310"/>
    </row>
    <row r="21" spans="1:43" ht="15.5" thickTop="1" thickBot="1">
      <c r="A21" s="132"/>
      <c r="B21" s="141"/>
      <c r="C21" s="139"/>
      <c r="D21" s="141"/>
      <c r="E21" s="139"/>
      <c r="F21" s="141"/>
      <c r="G21" s="133"/>
      <c r="H21" s="141"/>
      <c r="I21" s="139"/>
      <c r="J21" s="141"/>
      <c r="K21" s="139"/>
      <c r="L21" s="141"/>
      <c r="M21" s="139"/>
      <c r="N21" s="141"/>
      <c r="O21" s="139"/>
      <c r="P21" s="141"/>
      <c r="Q21" s="139"/>
      <c r="R21" s="141"/>
      <c r="S21" s="139"/>
      <c r="T21" s="141"/>
      <c r="U21" s="162"/>
      <c r="V21" s="177"/>
      <c r="X21" s="310"/>
      <c r="Y21" s="310"/>
      <c r="Z21" s="310"/>
      <c r="AA21" s="310"/>
      <c r="AD21" s="310"/>
      <c r="AE21" s="310"/>
      <c r="AF21" s="310"/>
      <c r="AG21" s="310"/>
      <c r="AI21" s="310"/>
      <c r="AJ21" s="310"/>
      <c r="AK21" s="310"/>
      <c r="AL21" s="310"/>
      <c r="AN21" s="310"/>
      <c r="AO21" s="310"/>
      <c r="AP21" s="310"/>
      <c r="AQ21" s="310"/>
    </row>
    <row r="22" spans="1:43" ht="15" thickTop="1">
      <c r="A22" s="132"/>
      <c r="B22" s="384" t="s">
        <v>320</v>
      </c>
      <c r="C22" s="133"/>
      <c r="D22" s="384" t="s">
        <v>321</v>
      </c>
      <c r="E22" s="133"/>
      <c r="F22" s="144" t="s">
        <v>322</v>
      </c>
      <c r="G22" s="133"/>
      <c r="H22" s="144" t="s">
        <v>323</v>
      </c>
      <c r="I22" s="133"/>
      <c r="J22" s="144" t="s">
        <v>324</v>
      </c>
      <c r="K22" s="133"/>
      <c r="L22" s="384" t="s">
        <v>325</v>
      </c>
      <c r="M22" s="133"/>
      <c r="N22" s="144" t="s">
        <v>326</v>
      </c>
      <c r="O22" s="133"/>
      <c r="P22" s="384" t="s">
        <v>327</v>
      </c>
      <c r="Q22" s="133"/>
      <c r="R22" s="384" t="s">
        <v>328</v>
      </c>
      <c r="S22" s="133"/>
      <c r="T22" s="144" t="s">
        <v>329</v>
      </c>
      <c r="U22" s="133"/>
      <c r="V22" s="179"/>
      <c r="X22" s="310">
        <f>COUNTIF($B$23:$V$23, "DA+0")</f>
        <v>1</v>
      </c>
      <c r="Y22" s="310">
        <f>COUNTIF($B$23:$V$23, "DA+3")</f>
        <v>1</v>
      </c>
      <c r="Z22" s="310">
        <f>COUNTIF($B$23:$V$23, "DA+6")</f>
        <v>3</v>
      </c>
      <c r="AA22" s="310">
        <f>COUNTIF($B$23:$V$23, "DA+9")</f>
        <v>0</v>
      </c>
      <c r="AD22" s="310">
        <f>COUNTIF($B$23:$V$23, "DB+0")</f>
        <v>0</v>
      </c>
      <c r="AE22" s="310">
        <f>COUNTIF($B$23:$V$23, "DB+3")</f>
        <v>0</v>
      </c>
      <c r="AF22" s="310">
        <f>COUNTIF($B$23:$V$23, "DB+6")</f>
        <v>0</v>
      </c>
      <c r="AG22" s="310">
        <f>COUNTIF($B$23:$V$23, "DB+9")</f>
        <v>2</v>
      </c>
      <c r="AI22" s="310">
        <f>COUNTIF($B$23:$V$23, "DC+0")</f>
        <v>0</v>
      </c>
      <c r="AJ22" s="310">
        <f>COUNTIF($B$23:$V$23, "DC+3")</f>
        <v>0</v>
      </c>
      <c r="AK22" s="310">
        <f>COUNTIF($B$23:$V$23, "DC+6")</f>
        <v>0</v>
      </c>
      <c r="AL22" s="310">
        <f>COUNTIF($B$23:$V$23, "DC+9")</f>
        <v>0</v>
      </c>
      <c r="AN22" s="310">
        <f>COUNTIF($B$23:$V$23, "DD+0")</f>
        <v>0</v>
      </c>
      <c r="AO22" s="310">
        <f>COUNTIF($B$23:$V$23, "DD+3")</f>
        <v>0</v>
      </c>
      <c r="AP22" s="310">
        <f>COUNTIF($B$23:$V$23, "DD+6")</f>
        <v>0</v>
      </c>
      <c r="AQ22" s="310">
        <f>COUNTIF($B$23:$V$23, "DD+9")</f>
        <v>0</v>
      </c>
    </row>
    <row r="23" spans="1:43">
      <c r="A23" s="132"/>
      <c r="B23" s="133" t="s">
        <v>242</v>
      </c>
      <c r="C23" s="133"/>
      <c r="D23" s="133" t="s">
        <v>185</v>
      </c>
      <c r="E23" s="133"/>
      <c r="F23" s="144" t="s">
        <v>117</v>
      </c>
      <c r="G23" s="133"/>
      <c r="H23" s="144" t="s">
        <v>330</v>
      </c>
      <c r="I23" s="133"/>
      <c r="J23" s="144" t="s">
        <v>132</v>
      </c>
      <c r="K23" s="133"/>
      <c r="L23" s="145" t="s">
        <v>182</v>
      </c>
      <c r="M23" s="133"/>
      <c r="N23" s="144" t="s">
        <v>132</v>
      </c>
      <c r="O23" s="133"/>
      <c r="P23" s="145" t="s">
        <v>242</v>
      </c>
      <c r="Q23" s="133"/>
      <c r="R23" s="145" t="s">
        <v>242</v>
      </c>
      <c r="S23" s="133"/>
      <c r="T23" s="144" t="s">
        <v>330</v>
      </c>
      <c r="U23" s="133"/>
      <c r="V23" s="179"/>
      <c r="X23" s="310"/>
      <c r="Y23" s="310"/>
      <c r="Z23" s="310"/>
      <c r="AA23" s="310"/>
      <c r="AD23" s="310"/>
      <c r="AE23" s="310"/>
      <c r="AF23" s="310"/>
      <c r="AG23" s="310"/>
      <c r="AI23" s="310"/>
      <c r="AJ23" s="310"/>
      <c r="AK23" s="310"/>
      <c r="AL23" s="310"/>
      <c r="AN23" s="310"/>
      <c r="AO23" s="310"/>
      <c r="AP23" s="310"/>
      <c r="AQ23" s="310"/>
    </row>
    <row r="24" spans="1:43">
      <c r="A24" s="132"/>
      <c r="B24" s="144" t="s">
        <v>331</v>
      </c>
      <c r="C24" s="133"/>
      <c r="D24" s="144" t="s">
        <v>220</v>
      </c>
      <c r="E24" s="133"/>
      <c r="F24" s="144" t="s">
        <v>220</v>
      </c>
      <c r="G24" s="133"/>
      <c r="H24" s="144" t="s">
        <v>331</v>
      </c>
      <c r="I24" s="133"/>
      <c r="J24" s="133"/>
      <c r="K24" s="133"/>
      <c r="L24" s="144"/>
      <c r="M24" s="133"/>
      <c r="N24" s="133"/>
      <c r="O24" s="133"/>
      <c r="P24" s="160"/>
      <c r="Q24" s="133"/>
      <c r="R24" s="144"/>
      <c r="S24" s="133"/>
      <c r="T24" s="144" t="s">
        <v>331</v>
      </c>
      <c r="U24" s="143"/>
      <c r="V24" s="177"/>
      <c r="X24" s="310"/>
      <c r="Y24" s="310"/>
      <c r="Z24" s="310"/>
      <c r="AA24" s="310"/>
      <c r="AD24" s="310"/>
      <c r="AE24" s="310"/>
      <c r="AF24" s="310"/>
      <c r="AG24" s="310"/>
      <c r="AI24" s="310"/>
      <c r="AJ24" s="310"/>
      <c r="AK24" s="310"/>
      <c r="AL24" s="310"/>
      <c r="AN24" s="310"/>
      <c r="AO24" s="310"/>
      <c r="AP24" s="310"/>
      <c r="AQ24" s="310"/>
    </row>
    <row r="25" spans="1:43">
      <c r="A25" s="132"/>
      <c r="B25" s="133"/>
      <c r="C25" s="133"/>
      <c r="D25" s="133"/>
      <c r="E25" s="133"/>
      <c r="F25" s="133"/>
      <c r="G25" s="133"/>
      <c r="H25" s="133"/>
      <c r="I25" s="133"/>
      <c r="J25" s="133"/>
      <c r="K25" s="133"/>
      <c r="L25" s="133"/>
      <c r="M25" s="133"/>
      <c r="N25" s="133"/>
      <c r="O25" s="133"/>
      <c r="P25" s="133"/>
      <c r="Q25" s="133"/>
      <c r="R25" s="133"/>
      <c r="S25" s="133"/>
      <c r="T25" s="133"/>
      <c r="U25" s="133"/>
      <c r="V25" s="177"/>
      <c r="X25" s="310"/>
      <c r="Y25" s="310"/>
      <c r="Z25" s="310"/>
      <c r="AA25" s="310"/>
      <c r="AD25" s="310"/>
      <c r="AE25" s="310"/>
      <c r="AF25" s="310"/>
      <c r="AG25" s="310"/>
      <c r="AI25" s="310"/>
      <c r="AJ25" s="310"/>
      <c r="AK25" s="310"/>
      <c r="AL25" s="310"/>
      <c r="AN25" s="310"/>
      <c r="AO25" s="310"/>
      <c r="AP25" s="310"/>
      <c r="AQ25" s="310"/>
    </row>
    <row r="26" spans="1:43">
      <c r="A26" s="132"/>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177"/>
      <c r="X26" s="310"/>
      <c r="Y26" s="310"/>
      <c r="Z26" s="310"/>
      <c r="AA26" s="310"/>
      <c r="AD26" s="310"/>
      <c r="AE26" s="310"/>
      <c r="AF26" s="310"/>
      <c r="AG26" s="310"/>
      <c r="AI26" s="310"/>
      <c r="AJ26" s="310"/>
      <c r="AK26" s="310"/>
      <c r="AL26" s="310"/>
      <c r="AN26" s="310"/>
      <c r="AO26" s="310"/>
      <c r="AP26" s="310"/>
      <c r="AQ26" s="310"/>
    </row>
    <row r="27" spans="1:43">
      <c r="A27" s="132"/>
      <c r="B27" s="133"/>
      <c r="C27" s="133"/>
      <c r="D27" s="133"/>
      <c r="E27" s="133"/>
      <c r="F27" s="133"/>
      <c r="G27" s="133"/>
      <c r="H27" s="133"/>
      <c r="I27" s="133"/>
      <c r="J27" s="133"/>
      <c r="K27" s="133"/>
      <c r="L27" s="133"/>
      <c r="M27" s="133"/>
      <c r="N27" s="133"/>
      <c r="O27" s="133"/>
      <c r="P27" s="133"/>
      <c r="Q27" s="133"/>
      <c r="R27" s="133"/>
      <c r="S27" s="133"/>
      <c r="T27" s="133"/>
      <c r="U27" s="133"/>
      <c r="V27" s="177"/>
      <c r="X27" s="310"/>
      <c r="Y27" s="310"/>
      <c r="Z27" s="310"/>
      <c r="AA27" s="310"/>
      <c r="AD27" s="310"/>
      <c r="AE27" s="310"/>
      <c r="AF27" s="310"/>
      <c r="AG27" s="310"/>
      <c r="AI27" s="310"/>
      <c r="AJ27" s="310"/>
      <c r="AK27" s="310"/>
      <c r="AL27" s="310"/>
      <c r="AN27" s="310"/>
      <c r="AO27" s="310"/>
      <c r="AP27" s="310"/>
      <c r="AQ27" s="310"/>
    </row>
    <row r="28" spans="1:43" ht="15" thickBot="1">
      <c r="A28" s="132"/>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178">
        <f>C28+G28+I28+K28+M28+E28+O28+Q28+S28+U28</f>
        <v>3669.3599999999997</v>
      </c>
      <c r="X28" s="310"/>
      <c r="Y28" s="310"/>
      <c r="Z28" s="310"/>
      <c r="AA28" s="310"/>
      <c r="AD28" s="310"/>
      <c r="AE28" s="310"/>
      <c r="AF28" s="310"/>
      <c r="AG28" s="310"/>
      <c r="AI28" s="310"/>
      <c r="AJ28" s="310"/>
      <c r="AK28" s="310"/>
      <c r="AL28" s="310"/>
      <c r="AN28" s="310"/>
      <c r="AO28" s="310"/>
      <c r="AP28" s="310"/>
      <c r="AQ28" s="310"/>
    </row>
    <row r="29" spans="1:43" ht="15.5" thickTop="1" thickBot="1">
      <c r="A29" s="132"/>
      <c r="B29" s="138"/>
      <c r="C29" s="139"/>
      <c r="D29" s="140"/>
      <c r="E29" s="139"/>
      <c r="F29" s="140"/>
      <c r="G29" s="133"/>
      <c r="H29" s="140"/>
      <c r="I29" s="139"/>
      <c r="J29" s="140"/>
      <c r="K29" s="139"/>
      <c r="L29" s="140"/>
      <c r="M29" s="139"/>
      <c r="N29" s="138"/>
      <c r="O29" s="139"/>
      <c r="P29" s="140"/>
      <c r="Q29" s="139"/>
      <c r="R29" s="138"/>
      <c r="S29" s="139"/>
      <c r="T29" s="140"/>
      <c r="U29" s="162"/>
      <c r="V29" s="178"/>
      <c r="X29" s="310"/>
      <c r="Y29" s="310"/>
      <c r="Z29" s="310"/>
      <c r="AA29" s="310"/>
      <c r="AD29" s="310"/>
      <c r="AE29" s="310"/>
      <c r="AF29" s="310"/>
      <c r="AG29" s="310"/>
      <c r="AI29" s="310"/>
      <c r="AJ29" s="310"/>
      <c r="AK29" s="310"/>
      <c r="AL29" s="310"/>
      <c r="AN29" s="310"/>
      <c r="AO29" s="310"/>
      <c r="AP29" s="310"/>
      <c r="AQ29" s="310"/>
    </row>
    <row r="30" spans="1:43" ht="15.5" thickTop="1" thickBot="1">
      <c r="A30" s="132"/>
      <c r="B30" s="141"/>
      <c r="C30" s="139"/>
      <c r="D30" s="141"/>
      <c r="E30" s="139"/>
      <c r="F30" s="141"/>
      <c r="G30" s="133"/>
      <c r="H30" s="141"/>
      <c r="I30" s="139"/>
      <c r="J30" s="141"/>
      <c r="K30" s="139"/>
      <c r="L30" s="141"/>
      <c r="M30" s="139"/>
      <c r="N30" s="141"/>
      <c r="O30" s="139"/>
      <c r="P30" s="141"/>
      <c r="Q30" s="139"/>
      <c r="R30" s="141"/>
      <c r="S30" s="139"/>
      <c r="T30" s="141"/>
      <c r="U30" s="162"/>
      <c r="V30" s="177"/>
      <c r="X30" s="310"/>
      <c r="Y30" s="310"/>
      <c r="Z30" s="310"/>
      <c r="AA30" s="310"/>
      <c r="AD30" s="310"/>
      <c r="AE30" s="310"/>
      <c r="AF30" s="310"/>
      <c r="AG30" s="310"/>
      <c r="AI30" s="310"/>
      <c r="AJ30" s="310"/>
      <c r="AK30" s="310"/>
      <c r="AL30" s="310"/>
      <c r="AN30" s="310"/>
      <c r="AO30" s="310"/>
      <c r="AP30" s="310"/>
      <c r="AQ30" s="310"/>
    </row>
    <row r="31" spans="1:43" ht="15" thickTop="1">
      <c r="A31" s="132"/>
      <c r="B31" s="144" t="s">
        <v>333</v>
      </c>
      <c r="C31" s="133"/>
      <c r="D31" s="144" t="s">
        <v>334</v>
      </c>
      <c r="E31" s="133"/>
      <c r="F31" s="384" t="s">
        <v>335</v>
      </c>
      <c r="G31" s="133"/>
      <c r="H31" s="144" t="s">
        <v>336</v>
      </c>
      <c r="I31" s="133"/>
      <c r="J31" s="384" t="s">
        <v>337</v>
      </c>
      <c r="K31" s="133"/>
      <c r="L31" s="384" t="s">
        <v>338</v>
      </c>
      <c r="M31" s="133"/>
      <c r="N31" s="384" t="s">
        <v>339</v>
      </c>
      <c r="O31" s="133"/>
      <c r="P31" s="144" t="s">
        <v>340</v>
      </c>
      <c r="Q31" s="133"/>
      <c r="R31" s="384" t="s">
        <v>281</v>
      </c>
      <c r="S31" s="133"/>
      <c r="T31" s="144" t="s">
        <v>341</v>
      </c>
      <c r="U31" s="133"/>
      <c r="V31" s="180"/>
      <c r="X31" s="310"/>
      <c r="Y31" s="310"/>
      <c r="Z31" s="310"/>
      <c r="AA31" s="310"/>
      <c r="AD31" s="310"/>
      <c r="AE31" s="310"/>
      <c r="AF31" s="310"/>
      <c r="AG31" s="310"/>
      <c r="AI31" s="310"/>
      <c r="AJ31" s="310"/>
      <c r="AK31" s="310"/>
      <c r="AL31" s="310"/>
      <c r="AN31" s="310"/>
      <c r="AO31" s="310"/>
      <c r="AP31" s="310"/>
      <c r="AQ31" s="310"/>
    </row>
    <row r="32" spans="1:43">
      <c r="A32" s="132"/>
      <c r="B32" s="144" t="s">
        <v>330</v>
      </c>
      <c r="C32" s="133"/>
      <c r="D32" s="144" t="s">
        <v>342</v>
      </c>
      <c r="E32" s="133"/>
      <c r="F32" s="145" t="s">
        <v>182</v>
      </c>
      <c r="G32" s="133"/>
      <c r="H32" s="144" t="s">
        <v>343</v>
      </c>
      <c r="I32" s="133"/>
      <c r="J32" s="145" t="s">
        <v>248</v>
      </c>
      <c r="K32" s="133"/>
      <c r="L32" s="145" t="s">
        <v>182</v>
      </c>
      <c r="M32" s="133"/>
      <c r="N32" s="145" t="s">
        <v>248</v>
      </c>
      <c r="O32" s="133"/>
      <c r="P32" s="144" t="s">
        <v>319</v>
      </c>
      <c r="Q32" s="133"/>
      <c r="R32" s="145" t="s">
        <v>248</v>
      </c>
      <c r="S32" s="133"/>
      <c r="T32" s="144" t="s">
        <v>344</v>
      </c>
      <c r="U32" s="133"/>
      <c r="V32" s="180"/>
      <c r="X32" s="310">
        <f>COUNTIF($B$32:$V$32, "DA+0")</f>
        <v>2</v>
      </c>
      <c r="Y32" s="310">
        <f>COUNTIF($B$32:$V$32, "DA+3")</f>
        <v>0</v>
      </c>
      <c r="Z32" s="310">
        <f>COUNTIF($B$32:$V$32, "DA+6")</f>
        <v>0</v>
      </c>
      <c r="AA32" s="310">
        <f>COUNTIF($B$32:$V$32, "DA+9")</f>
        <v>3</v>
      </c>
      <c r="AD32" s="310">
        <f>COUNTIF($B$32:$V$32, "DB+0")</f>
        <v>0</v>
      </c>
      <c r="AE32" s="310">
        <f>COUNTIF($B$32:$V$32, "DB+3")</f>
        <v>0</v>
      </c>
      <c r="AF32" s="310">
        <f>COUNTIF($B$32:$V$32, "DB+6")</f>
        <v>0</v>
      </c>
      <c r="AG32" s="310">
        <f>COUNTIF($B$32:$V$32, "DB+9")</f>
        <v>0</v>
      </c>
      <c r="AI32" s="310">
        <f>COUNTIF($B$32:$V$32, "DC+0")</f>
        <v>0</v>
      </c>
      <c r="AJ32" s="310">
        <f>COUNTIF($B$32:$V$32, "DC+3")</f>
        <v>0</v>
      </c>
      <c r="AK32" s="310">
        <f>COUNTIF($B$32:$V$32, "DC+6")</f>
        <v>0</v>
      </c>
      <c r="AL32" s="310">
        <f>COUNTIF($B$32:$V$32, "DC+9")</f>
        <v>0</v>
      </c>
      <c r="AN32" s="310">
        <f>COUNTIF($B$32:$V$32, "DD+0")</f>
        <v>0</v>
      </c>
      <c r="AO32" s="310">
        <f>COUNTIF($B$32:$V$32, "DD+3")</f>
        <v>0</v>
      </c>
      <c r="AP32" s="310">
        <f>COUNTIF($B$32:$V$32, "DD+6")</f>
        <v>0</v>
      </c>
      <c r="AQ32" s="310">
        <f>COUNTIF($B$32:$V$32, "DD+9")</f>
        <v>0</v>
      </c>
    </row>
    <row r="33" spans="1:43">
      <c r="A33" s="132"/>
      <c r="B33" s="133"/>
      <c r="C33" s="133"/>
      <c r="D33" s="133"/>
      <c r="E33" s="133"/>
      <c r="F33" s="144" t="s">
        <v>345</v>
      </c>
      <c r="G33" s="133"/>
      <c r="H33" s="144"/>
      <c r="I33" s="133"/>
      <c r="J33" s="155"/>
      <c r="K33" s="155"/>
      <c r="L33" s="155"/>
      <c r="M33" s="155"/>
      <c r="N33" s="144" t="s">
        <v>220</v>
      </c>
      <c r="O33" s="155"/>
      <c r="P33" s="155"/>
      <c r="Q33" s="155"/>
      <c r="R33" s="155"/>
      <c r="S33" s="155"/>
      <c r="T33" s="155"/>
      <c r="U33" s="133"/>
      <c r="V33" s="177"/>
      <c r="X33" s="310"/>
      <c r="Y33" s="310"/>
      <c r="Z33" s="310"/>
      <c r="AA33" s="310"/>
      <c r="AD33" s="310"/>
      <c r="AE33" s="310"/>
      <c r="AF33" s="310"/>
      <c r="AG33" s="310"/>
      <c r="AI33" s="310"/>
      <c r="AJ33" s="310"/>
      <c r="AK33" s="310"/>
      <c r="AL33" s="310"/>
      <c r="AN33" s="310"/>
      <c r="AO33" s="310"/>
      <c r="AP33" s="310"/>
      <c r="AQ33" s="310"/>
    </row>
    <row r="34" spans="1:43">
      <c r="A34" s="132"/>
      <c r="B34" s="133"/>
      <c r="C34" s="133"/>
      <c r="D34" s="133"/>
      <c r="E34" s="133"/>
      <c r="F34" s="133"/>
      <c r="G34" s="133"/>
      <c r="H34" s="133"/>
      <c r="I34" s="133"/>
      <c r="J34" s="133"/>
      <c r="K34" s="133"/>
      <c r="L34" s="133"/>
      <c r="M34" s="133"/>
      <c r="N34" s="133"/>
      <c r="O34" s="133"/>
      <c r="P34" s="133"/>
      <c r="Q34" s="133"/>
      <c r="R34" s="133"/>
      <c r="S34" s="133"/>
      <c r="T34" s="133"/>
      <c r="U34" s="133"/>
      <c r="V34" s="177"/>
      <c r="X34" s="310"/>
      <c r="Y34" s="310"/>
      <c r="Z34" s="310"/>
      <c r="AA34" s="310"/>
      <c r="AD34" s="310"/>
      <c r="AE34" s="310"/>
      <c r="AF34" s="310"/>
      <c r="AG34" s="310"/>
      <c r="AI34" s="310"/>
      <c r="AJ34" s="310"/>
      <c r="AK34" s="310"/>
      <c r="AL34" s="310"/>
      <c r="AN34" s="310"/>
      <c r="AO34" s="310"/>
      <c r="AP34" s="310"/>
      <c r="AQ34" s="310"/>
    </row>
    <row r="35" spans="1:43">
      <c r="A35" s="132"/>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177"/>
      <c r="X35" s="310"/>
      <c r="Y35" s="310"/>
      <c r="Z35" s="310"/>
      <c r="AA35" s="310"/>
      <c r="AD35" s="310"/>
      <c r="AE35" s="310"/>
      <c r="AF35" s="310"/>
      <c r="AG35" s="310"/>
      <c r="AI35" s="310"/>
      <c r="AJ35" s="310"/>
      <c r="AK35" s="310"/>
      <c r="AL35" s="310"/>
      <c r="AN35" s="310"/>
      <c r="AO35" s="310"/>
      <c r="AP35" s="310"/>
      <c r="AQ35" s="310"/>
    </row>
    <row r="36" spans="1:43">
      <c r="A36" s="132"/>
      <c r="B36" s="133"/>
      <c r="C36" s="133"/>
      <c r="D36" s="133"/>
      <c r="E36" s="133"/>
      <c r="F36" s="133"/>
      <c r="G36" s="133"/>
      <c r="H36" s="133"/>
      <c r="I36" s="133"/>
      <c r="J36" s="133"/>
      <c r="K36" s="133"/>
      <c r="L36" s="133"/>
      <c r="M36" s="133"/>
      <c r="N36" s="133"/>
      <c r="O36" s="133"/>
      <c r="P36" s="133"/>
      <c r="Q36" s="133"/>
      <c r="R36" s="133"/>
      <c r="S36" s="133"/>
      <c r="T36" s="149"/>
      <c r="U36" s="149"/>
      <c r="V36" s="177"/>
      <c r="X36" s="310"/>
      <c r="Y36" s="310"/>
      <c r="Z36" s="310"/>
      <c r="AA36" s="310"/>
      <c r="AD36" s="310"/>
      <c r="AE36" s="310"/>
      <c r="AF36" s="310"/>
      <c r="AG36" s="310"/>
      <c r="AI36" s="310"/>
      <c r="AJ36" s="310"/>
      <c r="AK36" s="310"/>
      <c r="AL36" s="310"/>
      <c r="AN36" s="310"/>
      <c r="AO36" s="310"/>
      <c r="AP36" s="310"/>
      <c r="AQ36" s="310"/>
    </row>
    <row r="37" spans="1:43" ht="15" thickBot="1">
      <c r="A37" s="132"/>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56"/>
      <c r="U37" s="156">
        <v>423.77</v>
      </c>
      <c r="V37" s="178" t="e">
        <f>C37+G37+I37+K37+M37+E37+#REF!+O37+Q37+#REF!</f>
        <v>#REF!</v>
      </c>
      <c r="X37" s="310"/>
      <c r="Y37" s="310"/>
      <c r="Z37" s="310"/>
      <c r="AA37" s="310"/>
      <c r="AD37" s="310"/>
      <c r="AE37" s="310"/>
      <c r="AF37" s="310"/>
      <c r="AG37" s="310"/>
      <c r="AI37" s="310"/>
      <c r="AJ37" s="310"/>
      <c r="AK37" s="310"/>
      <c r="AL37" s="310"/>
      <c r="AN37" s="310"/>
      <c r="AO37" s="310"/>
      <c r="AP37" s="310"/>
      <c r="AQ37" s="310"/>
    </row>
    <row r="38" spans="1:43" ht="15.5" thickTop="1" thickBot="1">
      <c r="A38" s="132"/>
      <c r="B38" s="140"/>
      <c r="C38" s="139"/>
      <c r="D38" s="140"/>
      <c r="E38" s="139"/>
      <c r="F38" s="140"/>
      <c r="G38" s="133"/>
      <c r="H38" s="140"/>
      <c r="I38" s="139"/>
      <c r="J38" s="140"/>
      <c r="K38" s="139"/>
      <c r="L38" s="140"/>
      <c r="M38" s="139"/>
      <c r="N38" s="140"/>
      <c r="O38" s="137"/>
      <c r="P38" s="140"/>
      <c r="Q38" s="162"/>
      <c r="R38" s="181"/>
      <c r="S38" s="133"/>
      <c r="T38" s="181"/>
      <c r="U38" s="133"/>
      <c r="V38" s="178"/>
      <c r="X38" s="310"/>
      <c r="Y38" s="310"/>
      <c r="Z38" s="310"/>
      <c r="AA38" s="310"/>
      <c r="AD38" s="310"/>
      <c r="AE38" s="310"/>
      <c r="AF38" s="310"/>
      <c r="AG38" s="310"/>
      <c r="AI38" s="310"/>
      <c r="AJ38" s="310"/>
      <c r="AK38" s="310"/>
      <c r="AL38" s="310"/>
      <c r="AN38" s="310"/>
      <c r="AO38" s="310"/>
      <c r="AP38" s="310"/>
      <c r="AQ38" s="310"/>
    </row>
    <row r="39" spans="1:43" ht="15.5" thickTop="1" thickBot="1">
      <c r="A39" s="132"/>
      <c r="B39" s="141"/>
      <c r="C39" s="139"/>
      <c r="D39" s="141"/>
      <c r="E39" s="139"/>
      <c r="F39" s="141"/>
      <c r="G39" s="133"/>
      <c r="H39" s="141"/>
      <c r="I39" s="139"/>
      <c r="J39" s="141"/>
      <c r="K39" s="139"/>
      <c r="L39" s="141"/>
      <c r="M39" s="139"/>
      <c r="N39" s="141"/>
      <c r="O39" s="137"/>
      <c r="P39" s="141"/>
      <c r="Q39" s="162"/>
      <c r="R39" s="182"/>
      <c r="S39" s="133"/>
      <c r="T39" s="182"/>
      <c r="U39" s="133"/>
      <c r="V39" s="177"/>
      <c r="X39" s="310"/>
      <c r="Y39" s="310"/>
      <c r="Z39" s="310"/>
      <c r="AA39" s="310"/>
      <c r="AD39" s="310"/>
      <c r="AE39" s="310"/>
      <c r="AF39" s="310"/>
      <c r="AG39" s="310"/>
      <c r="AI39" s="310"/>
      <c r="AJ39" s="310"/>
      <c r="AK39" s="310"/>
      <c r="AL39" s="310"/>
      <c r="AN39" s="310"/>
      <c r="AO39" s="310"/>
      <c r="AP39" s="310"/>
      <c r="AQ39" s="310"/>
    </row>
    <row r="40" spans="1:43" ht="15" thickTop="1">
      <c r="A40" s="132"/>
      <c r="B40" s="384" t="s">
        <v>346</v>
      </c>
      <c r="C40" s="133"/>
      <c r="D40" s="384" t="s">
        <v>347</v>
      </c>
      <c r="E40" s="133"/>
      <c r="F40" s="384" t="s">
        <v>348</v>
      </c>
      <c r="G40" s="133"/>
      <c r="H40" s="384" t="s">
        <v>282</v>
      </c>
      <c r="I40" s="133"/>
      <c r="J40" s="384" t="s">
        <v>283</v>
      </c>
      <c r="K40" s="133"/>
      <c r="L40" s="144" t="s">
        <v>349</v>
      </c>
      <c r="M40" s="133"/>
      <c r="N40" s="384" t="s">
        <v>350</v>
      </c>
      <c r="O40" s="133"/>
      <c r="P40" s="144" t="s">
        <v>351</v>
      </c>
      <c r="Q40" s="133"/>
      <c r="R40" s="384" t="s">
        <v>352</v>
      </c>
      <c r="S40" s="133"/>
      <c r="T40" s="384" t="s">
        <v>353</v>
      </c>
      <c r="U40" s="133"/>
      <c r="V40" s="177"/>
      <c r="X40" s="310"/>
      <c r="Y40" s="310"/>
      <c r="Z40" s="310"/>
      <c r="AA40" s="310"/>
      <c r="AD40" s="310"/>
      <c r="AE40" s="310"/>
      <c r="AF40" s="310"/>
      <c r="AG40" s="310"/>
      <c r="AI40" s="310"/>
      <c r="AJ40" s="310"/>
      <c r="AK40" s="310"/>
      <c r="AL40" s="310"/>
      <c r="AN40" s="310"/>
      <c r="AO40" s="310"/>
      <c r="AP40" s="310"/>
      <c r="AQ40" s="310"/>
    </row>
    <row r="41" spans="1:43">
      <c r="A41" s="132"/>
      <c r="B41" s="145" t="s">
        <v>182</v>
      </c>
      <c r="C41" s="149"/>
      <c r="D41" s="148" t="s">
        <v>182</v>
      </c>
      <c r="E41" s="149"/>
      <c r="F41" s="148" t="s">
        <v>248</v>
      </c>
      <c r="G41" s="149"/>
      <c r="H41" s="148" t="s">
        <v>242</v>
      </c>
      <c r="I41" s="149"/>
      <c r="J41" s="148" t="s">
        <v>242</v>
      </c>
      <c r="K41" s="149"/>
      <c r="L41" s="147" t="s">
        <v>319</v>
      </c>
      <c r="M41" s="149"/>
      <c r="N41" s="148" t="s">
        <v>182</v>
      </c>
      <c r="O41" s="149"/>
      <c r="P41" s="147" t="s">
        <v>342</v>
      </c>
      <c r="Q41" s="149"/>
      <c r="R41" s="148" t="s">
        <v>248</v>
      </c>
      <c r="S41" s="133"/>
      <c r="T41" s="148" t="s">
        <v>248</v>
      </c>
      <c r="U41" s="133"/>
      <c r="V41" s="177"/>
      <c r="X41" s="310">
        <f>COUNTIF($B$41:$V$41, "DA+0")</f>
        <v>3</v>
      </c>
      <c r="Y41" s="310">
        <f>COUNTIF($B$41:$V$41, "DA+3")</f>
        <v>0</v>
      </c>
      <c r="Z41" s="310">
        <f>COUNTIF($B$41:$V$41, "DA+6")</f>
        <v>2</v>
      </c>
      <c r="AA41" s="310">
        <f>COUNTIF($B$41:$V$41, "DA+9")</f>
        <v>3</v>
      </c>
      <c r="AD41" s="310">
        <f>COUNTIF($B$41:$V$41, "DB+0")</f>
        <v>0</v>
      </c>
      <c r="AE41" s="310">
        <f>COUNTIF($B$41:$V$41, "DB+3")</f>
        <v>0</v>
      </c>
      <c r="AF41" s="310">
        <f>COUNTIF($B$41:$V$41, "DB+6")</f>
        <v>0</v>
      </c>
      <c r="AG41" s="310">
        <f>COUNTIF($B$41:$V$41, "DB+9")</f>
        <v>0</v>
      </c>
      <c r="AI41" s="310">
        <f>COUNTIF($B$41:$V$41, "DC+0")</f>
        <v>0</v>
      </c>
      <c r="AJ41" s="310">
        <f>COUNTIF($B$41:$V$41, "DC+3")</f>
        <v>0</v>
      </c>
      <c r="AK41" s="310">
        <f>COUNTIF($B$41:$V$41, "DC+6")</f>
        <v>0</v>
      </c>
      <c r="AL41" s="310">
        <f>COUNTIF($B$41:$V$41, "DC+9")</f>
        <v>0</v>
      </c>
      <c r="AN41" s="310">
        <f>COUNTIF($B$41:$V$41, "DD+0")</f>
        <v>0</v>
      </c>
      <c r="AO41" s="310">
        <f>COUNTIF($B$41:$V$41, "DD+3")</f>
        <v>0</v>
      </c>
      <c r="AP41" s="310">
        <f>COUNTIF($B$41:$V$41, "DD+6")</f>
        <v>0</v>
      </c>
      <c r="AQ41" s="310">
        <f>COUNTIF($B$41:$V$41, "DD+9")</f>
        <v>0</v>
      </c>
    </row>
    <row r="42" spans="1:43">
      <c r="A42" s="132"/>
      <c r="B42" s="154" t="s">
        <v>220</v>
      </c>
      <c r="C42" s="155"/>
      <c r="D42" s="155"/>
      <c r="E42" s="155"/>
      <c r="F42" s="154" t="s">
        <v>220</v>
      </c>
      <c r="G42" s="155"/>
      <c r="H42" s="155"/>
      <c r="I42" s="155"/>
      <c r="J42" s="155"/>
      <c r="K42" s="155"/>
      <c r="L42" s="155"/>
      <c r="M42" s="155"/>
      <c r="N42" s="155"/>
      <c r="O42" s="155"/>
      <c r="P42" s="144" t="s">
        <v>331</v>
      </c>
      <c r="Q42" s="155"/>
      <c r="R42" s="154" t="s">
        <v>220</v>
      </c>
      <c r="S42" s="133"/>
      <c r="T42" s="154" t="s">
        <v>220</v>
      </c>
      <c r="U42" s="133"/>
      <c r="V42" s="177"/>
      <c r="X42" s="310"/>
      <c r="Y42" s="310"/>
      <c r="Z42" s="310"/>
      <c r="AA42" s="310"/>
      <c r="AD42" s="310"/>
      <c r="AE42" s="310"/>
      <c r="AF42" s="310"/>
      <c r="AG42" s="310"/>
      <c r="AI42" s="310"/>
      <c r="AJ42" s="310"/>
      <c r="AK42" s="310"/>
      <c r="AL42" s="310"/>
      <c r="AN42" s="310"/>
      <c r="AO42" s="310"/>
      <c r="AP42" s="310"/>
      <c r="AQ42" s="310"/>
    </row>
    <row r="43" spans="1:43">
      <c r="A43" s="132"/>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c r="V43" s="167"/>
      <c r="X43" s="310"/>
      <c r="Y43" s="310"/>
      <c r="Z43" s="310"/>
      <c r="AA43" s="310"/>
      <c r="AD43" s="310"/>
      <c r="AE43" s="310"/>
      <c r="AF43" s="310"/>
      <c r="AG43" s="310"/>
      <c r="AI43" s="310"/>
      <c r="AJ43" s="310"/>
      <c r="AK43" s="310"/>
      <c r="AL43" s="310"/>
      <c r="AN43" s="310"/>
      <c r="AO43" s="310"/>
      <c r="AP43" s="310"/>
      <c r="AQ43" s="310"/>
    </row>
    <row r="44" spans="1:43">
      <c r="A44" s="132"/>
      <c r="B44" s="149"/>
      <c r="C44" s="149"/>
      <c r="D44" s="149"/>
      <c r="E44" s="149"/>
      <c r="F44" s="149"/>
      <c r="G44" s="149"/>
      <c r="H44" s="149"/>
      <c r="I44" s="149"/>
      <c r="J44" s="149"/>
      <c r="K44" s="149"/>
      <c r="L44" s="149"/>
      <c r="M44" s="149"/>
      <c r="N44" s="149"/>
      <c r="O44" s="149"/>
      <c r="P44" s="149"/>
      <c r="Q44" s="149"/>
      <c r="R44" s="149"/>
      <c r="S44" s="149"/>
      <c r="T44" s="149"/>
      <c r="U44" s="149"/>
      <c r="V44" s="167"/>
      <c r="X44" s="310"/>
      <c r="Y44" s="310"/>
      <c r="Z44" s="310"/>
      <c r="AA44" s="310"/>
      <c r="AD44" s="310"/>
      <c r="AE44" s="310"/>
      <c r="AF44" s="310"/>
      <c r="AG44" s="310"/>
      <c r="AI44" s="310"/>
      <c r="AJ44" s="310"/>
      <c r="AK44" s="310"/>
      <c r="AL44" s="310"/>
      <c r="AN44" s="310"/>
      <c r="AO44" s="310"/>
      <c r="AP44" s="310"/>
      <c r="AQ44" s="310"/>
    </row>
    <row r="45" spans="1:43" ht="15" thickBot="1">
      <c r="A45" s="132"/>
      <c r="B45" s="156"/>
      <c r="C45" s="156">
        <v>407.9</v>
      </c>
      <c r="D45" s="149"/>
      <c r="E45" s="156">
        <v>426.63</v>
      </c>
      <c r="F45" s="149"/>
      <c r="G45" s="156">
        <v>392.27</v>
      </c>
      <c r="H45" s="149"/>
      <c r="I45" s="156">
        <v>431.96</v>
      </c>
      <c r="J45" s="156"/>
      <c r="K45" s="156">
        <v>426.02</v>
      </c>
      <c r="L45" s="149"/>
      <c r="M45" s="156">
        <v>405.36</v>
      </c>
      <c r="N45" s="156"/>
      <c r="O45" s="156">
        <v>411.93</v>
      </c>
      <c r="P45" s="156"/>
      <c r="Q45" s="156">
        <v>423.77</v>
      </c>
      <c r="R45" s="156"/>
      <c r="S45" s="156">
        <v>407.9</v>
      </c>
      <c r="T45" s="149"/>
      <c r="U45" s="156">
        <v>426.63</v>
      </c>
      <c r="V45" s="167"/>
      <c r="X45" s="310"/>
      <c r="Y45" s="310"/>
      <c r="Z45" s="310"/>
      <c r="AA45" s="310"/>
      <c r="AD45" s="310"/>
      <c r="AE45" s="310"/>
      <c r="AF45" s="310"/>
      <c r="AG45" s="310"/>
      <c r="AI45" s="310"/>
      <c r="AJ45" s="310"/>
      <c r="AK45" s="310"/>
      <c r="AL45" s="310"/>
      <c r="AN45" s="310"/>
      <c r="AO45" s="310"/>
      <c r="AP45" s="310"/>
      <c r="AQ45" s="310"/>
    </row>
    <row r="46" spans="1:43" ht="15.5" thickTop="1" thickBot="1">
      <c r="A46" s="132"/>
      <c r="B46" s="157" t="s">
        <v>354</v>
      </c>
      <c r="C46" s="139"/>
      <c r="D46" s="158" t="s">
        <v>354</v>
      </c>
      <c r="E46" s="133"/>
      <c r="F46" s="158" t="s">
        <v>354</v>
      </c>
      <c r="G46" s="139"/>
      <c r="H46" s="158" t="s">
        <v>354</v>
      </c>
      <c r="I46" s="139"/>
      <c r="J46" s="158" t="s">
        <v>354</v>
      </c>
      <c r="K46" s="139"/>
      <c r="L46" s="140"/>
      <c r="M46" s="139"/>
      <c r="N46" s="140"/>
      <c r="O46" s="139"/>
      <c r="P46" s="140"/>
      <c r="Q46" s="137"/>
      <c r="R46" s="157" t="s">
        <v>354</v>
      </c>
      <c r="S46" s="139"/>
      <c r="T46" s="157" t="s">
        <v>354</v>
      </c>
      <c r="U46" s="133"/>
      <c r="V46" s="167"/>
      <c r="X46" s="310"/>
      <c r="Y46" s="310"/>
      <c r="Z46" s="310"/>
      <c r="AA46" s="310"/>
      <c r="AD46" s="310"/>
      <c r="AE46" s="310"/>
      <c r="AF46" s="310"/>
      <c r="AG46" s="310"/>
      <c r="AI46" s="310"/>
      <c r="AJ46" s="310"/>
      <c r="AK46" s="310"/>
      <c r="AL46" s="310"/>
      <c r="AN46" s="310"/>
      <c r="AO46" s="310"/>
      <c r="AP46" s="310"/>
      <c r="AQ46" s="310"/>
    </row>
    <row r="47" spans="1:43" ht="15.5" thickTop="1" thickBot="1">
      <c r="A47" s="132"/>
      <c r="B47" s="141" t="s">
        <v>376</v>
      </c>
      <c r="C47" s="139"/>
      <c r="D47" s="141"/>
      <c r="E47" s="133"/>
      <c r="F47" s="141" t="s">
        <v>376</v>
      </c>
      <c r="G47" s="139"/>
      <c r="H47" s="141"/>
      <c r="I47" s="139"/>
      <c r="J47" s="141"/>
      <c r="K47" s="139"/>
      <c r="L47" s="141"/>
      <c r="M47" s="139"/>
      <c r="N47" s="141"/>
      <c r="O47" s="139"/>
      <c r="P47" s="141"/>
      <c r="Q47" s="137"/>
      <c r="R47" s="141"/>
      <c r="S47" s="139"/>
      <c r="T47" s="141"/>
      <c r="U47" s="133"/>
      <c r="V47" s="177"/>
      <c r="X47" s="310"/>
      <c r="Y47" s="310"/>
      <c r="Z47" s="310"/>
      <c r="AA47" s="310"/>
      <c r="AD47" s="310"/>
      <c r="AE47" s="310"/>
      <c r="AF47" s="310"/>
      <c r="AG47" s="310"/>
      <c r="AI47" s="310"/>
      <c r="AJ47" s="310"/>
      <c r="AK47" s="310"/>
      <c r="AL47" s="310"/>
      <c r="AN47" s="310"/>
      <c r="AO47" s="310"/>
      <c r="AP47" s="310"/>
      <c r="AQ47" s="310"/>
    </row>
    <row r="48" spans="1:43" ht="15" thickTop="1">
      <c r="A48" s="132"/>
      <c r="B48" s="384" t="s">
        <v>274</v>
      </c>
      <c r="C48" s="133"/>
      <c r="D48" s="384" t="s">
        <v>275</v>
      </c>
      <c r="E48" s="133"/>
      <c r="F48" s="384" t="s">
        <v>355</v>
      </c>
      <c r="G48" s="133"/>
      <c r="H48" s="384" t="s">
        <v>284</v>
      </c>
      <c r="I48" s="133"/>
      <c r="J48" s="384" t="s">
        <v>285</v>
      </c>
      <c r="K48" s="133"/>
      <c r="L48" s="144" t="s">
        <v>356</v>
      </c>
      <c r="M48" s="133"/>
      <c r="N48" s="144" t="s">
        <v>357</v>
      </c>
      <c r="O48" s="133"/>
      <c r="P48" s="144" t="s">
        <v>154</v>
      </c>
      <c r="Q48" s="133"/>
      <c r="R48" s="384" t="s">
        <v>247</v>
      </c>
      <c r="S48" s="133"/>
      <c r="T48" s="384" t="s">
        <v>260</v>
      </c>
      <c r="U48" s="133"/>
      <c r="V48" s="177"/>
      <c r="X48" s="310"/>
      <c r="Y48" s="310"/>
      <c r="Z48" s="310"/>
      <c r="AA48" s="310"/>
      <c r="AD48" s="310"/>
      <c r="AE48" s="310"/>
      <c r="AF48" s="310"/>
      <c r="AG48" s="310"/>
      <c r="AI48" s="310"/>
      <c r="AJ48" s="310"/>
      <c r="AK48" s="310"/>
      <c r="AL48" s="310"/>
      <c r="AN48" s="310"/>
      <c r="AO48" s="310"/>
      <c r="AP48" s="310"/>
      <c r="AQ48" s="310"/>
    </row>
    <row r="49" spans="1:43">
      <c r="A49" s="132"/>
      <c r="B49" s="145" t="s">
        <v>248</v>
      </c>
      <c r="C49" s="133"/>
      <c r="D49" s="145" t="s">
        <v>248</v>
      </c>
      <c r="E49" s="133"/>
      <c r="F49" s="145" t="s">
        <v>248</v>
      </c>
      <c r="G49" s="133"/>
      <c r="H49" s="145" t="s">
        <v>185</v>
      </c>
      <c r="I49" s="133"/>
      <c r="J49" s="145" t="s">
        <v>185</v>
      </c>
      <c r="K49" s="133"/>
      <c r="L49" s="144" t="s">
        <v>125</v>
      </c>
      <c r="M49" s="133"/>
      <c r="N49" s="144" t="s">
        <v>330</v>
      </c>
      <c r="O49" s="133"/>
      <c r="P49" s="144" t="s">
        <v>125</v>
      </c>
      <c r="Q49" s="133"/>
      <c r="R49" s="148" t="s">
        <v>248</v>
      </c>
      <c r="S49" s="133"/>
      <c r="T49" s="145" t="s">
        <v>182</v>
      </c>
      <c r="U49" s="133"/>
      <c r="V49" s="178" t="e">
        <f>#REF!+I77+K77+M77+O77+G77+Q77+S77+#REF!+#REF!</f>
        <v>#REF!</v>
      </c>
      <c r="X49" s="310">
        <f>COUNTIF($B$49:$V$49, "DA+0")</f>
        <v>1</v>
      </c>
      <c r="Y49" s="310">
        <f>COUNTIF($C$14:$V$14, "DA+3")</f>
        <v>3</v>
      </c>
      <c r="Z49" s="310">
        <f>COUNTIF($C$14:$V$14, "DA+6")</f>
        <v>1</v>
      </c>
      <c r="AA49" s="310">
        <f>COUNTIF($C$14:$V$14, "DA+9")</f>
        <v>0</v>
      </c>
      <c r="AD49" s="310">
        <f>COUNTIF($B$49:$V$49, "DB+0")</f>
        <v>0</v>
      </c>
      <c r="AE49" s="310">
        <f>COUNTIF($C$14:$V$14, "DB+3")</f>
        <v>0</v>
      </c>
      <c r="AF49" s="310">
        <f>COUNTIF($C$14:$V$14, "DB+6")</f>
        <v>0</v>
      </c>
      <c r="AG49" s="310">
        <f>COUNTIF($C$14:$V$14, "DB+9")</f>
        <v>0</v>
      </c>
      <c r="AI49" s="310">
        <f>COUNTIF($B$49:$V$49, "DC+0")</f>
        <v>0</v>
      </c>
      <c r="AJ49" s="310">
        <f>COUNTIF($C$14:$V$14, "DC+3")</f>
        <v>0</v>
      </c>
      <c r="AK49" s="310">
        <f>COUNTIF($C$14:$V$14, "DC+6")</f>
        <v>0</v>
      </c>
      <c r="AL49" s="310">
        <f>COUNTIF($C$14:$V$14, "DC+9")</f>
        <v>0</v>
      </c>
      <c r="AN49" s="310">
        <f>COUNTIF($B$49:$V$49, "DD+0")</f>
        <v>2</v>
      </c>
      <c r="AO49" s="310">
        <f>COUNTIF($C$14:$V$14, "DD+3")</f>
        <v>0</v>
      </c>
      <c r="AP49" s="310">
        <f>COUNTIF($C$14:$V$14, "DD+6")</f>
        <v>0</v>
      </c>
      <c r="AQ49" s="310">
        <f>COUNTIF($C$14:$V$14, "DD+9")</f>
        <v>0</v>
      </c>
    </row>
    <row r="50" spans="1:43">
      <c r="A50" s="132"/>
      <c r="B50" s="145"/>
      <c r="C50" s="133"/>
      <c r="D50" s="145"/>
      <c r="E50" s="133"/>
      <c r="F50" s="145"/>
      <c r="G50" s="133"/>
      <c r="H50" s="145"/>
      <c r="I50" s="133"/>
      <c r="J50" s="145"/>
      <c r="K50" s="133"/>
      <c r="L50" s="144"/>
      <c r="M50" s="133"/>
      <c r="N50" s="144"/>
      <c r="O50" s="133"/>
      <c r="P50" s="154" t="s">
        <v>220</v>
      </c>
      <c r="Q50" s="133"/>
      <c r="R50" s="148"/>
      <c r="S50" s="133"/>
      <c r="T50" s="145"/>
      <c r="U50" s="133"/>
      <c r="V50" s="178"/>
      <c r="X50" s="310"/>
      <c r="Y50" s="310"/>
      <c r="Z50" s="310"/>
      <c r="AA50" s="310"/>
      <c r="AD50" s="310"/>
      <c r="AE50" s="310"/>
      <c r="AF50" s="310"/>
      <c r="AG50" s="310"/>
      <c r="AI50" s="310"/>
      <c r="AJ50" s="310"/>
      <c r="AK50" s="310"/>
      <c r="AL50" s="310"/>
      <c r="AN50" s="310"/>
      <c r="AO50" s="310"/>
      <c r="AP50" s="310"/>
      <c r="AQ50" s="310"/>
    </row>
    <row r="51" spans="1:43">
      <c r="A51" s="132"/>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33">
        <f>T51+1</f>
        <v>60</v>
      </c>
      <c r="X51" s="310"/>
      <c r="Y51" s="310"/>
      <c r="Z51" s="310"/>
      <c r="AA51" s="310"/>
      <c r="AD51" s="310"/>
      <c r="AE51" s="310"/>
      <c r="AF51" s="310"/>
      <c r="AG51" s="310"/>
      <c r="AI51" s="310"/>
      <c r="AJ51" s="310"/>
      <c r="AK51" s="310"/>
      <c r="AL51" s="310"/>
      <c r="AN51" s="310"/>
      <c r="AO51" s="310"/>
      <c r="AP51" s="310"/>
      <c r="AQ51" s="310"/>
    </row>
    <row r="52" spans="1:43">
      <c r="A52" s="132"/>
      <c r="B52" s="149"/>
      <c r="C52" s="149"/>
      <c r="D52" s="149"/>
      <c r="E52" s="149"/>
      <c r="F52" s="149"/>
      <c r="G52" s="149"/>
      <c r="H52" s="149"/>
      <c r="I52" s="149"/>
      <c r="J52" s="149"/>
      <c r="K52" s="149"/>
      <c r="L52" s="149"/>
      <c r="M52" s="149"/>
      <c r="N52" s="149"/>
      <c r="O52" s="133"/>
      <c r="P52" s="149"/>
      <c r="Q52" s="133"/>
      <c r="R52" s="133"/>
      <c r="S52" s="133"/>
      <c r="T52" s="133"/>
      <c r="V52" s="133"/>
      <c r="X52" s="310"/>
      <c r="Y52" s="310"/>
      <c r="Z52" s="310"/>
      <c r="AA52" s="310"/>
      <c r="AD52" s="310"/>
      <c r="AE52" s="310"/>
      <c r="AF52" s="310"/>
      <c r="AG52" s="310"/>
      <c r="AI52" s="310"/>
      <c r="AJ52" s="310"/>
      <c r="AK52" s="310"/>
      <c r="AL52" s="310"/>
      <c r="AN52" s="310"/>
      <c r="AO52" s="310"/>
      <c r="AP52" s="310"/>
      <c r="AQ52" s="310"/>
    </row>
    <row r="53" spans="1:43" ht="15" thickBot="1">
      <c r="A53" s="132"/>
      <c r="B53" s="149"/>
      <c r="C53" s="156">
        <v>392.27</v>
      </c>
      <c r="D53" s="149"/>
      <c r="E53" s="156">
        <v>431.96</v>
      </c>
      <c r="F53" s="156"/>
      <c r="G53" s="156">
        <v>426.02</v>
      </c>
      <c r="H53" s="149"/>
      <c r="I53" s="156">
        <v>405.36</v>
      </c>
      <c r="J53" s="156"/>
      <c r="K53" s="156">
        <v>411.93</v>
      </c>
      <c r="L53" s="156"/>
      <c r="M53" s="156">
        <v>350.33</v>
      </c>
      <c r="N53" s="149"/>
      <c r="O53" s="135">
        <v>378.3</v>
      </c>
      <c r="P53" s="156"/>
      <c r="Q53" s="135">
        <v>416.82</v>
      </c>
      <c r="R53" s="135"/>
      <c r="S53" s="135">
        <v>371.85</v>
      </c>
      <c r="T53" s="133"/>
      <c r="V53" s="133"/>
      <c r="X53" s="310"/>
      <c r="Y53" s="310"/>
      <c r="Z53" s="310"/>
      <c r="AA53" s="310"/>
      <c r="AD53" s="310"/>
      <c r="AE53" s="310"/>
      <c r="AF53" s="310"/>
      <c r="AG53" s="310"/>
      <c r="AI53" s="310"/>
      <c r="AJ53" s="310"/>
      <c r="AK53" s="310"/>
      <c r="AL53" s="310"/>
      <c r="AN53" s="310"/>
      <c r="AO53" s="310"/>
      <c r="AP53" s="310"/>
      <c r="AQ53" s="310"/>
    </row>
    <row r="54" spans="1:43" ht="15.5" thickTop="1" thickBot="1">
      <c r="A54" s="132"/>
      <c r="B54" s="158" t="s">
        <v>354</v>
      </c>
      <c r="C54" s="139"/>
      <c r="D54" s="190" t="s">
        <v>228</v>
      </c>
      <c r="E54" s="139"/>
      <c r="F54" s="140"/>
      <c r="G54" s="139"/>
      <c r="H54" s="140"/>
      <c r="I54" s="139"/>
      <c r="J54" s="140"/>
      <c r="K54" s="139"/>
      <c r="L54" s="140"/>
      <c r="M54" s="139"/>
      <c r="N54" s="140"/>
      <c r="O54" s="162"/>
      <c r="P54" s="140"/>
      <c r="Q54" s="139"/>
      <c r="R54" s="140"/>
      <c r="S54" s="139"/>
      <c r="T54" s="140"/>
      <c r="V54" s="140"/>
      <c r="X54" s="310"/>
      <c r="Y54" s="310"/>
      <c r="Z54" s="310"/>
      <c r="AA54" s="310"/>
      <c r="AD54" s="310"/>
      <c r="AE54" s="310"/>
      <c r="AF54" s="310"/>
      <c r="AG54" s="310"/>
      <c r="AI54" s="310"/>
      <c r="AJ54" s="310"/>
      <c r="AK54" s="310"/>
      <c r="AL54" s="310"/>
      <c r="AN54" s="310"/>
      <c r="AO54" s="310"/>
      <c r="AP54" s="310"/>
      <c r="AQ54" s="310"/>
    </row>
    <row r="55" spans="1:43" ht="15.5" thickTop="1" thickBot="1">
      <c r="A55" s="132"/>
      <c r="B55" s="141"/>
      <c r="C55" s="139"/>
      <c r="D55" s="141"/>
      <c r="E55" s="139"/>
      <c r="F55" s="141"/>
      <c r="G55" s="139"/>
      <c r="H55" s="141"/>
      <c r="I55" s="139"/>
      <c r="J55" s="141"/>
      <c r="K55" s="139"/>
      <c r="L55" s="141"/>
      <c r="M55" s="139"/>
      <c r="N55" s="141"/>
      <c r="O55" s="162"/>
      <c r="P55" s="141"/>
      <c r="Q55" s="139"/>
      <c r="R55" s="141"/>
      <c r="S55" s="139"/>
      <c r="T55" s="141"/>
      <c r="U55" s="133"/>
      <c r="V55" s="141"/>
      <c r="X55" s="310"/>
      <c r="Y55" s="310"/>
      <c r="Z55" s="310"/>
      <c r="AA55" s="310"/>
      <c r="AD55" s="310"/>
      <c r="AE55" s="310"/>
      <c r="AF55" s="310"/>
      <c r="AG55" s="310"/>
      <c r="AI55" s="310"/>
      <c r="AJ55" s="310"/>
      <c r="AK55" s="310"/>
      <c r="AL55" s="310"/>
      <c r="AN55" s="310"/>
      <c r="AO55" s="310"/>
      <c r="AP55" s="310"/>
      <c r="AQ55" s="310"/>
    </row>
    <row r="56" spans="1:43" ht="15" thickTop="1">
      <c r="A56" s="132"/>
      <c r="B56" s="384" t="s">
        <v>261</v>
      </c>
      <c r="C56" s="133"/>
      <c r="D56" s="384" t="s">
        <v>286</v>
      </c>
      <c r="E56" s="133"/>
      <c r="F56" s="144" t="s">
        <v>358</v>
      </c>
      <c r="G56" s="133"/>
      <c r="H56" s="384" t="s">
        <v>359</v>
      </c>
      <c r="I56" s="133"/>
      <c r="J56" s="384" t="s">
        <v>360</v>
      </c>
      <c r="K56" s="133"/>
      <c r="L56" s="144" t="s">
        <v>361</v>
      </c>
      <c r="M56" s="133"/>
      <c r="N56" s="144" t="s">
        <v>362</v>
      </c>
      <c r="O56" s="133"/>
      <c r="P56" s="384" t="s">
        <v>363</v>
      </c>
      <c r="Q56" s="133"/>
      <c r="R56" s="384" t="s">
        <v>364</v>
      </c>
      <c r="S56" s="133"/>
      <c r="T56" s="384" t="s">
        <v>365</v>
      </c>
      <c r="V56" s="401" t="s">
        <v>1084</v>
      </c>
      <c r="X56" s="310"/>
      <c r="Y56" s="310"/>
      <c r="Z56" s="310"/>
      <c r="AA56" s="310"/>
      <c r="AD56" s="310"/>
      <c r="AE56" s="310"/>
      <c r="AF56" s="310"/>
      <c r="AG56" s="310"/>
      <c r="AI56" s="310"/>
      <c r="AJ56" s="310"/>
      <c r="AK56" s="310"/>
      <c r="AL56" s="310"/>
      <c r="AN56" s="310"/>
      <c r="AO56" s="310"/>
      <c r="AP56" s="310"/>
      <c r="AQ56" s="310"/>
    </row>
    <row r="57" spans="1:43">
      <c r="A57" s="132"/>
      <c r="B57" s="148" t="s">
        <v>185</v>
      </c>
      <c r="C57" s="133"/>
      <c r="D57" s="145" t="s">
        <v>248</v>
      </c>
      <c r="E57" s="133"/>
      <c r="F57" s="147" t="s">
        <v>128</v>
      </c>
      <c r="G57" s="133"/>
      <c r="H57" s="145" t="s">
        <v>242</v>
      </c>
      <c r="I57" s="133"/>
      <c r="J57" s="145" t="s">
        <v>119</v>
      </c>
      <c r="K57" s="133"/>
      <c r="L57" s="144" t="s">
        <v>330</v>
      </c>
      <c r="M57" s="133"/>
      <c r="N57" s="144" t="s">
        <v>143</v>
      </c>
      <c r="O57" s="133"/>
      <c r="P57" s="145" t="s">
        <v>242</v>
      </c>
      <c r="Q57" s="133"/>
      <c r="R57" s="145" t="s">
        <v>182</v>
      </c>
      <c r="S57" s="133"/>
      <c r="T57" s="145" t="s">
        <v>182</v>
      </c>
      <c r="V57" s="402" t="s">
        <v>343</v>
      </c>
      <c r="X57" s="310">
        <f>COUNTIF($B$57:$V$57, "DA+0")</f>
        <v>2</v>
      </c>
      <c r="Y57" s="310">
        <f>COUNTIF($B$57:$V$57, "DA+3")</f>
        <v>1</v>
      </c>
      <c r="Z57" s="310">
        <f>COUNTIF($B$57:$V$57, "DA+6")</f>
        <v>2</v>
      </c>
      <c r="AA57" s="310">
        <f>COUNTIF($B$57:$V$57, "DA+9")</f>
        <v>1</v>
      </c>
      <c r="AD57" s="310">
        <f>COUNTIF($B$57:$V$57, "DB+0")</f>
        <v>1</v>
      </c>
      <c r="AE57" s="310">
        <f>COUNTIF($B$57:$V$57, "DB+3")</f>
        <v>0</v>
      </c>
      <c r="AF57" s="310">
        <f>COUNTIF($B$57:$V$57, "DB+6")</f>
        <v>0</v>
      </c>
      <c r="AG57" s="310">
        <f>COUNTIF($B$57:$V$57, "DB+9")</f>
        <v>0</v>
      </c>
      <c r="AI57" s="310">
        <f>COUNTIF($B$57:$V$57, "DC+0")</f>
        <v>0</v>
      </c>
      <c r="AJ57" s="310">
        <f>COUNTIF($B$57:$V$57, "DC+3")</f>
        <v>0</v>
      </c>
      <c r="AK57" s="310">
        <f>COUNTIF($B$57:$V$57, "DC+6")</f>
        <v>1</v>
      </c>
      <c r="AL57" s="310">
        <f>COUNTIF($B$57:$V$57, "DC+9")</f>
        <v>0</v>
      </c>
      <c r="AN57" s="310">
        <f>COUNTIF($B$57:$V$57, "DD+0")</f>
        <v>0</v>
      </c>
      <c r="AO57" s="310">
        <f>COUNTIF($B$57:$V$57, "DD+3")</f>
        <v>1</v>
      </c>
      <c r="AP57" s="310">
        <f>COUNTIF($B$57:$V$57, "DD+6")</f>
        <v>0</v>
      </c>
      <c r="AQ57" s="310">
        <f>COUNTIF($B$57:$V$57, "DD+9")</f>
        <v>0</v>
      </c>
    </row>
    <row r="58" spans="1:43">
      <c r="A58" s="132"/>
      <c r="B58" s="154"/>
      <c r="C58" s="155"/>
      <c r="D58" s="155"/>
      <c r="E58" s="155"/>
      <c r="F58" s="154" t="s">
        <v>220</v>
      </c>
      <c r="G58" s="155"/>
      <c r="H58" s="155"/>
      <c r="I58" s="155"/>
      <c r="J58" s="155"/>
      <c r="K58" s="155"/>
      <c r="L58" s="155"/>
      <c r="M58" s="155"/>
      <c r="N58" s="155"/>
      <c r="O58" s="155"/>
      <c r="P58" s="155"/>
      <c r="Q58" s="155"/>
      <c r="R58" s="154" t="s">
        <v>366</v>
      </c>
      <c r="S58" s="133"/>
      <c r="T58" s="154" t="s">
        <v>220</v>
      </c>
      <c r="V58" s="178" t="e">
        <f>A85+I77+K77+M77+O77+G77+Q77+S77+#REF!+C77</f>
        <v>#REF!</v>
      </c>
      <c r="X58" s="310"/>
      <c r="Y58" s="310"/>
      <c r="Z58" s="310"/>
      <c r="AA58" s="310"/>
      <c r="AD58" s="310"/>
      <c r="AE58" s="310"/>
      <c r="AF58" s="310"/>
      <c r="AG58" s="310"/>
      <c r="AI58" s="310"/>
      <c r="AJ58" s="310"/>
      <c r="AK58" s="310"/>
      <c r="AL58" s="310"/>
      <c r="AN58" s="310"/>
      <c r="AO58" s="310"/>
      <c r="AP58" s="310"/>
      <c r="AQ58" s="310"/>
    </row>
    <row r="59" spans="1:43">
      <c r="A59" s="132"/>
      <c r="B59" s="133">
        <f>V51+1</f>
        <v>61</v>
      </c>
      <c r="C59" s="133"/>
      <c r="D59" s="133">
        <f>B59+1</f>
        <v>62</v>
      </c>
      <c r="E59" s="133"/>
      <c r="F59" s="133">
        <f>D59+1</f>
        <v>63</v>
      </c>
      <c r="G59" s="133"/>
      <c r="H59" s="133">
        <f>F59+1</f>
        <v>64</v>
      </c>
      <c r="I59" s="133"/>
      <c r="J59" s="133">
        <f>H59+1</f>
        <v>65</v>
      </c>
      <c r="K59" s="133"/>
      <c r="L59" s="133">
        <f>J59+1</f>
        <v>66</v>
      </c>
      <c r="M59" s="133"/>
      <c r="N59" s="133">
        <f>L59+1</f>
        <v>67</v>
      </c>
      <c r="O59" s="133"/>
      <c r="P59" s="161">
        <f>N59+1</f>
        <v>68</v>
      </c>
      <c r="Q59" s="133"/>
      <c r="R59" s="133">
        <f>P59+1</f>
        <v>69</v>
      </c>
      <c r="S59" s="133"/>
      <c r="T59" s="133">
        <f>R59+1</f>
        <v>70</v>
      </c>
      <c r="V59" s="177"/>
      <c r="X59" s="310"/>
      <c r="Y59" s="310"/>
      <c r="Z59" s="310"/>
      <c r="AA59" s="310"/>
      <c r="AD59" s="310"/>
      <c r="AE59" s="310"/>
      <c r="AF59" s="310"/>
      <c r="AG59" s="310"/>
      <c r="AI59" s="310"/>
      <c r="AJ59" s="310"/>
      <c r="AK59" s="310"/>
      <c r="AL59" s="310"/>
      <c r="AN59" s="310"/>
      <c r="AO59" s="310"/>
      <c r="AP59" s="310"/>
      <c r="AQ59" s="310"/>
    </row>
    <row r="60" spans="1:43">
      <c r="A60" s="132"/>
      <c r="B60" s="149"/>
      <c r="C60" s="149"/>
      <c r="D60" s="149"/>
      <c r="E60" s="149"/>
      <c r="F60" s="149"/>
      <c r="G60" s="149"/>
      <c r="H60" s="149"/>
      <c r="I60" s="149"/>
      <c r="J60" s="149"/>
      <c r="K60" s="149"/>
      <c r="L60" s="149"/>
      <c r="M60" s="149"/>
      <c r="N60" s="149"/>
      <c r="O60" s="133"/>
      <c r="P60" s="149"/>
      <c r="Q60" s="133"/>
      <c r="R60" s="133"/>
      <c r="S60" s="133"/>
      <c r="T60" s="133"/>
      <c r="V60" s="183"/>
      <c r="X60" s="310"/>
      <c r="Y60" s="310"/>
      <c r="Z60" s="310"/>
      <c r="AA60" s="310"/>
      <c r="AD60" s="310"/>
      <c r="AE60" s="310"/>
      <c r="AF60" s="310"/>
      <c r="AG60" s="310"/>
      <c r="AI60" s="310"/>
      <c r="AJ60" s="310"/>
      <c r="AK60" s="310"/>
      <c r="AL60" s="310"/>
      <c r="AN60" s="310"/>
      <c r="AO60" s="310"/>
      <c r="AP60" s="310"/>
      <c r="AQ60" s="310"/>
    </row>
    <row r="61" spans="1:43" ht="15" thickBot="1">
      <c r="A61" s="132"/>
      <c r="B61" s="149"/>
      <c r="C61" s="156">
        <v>392.27</v>
      </c>
      <c r="D61" s="149"/>
      <c r="E61" s="156">
        <v>431.96</v>
      </c>
      <c r="F61" s="156"/>
      <c r="G61" s="156">
        <v>426.02</v>
      </c>
      <c r="H61" s="149"/>
      <c r="I61" s="156">
        <v>405.36</v>
      </c>
      <c r="J61" s="156"/>
      <c r="K61" s="156">
        <v>411.93</v>
      </c>
      <c r="L61" s="156"/>
      <c r="M61" s="156">
        <v>350.33</v>
      </c>
      <c r="N61" s="149"/>
      <c r="O61" s="135">
        <v>378.3</v>
      </c>
      <c r="P61" s="156"/>
      <c r="Q61" s="135">
        <v>416.82</v>
      </c>
      <c r="R61" s="135"/>
      <c r="S61" s="135">
        <v>371.85</v>
      </c>
      <c r="T61" s="133"/>
      <c r="V61" s="183"/>
      <c r="X61" s="310"/>
      <c r="Y61" s="310"/>
      <c r="Z61" s="310"/>
      <c r="AA61" s="310"/>
      <c r="AD61" s="310"/>
      <c r="AE61" s="310"/>
      <c r="AF61" s="310"/>
      <c r="AG61" s="310"/>
      <c r="AI61" s="310"/>
      <c r="AJ61" s="310"/>
      <c r="AK61" s="310"/>
      <c r="AL61" s="310"/>
      <c r="AN61" s="310"/>
      <c r="AO61" s="310"/>
      <c r="AP61" s="310"/>
      <c r="AQ61" s="310"/>
    </row>
    <row r="62" spans="1:43" ht="15.5" thickTop="1" thickBot="1">
      <c r="A62" s="132"/>
      <c r="B62" s="140"/>
      <c r="C62" s="139"/>
      <c r="D62" s="140"/>
      <c r="E62" s="139"/>
      <c r="F62" s="140"/>
      <c r="G62" s="139"/>
      <c r="H62" s="140"/>
      <c r="I62" s="139"/>
      <c r="J62" s="140"/>
      <c r="K62" s="139"/>
      <c r="L62" s="140"/>
      <c r="M62" s="139"/>
      <c r="N62" s="140"/>
      <c r="O62" s="162"/>
      <c r="P62" s="140"/>
      <c r="Q62" s="139"/>
      <c r="R62" s="140"/>
      <c r="S62" s="139"/>
      <c r="T62" s="157" t="s">
        <v>354</v>
      </c>
      <c r="V62" s="177"/>
      <c r="X62" s="310"/>
      <c r="Y62" s="310"/>
      <c r="Z62" s="310"/>
      <c r="AA62" s="310"/>
      <c r="AD62" s="310"/>
      <c r="AE62" s="310"/>
      <c r="AF62" s="310"/>
      <c r="AG62" s="310"/>
      <c r="AI62" s="310"/>
      <c r="AJ62" s="310"/>
      <c r="AK62" s="310"/>
      <c r="AL62" s="310"/>
      <c r="AN62" s="310"/>
      <c r="AO62" s="310"/>
      <c r="AP62" s="310"/>
      <c r="AQ62" s="310"/>
    </row>
    <row r="63" spans="1:43" ht="15.5" thickTop="1" thickBot="1">
      <c r="A63" s="132"/>
      <c r="B63" s="141"/>
      <c r="C63" s="139"/>
      <c r="D63" s="141"/>
      <c r="E63" s="139"/>
      <c r="F63" s="141"/>
      <c r="G63" s="139"/>
      <c r="H63" s="141"/>
      <c r="I63" s="139"/>
      <c r="J63" s="141"/>
      <c r="K63" s="139"/>
      <c r="L63" s="141"/>
      <c r="M63" s="139"/>
      <c r="N63" s="141"/>
      <c r="O63" s="162"/>
      <c r="P63" s="141"/>
      <c r="Q63" s="139"/>
      <c r="R63" s="141"/>
      <c r="S63" s="139"/>
      <c r="T63" s="141"/>
      <c r="U63" s="133"/>
      <c r="V63" s="177"/>
      <c r="X63" s="310"/>
      <c r="Y63" s="310"/>
      <c r="Z63" s="310"/>
      <c r="AA63" s="310"/>
      <c r="AD63" s="310"/>
      <c r="AE63" s="310"/>
      <c r="AF63" s="310"/>
      <c r="AG63" s="310"/>
      <c r="AI63" s="310"/>
      <c r="AJ63" s="310"/>
      <c r="AK63" s="310"/>
      <c r="AL63" s="310"/>
      <c r="AN63" s="310"/>
      <c r="AO63" s="310"/>
      <c r="AP63" s="310"/>
      <c r="AQ63" s="310"/>
    </row>
    <row r="64" spans="1:43" ht="15" thickTop="1">
      <c r="A64" s="132"/>
      <c r="B64" s="147" t="s">
        <v>367</v>
      </c>
      <c r="C64" s="149"/>
      <c r="D64" s="395" t="s">
        <v>287</v>
      </c>
      <c r="E64" s="133"/>
      <c r="F64" s="395" t="s">
        <v>368</v>
      </c>
      <c r="G64" s="149"/>
      <c r="H64" s="395" t="s">
        <v>369</v>
      </c>
      <c r="I64" s="133"/>
      <c r="J64" s="147" t="s">
        <v>370</v>
      </c>
      <c r="K64" s="149"/>
      <c r="L64" s="395" t="s">
        <v>371</v>
      </c>
      <c r="M64" s="149"/>
      <c r="N64" s="395" t="s">
        <v>372</v>
      </c>
      <c r="O64" s="149"/>
      <c r="P64" s="147" t="s">
        <v>373</v>
      </c>
      <c r="Q64" s="149"/>
      <c r="R64" s="395" t="s">
        <v>288</v>
      </c>
      <c r="S64" s="149"/>
      <c r="T64" s="395" t="s">
        <v>259</v>
      </c>
      <c r="V64" s="177"/>
      <c r="X64" s="310"/>
      <c r="Y64" s="310"/>
      <c r="Z64" s="310"/>
      <c r="AA64" s="310"/>
      <c r="AD64" s="310"/>
      <c r="AE64" s="310"/>
      <c r="AF64" s="310"/>
      <c r="AG64" s="310"/>
      <c r="AI64" s="310"/>
      <c r="AJ64" s="310"/>
      <c r="AK64" s="310"/>
      <c r="AL64" s="310"/>
      <c r="AN64" s="310"/>
      <c r="AO64" s="310"/>
      <c r="AP64" s="310"/>
      <c r="AQ64" s="310"/>
    </row>
    <row r="65" spans="1:43">
      <c r="A65" s="132"/>
      <c r="B65" s="147" t="s">
        <v>344</v>
      </c>
      <c r="C65" s="149"/>
      <c r="D65" s="148" t="s">
        <v>248</v>
      </c>
      <c r="E65" s="133"/>
      <c r="F65" s="148" t="s">
        <v>182</v>
      </c>
      <c r="G65" s="149"/>
      <c r="H65" s="148" t="s">
        <v>182</v>
      </c>
      <c r="I65" s="133"/>
      <c r="J65" s="147" t="s">
        <v>343</v>
      </c>
      <c r="K65" s="149"/>
      <c r="L65" s="148" t="s">
        <v>185</v>
      </c>
      <c r="M65" s="149"/>
      <c r="N65" s="148" t="s">
        <v>185</v>
      </c>
      <c r="O65" s="149"/>
      <c r="P65" s="147" t="s">
        <v>344</v>
      </c>
      <c r="Q65" s="149"/>
      <c r="R65" s="148" t="s">
        <v>182</v>
      </c>
      <c r="S65" s="149"/>
      <c r="T65" s="148" t="s">
        <v>248</v>
      </c>
      <c r="V65" s="177"/>
      <c r="X65" s="310">
        <f>COUNTIF($B$65:$V$65, "DA+0")</f>
        <v>3</v>
      </c>
      <c r="Y65" s="310">
        <f>COUNTIF($B$65:$V$65, "DA+3")</f>
        <v>2</v>
      </c>
      <c r="Z65" s="310">
        <f>COUNTIF($B$65:$V$65, "DA+6")</f>
        <v>0</v>
      </c>
      <c r="AA65" s="310">
        <f>COUNTIF($B$65:$V$65, "DA+9")</f>
        <v>2</v>
      </c>
      <c r="AD65" s="310">
        <f>COUNTIF($B$65:$V$65, "DB+0")</f>
        <v>0</v>
      </c>
      <c r="AE65" s="310">
        <f>COUNTIF($B$65:$V$65, "DA+3")</f>
        <v>2</v>
      </c>
      <c r="AF65" s="310">
        <f>COUNTIF($B$65:$V$65, "DB+6")</f>
        <v>0</v>
      </c>
      <c r="AG65" s="310">
        <f>COUNTIF($B$65:$V$65, "DB+9")</f>
        <v>0</v>
      </c>
      <c r="AI65" s="310">
        <f>COUNTIF($B$65:$V$65, "DC+0")</f>
        <v>0</v>
      </c>
      <c r="AJ65" s="310">
        <f>COUNTIF($B$65:$V$65, "DC+3")</f>
        <v>0</v>
      </c>
      <c r="AK65" s="310">
        <f>COUNTIF($B$65:$V$65, "DC+6")</f>
        <v>0</v>
      </c>
      <c r="AL65" s="310">
        <f>COUNTIF($B$65:$V$65, "DC+9")</f>
        <v>0</v>
      </c>
      <c r="AN65" s="310">
        <f>COUNTIF($B$65:$V$65, "DD+0")</f>
        <v>0</v>
      </c>
      <c r="AO65" s="310">
        <f>COUNTIF($B$65:$V$65, "DD+3")</f>
        <v>0</v>
      </c>
      <c r="AP65" s="310">
        <f>COUNTIF($B$65:$V$65, "DD+6")</f>
        <v>0</v>
      </c>
      <c r="AQ65" s="310">
        <f>COUNTIF($B$65:$V$65, "DD+9")</f>
        <v>0</v>
      </c>
    </row>
    <row r="66" spans="1:43">
      <c r="A66" s="132"/>
      <c r="B66" s="154"/>
      <c r="C66" s="155"/>
      <c r="D66" s="155"/>
      <c r="E66" s="155"/>
      <c r="F66" s="155"/>
      <c r="G66" s="155"/>
      <c r="H66" s="154" t="s">
        <v>220</v>
      </c>
      <c r="I66" s="133"/>
      <c r="J66" s="144" t="s">
        <v>331</v>
      </c>
      <c r="K66" s="155"/>
      <c r="L66" s="154" t="s">
        <v>220</v>
      </c>
      <c r="M66" s="155"/>
      <c r="N66" s="155"/>
      <c r="O66" s="155"/>
      <c r="P66" s="155"/>
      <c r="Q66" s="155"/>
      <c r="R66" s="154" t="s">
        <v>374</v>
      </c>
      <c r="S66" s="155"/>
      <c r="T66" s="184" t="s">
        <v>375</v>
      </c>
      <c r="V66" s="178">
        <f>A93+I85+K85+M85+O85+G85+Q85+S85+U85+C85</f>
        <v>3994.99</v>
      </c>
      <c r="X66" s="310"/>
      <c r="Y66" s="310"/>
      <c r="Z66" s="310"/>
      <c r="AA66" s="310"/>
      <c r="AD66" s="310"/>
      <c r="AE66" s="310"/>
      <c r="AF66" s="310"/>
      <c r="AG66" s="310"/>
      <c r="AI66" s="310"/>
      <c r="AJ66" s="310"/>
      <c r="AK66" s="310"/>
      <c r="AL66" s="310"/>
      <c r="AN66" s="310"/>
      <c r="AO66" s="310"/>
      <c r="AP66" s="310"/>
      <c r="AQ66" s="310"/>
    </row>
    <row r="67" spans="1:43">
      <c r="A67" s="132"/>
      <c r="B67" s="133">
        <f>T59+1</f>
        <v>71</v>
      </c>
      <c r="C67" s="133"/>
      <c r="D67" s="133">
        <f>B67+1</f>
        <v>72</v>
      </c>
      <c r="E67" s="133"/>
      <c r="F67" s="133">
        <f>D67+1</f>
        <v>73</v>
      </c>
      <c r="G67" s="133"/>
      <c r="H67" s="133">
        <f>F67+1</f>
        <v>74</v>
      </c>
      <c r="I67" s="133"/>
      <c r="J67" s="133">
        <f>H67+1</f>
        <v>75</v>
      </c>
      <c r="K67" s="133"/>
      <c r="L67" s="133">
        <f>J67+1</f>
        <v>76</v>
      </c>
      <c r="M67" s="133"/>
      <c r="N67" s="133">
        <f>L67+1</f>
        <v>77</v>
      </c>
      <c r="O67" s="133"/>
      <c r="P67" s="133">
        <f>N67+1</f>
        <v>78</v>
      </c>
      <c r="Q67" s="133"/>
      <c r="R67" s="133">
        <f>P67+1</f>
        <v>79</v>
      </c>
      <c r="S67" s="133"/>
      <c r="T67" s="161">
        <f>R67+1</f>
        <v>80</v>
      </c>
      <c r="V67" s="178"/>
      <c r="X67" s="310"/>
      <c r="Y67" s="310"/>
      <c r="Z67" s="310"/>
      <c r="AA67" s="310"/>
      <c r="AD67" s="310"/>
      <c r="AE67" s="310"/>
      <c r="AF67" s="310"/>
      <c r="AG67" s="310"/>
      <c r="AI67" s="310"/>
      <c r="AJ67" s="310"/>
      <c r="AK67" s="310"/>
      <c r="AL67" s="310"/>
      <c r="AN67" s="310"/>
      <c r="AO67" s="310"/>
      <c r="AP67" s="310"/>
      <c r="AQ67" s="310"/>
    </row>
    <row r="68" spans="1:43">
      <c r="A68" s="132"/>
      <c r="B68" s="133"/>
      <c r="C68" s="133"/>
      <c r="D68" s="133"/>
      <c r="E68" s="133"/>
      <c r="F68" s="133"/>
      <c r="G68" s="133"/>
      <c r="H68" s="133"/>
      <c r="I68" s="133"/>
      <c r="J68" s="133"/>
      <c r="K68" s="133"/>
      <c r="L68" s="133"/>
      <c r="M68" s="133"/>
      <c r="N68" s="133"/>
      <c r="O68" s="133"/>
      <c r="P68" s="133"/>
      <c r="Q68" s="133"/>
      <c r="R68" s="133"/>
      <c r="S68" s="133"/>
      <c r="T68" s="133"/>
      <c r="V68" s="177"/>
      <c r="X68" s="310"/>
      <c r="Y68" s="310"/>
      <c r="Z68" s="310"/>
      <c r="AA68" s="310"/>
      <c r="AD68" s="310"/>
      <c r="AE68" s="310"/>
      <c r="AF68" s="310"/>
      <c r="AG68" s="310"/>
      <c r="AI68" s="310"/>
      <c r="AJ68" s="310"/>
      <c r="AK68" s="310"/>
      <c r="AL68" s="310"/>
      <c r="AN68" s="310"/>
      <c r="AO68" s="310"/>
      <c r="AP68" s="310"/>
      <c r="AQ68" s="310"/>
    </row>
    <row r="69" spans="1:43" ht="15" thickBot="1">
      <c r="A69" s="132"/>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177"/>
      <c r="X69" s="310"/>
      <c r="Y69" s="310"/>
      <c r="Z69" s="310"/>
      <c r="AA69" s="310"/>
      <c r="AD69" s="310"/>
      <c r="AE69" s="310"/>
      <c r="AF69" s="310"/>
      <c r="AG69" s="310"/>
      <c r="AI69" s="310"/>
      <c r="AJ69" s="310"/>
      <c r="AK69" s="310"/>
      <c r="AL69" s="310"/>
      <c r="AN69" s="310"/>
      <c r="AO69" s="310"/>
      <c r="AP69" s="310"/>
      <c r="AQ69" s="310"/>
    </row>
    <row r="70" spans="1:43" ht="15.5" thickTop="1" thickBot="1">
      <c r="A70" s="132"/>
      <c r="B70" s="158" t="s">
        <v>354</v>
      </c>
      <c r="C70" s="139"/>
      <c r="D70" s="140"/>
      <c r="E70" s="139"/>
      <c r="F70" s="157" t="s">
        <v>354</v>
      </c>
      <c r="G70" s="133"/>
      <c r="H70" s="141"/>
      <c r="I70" s="139"/>
      <c r="J70" s="158" t="s">
        <v>354</v>
      </c>
      <c r="K70" s="139"/>
      <c r="L70" s="158" t="s">
        <v>354</v>
      </c>
      <c r="M70" s="139"/>
      <c r="N70" s="158" t="s">
        <v>354</v>
      </c>
      <c r="O70" s="139"/>
      <c r="P70" s="158" t="s">
        <v>354</v>
      </c>
      <c r="Q70" s="139"/>
      <c r="R70" s="158" t="s">
        <v>354</v>
      </c>
      <c r="S70" s="139"/>
      <c r="T70" s="158" t="s">
        <v>354</v>
      </c>
      <c r="V70" s="177"/>
      <c r="X70" s="310"/>
      <c r="Y70" s="310"/>
      <c r="Z70" s="310"/>
      <c r="AA70" s="310"/>
      <c r="AD70" s="310"/>
      <c r="AE70" s="310"/>
      <c r="AF70" s="310"/>
      <c r="AG70" s="310"/>
      <c r="AI70" s="310"/>
      <c r="AJ70" s="310"/>
      <c r="AK70" s="310"/>
      <c r="AL70" s="310"/>
      <c r="AN70" s="310"/>
      <c r="AO70" s="310"/>
      <c r="AP70" s="310"/>
      <c r="AQ70" s="310"/>
    </row>
    <row r="71" spans="1:43" ht="15.5" thickTop="1" thickBot="1">
      <c r="A71" s="132"/>
      <c r="B71" s="141" t="s">
        <v>376</v>
      </c>
      <c r="C71" s="139"/>
      <c r="D71" s="141"/>
      <c r="E71" s="139"/>
      <c r="F71" s="141" t="s">
        <v>376</v>
      </c>
      <c r="G71" s="133"/>
      <c r="H71" s="141"/>
      <c r="I71" s="139"/>
      <c r="J71" s="141" t="s">
        <v>376</v>
      </c>
      <c r="K71" s="139"/>
      <c r="L71" s="141" t="s">
        <v>376</v>
      </c>
      <c r="M71" s="139"/>
      <c r="N71" s="141" t="s">
        <v>376</v>
      </c>
      <c r="O71" s="139"/>
      <c r="P71" s="141" t="s">
        <v>376</v>
      </c>
      <c r="Q71" s="139"/>
      <c r="R71" s="141"/>
      <c r="S71" s="139"/>
      <c r="T71" s="141" t="s">
        <v>376</v>
      </c>
      <c r="V71" s="177"/>
      <c r="X71" s="310"/>
      <c r="Y71" s="310"/>
      <c r="Z71" s="310"/>
      <c r="AA71" s="310"/>
      <c r="AD71" s="310"/>
      <c r="AE71" s="310"/>
      <c r="AF71" s="310"/>
      <c r="AG71" s="310"/>
      <c r="AI71" s="310"/>
      <c r="AJ71" s="310"/>
      <c r="AK71" s="310"/>
      <c r="AL71" s="310"/>
      <c r="AN71" s="310"/>
      <c r="AO71" s="310"/>
      <c r="AP71" s="310"/>
      <c r="AQ71" s="310"/>
    </row>
    <row r="72" spans="1:43" ht="15" thickTop="1">
      <c r="A72" s="132"/>
      <c r="B72" s="395" t="s">
        <v>251</v>
      </c>
      <c r="C72" s="133"/>
      <c r="D72" s="147" t="s">
        <v>377</v>
      </c>
      <c r="E72" s="133"/>
      <c r="F72" s="395" t="s">
        <v>297</v>
      </c>
      <c r="G72" s="133"/>
      <c r="H72" s="147" t="s">
        <v>378</v>
      </c>
      <c r="I72" s="133"/>
      <c r="J72" s="395" t="s">
        <v>236</v>
      </c>
      <c r="K72" s="133"/>
      <c r="L72" s="395" t="s">
        <v>237</v>
      </c>
      <c r="M72" s="133"/>
      <c r="N72" s="395" t="s">
        <v>214</v>
      </c>
      <c r="O72" s="133"/>
      <c r="P72" s="395" t="s">
        <v>213</v>
      </c>
      <c r="Q72" s="133"/>
      <c r="R72" s="395" t="s">
        <v>212</v>
      </c>
      <c r="S72" s="133"/>
      <c r="T72" s="395" t="s">
        <v>209</v>
      </c>
      <c r="V72" s="177"/>
      <c r="X72" s="310"/>
      <c r="Y72" s="310"/>
      <c r="Z72" s="310"/>
      <c r="AA72" s="310"/>
      <c r="AD72" s="310"/>
      <c r="AE72" s="310"/>
      <c r="AF72" s="310"/>
      <c r="AG72" s="310"/>
      <c r="AI72" s="310"/>
      <c r="AJ72" s="310"/>
      <c r="AK72" s="310"/>
      <c r="AL72" s="310"/>
      <c r="AN72" s="310"/>
      <c r="AO72" s="310"/>
      <c r="AP72" s="310"/>
      <c r="AQ72" s="310"/>
    </row>
    <row r="73" spans="1:43">
      <c r="A73" s="132"/>
      <c r="B73" s="148" t="s">
        <v>248</v>
      </c>
      <c r="C73" s="133"/>
      <c r="D73" s="147" t="s">
        <v>330</v>
      </c>
      <c r="E73" s="133"/>
      <c r="F73" s="145" t="s">
        <v>182</v>
      </c>
      <c r="G73" s="133"/>
      <c r="H73" s="147" t="s">
        <v>115</v>
      </c>
      <c r="I73" s="133"/>
      <c r="J73" s="145" t="s">
        <v>182</v>
      </c>
      <c r="K73" s="133"/>
      <c r="L73" s="145" t="s">
        <v>182</v>
      </c>
      <c r="M73" s="133"/>
      <c r="N73" s="145" t="s">
        <v>185</v>
      </c>
      <c r="O73" s="133"/>
      <c r="P73" s="145" t="s">
        <v>182</v>
      </c>
      <c r="Q73" s="133"/>
      <c r="R73" s="145" t="s">
        <v>182</v>
      </c>
      <c r="S73" s="133"/>
      <c r="T73" s="145" t="s">
        <v>182</v>
      </c>
      <c r="V73" s="167"/>
      <c r="X73" s="310">
        <f>COUNTIF($B$73:$V$73, "DA+0")</f>
        <v>6</v>
      </c>
      <c r="Y73" s="310">
        <f>COUNTIF($B$73:$V$73, "DA+3")</f>
        <v>1</v>
      </c>
      <c r="Z73" s="310">
        <f>COUNTIF($B$73:$V$73, "DA+6")</f>
        <v>0</v>
      </c>
      <c r="AA73" s="310">
        <f>COUNTIF($B$73:$V$73, "DA+9")</f>
        <v>1</v>
      </c>
      <c r="AD73" s="310">
        <f>COUNTIF($B$73:$V$73, "DB+0")</f>
        <v>0</v>
      </c>
      <c r="AE73" s="310">
        <f>COUNTIF($B$73:$V$73, "DB+3")</f>
        <v>0</v>
      </c>
      <c r="AF73" s="310">
        <f>COUNTIF($B$73:$V$73, "DB+6")</f>
        <v>0</v>
      </c>
      <c r="AG73" s="310">
        <f>COUNTIF($B$73:$V$73, "DB+9")</f>
        <v>0</v>
      </c>
      <c r="AI73" s="310">
        <f>COUNTIF($B$73:$V$73, "DC+0")</f>
        <v>1</v>
      </c>
      <c r="AJ73" s="310">
        <f>COUNTIF($B$73:$V$73, "DC+3")</f>
        <v>0</v>
      </c>
      <c r="AK73" s="310">
        <f>COUNTIF($B$73:$V$73, "DC+6")</f>
        <v>0</v>
      </c>
      <c r="AL73" s="310">
        <f>COUNTIF($B$73:$V$73, "DC+9")</f>
        <v>0</v>
      </c>
      <c r="AN73" s="310">
        <f>COUNTIF($B$73:$V$73, "DD+0")</f>
        <v>0</v>
      </c>
      <c r="AO73" s="310">
        <f>COUNTIF($B$73:$V$73, "DD+3")</f>
        <v>0</v>
      </c>
      <c r="AP73" s="310">
        <f>COUNTIF($B$73:$V$73, "DD+6")</f>
        <v>0</v>
      </c>
      <c r="AQ73" s="310">
        <f>COUNTIF($B$73:$V$73, "DD+9")</f>
        <v>0</v>
      </c>
    </row>
    <row r="74" spans="1:43">
      <c r="A74" s="132"/>
      <c r="B74" s="184" t="s">
        <v>375</v>
      </c>
      <c r="C74" s="133"/>
      <c r="D74" s="155"/>
      <c r="E74" s="155"/>
      <c r="F74" s="155"/>
      <c r="G74" s="155"/>
      <c r="H74" s="144" t="s">
        <v>366</v>
      </c>
      <c r="I74" s="192"/>
      <c r="J74" s="144" t="s">
        <v>366</v>
      </c>
      <c r="K74" s="192"/>
      <c r="L74" s="144" t="s">
        <v>331</v>
      </c>
      <c r="M74" s="192"/>
      <c r="N74" s="192"/>
      <c r="O74" s="192"/>
      <c r="P74" s="192"/>
      <c r="Q74" s="192"/>
      <c r="R74" s="192"/>
      <c r="S74" s="192"/>
      <c r="T74" s="192"/>
      <c r="V74" s="167"/>
      <c r="X74" s="310"/>
      <c r="Y74" s="310"/>
      <c r="Z74" s="310"/>
      <c r="AA74" s="310"/>
      <c r="AD74" s="310"/>
      <c r="AE74" s="310"/>
      <c r="AF74" s="310"/>
      <c r="AG74" s="310"/>
      <c r="AI74" s="310"/>
      <c r="AJ74" s="310"/>
      <c r="AK74" s="310"/>
      <c r="AL74" s="310"/>
      <c r="AN74" s="310"/>
      <c r="AO74" s="310"/>
      <c r="AP74" s="310"/>
      <c r="AQ74" s="310"/>
    </row>
    <row r="75" spans="1:43">
      <c r="A75" s="132"/>
      <c r="B75" s="133">
        <f>T67+1</f>
        <v>81</v>
      </c>
      <c r="D75" s="133">
        <f>B75+1</f>
        <v>82</v>
      </c>
      <c r="F75" s="133">
        <f>D75+1</f>
        <v>83</v>
      </c>
      <c r="G75" s="133"/>
      <c r="H75" s="133">
        <f>F75+1</f>
        <v>84</v>
      </c>
      <c r="I75" s="133"/>
      <c r="J75" s="133">
        <f>H75+1</f>
        <v>85</v>
      </c>
      <c r="K75" s="133"/>
      <c r="L75" s="133">
        <f>J75+1</f>
        <v>86</v>
      </c>
      <c r="M75" s="133"/>
      <c r="N75" s="133">
        <f>L75+1</f>
        <v>87</v>
      </c>
      <c r="O75" s="133"/>
      <c r="P75" s="133">
        <f>N75+1</f>
        <v>88</v>
      </c>
      <c r="Q75" s="133"/>
      <c r="R75" s="133">
        <f>P75+1</f>
        <v>89</v>
      </c>
      <c r="S75" s="133"/>
      <c r="T75" s="133">
        <f>R75+1</f>
        <v>90</v>
      </c>
      <c r="V75" s="167"/>
      <c r="X75" s="310"/>
      <c r="Y75" s="310"/>
      <c r="Z75" s="310"/>
      <c r="AA75" s="310"/>
      <c r="AD75" s="310"/>
      <c r="AE75" s="310"/>
      <c r="AF75" s="310"/>
      <c r="AG75" s="310"/>
      <c r="AI75" s="310"/>
      <c r="AJ75" s="310"/>
      <c r="AK75" s="310"/>
      <c r="AL75" s="310"/>
      <c r="AN75" s="310"/>
      <c r="AO75" s="310"/>
      <c r="AP75" s="310"/>
      <c r="AQ75" s="310"/>
    </row>
    <row r="76" spans="1:43">
      <c r="A76" s="132"/>
      <c r="B76" s="149"/>
      <c r="D76" s="133"/>
      <c r="F76" s="133"/>
      <c r="G76" s="133"/>
      <c r="H76" s="133"/>
      <c r="I76" s="133"/>
      <c r="J76" s="133"/>
      <c r="K76" s="133"/>
      <c r="L76" s="133"/>
      <c r="M76" s="133"/>
      <c r="N76" s="133"/>
      <c r="O76" s="133"/>
      <c r="P76" s="133"/>
      <c r="Q76" s="133"/>
      <c r="R76" s="133"/>
      <c r="S76" s="133"/>
      <c r="T76" s="133"/>
      <c r="V76" s="167"/>
      <c r="X76" s="310"/>
      <c r="Y76" s="310"/>
      <c r="Z76" s="310"/>
      <c r="AA76" s="310"/>
      <c r="AD76" s="310"/>
      <c r="AE76" s="310"/>
      <c r="AF76" s="310"/>
      <c r="AG76" s="310"/>
      <c r="AI76" s="310"/>
      <c r="AJ76" s="310"/>
      <c r="AK76" s="310"/>
      <c r="AL76" s="310"/>
      <c r="AN76" s="310"/>
      <c r="AO76" s="310"/>
      <c r="AP76" s="310"/>
      <c r="AQ76" s="310"/>
    </row>
    <row r="77" spans="1:43" ht="15" thickBot="1">
      <c r="A77" s="132"/>
      <c r="B77" s="156"/>
      <c r="D77" s="135"/>
      <c r="F77" s="135"/>
      <c r="G77" s="135">
        <v>388.46</v>
      </c>
      <c r="H77" s="133"/>
      <c r="I77" s="135">
        <v>380.96</v>
      </c>
      <c r="J77" s="133"/>
      <c r="K77" s="135">
        <v>374.03</v>
      </c>
      <c r="L77" s="133"/>
      <c r="M77" s="135">
        <v>351.96</v>
      </c>
      <c r="N77" s="135"/>
      <c r="O77" s="135">
        <v>395.64</v>
      </c>
      <c r="P77" s="133"/>
      <c r="Q77" s="135">
        <v>414.76</v>
      </c>
      <c r="R77" s="135"/>
      <c r="S77" s="135">
        <v>401.93</v>
      </c>
      <c r="T77" s="135"/>
      <c r="V77" s="167"/>
      <c r="X77" s="310"/>
      <c r="Y77" s="310"/>
      <c r="Z77" s="310"/>
      <c r="AA77" s="310"/>
      <c r="AD77" s="310"/>
      <c r="AE77" s="310"/>
      <c r="AF77" s="310"/>
      <c r="AG77" s="310"/>
      <c r="AI77" s="310"/>
      <c r="AJ77" s="310"/>
      <c r="AK77" s="310"/>
      <c r="AL77" s="310"/>
      <c r="AN77" s="310"/>
      <c r="AO77" s="310"/>
      <c r="AP77" s="310"/>
      <c r="AQ77" s="310"/>
    </row>
    <row r="78" spans="1:43" ht="15.5" thickTop="1" thickBot="1">
      <c r="A78" s="132"/>
      <c r="B78" s="185" t="s">
        <v>354</v>
      </c>
      <c r="D78" s="140"/>
      <c r="F78" s="157" t="s">
        <v>354</v>
      </c>
      <c r="G78" s="139"/>
      <c r="H78" s="140"/>
      <c r="I78" s="133"/>
      <c r="J78" s="158" t="s">
        <v>354</v>
      </c>
      <c r="K78" s="139"/>
      <c r="L78" s="158" t="s">
        <v>354</v>
      </c>
      <c r="M78" s="139"/>
      <c r="N78" s="158" t="s">
        <v>354</v>
      </c>
      <c r="O78" s="139"/>
      <c r="P78" s="158" t="s">
        <v>354</v>
      </c>
      <c r="Q78" s="139"/>
      <c r="R78" s="158" t="s">
        <v>354</v>
      </c>
      <c r="S78" s="139"/>
      <c r="T78" s="140"/>
      <c r="V78" s="167"/>
      <c r="X78" s="310"/>
      <c r="Y78" s="310"/>
      <c r="Z78" s="310"/>
      <c r="AA78" s="310"/>
      <c r="AD78" s="310"/>
      <c r="AE78" s="310"/>
      <c r="AF78" s="310"/>
      <c r="AG78" s="310"/>
      <c r="AI78" s="310"/>
      <c r="AJ78" s="310"/>
      <c r="AK78" s="310"/>
      <c r="AL78" s="310"/>
      <c r="AN78" s="310"/>
      <c r="AO78" s="310"/>
      <c r="AP78" s="310"/>
      <c r="AQ78" s="310"/>
    </row>
    <row r="79" spans="1:43" ht="15.5" thickTop="1" thickBot="1">
      <c r="A79" s="132"/>
      <c r="B79" s="186" t="s">
        <v>376</v>
      </c>
      <c r="D79" s="141"/>
      <c r="F79" s="141" t="s">
        <v>376</v>
      </c>
      <c r="G79" s="139"/>
      <c r="H79" s="141"/>
      <c r="I79" s="133"/>
      <c r="J79" s="141" t="s">
        <v>376</v>
      </c>
      <c r="K79" s="139"/>
      <c r="L79" s="141" t="s">
        <v>376</v>
      </c>
      <c r="M79" s="139"/>
      <c r="N79" s="141" t="s">
        <v>376</v>
      </c>
      <c r="O79" s="139"/>
      <c r="P79" s="141" t="s">
        <v>376</v>
      </c>
      <c r="Q79" s="139"/>
      <c r="R79" s="141" t="s">
        <v>376</v>
      </c>
      <c r="S79" s="139"/>
      <c r="T79" s="141"/>
      <c r="V79" s="167"/>
      <c r="X79" s="310"/>
      <c r="Y79" s="310"/>
      <c r="Z79" s="310"/>
      <c r="AA79" s="310"/>
      <c r="AD79" s="310"/>
      <c r="AE79" s="310"/>
      <c r="AF79" s="310"/>
      <c r="AG79" s="310"/>
      <c r="AI79" s="310"/>
      <c r="AJ79" s="310"/>
      <c r="AK79" s="310"/>
      <c r="AL79" s="310"/>
      <c r="AN79" s="310"/>
      <c r="AO79" s="310"/>
      <c r="AP79" s="310"/>
      <c r="AQ79" s="310"/>
    </row>
    <row r="80" spans="1:43" ht="15" thickTop="1">
      <c r="A80" s="132"/>
      <c r="B80" s="395" t="s">
        <v>231</v>
      </c>
      <c r="D80" s="144" t="s">
        <v>379</v>
      </c>
      <c r="F80" s="395" t="s">
        <v>263</v>
      </c>
      <c r="G80" s="149"/>
      <c r="H80" s="147" t="s">
        <v>380</v>
      </c>
      <c r="I80" s="149"/>
      <c r="J80" s="395" t="s">
        <v>215</v>
      </c>
      <c r="K80" s="149"/>
      <c r="L80" s="395" t="s">
        <v>216</v>
      </c>
      <c r="M80" s="149"/>
      <c r="N80" s="395" t="s">
        <v>239</v>
      </c>
      <c r="O80" s="149"/>
      <c r="P80" s="395" t="s">
        <v>240</v>
      </c>
      <c r="Q80" s="149"/>
      <c r="R80" s="395" t="s">
        <v>241</v>
      </c>
      <c r="S80" s="149"/>
      <c r="T80" s="147" t="s">
        <v>381</v>
      </c>
      <c r="V80" s="167"/>
      <c r="X80" s="310"/>
      <c r="Y80" s="310"/>
      <c r="Z80" s="310"/>
      <c r="AA80" s="310"/>
      <c r="AD80" s="310"/>
      <c r="AE80" s="310"/>
      <c r="AF80" s="310"/>
      <c r="AG80" s="310"/>
      <c r="AI80" s="310"/>
      <c r="AJ80" s="310"/>
      <c r="AK80" s="310"/>
      <c r="AL80" s="310"/>
      <c r="AN80" s="310"/>
      <c r="AO80" s="310"/>
      <c r="AP80" s="310"/>
      <c r="AQ80" s="310"/>
    </row>
    <row r="81" spans="1:43">
      <c r="A81" s="132"/>
      <c r="B81" s="145" t="s">
        <v>182</v>
      </c>
      <c r="C81" s="149"/>
      <c r="D81" s="144" t="s">
        <v>319</v>
      </c>
      <c r="F81" s="145" t="s">
        <v>242</v>
      </c>
      <c r="G81" s="149"/>
      <c r="H81" s="147" t="s">
        <v>344</v>
      </c>
      <c r="I81" s="149"/>
      <c r="J81" s="148" t="s">
        <v>182</v>
      </c>
      <c r="K81" s="149"/>
      <c r="L81" s="148" t="s">
        <v>185</v>
      </c>
      <c r="M81" s="149"/>
      <c r="N81" s="148" t="s">
        <v>182</v>
      </c>
      <c r="O81" s="149"/>
      <c r="P81" s="148" t="s">
        <v>185</v>
      </c>
      <c r="Q81" s="149"/>
      <c r="R81" s="148" t="s">
        <v>242</v>
      </c>
      <c r="S81" s="149"/>
      <c r="T81" s="147" t="s">
        <v>319</v>
      </c>
      <c r="U81" s="133"/>
      <c r="V81" s="177"/>
      <c r="X81" s="310">
        <f>COUNTIF($C$81:$V$81, "DA+0")</f>
        <v>2</v>
      </c>
      <c r="Y81" s="310">
        <f>COUNTIF($C$81:$V$81, "DA+3")</f>
        <v>2</v>
      </c>
      <c r="Z81" s="310">
        <f>COUNTIF($C$81:$V$81, "DA+6")</f>
        <v>2</v>
      </c>
      <c r="AA81" s="310">
        <f>COUNTIF($C$81:$V$81, "DA+9")</f>
        <v>0</v>
      </c>
      <c r="AD81" s="310">
        <f>COUNTIF($C$81:$V$81, "DB+0")</f>
        <v>0</v>
      </c>
      <c r="AE81" s="310">
        <f>COUNTIF($C$81:$V$81, "DB+3")</f>
        <v>0</v>
      </c>
      <c r="AF81" s="310">
        <f>COUNTIF($C$81:$V$81, "DB+6")</f>
        <v>0</v>
      </c>
      <c r="AG81" s="310">
        <f>COUNTIF($C$81:$V$81, "DB+9")</f>
        <v>0</v>
      </c>
      <c r="AI81" s="310">
        <f>COUNTIF($C$81:$V$81, "DC+0")</f>
        <v>0</v>
      </c>
      <c r="AJ81" s="310">
        <f>COUNTIF($C$81:$V$81, "DC+3")</f>
        <v>0</v>
      </c>
      <c r="AK81" s="310">
        <f>COUNTIF($C$81:$V$81, "DC+6")</f>
        <v>0</v>
      </c>
      <c r="AL81" s="310">
        <f>COUNTIF($C$81:$V$81, "DC+9")</f>
        <v>0</v>
      </c>
      <c r="AN81" s="310">
        <f>COUNTIF($C$81:$V$81, "DD+0")</f>
        <v>0</v>
      </c>
      <c r="AO81" s="310">
        <f>COUNTIF($C$81:$V$81, "DD+3")</f>
        <v>0</v>
      </c>
      <c r="AP81" s="310">
        <f>COUNTIF($C$81:$V$81, "DD+6")</f>
        <v>0</v>
      </c>
      <c r="AQ81" s="310">
        <f>COUNTIF($C$81:$V$81, "DD+9")</f>
        <v>0</v>
      </c>
    </row>
    <row r="82" spans="1:43">
      <c r="A82" s="187"/>
      <c r="F82" s="184" t="s">
        <v>382</v>
      </c>
      <c r="G82" s="149"/>
      <c r="H82" s="148"/>
      <c r="I82" s="149"/>
      <c r="J82" s="147"/>
      <c r="K82" s="149"/>
      <c r="L82" s="144" t="s">
        <v>366</v>
      </c>
      <c r="M82" s="149"/>
      <c r="N82" s="148"/>
      <c r="O82" s="149"/>
      <c r="P82" s="147"/>
      <c r="Q82" s="149"/>
      <c r="R82" s="148"/>
      <c r="S82" s="149"/>
      <c r="T82" s="148"/>
      <c r="V82" s="167"/>
      <c r="X82" s="310"/>
      <c r="Y82" s="310"/>
      <c r="Z82" s="310"/>
      <c r="AA82" s="310"/>
      <c r="AD82" s="310"/>
      <c r="AE82" s="310"/>
      <c r="AF82" s="310"/>
      <c r="AG82" s="310"/>
      <c r="AI82" s="310"/>
      <c r="AJ82" s="310"/>
      <c r="AK82" s="310"/>
      <c r="AL82" s="310"/>
      <c r="AN82" s="310"/>
      <c r="AO82" s="310"/>
      <c r="AP82" s="310"/>
      <c r="AQ82" s="310"/>
    </row>
    <row r="83" spans="1:43">
      <c r="A83" s="187"/>
      <c r="B83" s="161">
        <f>T75+1</f>
        <v>91</v>
      </c>
      <c r="C83" s="133"/>
      <c r="D83" s="133">
        <f>B83+1</f>
        <v>92</v>
      </c>
      <c r="F83" s="133">
        <f>D83+1</f>
        <v>93</v>
      </c>
      <c r="G83" s="133"/>
      <c r="H83" s="133">
        <f>F83+1</f>
        <v>94</v>
      </c>
      <c r="I83" s="133"/>
      <c r="J83" s="133">
        <f>H83+1</f>
        <v>95</v>
      </c>
      <c r="K83" s="133"/>
      <c r="L83" s="133">
        <f>J83+1</f>
        <v>96</v>
      </c>
      <c r="M83" s="133"/>
      <c r="N83" s="133">
        <f>L83+1</f>
        <v>97</v>
      </c>
      <c r="O83" s="133"/>
      <c r="P83" s="133">
        <f>N83+1</f>
        <v>98</v>
      </c>
      <c r="Q83" s="133"/>
      <c r="R83" s="133">
        <f>P83+1</f>
        <v>99</v>
      </c>
      <c r="S83" s="133"/>
      <c r="T83" s="133">
        <f>R83+1</f>
        <v>100</v>
      </c>
      <c r="U83" s="133"/>
      <c r="V83" s="167"/>
      <c r="X83" s="310"/>
      <c r="Y83" s="310"/>
      <c r="Z83" s="310"/>
      <c r="AA83" s="310"/>
      <c r="AD83" s="310"/>
      <c r="AE83" s="310"/>
      <c r="AF83" s="310"/>
      <c r="AG83" s="310"/>
      <c r="AI83" s="310"/>
      <c r="AJ83" s="310"/>
      <c r="AK83" s="310"/>
      <c r="AL83" s="310"/>
      <c r="AN83" s="310"/>
      <c r="AO83" s="310"/>
      <c r="AP83" s="310"/>
      <c r="AQ83" s="310"/>
    </row>
    <row r="84" spans="1:43">
      <c r="A84" s="187"/>
      <c r="B84" s="133"/>
      <c r="C84" s="133"/>
      <c r="D84" s="133"/>
      <c r="F84" s="133"/>
      <c r="G84" s="133"/>
      <c r="H84" s="133"/>
      <c r="I84" s="133"/>
      <c r="J84" s="133"/>
      <c r="K84" s="133"/>
      <c r="L84" s="133"/>
      <c r="M84" s="133"/>
      <c r="N84" s="133"/>
      <c r="O84" s="133"/>
      <c r="P84" s="133"/>
      <c r="Q84" s="133"/>
      <c r="R84" s="133"/>
      <c r="S84" s="133"/>
      <c r="T84" s="133"/>
      <c r="U84" s="133"/>
      <c r="V84" s="167"/>
      <c r="X84" s="310"/>
      <c r="Y84" s="310"/>
      <c r="Z84" s="310"/>
      <c r="AA84" s="310"/>
      <c r="AD84" s="310"/>
      <c r="AE84" s="310"/>
      <c r="AF84" s="310"/>
      <c r="AG84" s="310"/>
      <c r="AI84" s="310"/>
      <c r="AJ84" s="310"/>
      <c r="AK84" s="310"/>
      <c r="AL84" s="310"/>
      <c r="AN84" s="310"/>
      <c r="AO84" s="310"/>
      <c r="AP84" s="310"/>
      <c r="AQ84" s="310"/>
    </row>
    <row r="85" spans="1:43" ht="15" thickBot="1">
      <c r="A85" s="187"/>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c r="V85" s="167"/>
      <c r="X85" s="310"/>
      <c r="Y85" s="310"/>
      <c r="Z85" s="310"/>
      <c r="AA85" s="310"/>
      <c r="AD85" s="310"/>
      <c r="AE85" s="310"/>
      <c r="AF85" s="310"/>
      <c r="AG85" s="310"/>
      <c r="AI85" s="310"/>
      <c r="AJ85" s="310"/>
      <c r="AK85" s="310"/>
      <c r="AL85" s="310"/>
      <c r="AN85" s="310"/>
      <c r="AO85" s="310"/>
      <c r="AP85" s="310"/>
      <c r="AQ85" s="310"/>
    </row>
    <row r="86" spans="1:43" ht="15.5" thickTop="1" thickBot="1">
      <c r="A86" s="187"/>
      <c r="B86" s="140"/>
      <c r="C86" s="133"/>
      <c r="D86" s="140"/>
      <c r="F86" s="158" t="s">
        <v>354</v>
      </c>
      <c r="G86" s="139"/>
      <c r="H86" s="140"/>
      <c r="I86" s="133"/>
      <c r="J86" s="140"/>
      <c r="K86" s="139"/>
      <c r="L86" s="158" t="s">
        <v>354</v>
      </c>
      <c r="M86" s="139"/>
      <c r="N86" s="140"/>
      <c r="O86" s="139"/>
      <c r="P86" s="140"/>
      <c r="Q86" s="139"/>
      <c r="R86" s="158" t="s">
        <v>354</v>
      </c>
      <c r="S86" s="139"/>
      <c r="T86" s="138"/>
      <c r="U86" s="162"/>
      <c r="V86" s="167"/>
      <c r="X86" s="310"/>
      <c r="Y86" s="310"/>
      <c r="Z86" s="310"/>
      <c r="AA86" s="310"/>
      <c r="AD86" s="310"/>
      <c r="AE86" s="310"/>
      <c r="AF86" s="310"/>
      <c r="AG86" s="310"/>
      <c r="AI86" s="310"/>
      <c r="AJ86" s="310"/>
      <c r="AK86" s="310"/>
      <c r="AL86" s="310"/>
      <c r="AN86" s="310"/>
      <c r="AO86" s="310"/>
      <c r="AP86" s="310"/>
      <c r="AQ86" s="310"/>
    </row>
    <row r="87" spans="1:43" ht="15.5" thickTop="1" thickBot="1">
      <c r="A87" s="187"/>
      <c r="B87" s="141"/>
      <c r="C87" s="133"/>
      <c r="D87" s="141"/>
      <c r="F87" s="141" t="s">
        <v>376</v>
      </c>
      <c r="G87" s="139"/>
      <c r="H87" s="141"/>
      <c r="I87" s="133"/>
      <c r="J87" s="141"/>
      <c r="K87" s="139"/>
      <c r="L87" s="141" t="s">
        <v>376</v>
      </c>
      <c r="M87" s="139"/>
      <c r="N87" s="141"/>
      <c r="O87" s="139"/>
      <c r="P87" s="141"/>
      <c r="Q87" s="139"/>
      <c r="R87" s="141" t="s">
        <v>376</v>
      </c>
      <c r="S87" s="139"/>
      <c r="T87" s="141"/>
      <c r="U87" s="162"/>
      <c r="V87" s="167"/>
      <c r="X87" s="310"/>
      <c r="Y87" s="310"/>
      <c r="Z87" s="310"/>
      <c r="AA87" s="310"/>
      <c r="AD87" s="310"/>
      <c r="AE87" s="310"/>
      <c r="AF87" s="310"/>
      <c r="AG87" s="310"/>
      <c r="AI87" s="310"/>
      <c r="AJ87" s="310"/>
      <c r="AK87" s="310"/>
      <c r="AL87" s="310"/>
      <c r="AN87" s="310"/>
      <c r="AO87" s="310"/>
      <c r="AP87" s="310"/>
      <c r="AQ87" s="310"/>
    </row>
    <row r="88" spans="1:43" ht="15" thickTop="1">
      <c r="A88" s="187"/>
      <c r="B88" s="395" t="s">
        <v>383</v>
      </c>
      <c r="C88" s="133"/>
      <c r="D88" s="147" t="s">
        <v>384</v>
      </c>
      <c r="F88" s="395" t="s">
        <v>253</v>
      </c>
      <c r="G88" s="133"/>
      <c r="H88" s="395" t="s">
        <v>385</v>
      </c>
      <c r="I88" s="133"/>
      <c r="J88" s="147" t="s">
        <v>386</v>
      </c>
      <c r="K88" s="133"/>
      <c r="L88" s="147" t="s">
        <v>257</v>
      </c>
      <c r="M88" s="133"/>
      <c r="N88" s="147" t="s">
        <v>387</v>
      </c>
      <c r="O88" s="133"/>
      <c r="P88" s="395" t="s">
        <v>267</v>
      </c>
      <c r="Q88" s="133"/>
      <c r="R88" s="395" t="s">
        <v>268</v>
      </c>
      <c r="S88" s="133"/>
      <c r="T88" s="395" t="s">
        <v>269</v>
      </c>
      <c r="U88" s="133"/>
      <c r="V88" s="167"/>
      <c r="X88" s="310"/>
      <c r="Y88" s="310"/>
      <c r="Z88" s="310"/>
      <c r="AA88" s="310"/>
      <c r="AD88" s="310"/>
      <c r="AE88" s="310"/>
      <c r="AF88" s="310"/>
      <c r="AG88" s="310"/>
      <c r="AI88" s="310"/>
      <c r="AJ88" s="310"/>
      <c r="AK88" s="310"/>
      <c r="AL88" s="310"/>
      <c r="AN88" s="310"/>
      <c r="AO88" s="310"/>
      <c r="AP88" s="310"/>
      <c r="AQ88" s="310"/>
    </row>
    <row r="89" spans="1:43">
      <c r="A89" s="187"/>
      <c r="B89" s="148" t="s">
        <v>185</v>
      </c>
      <c r="C89" s="133"/>
      <c r="D89" s="147" t="s">
        <v>343</v>
      </c>
      <c r="F89" s="148" t="s">
        <v>248</v>
      </c>
      <c r="G89" s="133"/>
      <c r="H89" s="148" t="s">
        <v>182</v>
      </c>
      <c r="I89" s="133"/>
      <c r="J89" s="147" t="s">
        <v>388</v>
      </c>
      <c r="K89" s="133"/>
      <c r="L89" s="147" t="s">
        <v>248</v>
      </c>
      <c r="M89" s="133"/>
      <c r="N89" s="147" t="s">
        <v>330</v>
      </c>
      <c r="O89" s="133"/>
      <c r="P89" s="148" t="s">
        <v>182</v>
      </c>
      <c r="Q89" s="133"/>
      <c r="R89" s="148" t="s">
        <v>185</v>
      </c>
      <c r="S89" s="133"/>
      <c r="T89" s="148" t="s">
        <v>182</v>
      </c>
      <c r="U89" s="133"/>
      <c r="V89" s="167"/>
      <c r="X89" s="310">
        <f>COUNTIF($B$89:$V$89, "DA+0")</f>
        <v>3</v>
      </c>
      <c r="Y89" s="310">
        <f>COUNTIF($B$89:$V$89, "DA+3")</f>
        <v>2</v>
      </c>
      <c r="Z89" s="310">
        <f>COUNTIF($B$89:$V$89, "DA+6")</f>
        <v>0</v>
      </c>
      <c r="AA89" s="310">
        <f>COUNTIF($B$89:$V$89, "DA+9")</f>
        <v>2</v>
      </c>
      <c r="AD89" s="310">
        <f>COUNTIF($B$89:$V$89, "DB+0")</f>
        <v>0</v>
      </c>
      <c r="AE89" s="310">
        <f>COUNTIF($B$89:$V$89, "DB+3")</f>
        <v>0</v>
      </c>
      <c r="AF89" s="310">
        <f>COUNTIF($B$89:$V$89, "DB+6")</f>
        <v>0</v>
      </c>
      <c r="AG89" s="310">
        <f>COUNTIF($B$89:$V$89, "DB+9")</f>
        <v>0</v>
      </c>
      <c r="AI89" s="310">
        <f>COUNTIF($B$89:$V$89, "DC+0")</f>
        <v>0</v>
      </c>
      <c r="AJ89" s="310">
        <f>COUNTIF($B$89:$V$89, "DC+3")</f>
        <v>0</v>
      </c>
      <c r="AK89" s="310">
        <f>COUNTIF($B$89:$V$89, "DC+6")</f>
        <v>0</v>
      </c>
      <c r="AL89" s="310">
        <f>COUNTIF($B$89:$V$89, "DC+9")</f>
        <v>0</v>
      </c>
      <c r="AN89" s="310">
        <f>COUNTIF($B$89:$V$89, "DD+0")</f>
        <v>0</v>
      </c>
      <c r="AO89" s="310">
        <f>COUNTIF($B$89:$V$89, "DD+3")</f>
        <v>0</v>
      </c>
      <c r="AP89" s="310">
        <f>COUNTIF($B$89:$V$89, "DD+6")</f>
        <v>0</v>
      </c>
      <c r="AQ89" s="310">
        <f>COUNTIF($B$89:$V$89, "DD+9")</f>
        <v>0</v>
      </c>
    </row>
    <row r="90" spans="1:43">
      <c r="A90" s="187"/>
      <c r="F90" s="154" t="s">
        <v>220</v>
      </c>
      <c r="G90" s="133"/>
      <c r="H90" s="144" t="s">
        <v>389</v>
      </c>
      <c r="I90" s="133"/>
      <c r="J90" s="147"/>
      <c r="K90" s="133"/>
      <c r="L90" s="144" t="s">
        <v>366</v>
      </c>
      <c r="M90" s="133"/>
      <c r="N90" s="147"/>
      <c r="O90" s="133"/>
      <c r="P90" s="144" t="s">
        <v>331</v>
      </c>
      <c r="Q90" s="133"/>
      <c r="R90" s="148"/>
      <c r="S90" s="133"/>
      <c r="T90" s="148"/>
      <c r="U90" s="133"/>
      <c r="V90" s="177"/>
      <c r="X90" s="310"/>
      <c r="Y90" s="310"/>
      <c r="Z90" s="310"/>
      <c r="AA90" s="310"/>
      <c r="AD90" s="310"/>
      <c r="AE90" s="310"/>
      <c r="AF90" s="310"/>
      <c r="AG90" s="310"/>
      <c r="AI90" s="310"/>
      <c r="AJ90" s="310"/>
      <c r="AK90" s="310"/>
      <c r="AL90" s="310"/>
      <c r="AN90" s="310"/>
      <c r="AO90" s="310"/>
      <c r="AP90" s="310"/>
      <c r="AQ90" s="310"/>
    </row>
    <row r="91" spans="1:43">
      <c r="A91" s="132"/>
      <c r="B91" s="161">
        <f>T83+1</f>
        <v>101</v>
      </c>
      <c r="C91" s="133"/>
      <c r="D91" s="133">
        <f>B91+1</f>
        <v>102</v>
      </c>
      <c r="E91" s="188"/>
      <c r="F91" s="188">
        <f>D91+1</f>
        <v>103</v>
      </c>
      <c r="G91" s="188"/>
      <c r="H91" s="188">
        <f>F91+1</f>
        <v>104</v>
      </c>
      <c r="I91" s="188"/>
      <c r="J91" s="188">
        <f>H91+1</f>
        <v>105</v>
      </c>
      <c r="K91" s="133"/>
      <c r="L91" s="188">
        <f>J91+1</f>
        <v>106</v>
      </c>
      <c r="M91" s="133"/>
      <c r="N91" s="188">
        <f>L91+1</f>
        <v>107</v>
      </c>
      <c r="O91" s="133"/>
      <c r="P91" s="188">
        <f>N91+1</f>
        <v>108</v>
      </c>
      <c r="Q91" s="133"/>
      <c r="R91" s="188">
        <f>P91+1</f>
        <v>109</v>
      </c>
      <c r="S91" s="133"/>
      <c r="T91" s="188">
        <f>R91+1</f>
        <v>110</v>
      </c>
      <c r="V91" s="177"/>
      <c r="X91" s="310"/>
      <c r="Y91" s="310"/>
      <c r="Z91" s="310"/>
      <c r="AA91" s="310"/>
      <c r="AD91" s="310"/>
      <c r="AE91" s="310"/>
      <c r="AF91" s="310"/>
      <c r="AG91" s="310"/>
      <c r="AI91" s="310"/>
      <c r="AJ91" s="310"/>
      <c r="AK91" s="310"/>
      <c r="AL91" s="310"/>
      <c r="AN91" s="310"/>
      <c r="AO91" s="310"/>
      <c r="AP91" s="310"/>
      <c r="AQ91" s="310"/>
    </row>
    <row r="92" spans="1:43">
      <c r="A92" s="132"/>
      <c r="B92" s="133"/>
      <c r="C92" s="133"/>
      <c r="D92" s="133"/>
      <c r="F92" s="133"/>
      <c r="G92" s="133"/>
      <c r="H92" s="133"/>
      <c r="I92" s="133"/>
      <c r="J92" s="133"/>
      <c r="K92" s="133"/>
      <c r="L92" s="133"/>
      <c r="M92" s="133"/>
      <c r="N92" s="133"/>
      <c r="O92" s="133"/>
      <c r="P92" s="133"/>
      <c r="Q92" s="133"/>
      <c r="R92" s="133"/>
      <c r="S92" s="133"/>
      <c r="T92" s="133"/>
      <c r="V92" s="178" t="e">
        <f>G110+K110+M110+O110+Q110+I110+S110+#REF!+C110+#REF!</f>
        <v>#REF!</v>
      </c>
      <c r="X92" s="310"/>
      <c r="Y92" s="310"/>
      <c r="Z92" s="310"/>
      <c r="AA92" s="310"/>
      <c r="AD92" s="310"/>
      <c r="AE92" s="310"/>
      <c r="AF92" s="310"/>
      <c r="AG92" s="310"/>
      <c r="AI92" s="310"/>
      <c r="AJ92" s="310"/>
      <c r="AK92" s="310"/>
      <c r="AL92" s="310"/>
      <c r="AN92" s="310"/>
      <c r="AO92" s="310"/>
      <c r="AP92" s="310"/>
      <c r="AQ92" s="310"/>
    </row>
    <row r="93" spans="1:43" ht="15" thickBot="1">
      <c r="A93" s="134">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178"/>
      <c r="X93" s="310"/>
      <c r="Y93" s="310"/>
      <c r="Z93" s="310"/>
      <c r="AA93" s="310"/>
      <c r="AD93" s="310"/>
      <c r="AE93" s="310"/>
      <c r="AF93" s="310"/>
      <c r="AG93" s="310"/>
      <c r="AI93" s="310"/>
      <c r="AJ93" s="310"/>
      <c r="AK93" s="310"/>
      <c r="AL93" s="310"/>
      <c r="AN93" s="310"/>
      <c r="AO93" s="310"/>
      <c r="AP93" s="310"/>
      <c r="AQ93" s="310"/>
    </row>
    <row r="94" spans="1:43" ht="15.5" thickTop="1" thickBot="1">
      <c r="A94" s="189"/>
      <c r="B94" s="190" t="s">
        <v>228</v>
      </c>
      <c r="C94" s="162"/>
      <c r="D94" s="140"/>
      <c r="F94" s="140"/>
      <c r="G94" s="139"/>
      <c r="H94" s="140"/>
      <c r="I94" s="133"/>
      <c r="J94" s="140"/>
      <c r="K94" s="139"/>
      <c r="L94" s="141"/>
      <c r="M94" s="139"/>
      <c r="N94" s="158" t="s">
        <v>354</v>
      </c>
      <c r="O94" s="139"/>
      <c r="P94" s="140"/>
      <c r="Q94" s="139"/>
      <c r="R94" s="140"/>
      <c r="S94" s="139"/>
      <c r="T94" s="158" t="s">
        <v>354</v>
      </c>
      <c r="V94" s="177"/>
      <c r="X94" s="310"/>
      <c r="Y94" s="310"/>
      <c r="Z94" s="310"/>
      <c r="AA94" s="310"/>
      <c r="AD94" s="310"/>
      <c r="AE94" s="310"/>
      <c r="AF94" s="310"/>
      <c r="AG94" s="310"/>
      <c r="AI94" s="310"/>
      <c r="AJ94" s="310"/>
      <c r="AK94" s="310"/>
      <c r="AL94" s="310"/>
      <c r="AN94" s="310"/>
      <c r="AO94" s="310"/>
      <c r="AP94" s="310"/>
      <c r="AQ94" s="310"/>
    </row>
    <row r="95" spans="1:43" ht="15.5" thickTop="1" thickBot="1">
      <c r="A95" s="189"/>
      <c r="B95" s="141" t="s">
        <v>390</v>
      </c>
      <c r="C95" s="162"/>
      <c r="D95" s="141"/>
      <c r="F95" s="141"/>
      <c r="G95" s="139"/>
      <c r="H95" s="141"/>
      <c r="I95" s="133"/>
      <c r="J95" s="141"/>
      <c r="K95" s="139"/>
      <c r="L95" s="141"/>
      <c r="M95" s="139"/>
      <c r="N95" s="141"/>
      <c r="O95" s="139"/>
      <c r="P95" s="141"/>
      <c r="Q95" s="139"/>
      <c r="R95" s="141"/>
      <c r="S95" s="139"/>
      <c r="T95" s="141"/>
      <c r="V95" s="177"/>
      <c r="X95" s="310"/>
      <c r="Y95" s="310"/>
      <c r="Z95" s="310"/>
      <c r="AA95" s="310"/>
      <c r="AD95" s="310"/>
      <c r="AE95" s="310"/>
      <c r="AF95" s="310"/>
      <c r="AG95" s="310"/>
      <c r="AI95" s="310"/>
      <c r="AJ95" s="310"/>
      <c r="AK95" s="310"/>
      <c r="AL95" s="310"/>
      <c r="AN95" s="310"/>
      <c r="AO95" s="310"/>
      <c r="AP95" s="310"/>
      <c r="AQ95" s="310"/>
    </row>
    <row r="96" spans="1:43" ht="15" thickTop="1">
      <c r="A96" s="132"/>
      <c r="B96" s="395" t="s">
        <v>227</v>
      </c>
      <c r="C96" s="149"/>
      <c r="D96" s="395" t="s">
        <v>271</v>
      </c>
      <c r="F96" s="147" t="s">
        <v>391</v>
      </c>
      <c r="G96" s="149"/>
      <c r="H96" s="395" t="s">
        <v>392</v>
      </c>
      <c r="I96" s="149"/>
      <c r="J96" s="395" t="s">
        <v>393</v>
      </c>
      <c r="K96" s="149"/>
      <c r="L96" s="147" t="s">
        <v>394</v>
      </c>
      <c r="M96" s="149"/>
      <c r="N96" s="395" t="s">
        <v>225</v>
      </c>
      <c r="O96" s="149"/>
      <c r="P96" s="147" t="s">
        <v>395</v>
      </c>
      <c r="Q96" s="149"/>
      <c r="R96" s="147" t="s">
        <v>396</v>
      </c>
      <c r="S96" s="149"/>
      <c r="T96" s="395" t="s">
        <v>258</v>
      </c>
      <c r="V96" s="177"/>
      <c r="X96" s="310"/>
      <c r="Y96" s="310"/>
      <c r="Z96" s="310"/>
      <c r="AA96" s="310"/>
      <c r="AD96" s="310"/>
      <c r="AE96" s="310"/>
      <c r="AF96" s="310"/>
      <c r="AG96" s="310"/>
      <c r="AI96" s="310"/>
      <c r="AJ96" s="310"/>
      <c r="AK96" s="310"/>
      <c r="AL96" s="310"/>
      <c r="AN96" s="310"/>
      <c r="AO96" s="310"/>
      <c r="AP96" s="310"/>
      <c r="AQ96" s="310"/>
    </row>
    <row r="97" spans="1:43">
      <c r="A97" s="132"/>
      <c r="B97" s="148" t="s">
        <v>182</v>
      </c>
      <c r="C97" s="149"/>
      <c r="D97" s="148" t="s">
        <v>242</v>
      </c>
      <c r="F97" s="147" t="s">
        <v>388</v>
      </c>
      <c r="G97" s="149"/>
      <c r="H97" s="148" t="s">
        <v>182</v>
      </c>
      <c r="I97" s="149"/>
      <c r="J97" s="148" t="s">
        <v>185</v>
      </c>
      <c r="K97" s="149"/>
      <c r="L97" s="147" t="s">
        <v>319</v>
      </c>
      <c r="M97" s="149"/>
      <c r="N97" s="148" t="s">
        <v>185</v>
      </c>
      <c r="O97" s="149"/>
      <c r="P97" s="147" t="s">
        <v>397</v>
      </c>
      <c r="Q97" s="149"/>
      <c r="R97" s="147" t="s">
        <v>319</v>
      </c>
      <c r="S97" s="149"/>
      <c r="T97" s="148" t="s">
        <v>182</v>
      </c>
      <c r="V97" s="177"/>
      <c r="X97" s="310">
        <f>COUNTIF($B$97:$V$97, "DA+0")</f>
        <v>3</v>
      </c>
      <c r="Y97" s="310">
        <f>COUNTIF($B$97:$V$97, "DA+6")</f>
        <v>1</v>
      </c>
      <c r="Z97" s="310">
        <f>COUNTIF($B$97:$V$97, "DA+6")</f>
        <v>1</v>
      </c>
      <c r="AA97" s="310">
        <f>COUNTIF($B$97:$V$97, "DA+9")</f>
        <v>0</v>
      </c>
      <c r="AD97" s="310">
        <f>COUNTIF($B$97:$V$97, "DB+0")</f>
        <v>0</v>
      </c>
      <c r="AE97" s="310">
        <f>COUNTIF($B$97:$V$97, "DB+6")</f>
        <v>0</v>
      </c>
      <c r="AF97" s="310">
        <f>COUNTIF($B$97:$V$97, "DB+6")</f>
        <v>0</v>
      </c>
      <c r="AG97" s="310">
        <f>COUNTIF($B$97:$V$97, "DB+9")</f>
        <v>0</v>
      </c>
      <c r="AI97" s="310">
        <f>COUNTIF($B$97:$V$97, "DC+0")</f>
        <v>0</v>
      </c>
      <c r="AJ97" s="310">
        <f>COUNTIF($B$97:$V$97, "DA+6")</f>
        <v>1</v>
      </c>
      <c r="AK97" s="310">
        <f>COUNTIF($B$97:$V$97, "DC+6")</f>
        <v>0</v>
      </c>
      <c r="AL97" s="310">
        <f>COUNTIF($B$97:$V$97, "DC+9")</f>
        <v>0</v>
      </c>
      <c r="AN97" s="310">
        <f>COUNTIF($B$97:$V$97, "DD+0")</f>
        <v>0</v>
      </c>
      <c r="AO97" s="310">
        <f>COUNTIF($B$97:$V$97, "DA+6")</f>
        <v>1</v>
      </c>
      <c r="AP97" s="310">
        <f>COUNTIF($B$97:$V$97, "DD+6")</f>
        <v>0</v>
      </c>
      <c r="AQ97" s="310">
        <f>COUNTIF($B$97:$V$97, "DD+9")</f>
        <v>0</v>
      </c>
    </row>
    <row r="98" spans="1:43">
      <c r="A98" s="132"/>
      <c r="F98" s="148"/>
      <c r="G98" s="149"/>
      <c r="H98" s="147" t="s">
        <v>220</v>
      </c>
      <c r="I98" s="149"/>
      <c r="J98" s="147"/>
      <c r="K98" s="149"/>
      <c r="L98" s="148"/>
      <c r="M98" s="149"/>
      <c r="N98" s="148"/>
      <c r="O98" s="149"/>
      <c r="P98" s="147"/>
      <c r="Q98" s="149"/>
      <c r="R98" s="148"/>
      <c r="S98" s="149"/>
      <c r="T98" s="184" t="s">
        <v>375</v>
      </c>
      <c r="U98" s="133"/>
      <c r="V98" s="177"/>
      <c r="X98" s="310"/>
      <c r="Y98" s="310"/>
      <c r="Z98" s="310"/>
      <c r="AA98" s="310"/>
      <c r="AD98" s="310"/>
      <c r="AE98" s="310"/>
      <c r="AF98" s="310"/>
      <c r="AG98" s="310"/>
      <c r="AI98" s="310"/>
      <c r="AJ98" s="310"/>
      <c r="AK98" s="310"/>
      <c r="AL98" s="310"/>
      <c r="AN98" s="310"/>
      <c r="AO98" s="310"/>
      <c r="AP98" s="310"/>
      <c r="AQ98" s="310"/>
    </row>
    <row r="99" spans="1:43">
      <c r="A99" s="132"/>
      <c r="B99" s="188">
        <f>T91+1</f>
        <v>111</v>
      </c>
      <c r="C99" s="133"/>
      <c r="D99" s="188">
        <f>B99+1</f>
        <v>112</v>
      </c>
      <c r="E99" s="188"/>
      <c r="F99" s="133">
        <f>D99+1</f>
        <v>113</v>
      </c>
      <c r="G99" s="133"/>
      <c r="H99" s="133">
        <f>F99+1</f>
        <v>114</v>
      </c>
      <c r="I99" s="133"/>
      <c r="J99" s="133">
        <f>H99+1</f>
        <v>115</v>
      </c>
      <c r="K99" s="133"/>
      <c r="L99" s="133">
        <f>J99+1</f>
        <v>116</v>
      </c>
      <c r="M99" s="133"/>
      <c r="N99" s="133">
        <f>L99+1</f>
        <v>117</v>
      </c>
      <c r="O99" s="133"/>
      <c r="P99" s="133">
        <f>N99+1</f>
        <v>118</v>
      </c>
      <c r="Q99" s="133"/>
      <c r="R99" s="133">
        <f>P99+1</f>
        <v>119</v>
      </c>
      <c r="S99" s="133"/>
      <c r="T99" s="133">
        <f>R99+1</f>
        <v>120</v>
      </c>
      <c r="U99" s="133"/>
      <c r="V99" s="177"/>
      <c r="X99" s="310"/>
      <c r="Y99" s="310"/>
      <c r="Z99" s="310"/>
      <c r="AA99" s="310"/>
      <c r="AD99" s="310"/>
      <c r="AE99" s="310"/>
      <c r="AF99" s="310"/>
      <c r="AG99" s="310"/>
      <c r="AI99" s="310"/>
      <c r="AJ99" s="310"/>
      <c r="AK99" s="310"/>
      <c r="AL99" s="310"/>
      <c r="AN99" s="310"/>
      <c r="AO99" s="310"/>
      <c r="AP99" s="310"/>
      <c r="AQ99" s="310"/>
    </row>
    <row r="100" spans="1:43">
      <c r="A100" s="132"/>
      <c r="B100" s="133"/>
      <c r="C100" s="133"/>
      <c r="D100" s="170"/>
      <c r="F100" s="133"/>
      <c r="G100" s="133"/>
      <c r="H100" s="133"/>
      <c r="I100" s="133"/>
      <c r="J100" s="133"/>
      <c r="K100" s="133"/>
      <c r="L100" s="133"/>
      <c r="M100" s="133"/>
      <c r="N100" s="133"/>
      <c r="O100" s="133"/>
      <c r="P100" s="133"/>
      <c r="Q100" s="133"/>
      <c r="R100" s="133"/>
      <c r="S100" s="133"/>
      <c r="T100" s="133"/>
      <c r="U100" s="135"/>
      <c r="V100" s="178">
        <f>G117+K117+O117+Q117+S117+I117+U117+Q125+C117+U100</f>
        <v>3121.94</v>
      </c>
      <c r="X100" s="310"/>
      <c r="Y100" s="310"/>
      <c r="Z100" s="310"/>
      <c r="AA100" s="310"/>
      <c r="AD100" s="310"/>
      <c r="AE100" s="310"/>
      <c r="AF100" s="310"/>
      <c r="AG100" s="310"/>
      <c r="AI100" s="310"/>
      <c r="AJ100" s="310"/>
      <c r="AK100" s="310"/>
      <c r="AL100" s="310"/>
      <c r="AN100" s="310"/>
      <c r="AO100" s="310"/>
      <c r="AP100" s="310"/>
      <c r="AQ100" s="310"/>
    </row>
    <row r="101" spans="1:43" ht="15" thickBot="1">
      <c r="A101" s="132"/>
      <c r="B101" s="133"/>
      <c r="C101" s="135">
        <v>395.01</v>
      </c>
      <c r="D101" s="17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178"/>
      <c r="X101" s="310"/>
      <c r="Y101" s="310"/>
      <c r="Z101" s="310"/>
      <c r="AA101" s="310"/>
      <c r="AD101" s="310"/>
      <c r="AE101" s="310"/>
      <c r="AF101" s="310"/>
      <c r="AG101" s="310"/>
      <c r="AI101" s="310"/>
      <c r="AJ101" s="310"/>
      <c r="AK101" s="310"/>
      <c r="AL101" s="310"/>
      <c r="AN101" s="310"/>
      <c r="AO101" s="310"/>
      <c r="AP101" s="310"/>
      <c r="AQ101" s="310"/>
    </row>
    <row r="102" spans="1:43" ht="15.5" thickTop="1" thickBot="1">
      <c r="A102" s="132"/>
      <c r="B102" s="140"/>
      <c r="C102" s="139"/>
      <c r="D102" s="158" t="s">
        <v>354</v>
      </c>
      <c r="F102" s="158" t="s">
        <v>354</v>
      </c>
      <c r="G102" s="139"/>
      <c r="H102" s="140"/>
      <c r="I102" s="139"/>
      <c r="J102" s="158" t="s">
        <v>354</v>
      </c>
      <c r="K102" s="133"/>
      <c r="L102" s="158" t="s">
        <v>354</v>
      </c>
      <c r="M102" s="139"/>
      <c r="N102" s="140"/>
      <c r="O102" s="139"/>
      <c r="P102" s="140"/>
      <c r="Q102" s="139"/>
      <c r="R102" s="140"/>
      <c r="S102" s="139"/>
      <c r="T102" s="140"/>
      <c r="U102" s="133"/>
      <c r="V102" s="177"/>
      <c r="X102" s="310"/>
      <c r="Y102" s="310"/>
      <c r="Z102" s="310"/>
      <c r="AA102" s="310"/>
      <c r="AD102" s="310"/>
      <c r="AE102" s="310"/>
      <c r="AF102" s="310"/>
      <c r="AG102" s="310"/>
      <c r="AI102" s="310"/>
      <c r="AJ102" s="310"/>
      <c r="AK102" s="310"/>
      <c r="AL102" s="310"/>
      <c r="AN102" s="310"/>
      <c r="AO102" s="310"/>
      <c r="AP102" s="310"/>
      <c r="AQ102" s="310"/>
    </row>
    <row r="103" spans="1:43" ht="15.5" thickTop="1" thickBot="1">
      <c r="A103" s="132"/>
      <c r="B103" s="141"/>
      <c r="C103" s="139"/>
      <c r="D103" s="141"/>
      <c r="F103" s="141"/>
      <c r="G103" s="139"/>
      <c r="H103" s="141"/>
      <c r="I103" s="139"/>
      <c r="J103" s="141"/>
      <c r="K103" s="133"/>
      <c r="L103" s="141"/>
      <c r="M103" s="139"/>
      <c r="N103" s="141"/>
      <c r="O103" s="139"/>
      <c r="P103" s="141"/>
      <c r="Q103" s="139"/>
      <c r="R103" s="141"/>
      <c r="S103" s="139"/>
      <c r="T103" s="141"/>
      <c r="U103" s="133"/>
      <c r="V103" s="177"/>
      <c r="X103" s="310"/>
      <c r="Y103" s="310"/>
      <c r="Z103" s="310"/>
      <c r="AA103" s="310"/>
      <c r="AD103" s="310"/>
      <c r="AE103" s="310"/>
      <c r="AF103" s="310"/>
      <c r="AG103" s="310"/>
      <c r="AI103" s="310"/>
      <c r="AJ103" s="310"/>
      <c r="AK103" s="310"/>
      <c r="AL103" s="310"/>
      <c r="AN103" s="310"/>
      <c r="AO103" s="310"/>
      <c r="AP103" s="310"/>
      <c r="AQ103" s="310"/>
    </row>
    <row r="104" spans="1:43" ht="15" thickTop="1">
      <c r="A104" s="132"/>
      <c r="B104" s="147" t="s">
        <v>398</v>
      </c>
      <c r="C104" s="133"/>
      <c r="D104" s="395" t="s">
        <v>262</v>
      </c>
      <c r="F104" s="395" t="s">
        <v>244</v>
      </c>
      <c r="G104" s="133"/>
      <c r="H104" s="147" t="s">
        <v>399</v>
      </c>
      <c r="I104" s="133"/>
      <c r="J104" s="395" t="s">
        <v>277</v>
      </c>
      <c r="K104" s="133"/>
      <c r="L104" s="395" t="s">
        <v>280</v>
      </c>
      <c r="M104" s="133"/>
      <c r="N104" s="147" t="s">
        <v>400</v>
      </c>
      <c r="O104" s="133"/>
      <c r="P104" s="147" t="s">
        <v>401</v>
      </c>
      <c r="Q104" s="133"/>
      <c r="R104" s="395" t="s">
        <v>402</v>
      </c>
      <c r="S104" s="133"/>
      <c r="T104" s="147" t="s">
        <v>403</v>
      </c>
      <c r="U104" s="133"/>
      <c r="V104" s="177"/>
      <c r="X104" s="310"/>
      <c r="Y104" s="310"/>
      <c r="Z104" s="310"/>
      <c r="AA104" s="310"/>
      <c r="AD104" s="310"/>
      <c r="AE104" s="310"/>
      <c r="AF104" s="310"/>
      <c r="AG104" s="310"/>
      <c r="AI104" s="310"/>
      <c r="AJ104" s="310"/>
      <c r="AK104" s="310"/>
      <c r="AL104" s="310"/>
      <c r="AN104" s="310"/>
      <c r="AO104" s="310"/>
      <c r="AP104" s="310"/>
      <c r="AQ104" s="310"/>
    </row>
    <row r="105" spans="1:43">
      <c r="A105" s="132"/>
      <c r="B105" s="147" t="s">
        <v>343</v>
      </c>
      <c r="C105" s="133"/>
      <c r="D105" s="148" t="s">
        <v>242</v>
      </c>
      <c r="F105" s="148" t="s">
        <v>182</v>
      </c>
      <c r="G105" s="133"/>
      <c r="H105" s="147" t="s">
        <v>319</v>
      </c>
      <c r="I105" s="133"/>
      <c r="J105" s="148" t="s">
        <v>185</v>
      </c>
      <c r="K105" s="133"/>
      <c r="L105" s="148" t="s">
        <v>248</v>
      </c>
      <c r="M105" s="133"/>
      <c r="N105" s="147" t="s">
        <v>319</v>
      </c>
      <c r="O105" s="133"/>
      <c r="P105" s="147" t="s">
        <v>319</v>
      </c>
      <c r="Q105" s="133"/>
      <c r="R105" s="148" t="s">
        <v>248</v>
      </c>
      <c r="S105" s="133"/>
      <c r="T105" s="147" t="s">
        <v>319</v>
      </c>
      <c r="U105" s="133"/>
      <c r="V105" s="177"/>
      <c r="X105" s="310">
        <f>COUNTIF($B$105:$V$105, "DA+0")</f>
        <v>1</v>
      </c>
      <c r="Y105" s="310">
        <f>COUNTIF($B$105:$V$105, "DA+3")</f>
        <v>1</v>
      </c>
      <c r="Z105" s="310">
        <f>COUNTIF($B$105:$V$105, "DA+6")</f>
        <v>1</v>
      </c>
      <c r="AA105" s="310">
        <f>COUNTIF($B$105:$V$105, "DA+9")</f>
        <v>2</v>
      </c>
      <c r="AD105" s="310">
        <f>COUNTIF($B$105:$V$105, "DB+0")</f>
        <v>0</v>
      </c>
      <c r="AE105" s="310">
        <f>COUNTIF($B$105:$V$105, "DB+3")</f>
        <v>0</v>
      </c>
      <c r="AF105" s="310">
        <f>COUNTIF($B$105:$V$105, "DB+6")</f>
        <v>0</v>
      </c>
      <c r="AG105" s="310">
        <f>COUNTIF($B$105:$V$105, "DB+9")</f>
        <v>0</v>
      </c>
      <c r="AI105" s="310">
        <f>COUNTIF($B$105:$V$105, "DC+0")</f>
        <v>0</v>
      </c>
      <c r="AJ105" s="310">
        <f>COUNTIF($B$105:$V$105, "DC+3")</f>
        <v>0</v>
      </c>
      <c r="AK105" s="310">
        <f>COUNTIF($B$105:$V$105, "DC+6")</f>
        <v>0</v>
      </c>
      <c r="AL105" s="310">
        <f>COUNTIF($B$105:$V$105, "DC+9")</f>
        <v>0</v>
      </c>
      <c r="AN105" s="310">
        <f>COUNTIF($B$105:$V$105, "DD+0")</f>
        <v>0</v>
      </c>
      <c r="AO105" s="310">
        <f>COUNTIF($B$105:$V$105, "DD+3")</f>
        <v>0</v>
      </c>
      <c r="AP105" s="310">
        <f>COUNTIF($B$105:$V$105, "DD+6")</f>
        <v>0</v>
      </c>
      <c r="AQ105" s="310">
        <f>COUNTIF($B$105:$V$105, "DD+9")</f>
        <v>0</v>
      </c>
    </row>
    <row r="106" spans="1:43">
      <c r="A106" s="132"/>
      <c r="B106" s="184" t="s">
        <v>375</v>
      </c>
      <c r="C106" s="133"/>
      <c r="D106" s="184" t="s">
        <v>375</v>
      </c>
      <c r="F106" s="184" t="s">
        <v>375</v>
      </c>
      <c r="G106" s="133"/>
      <c r="H106" s="133"/>
      <c r="I106" s="133"/>
      <c r="J106" s="133"/>
      <c r="K106" s="133"/>
      <c r="L106" s="133"/>
      <c r="M106" s="133"/>
      <c r="N106" s="133"/>
      <c r="O106" s="133"/>
      <c r="P106" s="133"/>
      <c r="Q106" s="133"/>
      <c r="R106" s="133"/>
      <c r="S106" s="133"/>
      <c r="T106" s="133"/>
      <c r="U106" s="133"/>
      <c r="V106" s="177"/>
      <c r="X106" s="310"/>
      <c r="Y106" s="310"/>
      <c r="Z106" s="310"/>
      <c r="AA106" s="310"/>
      <c r="AD106" s="310"/>
      <c r="AE106" s="310"/>
      <c r="AF106" s="310"/>
      <c r="AG106" s="310"/>
      <c r="AI106" s="310"/>
      <c r="AJ106" s="310"/>
      <c r="AK106" s="310"/>
      <c r="AL106" s="310"/>
      <c r="AN106" s="310"/>
      <c r="AO106" s="310"/>
      <c r="AP106" s="310"/>
      <c r="AQ106" s="310"/>
    </row>
    <row r="107" spans="1:43">
      <c r="A107" s="132"/>
      <c r="Q107" s="133"/>
      <c r="U107" s="133"/>
      <c r="V107" s="177"/>
      <c r="X107" s="310"/>
      <c r="Y107" s="310"/>
      <c r="Z107" s="310"/>
      <c r="AA107" s="310"/>
      <c r="AD107" s="310"/>
      <c r="AE107" s="310"/>
      <c r="AF107" s="310"/>
      <c r="AG107" s="310"/>
      <c r="AI107" s="310"/>
      <c r="AJ107" s="310"/>
      <c r="AK107" s="310"/>
      <c r="AL107" s="310"/>
      <c r="AN107" s="310"/>
      <c r="AO107" s="310"/>
      <c r="AP107" s="310"/>
      <c r="AQ107" s="310"/>
    </row>
    <row r="108" spans="1:43">
      <c r="A108" s="132"/>
      <c r="B108" s="133">
        <f>T99+1</f>
        <v>121</v>
      </c>
      <c r="C108" s="133"/>
      <c r="D108" s="161">
        <f>B108+1</f>
        <v>122</v>
      </c>
      <c r="F108" s="133">
        <f>D108+1</f>
        <v>123</v>
      </c>
      <c r="G108" s="133"/>
      <c r="H108" s="133">
        <f>F108+1</f>
        <v>124</v>
      </c>
      <c r="I108" s="133"/>
      <c r="J108" s="133">
        <f>H108+1</f>
        <v>125</v>
      </c>
      <c r="K108" s="133"/>
      <c r="L108" s="133">
        <f>J108+1</f>
        <v>126</v>
      </c>
      <c r="M108" s="133"/>
      <c r="N108" s="133">
        <f>L108+1</f>
        <v>127</v>
      </c>
      <c r="O108" s="133"/>
      <c r="P108" s="133">
        <f>N108+1</f>
        <v>128</v>
      </c>
      <c r="Q108" s="133"/>
      <c r="R108" s="133">
        <f>P108+1</f>
        <v>129</v>
      </c>
      <c r="S108" s="133"/>
      <c r="T108" s="133">
        <f>R108+1</f>
        <v>130</v>
      </c>
      <c r="U108" s="133"/>
      <c r="V108" s="177"/>
      <c r="X108" s="310"/>
      <c r="Y108" s="310"/>
      <c r="Z108" s="310"/>
      <c r="AA108" s="310"/>
      <c r="AD108" s="310"/>
      <c r="AE108" s="310"/>
      <c r="AF108" s="310"/>
      <c r="AG108" s="310"/>
      <c r="AI108" s="310"/>
      <c r="AJ108" s="310"/>
      <c r="AK108" s="310"/>
      <c r="AL108" s="310"/>
      <c r="AN108" s="310"/>
      <c r="AO108" s="310"/>
      <c r="AP108" s="310"/>
      <c r="AQ108" s="310"/>
    </row>
    <row r="109" spans="1:43">
      <c r="A109" s="132"/>
      <c r="B109" s="133"/>
      <c r="C109" s="133"/>
      <c r="D109" s="133"/>
      <c r="F109" s="133"/>
      <c r="G109" s="133"/>
      <c r="H109" s="133"/>
      <c r="I109" s="133"/>
      <c r="J109" s="133"/>
      <c r="K109" s="133"/>
      <c r="L109" s="133"/>
      <c r="M109" s="133"/>
      <c r="N109" s="133"/>
      <c r="O109" s="133"/>
      <c r="P109" s="133"/>
      <c r="Q109" s="133"/>
      <c r="R109" s="133"/>
      <c r="S109" s="133"/>
      <c r="T109" s="133"/>
      <c r="U109" s="135"/>
      <c r="V109" s="178" t="e">
        <f>G101+K101+M101+O101+Q101+I101+S101+#REF!+C101+U109</f>
        <v>#REF!</v>
      </c>
      <c r="X109" s="310"/>
      <c r="Y109" s="310"/>
      <c r="Z109" s="310"/>
      <c r="AA109" s="310"/>
      <c r="AD109" s="310"/>
      <c r="AE109" s="310"/>
      <c r="AF109" s="310"/>
      <c r="AG109" s="310"/>
      <c r="AI109" s="310"/>
      <c r="AJ109" s="310"/>
      <c r="AK109" s="310"/>
      <c r="AL109" s="310"/>
      <c r="AN109" s="310"/>
      <c r="AO109" s="310"/>
      <c r="AP109" s="310"/>
      <c r="AQ109" s="310"/>
    </row>
    <row r="110" spans="1:43" ht="15" thickBot="1">
      <c r="A110" s="132"/>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178"/>
      <c r="X110" s="310"/>
      <c r="Y110" s="310"/>
      <c r="Z110" s="310"/>
      <c r="AA110" s="310"/>
      <c r="AD110" s="310"/>
      <c r="AE110" s="310"/>
      <c r="AF110" s="310"/>
      <c r="AG110" s="310"/>
      <c r="AI110" s="310"/>
      <c r="AJ110" s="310"/>
      <c r="AK110" s="310"/>
      <c r="AL110" s="310"/>
      <c r="AN110" s="310"/>
      <c r="AO110" s="310"/>
      <c r="AP110" s="310"/>
      <c r="AQ110" s="310"/>
    </row>
    <row r="111" spans="1:43" ht="15.5" thickTop="1" thickBot="1">
      <c r="A111" s="132"/>
      <c r="B111" s="140"/>
      <c r="C111" s="139"/>
      <c r="D111" s="140"/>
      <c r="F111" s="140"/>
      <c r="G111" s="139"/>
      <c r="H111" s="140"/>
      <c r="I111" s="139"/>
      <c r="J111" s="140"/>
      <c r="K111" s="133"/>
      <c r="L111" s="140"/>
      <c r="M111" s="139"/>
      <c r="N111" s="140"/>
      <c r="O111" s="139"/>
      <c r="P111" s="140"/>
      <c r="Q111" s="139"/>
      <c r="R111" s="140"/>
      <c r="S111" s="139"/>
      <c r="T111" s="140"/>
      <c r="U111" s="133"/>
      <c r="V111" s="177"/>
      <c r="X111" s="310"/>
      <c r="Y111" s="310"/>
      <c r="Z111" s="310"/>
      <c r="AA111" s="310"/>
      <c r="AD111" s="310"/>
      <c r="AE111" s="310"/>
      <c r="AF111" s="310"/>
      <c r="AG111" s="310"/>
      <c r="AI111" s="310"/>
      <c r="AJ111" s="310"/>
      <c r="AK111" s="310"/>
      <c r="AL111" s="310"/>
      <c r="AN111" s="310"/>
      <c r="AO111" s="310"/>
      <c r="AP111" s="310"/>
      <c r="AQ111" s="310"/>
    </row>
    <row r="112" spans="1:43" ht="15.5" thickTop="1" thickBot="1">
      <c r="A112" s="132"/>
      <c r="B112" s="141"/>
      <c r="C112" s="139"/>
      <c r="D112" s="141"/>
      <c r="F112" s="141"/>
      <c r="G112" s="139"/>
      <c r="H112" s="141" t="s">
        <v>390</v>
      </c>
      <c r="I112" s="139"/>
      <c r="J112" s="141"/>
      <c r="K112" s="133"/>
      <c r="L112" s="141"/>
      <c r="M112" s="139"/>
      <c r="N112" s="141"/>
      <c r="O112" s="139"/>
      <c r="P112" s="141"/>
      <c r="Q112" s="139"/>
      <c r="R112" s="141"/>
      <c r="S112" s="139"/>
      <c r="T112" s="141"/>
      <c r="U112" s="133"/>
      <c r="V112" s="177"/>
      <c r="X112" s="310"/>
      <c r="Y112" s="310"/>
      <c r="Z112" s="310"/>
      <c r="AA112" s="310"/>
      <c r="AD112" s="310"/>
      <c r="AE112" s="310"/>
      <c r="AF112" s="310"/>
      <c r="AG112" s="310"/>
      <c r="AI112" s="310"/>
      <c r="AJ112" s="310"/>
      <c r="AK112" s="310"/>
      <c r="AL112" s="310"/>
      <c r="AN112" s="310"/>
      <c r="AO112" s="310"/>
      <c r="AP112" s="310"/>
      <c r="AQ112" s="310"/>
    </row>
    <row r="113" spans="1:43" ht="15" thickTop="1">
      <c r="A113" s="132"/>
      <c r="B113" s="395" t="s">
        <v>404</v>
      </c>
      <c r="C113" s="149"/>
      <c r="D113" s="147" t="s">
        <v>405</v>
      </c>
      <c r="F113" s="395" t="s">
        <v>406</v>
      </c>
      <c r="G113" s="149"/>
      <c r="H113" s="395" t="s">
        <v>290</v>
      </c>
      <c r="I113" s="149"/>
      <c r="J113" s="395" t="s">
        <v>407</v>
      </c>
      <c r="K113" s="149"/>
      <c r="L113" s="147" t="s">
        <v>408</v>
      </c>
      <c r="M113" s="149"/>
      <c r="N113" s="147" t="s">
        <v>409</v>
      </c>
      <c r="O113" s="149"/>
      <c r="P113" s="147" t="s">
        <v>410</v>
      </c>
      <c r="Q113" s="149"/>
      <c r="R113" s="147" t="s">
        <v>411</v>
      </c>
      <c r="S113" s="149"/>
      <c r="T113" s="147" t="s">
        <v>412</v>
      </c>
      <c r="U113" s="133"/>
      <c r="V113" s="177"/>
      <c r="X113" s="310"/>
      <c r="Y113" s="310"/>
      <c r="Z113" s="310"/>
      <c r="AA113" s="310"/>
      <c r="AD113" s="310"/>
      <c r="AE113" s="310"/>
      <c r="AF113" s="310"/>
      <c r="AG113" s="310"/>
      <c r="AI113" s="310"/>
      <c r="AJ113" s="310"/>
      <c r="AK113" s="310"/>
      <c r="AL113" s="310"/>
      <c r="AN113" s="310"/>
      <c r="AO113" s="310"/>
      <c r="AP113" s="310"/>
      <c r="AQ113" s="310"/>
    </row>
    <row r="114" spans="1:43">
      <c r="A114" s="132"/>
      <c r="B114" s="148" t="s">
        <v>248</v>
      </c>
      <c r="C114" s="149"/>
      <c r="D114" s="147" t="s">
        <v>343</v>
      </c>
      <c r="F114" s="148" t="s">
        <v>182</v>
      </c>
      <c r="G114" s="149"/>
      <c r="H114" s="148" t="s">
        <v>182</v>
      </c>
      <c r="I114" s="149"/>
      <c r="J114" s="148" t="s">
        <v>182</v>
      </c>
      <c r="K114" s="149"/>
      <c r="L114" s="147" t="s">
        <v>319</v>
      </c>
      <c r="M114" s="149"/>
      <c r="N114" s="147" t="s">
        <v>319</v>
      </c>
      <c r="O114" s="149"/>
      <c r="P114" s="147" t="s">
        <v>413</v>
      </c>
      <c r="Q114" s="149"/>
      <c r="R114" s="147" t="s">
        <v>413</v>
      </c>
      <c r="S114" s="149"/>
      <c r="T114" s="147" t="s">
        <v>344</v>
      </c>
      <c r="U114" s="133"/>
      <c r="V114" s="177"/>
      <c r="X114" s="310">
        <f>COUNTIF($B$114:$V$114, "DA+0")</f>
        <v>3</v>
      </c>
      <c r="Y114" s="310">
        <f>COUNTIF($B$114:$V$114, "DA+3")</f>
        <v>0</v>
      </c>
      <c r="Z114" s="310">
        <f>COUNTIF($B$114:$V$114, "DA+6")</f>
        <v>0</v>
      </c>
      <c r="AA114" s="310">
        <f>COUNTIF($B$114:$V$114, "DA+9")</f>
        <v>1</v>
      </c>
      <c r="AD114" s="310">
        <f>COUNTIF($B$114:$V$114, "DB+0")</f>
        <v>0</v>
      </c>
      <c r="AE114" s="310">
        <f>COUNTIF($B$114:$V$114, "DB+3")</f>
        <v>0</v>
      </c>
      <c r="AF114" s="310">
        <f>COUNTIF($B$114:$V$114, "DB+6")</f>
        <v>0</v>
      </c>
      <c r="AG114" s="310">
        <f>COUNTIF($B$114:$V$114, "DB+9")</f>
        <v>0</v>
      </c>
      <c r="AI114" s="310">
        <f>COUNTIF($B$114:$V$114, "DC+0")</f>
        <v>0</v>
      </c>
      <c r="AJ114" s="310">
        <f>COUNTIF($B$114:$V$114, "DC+3")</f>
        <v>0</v>
      </c>
      <c r="AK114" s="310">
        <f>COUNTIF($B$114:$V$114, "DC+6")</f>
        <v>0</v>
      </c>
      <c r="AL114" s="310">
        <f>COUNTIF($B$114:$V$114, "DC+9")</f>
        <v>0</v>
      </c>
      <c r="AN114" s="310">
        <f>COUNTIF($B$114:$V$114, "DD+0")</f>
        <v>0</v>
      </c>
      <c r="AO114" s="310">
        <f>COUNTIF($B$114:$V$114, "DD+3")</f>
        <v>0</v>
      </c>
      <c r="AP114" s="310">
        <f>COUNTIF($B$114:$V$114, "DD+6")</f>
        <v>0</v>
      </c>
      <c r="AQ114" s="310">
        <f>COUNTIF($B$114:$V$114, "DD+9")</f>
        <v>0</v>
      </c>
    </row>
    <row r="115" spans="1:43">
      <c r="A115" s="132"/>
      <c r="B115" s="133">
        <f>T108+1</f>
        <v>131</v>
      </c>
      <c r="C115" s="155"/>
      <c r="D115" s="161">
        <f>B115+1</f>
        <v>132</v>
      </c>
      <c r="F115" s="161">
        <f>D115+1</f>
        <v>133</v>
      </c>
      <c r="G115" s="155"/>
      <c r="H115" s="161">
        <f>F115+1</f>
        <v>134</v>
      </c>
      <c r="I115" s="155"/>
      <c r="J115" s="161">
        <f>H115+1</f>
        <v>135</v>
      </c>
      <c r="K115" s="155"/>
      <c r="L115" s="161">
        <f>J115+1</f>
        <v>136</v>
      </c>
      <c r="M115" s="155"/>
      <c r="N115" s="161">
        <f>L115+1</f>
        <v>137</v>
      </c>
      <c r="O115" s="155"/>
      <c r="P115" s="161">
        <f>N115+1</f>
        <v>138</v>
      </c>
      <c r="Q115" s="155"/>
      <c r="R115" s="161">
        <f>P115+1</f>
        <v>139</v>
      </c>
      <c r="S115" s="155"/>
      <c r="T115" s="161">
        <f>R115+1</f>
        <v>140</v>
      </c>
      <c r="U115" s="133"/>
      <c r="V115" s="194">
        <v>141</v>
      </c>
      <c r="X115" s="310"/>
      <c r="Y115" s="310"/>
      <c r="Z115" s="310"/>
      <c r="AA115" s="310"/>
      <c r="AD115" s="310"/>
      <c r="AE115" s="310"/>
      <c r="AF115" s="310"/>
      <c r="AG115" s="310"/>
      <c r="AI115" s="310"/>
      <c r="AJ115" s="310"/>
      <c r="AK115" s="310"/>
      <c r="AL115" s="310"/>
      <c r="AN115" s="310"/>
      <c r="AO115" s="310"/>
      <c r="AP115" s="310"/>
      <c r="AQ115" s="310"/>
    </row>
    <row r="116" spans="1:43">
      <c r="A116" s="132"/>
      <c r="B116" s="133"/>
      <c r="C116" s="133"/>
      <c r="D116" s="133"/>
      <c r="F116" s="133"/>
      <c r="G116" s="133"/>
      <c r="H116" s="133"/>
      <c r="I116" s="133"/>
      <c r="J116" s="133"/>
      <c r="K116" s="133"/>
      <c r="L116" s="133"/>
      <c r="N116" s="133"/>
      <c r="O116" s="133"/>
      <c r="P116" s="133"/>
      <c r="Q116" s="133"/>
      <c r="R116" s="133"/>
      <c r="S116" s="133"/>
      <c r="T116" s="133"/>
      <c r="U116" s="133"/>
      <c r="V116" s="195"/>
      <c r="X116" s="310"/>
      <c r="Y116" s="310"/>
      <c r="Z116" s="310"/>
      <c r="AA116" s="310"/>
      <c r="AD116" s="310"/>
      <c r="AE116" s="310"/>
      <c r="AF116" s="310"/>
      <c r="AG116" s="310"/>
      <c r="AI116" s="310"/>
      <c r="AJ116" s="310"/>
      <c r="AK116" s="310"/>
      <c r="AL116" s="310"/>
      <c r="AN116" s="310"/>
      <c r="AO116" s="310"/>
      <c r="AP116" s="310"/>
      <c r="AQ116" s="310"/>
    </row>
    <row r="117" spans="1:43" ht="15" thickBot="1">
      <c r="A117" s="132"/>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96"/>
      <c r="X117" s="310"/>
      <c r="Y117" s="310"/>
      <c r="Z117" s="310"/>
      <c r="AA117" s="310"/>
      <c r="AD117" s="310"/>
      <c r="AE117" s="310"/>
      <c r="AF117" s="310"/>
      <c r="AG117" s="310"/>
      <c r="AI117" s="310"/>
      <c r="AJ117" s="310"/>
      <c r="AK117" s="310"/>
      <c r="AL117" s="310"/>
      <c r="AN117" s="310"/>
      <c r="AO117" s="310"/>
      <c r="AP117" s="310"/>
      <c r="AQ117" s="310"/>
    </row>
    <row r="118" spans="1:43" ht="15.5" thickTop="1" thickBot="1">
      <c r="A118" s="132"/>
      <c r="B118" s="140"/>
      <c r="C118" s="139"/>
      <c r="D118" s="140"/>
      <c r="F118" s="158" t="s">
        <v>354</v>
      </c>
      <c r="G118" s="139"/>
      <c r="H118" s="140"/>
      <c r="I118" s="139"/>
      <c r="J118" s="158" t="s">
        <v>354</v>
      </c>
      <c r="K118" s="133"/>
      <c r="L118" s="158" t="s">
        <v>354</v>
      </c>
      <c r="N118" s="140"/>
      <c r="O118" s="139"/>
      <c r="P118" s="140"/>
      <c r="Q118" s="139"/>
      <c r="R118" s="140"/>
      <c r="S118" s="139"/>
      <c r="T118" s="158" t="s">
        <v>354</v>
      </c>
      <c r="U118" s="139"/>
      <c r="V118" s="197"/>
      <c r="X118" s="310"/>
      <c r="Y118" s="310"/>
      <c r="Z118" s="310"/>
      <c r="AA118" s="310"/>
      <c r="AD118" s="310"/>
      <c r="AE118" s="310"/>
      <c r="AF118" s="310"/>
      <c r="AG118" s="310"/>
      <c r="AI118" s="310"/>
      <c r="AJ118" s="310"/>
      <c r="AK118" s="310"/>
      <c r="AL118" s="310"/>
      <c r="AN118" s="310"/>
      <c r="AO118" s="310"/>
      <c r="AP118" s="310"/>
      <c r="AQ118" s="310"/>
    </row>
    <row r="119" spans="1:43" ht="15.5" thickTop="1" thickBot="1">
      <c r="A119" s="132"/>
      <c r="B119" s="141"/>
      <c r="C119" s="139"/>
      <c r="D119" s="141"/>
      <c r="F119" s="141"/>
      <c r="G119" s="139"/>
      <c r="H119" s="141"/>
      <c r="I119" s="139"/>
      <c r="J119" s="141" t="s">
        <v>376</v>
      </c>
      <c r="K119" s="133"/>
      <c r="L119" s="141" t="s">
        <v>376</v>
      </c>
      <c r="N119" s="141"/>
      <c r="O119" s="139"/>
      <c r="P119" s="141"/>
      <c r="Q119" s="139"/>
      <c r="R119" s="141"/>
      <c r="S119" s="139"/>
      <c r="T119" s="141" t="s">
        <v>376</v>
      </c>
      <c r="U119" s="139"/>
      <c r="V119" s="198"/>
      <c r="X119" s="310"/>
      <c r="Y119" s="310"/>
      <c r="Z119" s="310"/>
      <c r="AA119" s="310"/>
      <c r="AD119" s="310"/>
      <c r="AE119" s="310"/>
      <c r="AF119" s="310"/>
      <c r="AG119" s="310"/>
      <c r="AI119" s="310"/>
      <c r="AJ119" s="310"/>
      <c r="AK119" s="310"/>
      <c r="AL119" s="310"/>
      <c r="AN119" s="310"/>
      <c r="AO119" s="310"/>
      <c r="AP119" s="310"/>
      <c r="AQ119" s="310"/>
    </row>
    <row r="120" spans="1:43" ht="15" thickTop="1">
      <c r="A120" s="132"/>
      <c r="B120" s="395" t="s">
        <v>414</v>
      </c>
      <c r="C120" s="133"/>
      <c r="D120" s="147" t="s">
        <v>415</v>
      </c>
      <c r="F120" s="395" t="s">
        <v>217</v>
      </c>
      <c r="G120" s="133"/>
      <c r="H120" s="147" t="s">
        <v>416</v>
      </c>
      <c r="I120" s="133"/>
      <c r="J120" s="395" t="s">
        <v>294</v>
      </c>
      <c r="K120" s="133"/>
      <c r="L120" s="395" t="s">
        <v>276</v>
      </c>
      <c r="N120" s="147" t="s">
        <v>417</v>
      </c>
      <c r="O120" s="133"/>
      <c r="P120" s="395" t="s">
        <v>418</v>
      </c>
      <c r="Q120" s="133"/>
      <c r="R120" s="147" t="s">
        <v>419</v>
      </c>
      <c r="S120" s="133"/>
      <c r="T120" s="148" t="s">
        <v>420</v>
      </c>
      <c r="U120" s="133"/>
      <c r="V120" s="396" t="s">
        <v>421</v>
      </c>
      <c r="X120" s="310"/>
      <c r="Y120" s="310"/>
      <c r="Z120" s="310"/>
      <c r="AA120" s="310"/>
      <c r="AD120" s="310"/>
      <c r="AE120" s="310"/>
      <c r="AF120" s="310"/>
      <c r="AG120" s="310"/>
      <c r="AI120" s="310"/>
      <c r="AJ120" s="310"/>
      <c r="AK120" s="310"/>
      <c r="AL120" s="310"/>
      <c r="AN120" s="310"/>
      <c r="AO120" s="310"/>
      <c r="AP120" s="310"/>
      <c r="AQ120" s="310"/>
    </row>
    <row r="121" spans="1:43">
      <c r="A121" s="132"/>
      <c r="B121" s="148" t="s">
        <v>248</v>
      </c>
      <c r="C121" s="133"/>
      <c r="D121" s="147" t="s">
        <v>119</v>
      </c>
      <c r="F121" s="148" t="s">
        <v>182</v>
      </c>
      <c r="G121" s="133"/>
      <c r="H121" s="147" t="s">
        <v>319</v>
      </c>
      <c r="I121" s="133"/>
      <c r="J121" s="145" t="s">
        <v>182</v>
      </c>
      <c r="K121" s="133"/>
      <c r="L121" s="145" t="s">
        <v>182</v>
      </c>
      <c r="N121" s="147" t="s">
        <v>319</v>
      </c>
      <c r="O121" s="133"/>
      <c r="P121" s="148" t="s">
        <v>185</v>
      </c>
      <c r="Q121" s="133"/>
      <c r="R121" s="147" t="s">
        <v>319</v>
      </c>
      <c r="S121" s="133"/>
      <c r="T121" s="148" t="s">
        <v>182</v>
      </c>
      <c r="U121" s="133"/>
      <c r="V121" s="199" t="s">
        <v>319</v>
      </c>
      <c r="X121" s="310">
        <f>COUNTIF($B$121:$V$121, "DA+0")</f>
        <v>4</v>
      </c>
      <c r="Y121" s="310">
        <f>COUNTIF($B$121:$V$121, "DA+3")</f>
        <v>1</v>
      </c>
      <c r="Z121" s="310">
        <f>COUNTIF($B$121:$V$121, "DA+6")</f>
        <v>0</v>
      </c>
      <c r="AA121" s="310">
        <f>COUNTIF($B$121:$V$121, "DA+9")</f>
        <v>1</v>
      </c>
      <c r="AD121" s="310">
        <f>COUNTIF($B$121:$V$121, "DB+0")</f>
        <v>1</v>
      </c>
      <c r="AE121" s="310">
        <f>COUNTIF($B$121:$V$121, "DB+3")</f>
        <v>0</v>
      </c>
      <c r="AF121" s="310">
        <f>COUNTIF($B$121:$V$121, "DB+6")</f>
        <v>0</v>
      </c>
      <c r="AG121" s="310">
        <f>COUNTIF($B$121:$V$121, "DB+9")</f>
        <v>0</v>
      </c>
      <c r="AI121" s="310">
        <f>COUNTIF($B$121:$V$121, "DC+0")</f>
        <v>0</v>
      </c>
      <c r="AJ121" s="310">
        <f>COUNTIF($B$121:$V$121, "DC+3")</f>
        <v>0</v>
      </c>
      <c r="AK121" s="310">
        <f>COUNTIF($B$121:$V$121, "DC+6")</f>
        <v>0</v>
      </c>
      <c r="AL121" s="310">
        <f>COUNTIF($B$121:$V$121, "DC+9")</f>
        <v>0</v>
      </c>
      <c r="AN121" s="310">
        <f>COUNTIF($B$121:$V$121, "DD+0")</f>
        <v>0</v>
      </c>
      <c r="AO121" s="310">
        <f>COUNTIF($B$121:$V$121, "DD+3")</f>
        <v>0</v>
      </c>
      <c r="AP121" s="310">
        <f>COUNTIF($B$121:$V$121, "DD+6")</f>
        <v>0</v>
      </c>
      <c r="AQ121" s="310">
        <f>COUNTIF($B$121:$V$121, "DD+9")</f>
        <v>0</v>
      </c>
    </row>
    <row r="122" spans="1:43">
      <c r="A122" s="132"/>
      <c r="B122" s="144"/>
      <c r="C122" s="133"/>
      <c r="D122" s="145"/>
      <c r="E122" s="133"/>
      <c r="F122" s="145"/>
      <c r="G122" s="149"/>
      <c r="H122" s="147"/>
      <c r="I122" s="149"/>
      <c r="J122" s="193"/>
      <c r="K122" s="193"/>
      <c r="L122" s="193"/>
      <c r="M122" s="193"/>
      <c r="O122" s="193"/>
      <c r="P122" s="144" t="s">
        <v>220</v>
      </c>
      <c r="Q122" s="193"/>
      <c r="R122" s="193"/>
      <c r="S122" s="155"/>
      <c r="T122" s="161"/>
      <c r="U122" s="133"/>
      <c r="V122" s="177"/>
      <c r="X122" s="310"/>
      <c r="Y122" s="310"/>
      <c r="Z122" s="310"/>
      <c r="AA122" s="310"/>
      <c r="AD122" s="310"/>
      <c r="AE122" s="310"/>
      <c r="AF122" s="310"/>
      <c r="AG122" s="310"/>
      <c r="AI122" s="310"/>
      <c r="AJ122" s="310"/>
      <c r="AK122" s="310"/>
      <c r="AL122" s="310"/>
      <c r="AN122" s="310"/>
      <c r="AO122" s="310"/>
      <c r="AP122" s="310"/>
      <c r="AQ122" s="310"/>
    </row>
    <row r="123" spans="1:43">
      <c r="A123" s="132"/>
      <c r="B123" s="161">
        <f>V115+1</f>
        <v>142</v>
      </c>
      <c r="C123" s="133"/>
      <c r="D123" s="161">
        <f>B123+1</f>
        <v>143</v>
      </c>
      <c r="F123" s="161">
        <f>D123+1</f>
        <v>144</v>
      </c>
      <c r="H123" s="161">
        <f>F123+1</f>
        <v>145</v>
      </c>
      <c r="J123" s="161">
        <f>H123+1</f>
        <v>146</v>
      </c>
      <c r="L123" s="161">
        <f>J123+1</f>
        <v>147</v>
      </c>
      <c r="N123" s="161">
        <f>L123+1</f>
        <v>148</v>
      </c>
      <c r="P123" s="161">
        <f>N123+1</f>
        <v>149</v>
      </c>
      <c r="Q123" s="155"/>
      <c r="R123" s="161">
        <f>P123+1</f>
        <v>150</v>
      </c>
      <c r="T123" s="161">
        <f>R123+1</f>
        <v>151</v>
      </c>
      <c r="U123" s="133"/>
      <c r="V123" s="200">
        <f>T123+1</f>
        <v>152</v>
      </c>
      <c r="X123" s="310"/>
      <c r="Y123" s="310"/>
      <c r="Z123" s="310"/>
      <c r="AA123" s="310"/>
      <c r="AD123" s="310"/>
      <c r="AE123" s="310"/>
      <c r="AF123" s="310"/>
      <c r="AG123" s="310"/>
      <c r="AI123" s="310"/>
      <c r="AJ123" s="310"/>
      <c r="AK123" s="310"/>
      <c r="AL123" s="310"/>
      <c r="AN123" s="310"/>
      <c r="AO123" s="310"/>
      <c r="AP123" s="310"/>
      <c r="AQ123" s="310"/>
    </row>
    <row r="124" spans="1:43">
      <c r="A124" s="132"/>
      <c r="B124" s="133"/>
      <c r="C124" s="133"/>
      <c r="D124" s="133"/>
      <c r="F124" s="133"/>
      <c r="H124" s="133"/>
      <c r="J124" s="133"/>
      <c r="L124" s="133"/>
      <c r="N124" s="133"/>
      <c r="P124" s="133"/>
      <c r="Q124" s="133"/>
      <c r="R124" s="133"/>
      <c r="T124" s="133"/>
      <c r="U124" s="133"/>
      <c r="V124" s="195"/>
      <c r="X124" s="310"/>
      <c r="Y124" s="310"/>
      <c r="Z124" s="310"/>
      <c r="AA124" s="310"/>
      <c r="AD124" s="310"/>
      <c r="AE124" s="310"/>
      <c r="AF124" s="310"/>
      <c r="AG124" s="310"/>
      <c r="AI124" s="310"/>
      <c r="AJ124" s="310"/>
      <c r="AK124" s="310"/>
      <c r="AL124" s="310"/>
      <c r="AN124" s="310"/>
      <c r="AO124" s="310"/>
      <c r="AP124" s="310"/>
      <c r="AQ124" s="310"/>
    </row>
    <row r="125" spans="1:43" ht="15" thickBot="1">
      <c r="A125" s="132"/>
      <c r="B125" s="135"/>
      <c r="C125" s="133"/>
      <c r="D125" s="133"/>
      <c r="F125" s="133"/>
      <c r="H125" s="133"/>
      <c r="J125" s="133"/>
      <c r="L125" s="133"/>
      <c r="N125" s="133"/>
      <c r="P125" s="133"/>
      <c r="Q125" s="135"/>
      <c r="R125" s="133"/>
      <c r="T125" s="133"/>
      <c r="U125" s="133"/>
      <c r="V125" s="195"/>
      <c r="X125" s="310"/>
      <c r="Y125" s="310"/>
      <c r="Z125" s="310"/>
      <c r="AA125" s="310"/>
      <c r="AD125" s="310"/>
      <c r="AE125" s="310"/>
      <c r="AF125" s="310"/>
      <c r="AG125" s="310"/>
      <c r="AI125" s="310"/>
      <c r="AJ125" s="310"/>
      <c r="AK125" s="310"/>
      <c r="AL125" s="310"/>
      <c r="AN125" s="310"/>
      <c r="AO125" s="310"/>
      <c r="AP125" s="310"/>
      <c r="AQ125" s="310"/>
    </row>
    <row r="126" spans="1:43" ht="15.5" thickTop="1" thickBot="1">
      <c r="A126" s="132"/>
      <c r="B126" s="158" t="s">
        <v>354</v>
      </c>
      <c r="C126" s="133"/>
      <c r="D126" s="140"/>
      <c r="F126" s="140"/>
      <c r="H126" s="140"/>
      <c r="J126" s="140"/>
      <c r="L126" s="158" t="s">
        <v>354</v>
      </c>
      <c r="N126" s="140"/>
      <c r="P126" s="140"/>
      <c r="Q126" s="133"/>
      <c r="R126" s="140"/>
      <c r="T126" s="140"/>
      <c r="U126" s="133"/>
      <c r="V126" s="197"/>
      <c r="X126" s="310"/>
      <c r="Y126" s="310"/>
      <c r="Z126" s="310"/>
      <c r="AA126" s="310"/>
      <c r="AD126" s="310"/>
      <c r="AE126" s="310"/>
      <c r="AF126" s="310"/>
      <c r="AG126" s="310"/>
      <c r="AI126" s="310"/>
      <c r="AJ126" s="310"/>
      <c r="AK126" s="310"/>
      <c r="AL126" s="310"/>
      <c r="AN126" s="310"/>
      <c r="AO126" s="310"/>
      <c r="AP126" s="310"/>
      <c r="AQ126" s="310"/>
    </row>
    <row r="127" spans="1:43" ht="15.5" thickTop="1" thickBot="1">
      <c r="A127" s="132"/>
      <c r="B127" s="141" t="s">
        <v>376</v>
      </c>
      <c r="C127" s="133"/>
      <c r="D127" s="141"/>
      <c r="F127" s="141"/>
      <c r="H127" s="141"/>
      <c r="J127" s="141"/>
      <c r="L127" s="141"/>
      <c r="N127" s="141"/>
      <c r="P127" s="141"/>
      <c r="Q127" s="133"/>
      <c r="R127" s="141"/>
      <c r="T127" s="141"/>
      <c r="U127" s="133"/>
      <c r="V127" s="198"/>
      <c r="X127" s="310"/>
      <c r="Y127" s="310"/>
      <c r="Z127" s="310"/>
      <c r="AA127" s="310"/>
      <c r="AD127" s="310"/>
      <c r="AE127" s="310"/>
      <c r="AF127" s="310"/>
      <c r="AG127" s="310"/>
      <c r="AI127" s="310"/>
      <c r="AJ127" s="310"/>
      <c r="AK127" s="310"/>
      <c r="AL127" s="310"/>
      <c r="AN127" s="310"/>
      <c r="AO127" s="310"/>
      <c r="AP127" s="310"/>
      <c r="AQ127" s="310"/>
    </row>
    <row r="128" spans="1:43" ht="15" thickTop="1">
      <c r="A128" s="132"/>
      <c r="B128" s="395" t="s">
        <v>289</v>
      </c>
      <c r="C128" s="191"/>
      <c r="D128" s="395" t="s">
        <v>422</v>
      </c>
      <c r="F128" s="395" t="s">
        <v>423</v>
      </c>
      <c r="H128" s="395" t="s">
        <v>424</v>
      </c>
      <c r="J128" s="395" t="s">
        <v>425</v>
      </c>
      <c r="L128" s="395" t="s">
        <v>279</v>
      </c>
      <c r="N128" s="395" t="s">
        <v>426</v>
      </c>
      <c r="P128" s="395" t="s">
        <v>427</v>
      </c>
      <c r="Q128" s="133"/>
      <c r="R128" s="395" t="s">
        <v>428</v>
      </c>
      <c r="T128" s="395" t="s">
        <v>291</v>
      </c>
      <c r="U128" s="133"/>
      <c r="V128" s="396" t="s">
        <v>429</v>
      </c>
      <c r="X128" s="310"/>
      <c r="Y128" s="310"/>
      <c r="Z128" s="310"/>
      <c r="AA128" s="310"/>
      <c r="AD128" s="310"/>
      <c r="AE128" s="310"/>
      <c r="AF128" s="310"/>
      <c r="AG128" s="310"/>
      <c r="AI128" s="310"/>
      <c r="AJ128" s="310"/>
      <c r="AK128" s="310"/>
      <c r="AL128" s="310"/>
      <c r="AN128" s="310"/>
      <c r="AO128" s="310"/>
      <c r="AP128" s="310"/>
      <c r="AQ128" s="310"/>
    </row>
    <row r="129" spans="1:43">
      <c r="A129" s="132"/>
      <c r="B129" s="148" t="s">
        <v>182</v>
      </c>
      <c r="C129" s="133"/>
      <c r="D129" s="148" t="s">
        <v>343</v>
      </c>
      <c r="F129" s="148" t="s">
        <v>182</v>
      </c>
      <c r="H129" s="148" t="s">
        <v>430</v>
      </c>
      <c r="J129" s="148" t="s">
        <v>115</v>
      </c>
      <c r="L129" s="148" t="s">
        <v>242</v>
      </c>
      <c r="N129" s="148" t="s">
        <v>182</v>
      </c>
      <c r="P129" s="148" t="s">
        <v>182</v>
      </c>
      <c r="Q129" s="133"/>
      <c r="R129" s="148" t="s">
        <v>242</v>
      </c>
      <c r="T129" s="148" t="s">
        <v>185</v>
      </c>
      <c r="U129" s="133"/>
      <c r="V129" s="199" t="s">
        <v>185</v>
      </c>
      <c r="X129" s="310">
        <f>COUNTIF($B$129:$V$129, "DA+0")</f>
        <v>4</v>
      </c>
      <c r="Y129" s="310">
        <f>COUNTIF($B$129:$V$129, "DA+3")</f>
        <v>2</v>
      </c>
      <c r="Z129" s="310">
        <f>COUNTIF($B$129:$V$129, "DA+6")</f>
        <v>2</v>
      </c>
      <c r="AA129" s="310">
        <f>COUNTIF($B$129:$V$129, "DA+9")</f>
        <v>0</v>
      </c>
      <c r="AD129" s="310">
        <f>COUNTIF($B$129:$V$129, "DB+0")</f>
        <v>0</v>
      </c>
      <c r="AE129" s="310">
        <f>COUNTIF($B$129:$V$129, "DB+3")</f>
        <v>0</v>
      </c>
      <c r="AF129" s="310">
        <f>COUNTIF($B$129:$V$129, "DB+6")</f>
        <v>0</v>
      </c>
      <c r="AG129" s="310">
        <f>COUNTIF($B$129:$V$129, "DB+9")</f>
        <v>0</v>
      </c>
      <c r="AI129" s="310">
        <f>COUNTIF($B$129:$V$129, "DC+0")</f>
        <v>1</v>
      </c>
      <c r="AJ129" s="310">
        <f>COUNTIF($B$129:$V$129, "DC+3")</f>
        <v>0</v>
      </c>
      <c r="AK129" s="310">
        <f>COUNTIF($B$129:$V$129, "DC+6")</f>
        <v>0</v>
      </c>
      <c r="AL129" s="310">
        <f>COUNTIF($B$129:$V$129, "DC+9")</f>
        <v>0</v>
      </c>
      <c r="AN129" s="310">
        <f>COUNTIF($B$129:$V$129, "DD+0")</f>
        <v>0</v>
      </c>
      <c r="AO129" s="310">
        <f>COUNTIF($B$129:$V$129, "DD+3")</f>
        <v>0</v>
      </c>
      <c r="AP129" s="310">
        <f>COUNTIF($B$129:$V$129, "DD+6")</f>
        <v>0</v>
      </c>
      <c r="AQ129" s="310">
        <f>COUNTIF($B$129:$V$129, "DD+9")</f>
        <v>0</v>
      </c>
    </row>
    <row r="130" spans="1:43">
      <c r="A130" s="132"/>
      <c r="B130" s="148"/>
      <c r="C130" s="133"/>
      <c r="D130" s="148"/>
      <c r="F130" s="201" t="s">
        <v>220</v>
      </c>
      <c r="H130" s="148"/>
      <c r="J130" s="148"/>
      <c r="L130" s="148"/>
      <c r="N130" s="148"/>
      <c r="P130" s="201" t="s">
        <v>220</v>
      </c>
      <c r="Q130" s="133"/>
      <c r="R130" s="148"/>
      <c r="T130" s="148"/>
      <c r="U130" s="133"/>
      <c r="V130" s="199"/>
      <c r="X130" s="310"/>
      <c r="Y130" s="310"/>
      <c r="Z130" s="310"/>
      <c r="AA130" s="310"/>
      <c r="AD130" s="310"/>
      <c r="AE130" s="310"/>
      <c r="AF130" s="310"/>
      <c r="AG130" s="310"/>
      <c r="AI130" s="310"/>
      <c r="AJ130" s="310"/>
      <c r="AK130" s="310"/>
      <c r="AL130" s="310"/>
      <c r="AN130" s="310"/>
      <c r="AO130" s="310"/>
      <c r="AP130" s="310"/>
      <c r="AQ130" s="310"/>
    </row>
    <row r="131" spans="1:43">
      <c r="A131" s="132"/>
      <c r="B131" s="148"/>
      <c r="C131" s="133"/>
      <c r="D131" s="148"/>
      <c r="F131" s="148"/>
      <c r="H131" s="148"/>
      <c r="J131" s="148"/>
      <c r="L131" s="148"/>
      <c r="N131" s="148"/>
      <c r="P131" s="148"/>
      <c r="Q131" s="133"/>
      <c r="R131" s="148"/>
      <c r="T131" s="148"/>
      <c r="U131" s="133"/>
      <c r="V131" s="199"/>
      <c r="X131" s="310"/>
      <c r="Y131" s="310"/>
      <c r="Z131" s="310"/>
      <c r="AA131" s="310"/>
      <c r="AD131" s="310"/>
      <c r="AE131" s="310"/>
      <c r="AF131" s="310"/>
      <c r="AG131" s="310"/>
      <c r="AI131" s="310"/>
      <c r="AJ131" s="310"/>
      <c r="AK131" s="310"/>
      <c r="AL131" s="310"/>
      <c r="AN131" s="310"/>
      <c r="AO131" s="310"/>
      <c r="AP131" s="310"/>
      <c r="AQ131" s="310"/>
    </row>
    <row r="132" spans="1:43">
      <c r="A132" s="132"/>
      <c r="B132" s="161">
        <f>V123+1</f>
        <v>153</v>
      </c>
      <c r="C132" s="133"/>
      <c r="D132" s="161">
        <f>B132+1</f>
        <v>154</v>
      </c>
      <c r="F132" s="161">
        <f>D132+1</f>
        <v>155</v>
      </c>
      <c r="H132" s="161">
        <f>F132+1</f>
        <v>156</v>
      </c>
      <c r="J132" s="161">
        <f>H132+1</f>
        <v>157</v>
      </c>
      <c r="L132" s="161">
        <f>J132+1</f>
        <v>158</v>
      </c>
      <c r="N132" s="161">
        <f>L132+1</f>
        <v>159</v>
      </c>
      <c r="P132" s="161">
        <f>N132+1</f>
        <v>160</v>
      </c>
      <c r="Q132" s="155"/>
      <c r="R132" s="161">
        <f>P132+1</f>
        <v>161</v>
      </c>
      <c r="T132" s="161">
        <f>R132+1</f>
        <v>162</v>
      </c>
      <c r="U132" s="133"/>
      <c r="V132" s="200">
        <f>T132+1</f>
        <v>163</v>
      </c>
      <c r="X132" s="310"/>
      <c r="Y132" s="310"/>
      <c r="Z132" s="310"/>
      <c r="AA132" s="310"/>
      <c r="AD132" s="310"/>
      <c r="AE132" s="310"/>
      <c r="AF132" s="310"/>
      <c r="AG132" s="310"/>
      <c r="AI132" s="310"/>
      <c r="AJ132" s="310"/>
      <c r="AK132" s="310"/>
      <c r="AL132" s="310"/>
      <c r="AN132" s="310"/>
      <c r="AO132" s="310"/>
      <c r="AP132" s="310"/>
      <c r="AQ132" s="310"/>
    </row>
    <row r="133" spans="1:43">
      <c r="A133" s="132"/>
      <c r="B133" s="133"/>
      <c r="C133" s="133"/>
      <c r="D133" s="133"/>
      <c r="F133" s="133"/>
      <c r="H133" s="133"/>
      <c r="J133" s="133"/>
      <c r="L133" s="133"/>
      <c r="N133" s="133"/>
      <c r="P133" s="133"/>
      <c r="Q133" s="133"/>
      <c r="R133" s="133"/>
      <c r="T133" s="133"/>
      <c r="U133" s="133"/>
      <c r="V133" s="195"/>
      <c r="X133" s="310"/>
      <c r="Y133" s="310"/>
      <c r="Z133" s="310"/>
      <c r="AA133" s="310"/>
      <c r="AD133" s="310"/>
      <c r="AE133" s="310"/>
      <c r="AF133" s="310"/>
      <c r="AG133" s="310"/>
      <c r="AI133" s="310"/>
      <c r="AJ133" s="310"/>
      <c r="AK133" s="310"/>
      <c r="AL133" s="310"/>
      <c r="AN133" s="310"/>
      <c r="AO133" s="310"/>
      <c r="AP133" s="310"/>
      <c r="AQ133" s="310"/>
    </row>
    <row r="134" spans="1:43" ht="15" thickBot="1">
      <c r="A134" s="132"/>
      <c r="B134" s="135"/>
      <c r="C134" s="133"/>
      <c r="D134" s="133"/>
      <c r="F134" s="133"/>
      <c r="H134" s="133"/>
      <c r="J134" s="133"/>
      <c r="L134" s="133"/>
      <c r="N134" s="133"/>
      <c r="P134" s="133"/>
      <c r="Q134" s="135"/>
      <c r="R134" s="133"/>
      <c r="T134" s="133"/>
      <c r="U134" s="133"/>
      <c r="V134" s="195"/>
      <c r="X134" s="310"/>
      <c r="Y134" s="310"/>
      <c r="Z134" s="310"/>
      <c r="AA134" s="310"/>
      <c r="AD134" s="310"/>
      <c r="AE134" s="310"/>
      <c r="AF134" s="310"/>
      <c r="AG134" s="310"/>
      <c r="AI134" s="310"/>
      <c r="AJ134" s="310"/>
      <c r="AK134" s="310"/>
      <c r="AL134" s="310"/>
      <c r="AN134" s="310"/>
      <c r="AO134" s="310"/>
      <c r="AP134" s="310"/>
      <c r="AQ134" s="310"/>
    </row>
    <row r="135" spans="1:43" ht="15.5" thickTop="1" thickBot="1">
      <c r="A135" s="132"/>
      <c r="B135" s="140"/>
      <c r="C135" s="133"/>
      <c r="D135" s="140"/>
      <c r="F135" s="140"/>
      <c r="H135" s="140"/>
      <c r="J135" s="140"/>
      <c r="L135" s="140"/>
      <c r="N135" s="140"/>
      <c r="P135" s="140"/>
      <c r="Q135" s="133"/>
      <c r="R135" s="140"/>
      <c r="T135" s="140"/>
      <c r="U135" s="133"/>
      <c r="V135" s="197"/>
      <c r="X135" s="310"/>
      <c r="Y135" s="310"/>
      <c r="Z135" s="310"/>
      <c r="AA135" s="310"/>
      <c r="AD135" s="310"/>
      <c r="AE135" s="310"/>
      <c r="AF135" s="310"/>
      <c r="AG135" s="310"/>
      <c r="AI135" s="310"/>
      <c r="AJ135" s="310"/>
      <c r="AK135" s="310"/>
      <c r="AL135" s="310"/>
      <c r="AN135" s="310"/>
      <c r="AO135" s="310"/>
      <c r="AP135" s="310"/>
      <c r="AQ135" s="310"/>
    </row>
    <row r="136" spans="1:43" ht="15.5" thickTop="1" thickBot="1">
      <c r="A136" s="132"/>
      <c r="B136" s="141"/>
      <c r="C136" s="133"/>
      <c r="D136" s="141"/>
      <c r="F136" s="141"/>
      <c r="H136" s="141"/>
      <c r="J136" s="141"/>
      <c r="L136" s="141"/>
      <c r="N136" s="141"/>
      <c r="P136" s="141"/>
      <c r="Q136" s="133"/>
      <c r="R136" s="141"/>
      <c r="T136" s="141"/>
      <c r="U136" s="133"/>
      <c r="V136" s="198"/>
      <c r="X136" s="310"/>
      <c r="Y136" s="310"/>
      <c r="Z136" s="310"/>
      <c r="AA136" s="310"/>
      <c r="AD136" s="310"/>
      <c r="AE136" s="310"/>
      <c r="AF136" s="310"/>
      <c r="AG136" s="310"/>
      <c r="AI136" s="310"/>
      <c r="AJ136" s="310"/>
      <c r="AK136" s="310"/>
      <c r="AL136" s="310"/>
      <c r="AN136" s="310"/>
      <c r="AO136" s="310"/>
      <c r="AP136" s="310"/>
      <c r="AQ136" s="310"/>
    </row>
    <row r="137" spans="1:43" ht="15" thickTop="1">
      <c r="A137" s="132"/>
      <c r="B137" s="395" t="s">
        <v>431</v>
      </c>
      <c r="C137" s="191"/>
      <c r="D137" s="395" t="s">
        <v>432</v>
      </c>
      <c r="F137" s="395" t="s">
        <v>433</v>
      </c>
      <c r="H137" s="395" t="s">
        <v>434</v>
      </c>
      <c r="J137" s="397" t="s">
        <v>435</v>
      </c>
      <c r="L137" s="395" t="s">
        <v>436</v>
      </c>
      <c r="N137" s="395" t="s">
        <v>437</v>
      </c>
      <c r="P137" s="395" t="s">
        <v>438</v>
      </c>
      <c r="Q137" s="133"/>
      <c r="R137" s="395" t="s">
        <v>439</v>
      </c>
      <c r="T137" s="395" t="s">
        <v>440</v>
      </c>
      <c r="U137" s="133"/>
      <c r="V137" s="396" t="s">
        <v>441</v>
      </c>
      <c r="X137" s="310"/>
      <c r="Y137" s="310"/>
      <c r="Z137" s="310"/>
      <c r="AA137" s="310"/>
      <c r="AD137" s="310"/>
      <c r="AE137" s="310"/>
      <c r="AF137" s="310"/>
      <c r="AG137" s="310"/>
      <c r="AI137" s="310"/>
      <c r="AJ137" s="310"/>
      <c r="AK137" s="310"/>
      <c r="AL137" s="310"/>
      <c r="AN137" s="310"/>
      <c r="AO137" s="310"/>
      <c r="AP137" s="310"/>
      <c r="AQ137" s="310"/>
    </row>
    <row r="138" spans="1:43">
      <c r="A138" s="132"/>
      <c r="B138" s="148" t="s">
        <v>344</v>
      </c>
      <c r="C138" s="133"/>
      <c r="D138" s="148" t="s">
        <v>182</v>
      </c>
      <c r="F138" s="148" t="s">
        <v>182</v>
      </c>
      <c r="H138" s="148" t="s">
        <v>319</v>
      </c>
      <c r="J138" s="148" t="s">
        <v>242</v>
      </c>
      <c r="L138" s="148" t="s">
        <v>442</v>
      </c>
      <c r="N138" s="148" t="s">
        <v>143</v>
      </c>
      <c r="P138" s="148" t="s">
        <v>182</v>
      </c>
      <c r="Q138" s="133"/>
      <c r="R138" s="148" t="s">
        <v>182</v>
      </c>
      <c r="T138" s="148" t="s">
        <v>115</v>
      </c>
      <c r="U138" s="133"/>
      <c r="V138" s="199" t="s">
        <v>242</v>
      </c>
      <c r="X138" s="310">
        <f>COUNTIF($B$138:$V$138, "DA+0")</f>
        <v>4</v>
      </c>
      <c r="Y138" s="310">
        <f>COUNTIF($B$138:$V$138, "DA+3")</f>
        <v>0</v>
      </c>
      <c r="Z138" s="310">
        <f>COUNTIF($B$138:$V$138, "DA+6")</f>
        <v>2</v>
      </c>
      <c r="AA138" s="310">
        <f>COUNTIF($B$138:$V$138, "DA+9")</f>
        <v>0</v>
      </c>
      <c r="AD138" s="310">
        <f>COUNTIF($B$138:$V$138, "DB+0")</f>
        <v>0</v>
      </c>
      <c r="AE138" s="310">
        <f>COUNTIF($B$138:$V$138, "DB+3")</f>
        <v>0</v>
      </c>
      <c r="AF138" s="310">
        <f>COUNTIF($B$138:$V$138, "DB+6")</f>
        <v>0</v>
      </c>
      <c r="AG138" s="310">
        <f>COUNTIF($B$138:$V$138, "DB+9")</f>
        <v>0</v>
      </c>
      <c r="AI138" s="310">
        <f>COUNTIF($B$138:$V$138, "DC+0")</f>
        <v>1</v>
      </c>
      <c r="AJ138" s="310">
        <f>COUNTIF($B$138:$V$138, "DC+3")</f>
        <v>0</v>
      </c>
      <c r="AK138" s="310">
        <f>COUNTIF($B$138:$V$138, "DC+6")</f>
        <v>0</v>
      </c>
      <c r="AL138" s="310">
        <f>COUNTIF($B$138:$V$138, "DC+9")</f>
        <v>0</v>
      </c>
      <c r="AN138" s="310">
        <f>COUNTIF($B$138:$V$138, "DD+0")</f>
        <v>0</v>
      </c>
      <c r="AO138" s="310">
        <f>COUNTIF($B$138:$V$138, "DD+3")</f>
        <v>1</v>
      </c>
      <c r="AP138" s="310">
        <f>COUNTIF($B$138:$V$138, "DD+6")</f>
        <v>0</v>
      </c>
      <c r="AQ138" s="310">
        <f>COUNTIF($B$138:$V$138, "DD+9")</f>
        <v>0</v>
      </c>
    </row>
    <row r="139" spans="1:43">
      <c r="A139" s="132"/>
      <c r="B139" s="148"/>
      <c r="C139" s="133"/>
      <c r="D139" s="148"/>
      <c r="F139" s="148"/>
      <c r="H139" s="148"/>
      <c r="J139" s="148"/>
      <c r="L139" s="148"/>
      <c r="N139" s="148"/>
      <c r="P139" s="148"/>
      <c r="Q139" s="133"/>
      <c r="R139" s="148"/>
      <c r="T139" s="148"/>
      <c r="U139" s="133"/>
      <c r="V139" s="199"/>
      <c r="X139" s="310"/>
      <c r="Y139" s="310"/>
      <c r="Z139" s="310"/>
      <c r="AA139" s="310"/>
      <c r="AD139" s="310"/>
      <c r="AE139" s="310"/>
      <c r="AF139" s="310"/>
      <c r="AG139" s="310"/>
      <c r="AI139" s="310"/>
      <c r="AJ139" s="310"/>
      <c r="AK139" s="310"/>
      <c r="AL139" s="310"/>
      <c r="AN139" s="310"/>
      <c r="AO139" s="310"/>
      <c r="AP139" s="310"/>
      <c r="AQ139" s="310"/>
    </row>
    <row r="140" spans="1:43">
      <c r="A140" s="132"/>
      <c r="B140" s="148"/>
      <c r="C140" s="133"/>
      <c r="D140" s="148"/>
      <c r="F140" s="148"/>
      <c r="H140" s="148"/>
      <c r="J140" s="148"/>
      <c r="L140" s="148"/>
      <c r="N140" s="148"/>
      <c r="P140" s="148"/>
      <c r="Q140" s="133"/>
      <c r="R140" s="148"/>
      <c r="T140" s="148"/>
      <c r="U140" s="133"/>
      <c r="V140" s="199"/>
      <c r="X140" s="310"/>
      <c r="Y140" s="310"/>
      <c r="Z140" s="310"/>
      <c r="AA140" s="310"/>
      <c r="AD140" s="310"/>
      <c r="AE140" s="310"/>
      <c r="AF140" s="310"/>
      <c r="AG140" s="310"/>
      <c r="AI140" s="310"/>
      <c r="AJ140" s="310"/>
      <c r="AK140" s="310"/>
      <c r="AL140" s="310"/>
      <c r="AN140" s="310"/>
      <c r="AO140" s="310"/>
      <c r="AP140" s="310"/>
      <c r="AQ140" s="310"/>
    </row>
    <row r="141" spans="1:43">
      <c r="A141" s="132"/>
      <c r="B141" s="161">
        <f>V132+1</f>
        <v>164</v>
      </c>
      <c r="C141" s="133"/>
      <c r="D141" s="161">
        <f>B141+1</f>
        <v>165</v>
      </c>
      <c r="F141" s="161">
        <f>D141+1</f>
        <v>166</v>
      </c>
      <c r="H141" s="161">
        <f>F141+1</f>
        <v>167</v>
      </c>
      <c r="J141" s="161">
        <f>H141+1</f>
        <v>168</v>
      </c>
      <c r="L141" s="161">
        <f>J141+1</f>
        <v>169</v>
      </c>
      <c r="N141" s="161">
        <f>L141+1</f>
        <v>170</v>
      </c>
      <c r="P141" s="161">
        <f>N141+1</f>
        <v>171</v>
      </c>
      <c r="Q141" s="155"/>
      <c r="R141" s="161">
        <f>P141+1</f>
        <v>172</v>
      </c>
      <c r="T141" s="161">
        <f>R141+1</f>
        <v>173</v>
      </c>
      <c r="U141" s="133"/>
      <c r="V141" s="200">
        <f>T141+1</f>
        <v>174</v>
      </c>
      <c r="X141" s="310"/>
      <c r="Y141" s="310"/>
      <c r="Z141" s="310"/>
      <c r="AA141" s="310"/>
      <c r="AD141" s="310"/>
      <c r="AE141" s="310"/>
      <c r="AF141" s="310"/>
      <c r="AG141" s="310"/>
      <c r="AI141" s="310"/>
      <c r="AJ141" s="310"/>
      <c r="AK141" s="310"/>
      <c r="AL141" s="310"/>
      <c r="AN141" s="310"/>
      <c r="AO141" s="310"/>
      <c r="AP141" s="310"/>
      <c r="AQ141" s="310"/>
    </row>
    <row r="142" spans="1:43">
      <c r="A142" s="132"/>
      <c r="B142" s="133"/>
      <c r="C142" s="133"/>
      <c r="D142" s="133"/>
      <c r="F142" s="133"/>
      <c r="H142" s="133"/>
      <c r="J142" s="133"/>
      <c r="L142" s="133"/>
      <c r="N142" s="133"/>
      <c r="P142" s="133"/>
      <c r="Q142" s="133"/>
      <c r="R142" s="133"/>
      <c r="T142" s="133"/>
      <c r="U142" s="133"/>
      <c r="V142" s="195"/>
      <c r="X142" s="310"/>
      <c r="Y142" s="310"/>
      <c r="Z142" s="310"/>
      <c r="AA142" s="310"/>
      <c r="AD142" s="310"/>
      <c r="AE142" s="310"/>
      <c r="AF142" s="310"/>
      <c r="AG142" s="310"/>
      <c r="AI142" s="310"/>
      <c r="AJ142" s="310"/>
      <c r="AK142" s="310"/>
      <c r="AL142" s="310"/>
      <c r="AN142" s="310"/>
      <c r="AO142" s="310"/>
      <c r="AP142" s="310"/>
      <c r="AQ142" s="310"/>
    </row>
    <row r="143" spans="1:43" ht="15" thickBot="1">
      <c r="A143" s="132"/>
      <c r="B143" s="135"/>
      <c r="C143" s="133"/>
      <c r="D143" s="133"/>
      <c r="F143" s="133"/>
      <c r="H143" s="133"/>
      <c r="J143" s="133"/>
      <c r="L143" s="133"/>
      <c r="N143" s="133"/>
      <c r="P143" s="133"/>
      <c r="Q143" s="135"/>
      <c r="R143" s="133"/>
      <c r="T143" s="133"/>
      <c r="U143" s="133"/>
      <c r="V143" s="195"/>
      <c r="X143" s="310"/>
      <c r="Y143" s="310"/>
      <c r="Z143" s="310"/>
      <c r="AA143" s="310"/>
      <c r="AD143" s="310"/>
      <c r="AE143" s="310"/>
      <c r="AF143" s="310"/>
      <c r="AG143" s="310"/>
      <c r="AI143" s="310"/>
      <c r="AJ143" s="310"/>
      <c r="AK143" s="310"/>
      <c r="AL143" s="310"/>
      <c r="AN143" s="310"/>
      <c r="AO143" s="310"/>
      <c r="AP143" s="310"/>
      <c r="AQ143" s="310"/>
    </row>
    <row r="144" spans="1:43" ht="15.5" thickTop="1" thickBot="1">
      <c r="A144" s="132"/>
      <c r="B144" s="140"/>
      <c r="C144" s="133"/>
      <c r="D144" s="140"/>
      <c r="F144" s="140"/>
      <c r="H144" s="140"/>
      <c r="J144" s="140"/>
      <c r="L144" s="140"/>
      <c r="N144" s="140"/>
      <c r="P144" s="140"/>
      <c r="Q144" s="133"/>
      <c r="R144" s="140"/>
      <c r="T144" s="140"/>
      <c r="U144" s="133"/>
      <c r="V144" s="197"/>
      <c r="X144" s="310"/>
      <c r="Y144" s="310"/>
      <c r="Z144" s="310"/>
      <c r="AA144" s="310"/>
      <c r="AD144" s="310"/>
      <c r="AE144" s="310"/>
      <c r="AF144" s="310"/>
      <c r="AG144" s="310"/>
      <c r="AI144" s="310"/>
      <c r="AJ144" s="310"/>
      <c r="AK144" s="310"/>
      <c r="AL144" s="310"/>
      <c r="AN144" s="310"/>
      <c r="AO144" s="310"/>
      <c r="AP144" s="310"/>
      <c r="AQ144" s="310"/>
    </row>
    <row r="145" spans="1:43" ht="15.5" thickTop="1" thickBot="1">
      <c r="A145" s="132"/>
      <c r="B145" s="141"/>
      <c r="C145" s="133"/>
      <c r="D145" s="141"/>
      <c r="F145" s="141"/>
      <c r="H145" s="141"/>
      <c r="J145" s="141"/>
      <c r="L145" s="141"/>
      <c r="N145" s="141"/>
      <c r="P145" s="141"/>
      <c r="Q145" s="133"/>
      <c r="R145" s="141"/>
      <c r="T145" s="141"/>
      <c r="U145" s="133"/>
      <c r="V145" s="198"/>
      <c r="X145" s="310"/>
      <c r="Y145" s="310"/>
      <c r="Z145" s="310"/>
      <c r="AA145" s="310"/>
      <c r="AD145" s="310"/>
      <c r="AE145" s="310"/>
      <c r="AF145" s="310"/>
      <c r="AG145" s="310"/>
      <c r="AI145" s="310"/>
      <c r="AJ145" s="310"/>
      <c r="AK145" s="310"/>
      <c r="AL145" s="310"/>
      <c r="AN145" s="310"/>
      <c r="AO145" s="310"/>
      <c r="AP145" s="310"/>
      <c r="AQ145" s="310"/>
    </row>
    <row r="146" spans="1:43" ht="15" thickTop="1">
      <c r="A146" s="132"/>
      <c r="B146" s="395" t="s">
        <v>443</v>
      </c>
      <c r="C146" s="191"/>
      <c r="D146" s="395" t="s">
        <v>444</v>
      </c>
      <c r="F146" s="395" t="s">
        <v>445</v>
      </c>
      <c r="H146" s="395" t="s">
        <v>446</v>
      </c>
      <c r="J146" s="395" t="s">
        <v>447</v>
      </c>
      <c r="L146" s="395" t="s">
        <v>448</v>
      </c>
      <c r="N146" s="397" t="s">
        <v>449</v>
      </c>
      <c r="P146" s="395" t="s">
        <v>450</v>
      </c>
      <c r="Q146" s="133"/>
      <c r="R146" s="395" t="s">
        <v>451</v>
      </c>
      <c r="T146" s="397" t="s">
        <v>452</v>
      </c>
      <c r="U146" s="133"/>
      <c r="V146" s="396" t="s">
        <v>453</v>
      </c>
      <c r="X146" s="310"/>
      <c r="Y146" s="310"/>
      <c r="Z146" s="310"/>
      <c r="AA146" s="310"/>
      <c r="AD146" s="310"/>
      <c r="AE146" s="310"/>
      <c r="AF146" s="310"/>
      <c r="AG146" s="310"/>
      <c r="AI146" s="310"/>
      <c r="AJ146" s="310"/>
      <c r="AK146" s="310"/>
      <c r="AL146" s="310"/>
      <c r="AN146" s="310"/>
      <c r="AO146" s="310"/>
      <c r="AP146" s="310"/>
      <c r="AQ146" s="310"/>
    </row>
    <row r="147" spans="1:43">
      <c r="A147" s="132"/>
      <c r="B147" s="148" t="s">
        <v>132</v>
      </c>
      <c r="C147" s="133"/>
      <c r="D147" s="148" t="s">
        <v>123</v>
      </c>
      <c r="F147" s="148" t="s">
        <v>132</v>
      </c>
      <c r="H147" s="148" t="s">
        <v>182</v>
      </c>
      <c r="J147" s="148" t="s">
        <v>182</v>
      </c>
      <c r="L147" s="148" t="s">
        <v>125</v>
      </c>
      <c r="N147" s="148" t="s">
        <v>185</v>
      </c>
      <c r="P147" s="148" t="s">
        <v>128</v>
      </c>
      <c r="Q147" s="133"/>
      <c r="R147" s="148" t="s">
        <v>143</v>
      </c>
      <c r="T147" s="148" t="s">
        <v>248</v>
      </c>
      <c r="U147" s="133"/>
      <c r="V147" s="199" t="s">
        <v>115</v>
      </c>
      <c r="X147" s="310">
        <f>COUNTIF($B$147:$V$147, "DA+0")</f>
        <v>2</v>
      </c>
      <c r="Y147" s="310">
        <f>COUNTIF($B$147:$V$147, "DA+3")</f>
        <v>1</v>
      </c>
      <c r="Z147" s="310">
        <f>COUNTIF($B$147:$V$147, "DA+6")</f>
        <v>0</v>
      </c>
      <c r="AA147" s="310">
        <f>COUNTIF($B$147:$V$147, "DA+9")</f>
        <v>1</v>
      </c>
      <c r="AD147" s="310">
        <f>COUNTIF($B$147:$V$147, "DB+0")</f>
        <v>0</v>
      </c>
      <c r="AE147" s="310">
        <f>COUNTIF($B$147:$V$147, "DB+3")</f>
        <v>0</v>
      </c>
      <c r="AF147" s="310">
        <f>COUNTIF($B$147:$V$147, "DB+6")</f>
        <v>0</v>
      </c>
      <c r="AG147" s="310">
        <f>COUNTIF($B$147:$V$147, "DB+9")</f>
        <v>2</v>
      </c>
      <c r="AI147" s="310">
        <f>COUNTIF($B$147:$V$147, "DC+0")</f>
        <v>1</v>
      </c>
      <c r="AJ147" s="310">
        <f>COUNTIF($B$147:$V$147, "DC+3")</f>
        <v>0</v>
      </c>
      <c r="AK147" s="310">
        <f>COUNTIF($B$147:$V$147, "DC+6")</f>
        <v>1</v>
      </c>
      <c r="AL147" s="310">
        <f>COUNTIF($B$147:$V$147, "DC+9")</f>
        <v>1</v>
      </c>
      <c r="AN147" s="310">
        <f>COUNTIF($B$147:$V$147, "DD+0")</f>
        <v>1</v>
      </c>
      <c r="AO147" s="310">
        <f>COUNTIF($B$147:$V$147, "DD+3")</f>
        <v>1</v>
      </c>
      <c r="AP147" s="310">
        <f>COUNTIF($B$147:$V$147, "DD+6")</f>
        <v>0</v>
      </c>
      <c r="AQ147" s="310">
        <f>COUNTIF($B$147:$V$147, "DD+9")</f>
        <v>0</v>
      </c>
    </row>
    <row r="148" spans="1:43">
      <c r="A148" s="132"/>
      <c r="B148" s="148"/>
      <c r="C148" s="133"/>
      <c r="D148" s="201" t="s">
        <v>220</v>
      </c>
      <c r="F148" s="201" t="s">
        <v>220</v>
      </c>
      <c r="H148" s="148"/>
      <c r="J148" s="148"/>
      <c r="L148" s="148"/>
      <c r="N148" s="148"/>
      <c r="P148" s="148"/>
      <c r="Q148" s="133"/>
      <c r="R148" s="148"/>
      <c r="T148" s="148"/>
      <c r="U148" s="133"/>
      <c r="V148" s="204" t="s">
        <v>454</v>
      </c>
      <c r="X148" s="310"/>
      <c r="Y148" s="310"/>
      <c r="Z148" s="310"/>
      <c r="AA148" s="310"/>
      <c r="AD148" s="310"/>
      <c r="AE148" s="310"/>
      <c r="AF148" s="310"/>
      <c r="AG148" s="310"/>
      <c r="AI148" s="310"/>
      <c r="AJ148" s="310"/>
      <c r="AK148" s="310"/>
      <c r="AL148" s="310"/>
      <c r="AN148" s="310"/>
      <c r="AO148" s="310"/>
      <c r="AP148" s="310"/>
      <c r="AQ148" s="310"/>
    </row>
    <row r="149" spans="1:43">
      <c r="A149" s="132"/>
      <c r="B149" s="148"/>
      <c r="C149" s="133"/>
      <c r="D149" s="201"/>
      <c r="F149" s="201"/>
      <c r="H149" s="148"/>
      <c r="J149" s="148"/>
      <c r="L149" s="148"/>
      <c r="N149" s="148"/>
      <c r="P149" s="148"/>
      <c r="Q149" s="133"/>
      <c r="R149" s="148"/>
      <c r="T149" s="148"/>
      <c r="U149" s="133"/>
      <c r="V149" s="199"/>
      <c r="X149" s="310"/>
      <c r="Y149" s="310"/>
      <c r="Z149" s="310"/>
      <c r="AA149" s="310"/>
      <c r="AD149" s="310"/>
      <c r="AE149" s="310"/>
      <c r="AF149" s="310"/>
      <c r="AG149" s="310"/>
      <c r="AI149" s="310"/>
      <c r="AJ149" s="310"/>
      <c r="AK149" s="310"/>
      <c r="AL149" s="310"/>
      <c r="AN149" s="310"/>
      <c r="AO149" s="310"/>
      <c r="AP149" s="310"/>
      <c r="AQ149" s="310"/>
    </row>
    <row r="150" spans="1:43">
      <c r="A150" s="132"/>
      <c r="B150" s="161">
        <f>V141+1</f>
        <v>175</v>
      </c>
      <c r="C150" s="133"/>
      <c r="D150" s="161">
        <f>B150+1</f>
        <v>176</v>
      </c>
      <c r="F150" s="161">
        <f>D150+1</f>
        <v>177</v>
      </c>
      <c r="H150" s="161">
        <f>F150+1</f>
        <v>178</v>
      </c>
      <c r="J150" s="161">
        <f>H150+1</f>
        <v>179</v>
      </c>
      <c r="L150" s="161">
        <f>J150+1</f>
        <v>180</v>
      </c>
      <c r="N150" s="161">
        <f>L150+1</f>
        <v>181</v>
      </c>
      <c r="P150" s="161">
        <f>N150+1</f>
        <v>182</v>
      </c>
      <c r="Q150" s="155"/>
      <c r="R150" s="161">
        <f>P150+1</f>
        <v>183</v>
      </c>
      <c r="T150" s="161">
        <f>R150+1</f>
        <v>184</v>
      </c>
      <c r="U150" s="133"/>
      <c r="V150" s="200">
        <f>T150+1</f>
        <v>185</v>
      </c>
      <c r="X150" s="310"/>
      <c r="Y150" s="310"/>
      <c r="Z150" s="310"/>
      <c r="AA150" s="310"/>
      <c r="AD150" s="310"/>
      <c r="AE150" s="310"/>
      <c r="AF150" s="310"/>
      <c r="AG150" s="310"/>
      <c r="AI150" s="310"/>
      <c r="AJ150" s="310"/>
      <c r="AK150" s="310"/>
      <c r="AL150" s="310"/>
      <c r="AN150" s="310"/>
      <c r="AO150" s="310"/>
      <c r="AP150" s="310"/>
      <c r="AQ150" s="310"/>
    </row>
    <row r="151" spans="1:43">
      <c r="A151" s="132"/>
      <c r="B151" s="133"/>
      <c r="C151" s="133"/>
      <c r="D151" s="133"/>
      <c r="F151" s="133"/>
      <c r="H151" s="133"/>
      <c r="J151" s="133"/>
      <c r="L151" s="133"/>
      <c r="N151" s="133"/>
      <c r="P151" s="133"/>
      <c r="Q151" s="133"/>
      <c r="R151" s="133"/>
      <c r="T151" s="133"/>
      <c r="U151" s="133"/>
      <c r="V151" s="195"/>
      <c r="X151" s="310"/>
      <c r="Y151" s="310"/>
      <c r="Z151" s="310"/>
      <c r="AA151" s="310"/>
      <c r="AD151" s="310"/>
      <c r="AE151" s="310"/>
      <c r="AF151" s="310"/>
      <c r="AG151" s="310"/>
      <c r="AI151" s="310"/>
      <c r="AJ151" s="310"/>
      <c r="AK151" s="310"/>
      <c r="AL151" s="310"/>
      <c r="AN151" s="310"/>
      <c r="AO151" s="310"/>
      <c r="AP151" s="310"/>
      <c r="AQ151" s="310"/>
    </row>
    <row r="152" spans="1:43" ht="15" thickBot="1">
      <c r="A152" s="132"/>
      <c r="B152" s="135"/>
      <c r="C152" s="133"/>
      <c r="D152" s="133"/>
      <c r="F152" s="133"/>
      <c r="H152" s="133"/>
      <c r="J152" s="133"/>
      <c r="L152" s="133"/>
      <c r="N152" s="133"/>
      <c r="P152" s="133"/>
      <c r="Q152" s="135"/>
      <c r="R152" s="133"/>
      <c r="T152" s="133"/>
      <c r="U152" s="133"/>
      <c r="V152" s="195"/>
      <c r="X152" s="310"/>
      <c r="Y152" s="310"/>
      <c r="Z152" s="310"/>
      <c r="AA152" s="310"/>
      <c r="AD152" s="310"/>
      <c r="AE152" s="310"/>
      <c r="AF152" s="310"/>
      <c r="AG152" s="310"/>
      <c r="AI152" s="310"/>
      <c r="AJ152" s="310"/>
      <c r="AK152" s="310"/>
      <c r="AL152" s="310"/>
      <c r="AN152" s="310"/>
      <c r="AO152" s="310"/>
      <c r="AP152" s="310"/>
      <c r="AQ152" s="310"/>
    </row>
    <row r="153" spans="1:43" ht="15.5" thickTop="1" thickBot="1">
      <c r="A153" s="132"/>
      <c r="B153" s="140"/>
      <c r="C153" s="133"/>
      <c r="D153" s="140"/>
      <c r="F153" s="140"/>
      <c r="H153" s="140"/>
      <c r="J153" s="140"/>
      <c r="L153" s="140"/>
      <c r="N153" s="140"/>
      <c r="P153" s="140"/>
      <c r="Q153" s="133"/>
      <c r="R153" s="140"/>
      <c r="T153" s="140"/>
      <c r="U153" s="133"/>
      <c r="V153" s="197"/>
      <c r="X153" s="310"/>
      <c r="Y153" s="310"/>
      <c r="Z153" s="310"/>
      <c r="AA153" s="310"/>
      <c r="AD153" s="310"/>
      <c r="AE153" s="310"/>
      <c r="AF153" s="310"/>
      <c r="AG153" s="310"/>
      <c r="AI153" s="310"/>
      <c r="AJ153" s="310"/>
      <c r="AK153" s="310"/>
      <c r="AL153" s="310"/>
      <c r="AN153" s="310"/>
      <c r="AO153" s="310"/>
      <c r="AP153" s="310"/>
      <c r="AQ153" s="310"/>
    </row>
    <row r="154" spans="1:43" ht="15.5" thickTop="1" thickBot="1">
      <c r="A154" s="132"/>
      <c r="B154" s="141"/>
      <c r="C154" s="133"/>
      <c r="D154" s="141"/>
      <c r="F154" s="141"/>
      <c r="H154" s="141"/>
      <c r="J154" s="141"/>
      <c r="L154" s="141"/>
      <c r="N154" s="141"/>
      <c r="P154" s="141"/>
      <c r="Q154" s="133"/>
      <c r="R154" s="141"/>
      <c r="T154" s="141"/>
      <c r="U154" s="133"/>
      <c r="V154" s="198"/>
      <c r="X154" s="310"/>
      <c r="Y154" s="310"/>
      <c r="Z154" s="310"/>
      <c r="AA154" s="310"/>
      <c r="AD154" s="310"/>
      <c r="AE154" s="310"/>
      <c r="AF154" s="310"/>
      <c r="AG154" s="310"/>
      <c r="AI154" s="310"/>
      <c r="AJ154" s="310"/>
      <c r="AK154" s="310"/>
      <c r="AL154" s="310"/>
      <c r="AN154" s="310"/>
      <c r="AO154" s="310"/>
      <c r="AP154" s="310"/>
      <c r="AQ154" s="310"/>
    </row>
    <row r="155" spans="1:43" ht="15" thickTop="1">
      <c r="A155" s="132"/>
      <c r="B155" s="395" t="s">
        <v>455</v>
      </c>
      <c r="C155" s="191"/>
      <c r="D155" s="395" t="s">
        <v>456</v>
      </c>
      <c r="F155" s="395" t="s">
        <v>457</v>
      </c>
      <c r="H155" s="395" t="s">
        <v>458</v>
      </c>
      <c r="J155" s="395" t="s">
        <v>459</v>
      </c>
      <c r="L155" s="395" t="s">
        <v>460</v>
      </c>
      <c r="N155" s="395" t="s">
        <v>461</v>
      </c>
      <c r="P155" s="395" t="s">
        <v>462</v>
      </c>
      <c r="Q155" s="133"/>
      <c r="R155" s="397" t="s">
        <v>463</v>
      </c>
      <c r="T155" s="395" t="s">
        <v>464</v>
      </c>
      <c r="U155" s="133"/>
      <c r="V155" s="398" t="s">
        <v>465</v>
      </c>
      <c r="X155" s="310"/>
      <c r="Y155" s="310"/>
      <c r="Z155" s="310"/>
      <c r="AA155" s="310"/>
      <c r="AD155" s="310"/>
      <c r="AE155" s="310"/>
      <c r="AF155" s="310"/>
      <c r="AG155" s="310"/>
      <c r="AI155" s="310"/>
      <c r="AJ155" s="310"/>
      <c r="AK155" s="310"/>
      <c r="AL155" s="310"/>
      <c r="AN155" s="310"/>
      <c r="AO155" s="310"/>
      <c r="AP155" s="310"/>
      <c r="AQ155" s="310"/>
    </row>
    <row r="156" spans="1:43">
      <c r="A156" s="132"/>
      <c r="B156" s="148" t="s">
        <v>137</v>
      </c>
      <c r="C156" s="133"/>
      <c r="D156" s="148" t="s">
        <v>167</v>
      </c>
      <c r="F156" s="148" t="s">
        <v>115</v>
      </c>
      <c r="H156" s="148" t="s">
        <v>132</v>
      </c>
      <c r="J156" s="148" t="s">
        <v>123</v>
      </c>
      <c r="L156" s="148" t="s">
        <v>125</v>
      </c>
      <c r="N156" s="148" t="s">
        <v>115</v>
      </c>
      <c r="P156" s="148" t="s">
        <v>115</v>
      </c>
      <c r="Q156" s="133"/>
      <c r="R156" s="148" t="s">
        <v>248</v>
      </c>
      <c r="T156" s="148" t="s">
        <v>115</v>
      </c>
      <c r="U156" s="133"/>
      <c r="V156" s="199" t="s">
        <v>132</v>
      </c>
      <c r="X156" s="310">
        <f>COUNTIF($B$156:$V$156, "DA+0")</f>
        <v>0</v>
      </c>
      <c r="Y156" s="310">
        <f>COUNTIF($B$156:$V$156, "DA+3")</f>
        <v>0</v>
      </c>
      <c r="Z156" s="310">
        <f>COUNTIF($B$156:$V$156, "DA+6")</f>
        <v>0</v>
      </c>
      <c r="AA156" s="310">
        <f>COUNTIF($B$156:$V$156, "DA+9")</f>
        <v>1</v>
      </c>
      <c r="AD156" s="310">
        <f>COUNTIF($B$156:$V$156, "DB+0")</f>
        <v>0</v>
      </c>
      <c r="AE156" s="310">
        <f>COUNTIF($B$156:$V$156, "DB+3")</f>
        <v>0</v>
      </c>
      <c r="AF156" s="310">
        <f>COUNTIF($B$156:$V$156, "DB+6")</f>
        <v>1</v>
      </c>
      <c r="AG156" s="310">
        <f>COUNTIF($B$156:$V$156, "DB+9")</f>
        <v>2</v>
      </c>
      <c r="AI156" s="310">
        <f>COUNTIF($B$156:$V$156, "DC+0")</f>
        <v>4</v>
      </c>
      <c r="AJ156" s="310">
        <f>COUNTIF($B$156:$V$156, "DC+3")</f>
        <v>1</v>
      </c>
      <c r="AK156" s="310">
        <f>COUNTIF($B$156:$V$156, "DC+6")</f>
        <v>0</v>
      </c>
      <c r="AL156" s="310">
        <f>COUNTIF($B$156:$V$156, "DC+9")</f>
        <v>1</v>
      </c>
      <c r="AN156" s="310">
        <f>COUNTIF($B$156:$V$156, "DD+0")</f>
        <v>1</v>
      </c>
      <c r="AO156" s="310">
        <f>COUNTIF($B$156:$V$156, "DD+3")</f>
        <v>0</v>
      </c>
      <c r="AP156" s="310">
        <f>COUNTIF($B$156:$V$156, "DD+6")</f>
        <v>0</v>
      </c>
      <c r="AQ156" s="310">
        <f>COUNTIF($B$156:$V$156, "DD+9")</f>
        <v>0</v>
      </c>
    </row>
    <row r="157" spans="1:43">
      <c r="A157" s="132"/>
      <c r="B157" s="148"/>
      <c r="C157" s="133"/>
      <c r="D157" s="201"/>
      <c r="F157" s="201"/>
      <c r="H157" s="201" t="s">
        <v>466</v>
      </c>
      <c r="J157" s="201" t="s">
        <v>466</v>
      </c>
      <c r="L157" s="148"/>
      <c r="N157" s="148"/>
      <c r="P157" s="148"/>
      <c r="Q157" s="133"/>
      <c r="R157" s="148"/>
      <c r="T157" s="201" t="s">
        <v>454</v>
      </c>
      <c r="U157" s="133"/>
      <c r="V157" s="199"/>
      <c r="X157" s="310"/>
      <c r="Y157" s="310"/>
      <c r="Z157" s="310"/>
      <c r="AA157" s="310"/>
      <c r="AD157" s="310"/>
      <c r="AE157" s="310"/>
      <c r="AF157" s="310"/>
      <c r="AG157" s="310"/>
      <c r="AI157" s="310"/>
      <c r="AJ157" s="310"/>
      <c r="AK157" s="310"/>
      <c r="AL157" s="310"/>
      <c r="AN157" s="310"/>
      <c r="AO157" s="310"/>
      <c r="AP157" s="310"/>
      <c r="AQ157" s="310"/>
    </row>
    <row r="158" spans="1:43">
      <c r="A158" s="132"/>
      <c r="B158" s="161">
        <f>V150+1</f>
        <v>186</v>
      </c>
      <c r="C158" s="133"/>
      <c r="D158" s="161">
        <f>B158+1</f>
        <v>187</v>
      </c>
      <c r="F158" s="161">
        <f>D158+1</f>
        <v>188</v>
      </c>
      <c r="H158" s="161">
        <f>F158+1</f>
        <v>189</v>
      </c>
      <c r="J158" s="161">
        <f>H158+1</f>
        <v>190</v>
      </c>
      <c r="L158" s="161">
        <f>J158+1</f>
        <v>191</v>
      </c>
      <c r="N158" s="161">
        <f>L158+1</f>
        <v>192</v>
      </c>
      <c r="P158" s="161">
        <f>N158+1</f>
        <v>193</v>
      </c>
      <c r="Q158" s="155"/>
      <c r="R158" s="161">
        <f>P158+1</f>
        <v>194</v>
      </c>
      <c r="T158" s="161">
        <f>R158+1</f>
        <v>195</v>
      </c>
      <c r="U158" s="133"/>
      <c r="V158" s="200">
        <f>T158+1</f>
        <v>196</v>
      </c>
      <c r="X158" s="310"/>
      <c r="Y158" s="310"/>
      <c r="Z158" s="310"/>
      <c r="AA158" s="310"/>
      <c r="AD158" s="310"/>
      <c r="AE158" s="310"/>
      <c r="AF158" s="310"/>
      <c r="AG158" s="310"/>
      <c r="AI158" s="310"/>
      <c r="AJ158" s="310"/>
      <c r="AK158" s="310"/>
      <c r="AL158" s="310"/>
      <c r="AN158" s="310"/>
      <c r="AO158" s="310"/>
      <c r="AP158" s="310"/>
      <c r="AQ158" s="310"/>
    </row>
    <row r="159" spans="1:43">
      <c r="A159" s="132"/>
      <c r="B159" s="133"/>
      <c r="C159" s="133"/>
      <c r="D159" s="133"/>
      <c r="F159" s="133"/>
      <c r="H159" s="133"/>
      <c r="J159" s="133"/>
      <c r="L159" s="133"/>
      <c r="N159" s="133"/>
      <c r="P159" s="133"/>
      <c r="Q159" s="133"/>
      <c r="R159" s="133"/>
      <c r="T159" s="133"/>
      <c r="U159" s="133"/>
      <c r="V159" s="195"/>
      <c r="X159" s="310"/>
      <c r="Y159" s="310"/>
      <c r="Z159" s="310"/>
      <c r="AA159" s="310"/>
      <c r="AD159" s="310"/>
      <c r="AE159" s="310"/>
      <c r="AF159" s="310"/>
      <c r="AG159" s="310"/>
      <c r="AI159" s="310"/>
      <c r="AJ159" s="310"/>
      <c r="AK159" s="310"/>
      <c r="AL159" s="310"/>
      <c r="AN159" s="310"/>
      <c r="AO159" s="310"/>
      <c r="AP159" s="310"/>
      <c r="AQ159" s="310"/>
    </row>
    <row r="160" spans="1:43" ht="15" thickBot="1">
      <c r="A160" s="132"/>
      <c r="B160" s="135"/>
      <c r="C160" s="133"/>
      <c r="D160" s="133"/>
      <c r="F160" s="133"/>
      <c r="H160" s="133"/>
      <c r="J160" s="133"/>
      <c r="L160" s="133"/>
      <c r="N160" s="133"/>
      <c r="P160" s="133"/>
      <c r="Q160" s="135"/>
      <c r="R160" s="133"/>
      <c r="T160" s="133"/>
      <c r="U160" s="133"/>
      <c r="V160" s="195"/>
      <c r="X160" s="310"/>
      <c r="Y160" s="310"/>
      <c r="Z160" s="310"/>
      <c r="AA160" s="310"/>
      <c r="AD160" s="310"/>
      <c r="AE160" s="310"/>
      <c r="AF160" s="310"/>
      <c r="AG160" s="310"/>
      <c r="AI160" s="310"/>
      <c r="AJ160" s="310"/>
      <c r="AK160" s="310"/>
      <c r="AL160" s="310"/>
      <c r="AN160" s="310"/>
      <c r="AO160" s="310"/>
      <c r="AP160" s="310"/>
      <c r="AQ160" s="310"/>
    </row>
    <row r="161" spans="1:43" ht="15.5" thickTop="1" thickBot="1">
      <c r="A161" s="132"/>
      <c r="B161" s="140"/>
      <c r="C161" s="133"/>
      <c r="D161" s="140"/>
      <c r="F161" s="140"/>
      <c r="H161" s="140"/>
      <c r="J161" s="140"/>
      <c r="L161" s="140"/>
      <c r="N161" s="140"/>
      <c r="P161" s="140"/>
      <c r="Q161" s="133"/>
      <c r="R161" s="140"/>
      <c r="T161" s="140"/>
      <c r="U161" s="133"/>
      <c r="V161" s="197"/>
      <c r="X161" s="310"/>
      <c r="Y161" s="310"/>
      <c r="Z161" s="310"/>
      <c r="AA161" s="310"/>
      <c r="AD161" s="310"/>
      <c r="AE161" s="310"/>
      <c r="AF161" s="310"/>
      <c r="AG161" s="310"/>
      <c r="AI161" s="310"/>
      <c r="AJ161" s="310"/>
      <c r="AK161" s="310"/>
      <c r="AL161" s="310"/>
      <c r="AN161" s="310"/>
      <c r="AO161" s="310"/>
      <c r="AP161" s="310"/>
      <c r="AQ161" s="310"/>
    </row>
    <row r="162" spans="1:43" ht="15.5" thickTop="1" thickBot="1">
      <c r="A162" s="132"/>
      <c r="B162" s="141"/>
      <c r="C162" s="133"/>
      <c r="D162" s="141"/>
      <c r="F162" s="141"/>
      <c r="H162" s="141"/>
      <c r="J162" s="141"/>
      <c r="L162" s="141"/>
      <c r="N162" s="141"/>
      <c r="P162" s="141"/>
      <c r="Q162" s="133"/>
      <c r="R162" s="141"/>
      <c r="T162" s="141"/>
      <c r="U162" s="133"/>
      <c r="V162" s="198"/>
      <c r="X162" s="310"/>
      <c r="Y162" s="310"/>
      <c r="Z162" s="310"/>
      <c r="AA162" s="310"/>
      <c r="AD162" s="310"/>
      <c r="AE162" s="310"/>
      <c r="AF162" s="310"/>
      <c r="AG162" s="310"/>
      <c r="AI162" s="310"/>
      <c r="AJ162" s="310"/>
      <c r="AK162" s="310"/>
      <c r="AL162" s="310"/>
      <c r="AN162" s="310"/>
      <c r="AO162" s="310"/>
      <c r="AP162" s="310"/>
      <c r="AQ162" s="310"/>
    </row>
    <row r="163" spans="1:43" ht="15" thickTop="1">
      <c r="A163" s="132"/>
      <c r="B163" s="395" t="s">
        <v>467</v>
      </c>
      <c r="C163" s="191"/>
      <c r="D163" s="397" t="s">
        <v>468</v>
      </c>
      <c r="F163" s="395" t="s">
        <v>469</v>
      </c>
      <c r="H163" s="397" t="s">
        <v>470</v>
      </c>
      <c r="J163" s="397" t="s">
        <v>471</v>
      </c>
      <c r="L163" s="395" t="s">
        <v>472</v>
      </c>
      <c r="N163" s="395" t="s">
        <v>473</v>
      </c>
      <c r="P163" s="395" t="s">
        <v>474</v>
      </c>
      <c r="Q163" s="133"/>
      <c r="R163" s="395" t="s">
        <v>475</v>
      </c>
      <c r="T163" s="395" t="s">
        <v>476</v>
      </c>
      <c r="U163" s="133"/>
      <c r="V163" s="398" t="s">
        <v>477</v>
      </c>
      <c r="X163" s="310"/>
      <c r="Y163" s="310"/>
      <c r="Z163" s="310"/>
      <c r="AA163" s="310"/>
      <c r="AD163" s="310"/>
      <c r="AE163" s="310"/>
      <c r="AF163" s="310"/>
      <c r="AG163" s="310"/>
      <c r="AI163" s="310"/>
      <c r="AJ163" s="310"/>
      <c r="AK163" s="310"/>
      <c r="AL163" s="310"/>
      <c r="AN163" s="310"/>
      <c r="AO163" s="310"/>
      <c r="AP163" s="310"/>
      <c r="AQ163" s="310"/>
    </row>
    <row r="164" spans="1:43">
      <c r="A164" s="132"/>
      <c r="B164" s="148" t="s">
        <v>125</v>
      </c>
      <c r="C164" s="133"/>
      <c r="D164" s="148" t="s">
        <v>182</v>
      </c>
      <c r="F164" s="148" t="s">
        <v>125</v>
      </c>
      <c r="H164" s="148" t="s">
        <v>185</v>
      </c>
      <c r="J164" s="148" t="s">
        <v>132</v>
      </c>
      <c r="L164" s="148" t="s">
        <v>137</v>
      </c>
      <c r="N164" s="148" t="s">
        <v>143</v>
      </c>
      <c r="P164" s="148" t="s">
        <v>185</v>
      </c>
      <c r="Q164" s="133"/>
      <c r="R164" s="148" t="s">
        <v>185</v>
      </c>
      <c r="T164" s="148" t="s">
        <v>115</v>
      </c>
      <c r="U164" s="133"/>
      <c r="V164" s="199" t="s">
        <v>242</v>
      </c>
      <c r="X164" s="310">
        <f>COUNTIF($B$164:$V$164, "DA+0")</f>
        <v>1</v>
      </c>
      <c r="Y164" s="310">
        <f>COUNTIF($B$164:$V$164, "DA+3")</f>
        <v>3</v>
      </c>
      <c r="Z164" s="310">
        <f>COUNTIF($B$164:$V$164, "DA+6")</f>
        <v>1</v>
      </c>
      <c r="AA164" s="310">
        <f>COUNTIF($B$164:$V$164, "DA+9")</f>
        <v>0</v>
      </c>
      <c r="AD164" s="310">
        <f>COUNTIF($B$164:$V$164, "DB+0")</f>
        <v>0</v>
      </c>
      <c r="AE164" s="310">
        <f>COUNTIF($B$164:$V$164, "DB+3")</f>
        <v>0</v>
      </c>
      <c r="AF164" s="310">
        <f>COUNTIF($B$164:$V$164, "DB+6")</f>
        <v>0</v>
      </c>
      <c r="AG164" s="310">
        <f>COUNTIF($B$164:$V$164, "DB+9")</f>
        <v>1</v>
      </c>
      <c r="AI164" s="310">
        <f>COUNTIF($B$164:$V$164, "DC+0")</f>
        <v>1</v>
      </c>
      <c r="AJ164" s="310">
        <f>COUNTIF($B$164:$V$164, "DC+3")</f>
        <v>1</v>
      </c>
      <c r="AK164" s="310">
        <f>COUNTIF($B$164:$V$164, "DC+6")</f>
        <v>0</v>
      </c>
      <c r="AL164" s="310">
        <f>COUNTIF($B$164:$V$164, "DC+9")</f>
        <v>0</v>
      </c>
      <c r="AN164" s="310">
        <f>COUNTIF($B$164:$V$164, "DD+0")</f>
        <v>2</v>
      </c>
      <c r="AO164" s="310">
        <f>COUNTIF($B$164:$V$164, "DD+3")</f>
        <v>1</v>
      </c>
      <c r="AP164" s="310">
        <f>COUNTIF($B$164:$V$164, "DD+6")</f>
        <v>0</v>
      </c>
      <c r="AQ164" s="310">
        <f>COUNTIF($B$164:$V$164, "DD+9")</f>
        <v>0</v>
      </c>
    </row>
    <row r="165" spans="1:43">
      <c r="A165" s="132"/>
      <c r="B165" s="148"/>
      <c r="C165" s="133"/>
      <c r="D165" s="201" t="s">
        <v>366</v>
      </c>
      <c r="F165" s="201" t="s">
        <v>220</v>
      </c>
      <c r="H165" s="148"/>
      <c r="J165" s="148"/>
      <c r="L165" s="148"/>
      <c r="N165" s="148"/>
      <c r="P165" s="148"/>
      <c r="Q165" s="133"/>
      <c r="R165" s="148"/>
      <c r="T165" s="148"/>
      <c r="U165" s="133"/>
      <c r="V165" s="199"/>
      <c r="X165" s="310"/>
      <c r="Y165" s="310"/>
      <c r="Z165" s="310"/>
      <c r="AA165" s="310"/>
      <c r="AD165" s="310"/>
      <c r="AE165" s="310"/>
      <c r="AF165" s="310"/>
      <c r="AG165" s="310"/>
      <c r="AI165" s="310"/>
      <c r="AJ165" s="310"/>
      <c r="AK165" s="310"/>
      <c r="AL165" s="310"/>
      <c r="AN165" s="310"/>
      <c r="AO165" s="310"/>
      <c r="AP165" s="310"/>
      <c r="AQ165" s="310"/>
    </row>
    <row r="166" spans="1:43">
      <c r="A166" s="132"/>
      <c r="B166" s="161">
        <f>V158+1</f>
        <v>197</v>
      </c>
      <c r="C166" s="133"/>
      <c r="D166" s="161">
        <f>B166+1</f>
        <v>198</v>
      </c>
      <c r="F166" s="161">
        <f>D166+1</f>
        <v>199</v>
      </c>
      <c r="H166" s="161">
        <f>F166+1</f>
        <v>200</v>
      </c>
      <c r="J166" s="161">
        <f>H166+1</f>
        <v>201</v>
      </c>
      <c r="L166" s="161">
        <f>J166+1</f>
        <v>202</v>
      </c>
      <c r="N166" s="161">
        <f>L166+1</f>
        <v>203</v>
      </c>
      <c r="P166" s="161">
        <f>N166+1</f>
        <v>204</v>
      </c>
      <c r="Q166" s="155"/>
      <c r="R166" s="161">
        <f>P166+1</f>
        <v>205</v>
      </c>
      <c r="T166" s="161">
        <f>R166+1</f>
        <v>206</v>
      </c>
      <c r="U166" s="133"/>
      <c r="V166" s="161">
        <f>T166+1</f>
        <v>207</v>
      </c>
      <c r="X166" s="310"/>
      <c r="Y166" s="310"/>
      <c r="Z166" s="310"/>
      <c r="AA166" s="310"/>
      <c r="AD166" s="310"/>
      <c r="AE166" s="310"/>
      <c r="AF166" s="310"/>
      <c r="AG166" s="310"/>
      <c r="AI166" s="310"/>
      <c r="AJ166" s="310"/>
      <c r="AK166" s="310"/>
      <c r="AL166" s="310"/>
      <c r="AN166" s="310"/>
      <c r="AO166" s="310"/>
      <c r="AP166" s="310"/>
      <c r="AQ166" s="310"/>
    </row>
    <row r="167" spans="1:43">
      <c r="A167" s="132"/>
      <c r="B167" s="133"/>
      <c r="C167" s="133"/>
      <c r="D167" s="133"/>
      <c r="F167" s="133"/>
      <c r="H167" s="133"/>
      <c r="J167" s="133"/>
      <c r="L167" s="133"/>
      <c r="N167" s="133"/>
      <c r="P167" s="133"/>
      <c r="Q167" s="133"/>
      <c r="R167" s="133"/>
      <c r="T167" s="133"/>
      <c r="U167" s="133"/>
      <c r="V167" s="195"/>
      <c r="X167" s="310"/>
      <c r="Y167" s="310"/>
      <c r="Z167" s="310"/>
      <c r="AA167" s="310"/>
      <c r="AD167" s="310"/>
      <c r="AE167" s="310"/>
      <c r="AF167" s="310"/>
      <c r="AG167" s="310"/>
      <c r="AI167" s="310"/>
      <c r="AJ167" s="310"/>
      <c r="AK167" s="310"/>
      <c r="AL167" s="310"/>
      <c r="AN167" s="310"/>
      <c r="AO167" s="310"/>
      <c r="AP167" s="310"/>
      <c r="AQ167" s="310"/>
    </row>
    <row r="168" spans="1:43" ht="15" thickBot="1">
      <c r="A168" s="132"/>
      <c r="B168" s="135"/>
      <c r="C168" s="133"/>
      <c r="D168" s="135"/>
      <c r="F168" s="135"/>
      <c r="H168" s="135"/>
      <c r="J168" s="135"/>
      <c r="L168" s="135"/>
      <c r="N168" s="135"/>
      <c r="P168" s="135"/>
      <c r="Q168" s="135"/>
      <c r="R168" s="135"/>
      <c r="T168" s="135"/>
      <c r="U168" s="133"/>
      <c r="V168" s="196"/>
      <c r="X168" s="310"/>
      <c r="Y168" s="310"/>
      <c r="Z168" s="310"/>
      <c r="AA168" s="310"/>
      <c r="AD168" s="310"/>
      <c r="AE168" s="310"/>
      <c r="AF168" s="310"/>
      <c r="AG168" s="310"/>
      <c r="AI168" s="310"/>
      <c r="AJ168" s="310"/>
      <c r="AK168" s="310"/>
      <c r="AL168" s="310"/>
      <c r="AN168" s="310"/>
      <c r="AO168" s="310"/>
      <c r="AP168" s="310"/>
      <c r="AQ168" s="310"/>
    </row>
    <row r="169" spans="1:43" ht="15.5" thickTop="1" thickBot="1">
      <c r="A169" s="132"/>
      <c r="B169" s="140"/>
      <c r="C169" s="133"/>
      <c r="D169" s="140"/>
      <c r="F169" s="140"/>
      <c r="H169" s="140"/>
      <c r="J169" s="140"/>
      <c r="L169" s="140"/>
      <c r="N169" s="140"/>
      <c r="P169" s="140"/>
      <c r="Q169" s="133"/>
      <c r="R169" s="140"/>
      <c r="T169" s="140"/>
      <c r="U169" s="133"/>
      <c r="V169" s="197"/>
      <c r="X169" s="310"/>
      <c r="Y169" s="310"/>
      <c r="Z169" s="310"/>
      <c r="AA169" s="310"/>
      <c r="AD169" s="310"/>
      <c r="AE169" s="310"/>
      <c r="AF169" s="310"/>
      <c r="AG169" s="310"/>
      <c r="AI169" s="310"/>
      <c r="AJ169" s="310"/>
      <c r="AK169" s="310"/>
      <c r="AL169" s="310"/>
      <c r="AN169" s="310"/>
      <c r="AO169" s="310"/>
      <c r="AP169" s="310"/>
      <c r="AQ169" s="310"/>
    </row>
    <row r="170" spans="1:43" ht="15.5" thickTop="1" thickBot="1">
      <c r="A170" s="132"/>
      <c r="B170" s="141"/>
      <c r="C170" s="133"/>
      <c r="D170" s="141"/>
      <c r="F170" s="141"/>
      <c r="H170" s="141"/>
      <c r="J170" s="141"/>
      <c r="L170" s="141"/>
      <c r="N170" s="141"/>
      <c r="P170" s="141"/>
      <c r="Q170" s="133"/>
      <c r="R170" s="141"/>
      <c r="T170" s="141"/>
      <c r="U170" s="133"/>
      <c r="V170" s="198"/>
      <c r="X170" s="310"/>
      <c r="Y170" s="310"/>
      <c r="Z170" s="310"/>
      <c r="AA170" s="310"/>
      <c r="AD170" s="310"/>
      <c r="AE170" s="310"/>
      <c r="AF170" s="310"/>
      <c r="AG170" s="310"/>
      <c r="AI170" s="310"/>
      <c r="AJ170" s="310"/>
      <c r="AK170" s="310"/>
      <c r="AL170" s="310"/>
      <c r="AN170" s="310"/>
      <c r="AO170" s="310"/>
      <c r="AP170" s="310"/>
      <c r="AQ170" s="310"/>
    </row>
    <row r="171" spans="1:43" ht="15" thickTop="1">
      <c r="A171" s="132"/>
      <c r="B171" s="395" t="s">
        <v>478</v>
      </c>
      <c r="C171" s="191"/>
      <c r="D171" s="395" t="s">
        <v>863</v>
      </c>
      <c r="F171" s="397" t="s">
        <v>734</v>
      </c>
      <c r="H171" s="397" t="s">
        <v>735</v>
      </c>
      <c r="J171" s="397" t="s">
        <v>864</v>
      </c>
      <c r="L171" s="397" t="s">
        <v>865</v>
      </c>
      <c r="N171" s="397" t="s">
        <v>866</v>
      </c>
      <c r="P171" s="397" t="s">
        <v>739</v>
      </c>
      <c r="Q171" s="133"/>
      <c r="R171" s="397" t="s">
        <v>740</v>
      </c>
      <c r="T171" s="397" t="s">
        <v>741</v>
      </c>
      <c r="U171" s="133"/>
      <c r="V171" s="398" t="s">
        <v>177</v>
      </c>
      <c r="X171" s="310"/>
      <c r="Y171" s="310"/>
      <c r="Z171" s="310"/>
      <c r="AA171" s="310"/>
      <c r="AD171" s="310"/>
      <c r="AE171" s="310"/>
      <c r="AF171" s="310"/>
      <c r="AG171" s="310"/>
      <c r="AI171" s="310"/>
      <c r="AJ171" s="310"/>
      <c r="AK171" s="310"/>
      <c r="AL171" s="310"/>
      <c r="AN171" s="310"/>
      <c r="AO171" s="310"/>
      <c r="AP171" s="310"/>
      <c r="AQ171" s="310"/>
    </row>
    <row r="172" spans="1:43">
      <c r="A172" s="132"/>
      <c r="B172" s="148" t="s">
        <v>125</v>
      </c>
      <c r="C172" s="133"/>
      <c r="D172" s="148" t="s">
        <v>128</v>
      </c>
      <c r="F172" s="148" t="s">
        <v>185</v>
      </c>
      <c r="H172" s="148" t="s">
        <v>185</v>
      </c>
      <c r="J172" s="148" t="s">
        <v>115</v>
      </c>
      <c r="L172" s="148" t="s">
        <v>137</v>
      </c>
      <c r="N172" s="148" t="s">
        <v>137</v>
      </c>
      <c r="P172" s="148" t="s">
        <v>182</v>
      </c>
      <c r="Q172" s="133"/>
      <c r="R172" s="148" t="s">
        <v>182</v>
      </c>
      <c r="T172" s="148" t="s">
        <v>182</v>
      </c>
      <c r="U172" s="133"/>
      <c r="V172" s="199" t="s">
        <v>115</v>
      </c>
      <c r="X172" s="310">
        <f>COUNTIF($B$172:$V$172, "DA+0")</f>
        <v>3</v>
      </c>
      <c r="Y172" s="310">
        <f>COUNTIF($B$172:$V$172, "DA+3")</f>
        <v>2</v>
      </c>
      <c r="Z172" s="310">
        <f>COUNTIF($B$172:$V$172, "DA+6")</f>
        <v>0</v>
      </c>
      <c r="AA172" s="310">
        <f>COUNTIF($B$172:$V$172, "DA+9")</f>
        <v>0</v>
      </c>
      <c r="AD172" s="310">
        <f>COUNTIF($B$172:$V$172, "DB+0")</f>
        <v>0</v>
      </c>
      <c r="AE172" s="310">
        <f>COUNTIF($B$172:$V$172, "DB+3")</f>
        <v>0</v>
      </c>
      <c r="AF172" s="310">
        <f>COUNTIF($B$172:$V$172, "DB+6")</f>
        <v>0</v>
      </c>
      <c r="AG172" s="310">
        <f>COUNTIF($B$172:$V$172, "DB+9")</f>
        <v>0</v>
      </c>
      <c r="AI172" s="310">
        <f>COUNTIF($B$172:$V$172, "DC+0")</f>
        <v>2</v>
      </c>
      <c r="AJ172" s="310">
        <f>COUNTIF($B$172:$V$172, "DC+3")</f>
        <v>2</v>
      </c>
      <c r="AK172" s="310">
        <f>COUNTIF($B$172:$V$172, "DC+6")</f>
        <v>1</v>
      </c>
      <c r="AL172" s="310">
        <f>COUNTIF($B$172:$V$172, "DC+9")</f>
        <v>0</v>
      </c>
      <c r="AN172" s="310">
        <f>COUNTIF($B$172:$V$172, "DD+0")</f>
        <v>1</v>
      </c>
      <c r="AO172" s="310">
        <f>COUNTIF($B$172:$V$172, "DD+3")</f>
        <v>0</v>
      </c>
      <c r="AP172" s="310">
        <f>COUNTIF($B$172:$V$172, "DD+6")</f>
        <v>0</v>
      </c>
      <c r="AQ172" s="310">
        <f>COUNTIF($B$172:$V$172, "DD+9")</f>
        <v>0</v>
      </c>
    </row>
    <row r="173" spans="1:43">
      <c r="A173" s="132"/>
      <c r="B173" s="161">
        <f>V166+1</f>
        <v>208</v>
      </c>
      <c r="C173" s="133"/>
      <c r="D173" s="161">
        <f>B173+1</f>
        <v>209</v>
      </c>
      <c r="F173" s="161">
        <f>D173+1</f>
        <v>210</v>
      </c>
      <c r="H173" s="161">
        <f>F173+1</f>
        <v>211</v>
      </c>
      <c r="J173" s="161">
        <f>H173+1</f>
        <v>212</v>
      </c>
      <c r="L173" s="161">
        <f>J173+1</f>
        <v>213</v>
      </c>
      <c r="N173" s="161">
        <f>L173+1</f>
        <v>214</v>
      </c>
      <c r="P173" s="161">
        <f>N173+1</f>
        <v>215</v>
      </c>
      <c r="Q173" s="133"/>
      <c r="R173" s="161">
        <f>P173+1</f>
        <v>216</v>
      </c>
      <c r="T173" s="161">
        <f>R173+1</f>
        <v>217</v>
      </c>
      <c r="U173" s="133"/>
      <c r="V173" s="161">
        <f>T173+1</f>
        <v>218</v>
      </c>
      <c r="X173" s="310"/>
      <c r="Y173" s="310"/>
      <c r="Z173" s="310"/>
      <c r="AA173" s="310"/>
      <c r="AD173" s="310"/>
      <c r="AE173" s="310"/>
      <c r="AF173" s="310"/>
      <c r="AG173" s="310"/>
      <c r="AI173" s="310"/>
      <c r="AJ173" s="310"/>
      <c r="AK173" s="310"/>
      <c r="AL173" s="310"/>
      <c r="AN173" s="310"/>
      <c r="AO173" s="310"/>
      <c r="AP173" s="310"/>
      <c r="AQ173" s="310"/>
    </row>
    <row r="174" spans="1:43">
      <c r="A174" s="132"/>
      <c r="B174" s="148"/>
      <c r="C174" s="133"/>
      <c r="D174" s="148"/>
      <c r="F174" s="148"/>
      <c r="H174" s="148"/>
      <c r="J174" s="148"/>
      <c r="L174" s="148"/>
      <c r="N174" s="148"/>
      <c r="P174" s="148"/>
      <c r="Q174" s="133"/>
      <c r="R174" s="148"/>
      <c r="T174" s="148"/>
      <c r="U174" s="133"/>
      <c r="V174" s="199"/>
      <c r="X174" s="310"/>
      <c r="Y174" s="310"/>
      <c r="Z174" s="310"/>
      <c r="AA174" s="310"/>
      <c r="AD174" s="310"/>
      <c r="AE174" s="310"/>
      <c r="AF174" s="310"/>
      <c r="AG174" s="310"/>
      <c r="AI174" s="310"/>
      <c r="AJ174" s="310"/>
      <c r="AK174" s="310"/>
      <c r="AL174" s="310"/>
      <c r="AN174" s="310"/>
      <c r="AO174" s="310"/>
      <c r="AP174" s="310"/>
      <c r="AQ174" s="310"/>
    </row>
    <row r="175" spans="1:43" ht="15" thickBot="1">
      <c r="A175" s="132"/>
      <c r="B175" s="135"/>
      <c r="C175" s="133"/>
      <c r="D175" s="135"/>
      <c r="F175" s="135"/>
      <c r="H175" s="135"/>
      <c r="J175" s="135"/>
      <c r="L175" s="135"/>
      <c r="N175" s="135"/>
      <c r="P175" s="135"/>
      <c r="Q175" s="133"/>
      <c r="R175" s="135"/>
      <c r="T175" s="135"/>
      <c r="U175" s="133"/>
      <c r="V175" s="135"/>
      <c r="X175" s="310"/>
      <c r="Y175" s="310"/>
      <c r="Z175" s="310"/>
      <c r="AA175" s="310"/>
      <c r="AD175" s="310"/>
      <c r="AE175" s="310"/>
      <c r="AF175" s="310"/>
      <c r="AG175" s="310"/>
      <c r="AI175" s="310"/>
      <c r="AJ175" s="310"/>
      <c r="AK175" s="310"/>
      <c r="AL175" s="310"/>
      <c r="AN175" s="310"/>
      <c r="AO175" s="310"/>
      <c r="AP175" s="310"/>
      <c r="AQ175" s="310"/>
    </row>
    <row r="176" spans="1:43" ht="15.5" thickTop="1" thickBot="1">
      <c r="A176" s="132"/>
      <c r="B176" s="202"/>
      <c r="C176" s="133"/>
      <c r="D176" s="202"/>
      <c r="F176" s="202"/>
      <c r="H176" s="202"/>
      <c r="J176" s="202"/>
      <c r="L176" s="202"/>
      <c r="N176" s="202"/>
      <c r="P176" s="202"/>
      <c r="Q176" s="133"/>
      <c r="R176" s="202"/>
      <c r="T176" s="140"/>
      <c r="U176" s="133"/>
      <c r="V176" s="140"/>
      <c r="X176" s="310"/>
      <c r="Y176" s="310"/>
      <c r="Z176" s="310"/>
      <c r="AA176" s="310"/>
      <c r="AD176" s="310"/>
      <c r="AE176" s="310"/>
      <c r="AF176" s="310"/>
      <c r="AG176" s="310"/>
      <c r="AI176" s="310"/>
      <c r="AJ176" s="310"/>
      <c r="AK176" s="310"/>
      <c r="AL176" s="310"/>
      <c r="AN176" s="310"/>
      <c r="AO176" s="310"/>
      <c r="AP176" s="310"/>
      <c r="AQ176" s="310"/>
    </row>
    <row r="177" spans="1:44" ht="15.5" thickTop="1" thickBot="1">
      <c r="A177" s="132"/>
      <c r="B177" s="203"/>
      <c r="C177" s="133"/>
      <c r="D177" s="203"/>
      <c r="F177" s="203"/>
      <c r="H177" s="203"/>
      <c r="J177" s="203"/>
      <c r="L177" s="203"/>
      <c r="N177" s="203"/>
      <c r="P177" s="203"/>
      <c r="Q177" s="133"/>
      <c r="R177" s="203"/>
      <c r="T177" s="141"/>
      <c r="U177" s="133"/>
      <c r="V177" s="141"/>
      <c r="X177" s="310">
        <f>COUNTIF($B$179:$V$179, "DA+0")</f>
        <v>0</v>
      </c>
      <c r="Y177" s="310">
        <f>COUNTIF($B$179:$V$179, "DA+3")</f>
        <v>2</v>
      </c>
      <c r="Z177" s="310">
        <f>COUNTIF($B$179:$V$179, "DA+6")</f>
        <v>3</v>
      </c>
      <c r="AA177" s="310">
        <f>COUNTIF($B$179:$V$179, "DA+9")</f>
        <v>2</v>
      </c>
      <c r="AD177" s="310">
        <f>COUNTIF($B$179:$V$179, "DB+0")</f>
        <v>0</v>
      </c>
      <c r="AE177" s="310">
        <f>COUNTIF($B$179:$V$179, "DB+3")</f>
        <v>0</v>
      </c>
      <c r="AF177" s="310">
        <f>COUNTIF($B$179:$V$179, "DB+6")</f>
        <v>0</v>
      </c>
      <c r="AG177" s="310">
        <f>COUNTIF($B$179:$V$179, "DB+9")</f>
        <v>0</v>
      </c>
      <c r="AI177" s="310">
        <f>COUNTIF($B$179:$V$179, "DC+0")</f>
        <v>1</v>
      </c>
      <c r="AJ177" s="310">
        <f>COUNTIF($B$179:$V$179, "DC+3")</f>
        <v>1</v>
      </c>
      <c r="AK177" s="310">
        <f>COUNTIF($B$179:$V$179, "DC+6")</f>
        <v>1</v>
      </c>
      <c r="AL177" s="310">
        <f>COUNTIF($B$179:$V$179, "DC+9")</f>
        <v>0</v>
      </c>
      <c r="AN177" s="310">
        <f>COUNTIF($B$179:$V$179, "DD+0")</f>
        <v>0</v>
      </c>
      <c r="AO177" s="310">
        <f>COUNTIF($B$179:$V$179, "DD+3")</f>
        <v>0</v>
      </c>
      <c r="AP177" s="310">
        <f>COUNTIF($B$179:$V$179, "DD+6")</f>
        <v>1</v>
      </c>
      <c r="AQ177" s="310">
        <f>COUNTIF($B$179:$V$179, "DD+9")</f>
        <v>0</v>
      </c>
    </row>
    <row r="178" spans="1:44">
      <c r="A178" s="132"/>
      <c r="B178" s="397" t="s">
        <v>743</v>
      </c>
      <c r="C178" s="133"/>
      <c r="D178" s="397" t="s">
        <v>744</v>
      </c>
      <c r="F178" s="397" t="s">
        <v>745</v>
      </c>
      <c r="H178" s="397" t="s">
        <v>867</v>
      </c>
      <c r="J178" s="397" t="s">
        <v>747</v>
      </c>
      <c r="L178" s="397" t="s">
        <v>868</v>
      </c>
      <c r="N178" s="397" t="s">
        <v>749</v>
      </c>
      <c r="P178" s="397" t="s">
        <v>869</v>
      </c>
      <c r="Q178" s="133"/>
      <c r="R178" s="397" t="s">
        <v>751</v>
      </c>
      <c r="T178" s="397" t="s">
        <v>752</v>
      </c>
      <c r="U178" s="133"/>
      <c r="V178" s="397" t="s">
        <v>870</v>
      </c>
      <c r="X178" s="310"/>
      <c r="Y178" s="310"/>
      <c r="Z178" s="310"/>
      <c r="AA178" s="310"/>
      <c r="AD178" s="310"/>
      <c r="AE178" s="310"/>
      <c r="AF178" s="310"/>
      <c r="AG178" s="310"/>
      <c r="AI178" s="310"/>
      <c r="AJ178" s="310"/>
      <c r="AK178" s="310"/>
      <c r="AL178" s="310"/>
      <c r="AN178" s="310"/>
      <c r="AO178" s="310"/>
      <c r="AP178" s="310"/>
      <c r="AQ178" s="310"/>
    </row>
    <row r="179" spans="1:44">
      <c r="A179" s="132"/>
      <c r="B179" s="148" t="s">
        <v>242</v>
      </c>
      <c r="C179" s="133"/>
      <c r="D179" s="148" t="s">
        <v>185</v>
      </c>
      <c r="F179" s="148" t="s">
        <v>242</v>
      </c>
      <c r="H179" s="148" t="s">
        <v>192</v>
      </c>
      <c r="J179" s="148" t="s">
        <v>248</v>
      </c>
      <c r="L179" s="148" t="s">
        <v>137</v>
      </c>
      <c r="N179" s="148" t="s">
        <v>242</v>
      </c>
      <c r="P179" s="148" t="s">
        <v>115</v>
      </c>
      <c r="Q179" s="133"/>
      <c r="R179" s="148" t="s">
        <v>185</v>
      </c>
      <c r="T179" s="148" t="s">
        <v>248</v>
      </c>
      <c r="U179" s="133"/>
      <c r="V179" s="148" t="s">
        <v>128</v>
      </c>
      <c r="X179" s="310"/>
      <c r="Y179" s="310"/>
      <c r="Z179" s="310"/>
      <c r="AA179" s="310"/>
      <c r="AD179" s="310"/>
      <c r="AE179" s="310"/>
      <c r="AF179" s="310"/>
      <c r="AG179" s="310"/>
      <c r="AI179" s="310"/>
      <c r="AJ179" s="310"/>
      <c r="AK179" s="310"/>
      <c r="AL179" s="310"/>
      <c r="AN179" s="310"/>
      <c r="AO179" s="310"/>
      <c r="AP179" s="310"/>
      <c r="AQ179" s="310"/>
    </row>
    <row r="180" spans="1:44">
      <c r="A180" s="132"/>
      <c r="B180" s="161">
        <f>V173+1</f>
        <v>219</v>
      </c>
      <c r="C180" s="133"/>
      <c r="D180" s="161">
        <f>B180+1</f>
        <v>220</v>
      </c>
      <c r="F180" s="161">
        <f>D180+1</f>
        <v>221</v>
      </c>
      <c r="H180" s="161">
        <f>F180+1</f>
        <v>222</v>
      </c>
      <c r="J180" s="161">
        <f>H180+1</f>
        <v>223</v>
      </c>
      <c r="L180" s="161">
        <f>J180+1</f>
        <v>224</v>
      </c>
      <c r="N180" s="161">
        <f>L180+1</f>
        <v>225</v>
      </c>
      <c r="P180" s="161">
        <f>N180+1</f>
        <v>226</v>
      </c>
      <c r="Q180" s="133"/>
      <c r="R180" s="161">
        <f>P180+1</f>
        <v>227</v>
      </c>
      <c r="T180" s="161">
        <f>R180+1</f>
        <v>228</v>
      </c>
      <c r="U180" s="133"/>
      <c r="V180" s="161">
        <f>T180+1</f>
        <v>229</v>
      </c>
      <c r="X180" s="310"/>
      <c r="Y180" s="310"/>
      <c r="Z180" s="310"/>
      <c r="AA180" s="310"/>
      <c r="AD180" s="310"/>
      <c r="AE180" s="310"/>
      <c r="AF180" s="310"/>
      <c r="AG180" s="310"/>
      <c r="AI180" s="310"/>
      <c r="AJ180" s="310"/>
      <c r="AK180" s="310"/>
      <c r="AL180" s="310"/>
      <c r="AN180" s="310"/>
      <c r="AO180" s="310"/>
      <c r="AP180" s="310"/>
      <c r="AQ180" s="310"/>
    </row>
    <row r="181" spans="1:44">
      <c r="A181" s="132"/>
      <c r="B181" s="148"/>
      <c r="C181" s="133"/>
      <c r="D181" s="148"/>
      <c r="F181" s="148"/>
      <c r="H181" s="148"/>
      <c r="J181" s="148"/>
      <c r="L181" s="148"/>
      <c r="N181" s="148"/>
      <c r="P181" s="148"/>
      <c r="Q181" s="133"/>
      <c r="R181" s="148"/>
      <c r="T181" s="148"/>
      <c r="U181" s="133"/>
      <c r="V181" s="199"/>
      <c r="X181" s="310"/>
      <c r="Y181" s="310"/>
      <c r="Z181" s="310"/>
      <c r="AA181" s="310"/>
      <c r="AD181" s="310"/>
      <c r="AE181" s="310"/>
      <c r="AF181" s="310"/>
      <c r="AG181" s="310"/>
      <c r="AI181" s="310"/>
      <c r="AJ181" s="310"/>
      <c r="AK181" s="310"/>
      <c r="AL181" s="310"/>
      <c r="AN181" s="310"/>
      <c r="AO181" s="310"/>
      <c r="AP181" s="310"/>
      <c r="AQ181" s="310"/>
    </row>
    <row r="182" spans="1:44" ht="15" thickBot="1">
      <c r="A182" s="132"/>
      <c r="B182" s="135"/>
      <c r="C182" s="133"/>
      <c r="D182" s="135"/>
      <c r="F182" s="135"/>
      <c r="H182" s="135"/>
      <c r="J182" s="135"/>
      <c r="L182" s="135"/>
      <c r="N182" s="135"/>
      <c r="P182" s="135"/>
      <c r="Q182" s="133"/>
      <c r="R182" s="135"/>
      <c r="T182" s="135"/>
      <c r="U182" s="133"/>
      <c r="V182" s="135"/>
      <c r="X182" s="310"/>
      <c r="Y182" s="310"/>
      <c r="Z182" s="310"/>
      <c r="AA182" s="310"/>
      <c r="AD182" s="310"/>
      <c r="AE182" s="310"/>
      <c r="AF182" s="310"/>
      <c r="AG182" s="310"/>
      <c r="AI182" s="310"/>
      <c r="AJ182" s="310"/>
      <c r="AK182" s="310"/>
      <c r="AL182" s="310"/>
      <c r="AN182" s="310"/>
      <c r="AO182" s="310"/>
      <c r="AP182" s="310"/>
      <c r="AQ182" s="310"/>
    </row>
    <row r="183" spans="1:44" ht="15.5" thickTop="1" thickBot="1">
      <c r="A183" s="132"/>
      <c r="B183" s="140"/>
      <c r="C183" s="133"/>
      <c r="D183" s="140"/>
      <c r="F183" s="140"/>
      <c r="H183" s="140"/>
      <c r="J183" s="140"/>
      <c r="L183" s="140"/>
      <c r="N183" s="140"/>
      <c r="P183" s="140"/>
      <c r="Q183" s="133"/>
      <c r="R183" s="140"/>
      <c r="T183" s="140"/>
      <c r="U183" s="133"/>
      <c r="V183" s="140"/>
      <c r="X183" s="310"/>
      <c r="Y183" s="310"/>
      <c r="Z183" s="310"/>
      <c r="AA183" s="310"/>
      <c r="AD183" s="310"/>
      <c r="AE183" s="310"/>
      <c r="AF183" s="310"/>
      <c r="AG183" s="310"/>
      <c r="AI183" s="310"/>
      <c r="AJ183" s="310"/>
      <c r="AK183" s="310"/>
      <c r="AL183" s="310"/>
      <c r="AN183" s="310"/>
      <c r="AO183" s="310"/>
      <c r="AP183" s="310"/>
      <c r="AQ183" s="310"/>
    </row>
    <row r="184" spans="1:44" ht="15.5" thickTop="1" thickBot="1">
      <c r="A184" s="132"/>
      <c r="B184" s="141"/>
      <c r="C184" s="133"/>
      <c r="D184" s="141"/>
      <c r="F184" s="141"/>
      <c r="H184" s="141"/>
      <c r="J184" s="141"/>
      <c r="L184" s="141"/>
      <c r="N184" s="141"/>
      <c r="P184" s="141"/>
      <c r="Q184" s="133"/>
      <c r="R184" s="141"/>
      <c r="T184" s="141"/>
      <c r="U184" s="133"/>
      <c r="V184" s="141"/>
      <c r="X184" s="310"/>
      <c r="Y184" s="310"/>
      <c r="Z184" s="310"/>
      <c r="AA184" s="310"/>
      <c r="AD184" s="310"/>
      <c r="AE184" s="310"/>
      <c r="AF184" s="310"/>
      <c r="AG184" s="310"/>
      <c r="AI184" s="310"/>
      <c r="AJ184" s="310"/>
      <c r="AK184" s="310"/>
      <c r="AL184" s="310"/>
      <c r="AN184" s="310"/>
      <c r="AO184" s="310"/>
      <c r="AP184" s="310"/>
      <c r="AQ184" s="310"/>
    </row>
    <row r="185" spans="1:44" ht="15" thickTop="1">
      <c r="A185" s="132"/>
      <c r="B185" s="397" t="s">
        <v>754</v>
      </c>
      <c r="D185" s="397" t="s">
        <v>178</v>
      </c>
      <c r="J185" s="148"/>
      <c r="L185" s="148"/>
      <c r="N185" s="148"/>
      <c r="P185" s="148"/>
      <c r="Q185" s="133"/>
      <c r="R185" s="148"/>
      <c r="T185" s="148"/>
      <c r="U185" s="133"/>
      <c r="V185" s="199"/>
      <c r="X185" s="310">
        <f>COUNTIF($B$186:$V$186, "DA+0")</f>
        <v>1</v>
      </c>
      <c r="Y185" s="310">
        <f>COUNTIF($B$186:$V$186, "DA+3")</f>
        <v>0</v>
      </c>
      <c r="Z185" s="310">
        <f>COUNTIF($B$186:$V$186, "DA+6")</f>
        <v>0</v>
      </c>
      <c r="AA185" s="310">
        <f>COUNTIF($B$186:$V$186, "DA+9")</f>
        <v>0</v>
      </c>
      <c r="AD185" s="310">
        <f>COUNTIF($B$186:$V$186, "DB+0")</f>
        <v>0</v>
      </c>
      <c r="AE185" s="310">
        <f>COUNTIF($B$186:$V$186, "DB+3")</f>
        <v>0</v>
      </c>
      <c r="AF185" s="310">
        <f>COUNTIF($B$186:$V$186, "DB+6")</f>
        <v>0</v>
      </c>
      <c r="AG185" s="310">
        <f>COUNTIF($B$186:$V$186, "DB+9")</f>
        <v>0</v>
      </c>
      <c r="AI185" s="310">
        <f>COUNTIF($B$186:$V$186, "DC+0")</f>
        <v>0</v>
      </c>
      <c r="AJ185" s="310">
        <f>COUNTIF($B$186:$V$186, "DC+3")</f>
        <v>0</v>
      </c>
      <c r="AK185" s="310">
        <f>COUNTIF($B$186:$V$186, "DC+6")</f>
        <v>0</v>
      </c>
      <c r="AL185" s="310">
        <f>COUNTIF($B$186:$V$186, "DC+9")</f>
        <v>0</v>
      </c>
      <c r="AN185" s="310">
        <f>COUNTIF($B$186:$V$186, "DD+0")</f>
        <v>1</v>
      </c>
      <c r="AO185" s="310">
        <f>COUNTIF($B$186:$V$186, "DD+3")</f>
        <v>0</v>
      </c>
      <c r="AP185" s="310">
        <f>COUNTIF($B$186:$V$186, "DD+6")</f>
        <v>0</v>
      </c>
      <c r="AQ185" s="310">
        <f>COUNTIF($B$186:$V$186, "DD+9")</f>
        <v>0</v>
      </c>
    </row>
    <row r="186" spans="1:44">
      <c r="A186" s="132"/>
      <c r="B186" s="148" t="s">
        <v>182</v>
      </c>
      <c r="D186" s="148" t="s">
        <v>125</v>
      </c>
      <c r="J186" s="148"/>
      <c r="L186" s="148"/>
      <c r="N186" s="148"/>
      <c r="P186" s="148"/>
      <c r="Q186" s="133"/>
      <c r="R186" s="148"/>
      <c r="T186" s="148"/>
      <c r="U186" s="133"/>
      <c r="V186" s="199"/>
      <c r="X186" s="310"/>
      <c r="Y186" s="310"/>
      <c r="Z186" s="310"/>
      <c r="AA186" s="310"/>
      <c r="AD186" s="310"/>
      <c r="AE186" s="310"/>
      <c r="AF186" s="310"/>
      <c r="AG186" s="310"/>
      <c r="AI186" s="310"/>
      <c r="AJ186" s="310"/>
      <c r="AK186" s="310"/>
      <c r="AL186" s="310"/>
      <c r="AN186" s="310"/>
      <c r="AO186" s="310"/>
      <c r="AP186" s="310"/>
      <c r="AQ186" s="310"/>
    </row>
    <row r="187" spans="1:44">
      <c r="A187" s="132"/>
      <c r="B187" s="161">
        <f>V180+1</f>
        <v>230</v>
      </c>
      <c r="C187" s="133"/>
      <c r="D187" s="161">
        <f>B187+1</f>
        <v>231</v>
      </c>
      <c r="F187" s="161">
        <f>D187+1</f>
        <v>232</v>
      </c>
      <c r="H187" s="161">
        <f>F187+1</f>
        <v>233</v>
      </c>
      <c r="J187" s="161">
        <f>H187+1</f>
        <v>234</v>
      </c>
      <c r="L187" s="161">
        <f>J187+1</f>
        <v>235</v>
      </c>
      <c r="N187" s="161">
        <f>L187+1</f>
        <v>236</v>
      </c>
      <c r="P187" s="161">
        <f>N187+1</f>
        <v>237</v>
      </c>
      <c r="Q187" s="133"/>
      <c r="R187" s="161">
        <f>P187+1</f>
        <v>238</v>
      </c>
      <c r="T187" s="161">
        <f>R187+1</f>
        <v>239</v>
      </c>
      <c r="U187" s="133"/>
      <c r="V187" s="161">
        <f>T187+1</f>
        <v>240</v>
      </c>
      <c r="X187" s="310"/>
      <c r="Y187" s="310"/>
      <c r="Z187" s="310"/>
      <c r="AA187" s="310"/>
      <c r="AD187" s="310"/>
      <c r="AE187" s="310"/>
      <c r="AF187" s="310"/>
      <c r="AG187" s="310"/>
      <c r="AI187" s="310"/>
      <c r="AJ187" s="310"/>
      <c r="AK187" s="310"/>
      <c r="AL187" s="310"/>
      <c r="AN187" s="310"/>
      <c r="AO187" s="310"/>
      <c r="AP187" s="310"/>
      <c r="AQ187" s="310"/>
    </row>
    <row r="188" spans="1:44">
      <c r="A188" s="132"/>
      <c r="B188" s="148"/>
      <c r="C188" s="133"/>
      <c r="D188" s="148"/>
      <c r="F188" s="148"/>
      <c r="H188" s="148"/>
      <c r="J188" s="148"/>
      <c r="L188" s="148"/>
      <c r="N188" s="148"/>
      <c r="P188" s="148"/>
      <c r="Q188" s="133"/>
      <c r="R188" s="148"/>
      <c r="T188" s="148"/>
      <c r="U188" s="133"/>
      <c r="V188" s="199"/>
      <c r="X188" s="310">
        <f>SUM(X2:X187)</f>
        <v>50</v>
      </c>
      <c r="Y188" s="310">
        <f>SUM(Y2:Y187)</f>
        <v>28</v>
      </c>
      <c r="Z188" s="310">
        <f>SUM(Z2:Z187)</f>
        <v>21</v>
      </c>
      <c r="AA188" s="310">
        <f>SUM(AA2:AA187)</f>
        <v>20</v>
      </c>
      <c r="AB188" s="427">
        <f>SUM(X188:AA188)</f>
        <v>119</v>
      </c>
      <c r="AD188" s="310">
        <f>SUM(AD2:AD187)</f>
        <v>3</v>
      </c>
      <c r="AE188" s="310">
        <f>SUM(AE2:AE187)</f>
        <v>2</v>
      </c>
      <c r="AF188" s="310">
        <f>SUM(AF2:AF187)</f>
        <v>1</v>
      </c>
      <c r="AG188" s="310">
        <f>SUM(AG2:AG187)</f>
        <v>7</v>
      </c>
      <c r="AH188">
        <f>SUM(AD188:AG188)</f>
        <v>13</v>
      </c>
      <c r="AI188" s="310">
        <f>SUM(AI2:AI187)</f>
        <v>12</v>
      </c>
      <c r="AJ188" s="310">
        <f>SUM(AJ2:AJ187)</f>
        <v>6</v>
      </c>
      <c r="AK188" s="310">
        <f>SUM(AK2:AK187)</f>
        <v>4</v>
      </c>
      <c r="AL188" s="310">
        <f>SUM(AL2:AL187)</f>
        <v>2</v>
      </c>
      <c r="AM188">
        <f>SUM(AI188:AL188)</f>
        <v>24</v>
      </c>
      <c r="AN188" s="310">
        <f>SUM(AN2:AN187)</f>
        <v>9</v>
      </c>
      <c r="AO188" s="310">
        <f>SUM(AO2:AO187)</f>
        <v>5</v>
      </c>
      <c r="AP188" s="310">
        <f>SUM(AP2:AP187)</f>
        <v>1</v>
      </c>
      <c r="AQ188" s="310">
        <f>SUM(AQ2:AQ187)</f>
        <v>0</v>
      </c>
      <c r="AR188">
        <f>SUM(AN188:AQ188)</f>
        <v>15</v>
      </c>
    </row>
    <row r="189" spans="1:44" ht="15" thickBot="1">
      <c r="A189" s="132"/>
      <c r="B189" s="135"/>
      <c r="C189" s="133"/>
      <c r="D189" s="135"/>
      <c r="F189" s="135"/>
      <c r="H189" s="135"/>
      <c r="J189" s="135"/>
      <c r="L189" s="135"/>
      <c r="N189" s="135"/>
      <c r="P189" s="135"/>
      <c r="Q189" s="133"/>
      <c r="R189" s="135"/>
      <c r="T189" s="135"/>
      <c r="U189" s="133"/>
      <c r="V189" s="135"/>
    </row>
    <row r="190" spans="1:44" ht="15.5" thickTop="1" thickBot="1">
      <c r="A190" s="132"/>
      <c r="B190" s="140"/>
      <c r="C190" s="133"/>
      <c r="D190" s="140"/>
      <c r="F190" s="140"/>
      <c r="H190" s="140"/>
      <c r="J190" s="140"/>
      <c r="L190" s="140"/>
      <c r="N190" s="140"/>
      <c r="P190" s="140"/>
      <c r="Q190" s="133"/>
      <c r="R190" s="140"/>
      <c r="T190" s="140"/>
      <c r="U190" s="133"/>
      <c r="V190" s="140"/>
    </row>
    <row r="191" spans="1:44" ht="15.5" thickTop="1" thickBot="1">
      <c r="A191" s="132"/>
      <c r="B191" s="141"/>
      <c r="C191" s="133"/>
      <c r="D191" s="141"/>
      <c r="F191" s="141"/>
      <c r="H191" s="141"/>
      <c r="J191" s="141"/>
      <c r="L191" s="141"/>
      <c r="N191" s="141"/>
      <c r="P191" s="141"/>
      <c r="Q191" s="133"/>
      <c r="R191" s="141"/>
      <c r="T191" s="141"/>
      <c r="U191" s="133"/>
      <c r="V191" s="141"/>
    </row>
    <row r="192" spans="1:44" ht="15" thickTop="1">
      <c r="A192" s="132"/>
      <c r="B192" s="148"/>
      <c r="C192" s="133"/>
      <c r="D192" s="148"/>
      <c r="F192" s="148"/>
      <c r="H192" s="148"/>
      <c r="J192" s="148"/>
      <c r="L192" s="148"/>
      <c r="N192" s="148"/>
      <c r="P192" s="148"/>
      <c r="Q192" s="133"/>
      <c r="R192" s="148"/>
      <c r="T192" s="148"/>
      <c r="U192" s="133"/>
      <c r="V192" s="199"/>
    </row>
    <row r="193" spans="1:31">
      <c r="A193" s="132"/>
      <c r="B193" s="148"/>
      <c r="C193" s="133"/>
      <c r="D193" s="148"/>
      <c r="F193" s="148"/>
      <c r="H193" s="148"/>
      <c r="J193" s="148"/>
      <c r="L193" s="148"/>
      <c r="N193" s="148"/>
      <c r="P193" s="148"/>
      <c r="Q193" s="133"/>
      <c r="R193" s="148"/>
      <c r="T193" s="148"/>
      <c r="U193" s="133"/>
      <c r="V193" s="199"/>
    </row>
    <row r="194" spans="1:31">
      <c r="A194" s="132"/>
      <c r="B194" s="148"/>
      <c r="C194" s="133"/>
      <c r="D194" s="148"/>
      <c r="F194" s="148"/>
      <c r="H194" s="148"/>
      <c r="J194" s="148"/>
      <c r="L194" s="148"/>
      <c r="N194" s="148"/>
      <c r="P194" s="148"/>
      <c r="Q194" s="133"/>
      <c r="R194" s="148"/>
      <c r="T194" s="148"/>
      <c r="U194" s="133"/>
      <c r="V194" s="199"/>
    </row>
    <row r="195" spans="1:31" ht="15" thickBot="1">
      <c r="A195" s="132"/>
      <c r="B195" s="135"/>
      <c r="C195" s="133"/>
      <c r="D195" s="135"/>
      <c r="F195" s="135"/>
      <c r="H195" s="135"/>
      <c r="J195" s="135"/>
      <c r="L195" s="135"/>
      <c r="N195" s="135"/>
      <c r="P195" s="135"/>
      <c r="Q195" s="133"/>
      <c r="R195" s="135"/>
      <c r="T195" s="135"/>
      <c r="U195" s="133"/>
      <c r="V195" s="135"/>
      <c r="AE195">
        <f>AC188+AH188+AM188+AR188</f>
        <v>52</v>
      </c>
    </row>
    <row r="196" spans="1:31" ht="15.5" thickTop="1" thickBot="1">
      <c r="A196" s="132"/>
      <c r="B196" s="140"/>
      <c r="C196" s="133"/>
      <c r="D196" s="140"/>
      <c r="F196" s="140"/>
      <c r="H196" s="140"/>
      <c r="J196" s="140"/>
      <c r="L196" s="140"/>
      <c r="N196" s="140"/>
      <c r="P196" s="140"/>
      <c r="Q196" s="133"/>
      <c r="R196" s="140"/>
      <c r="T196" s="140"/>
      <c r="U196" s="133"/>
      <c r="V196" s="140"/>
    </row>
    <row r="197" spans="1:31" ht="15.5" thickTop="1" thickBot="1">
      <c r="A197" s="132"/>
      <c r="B197" s="141"/>
      <c r="C197" s="133"/>
      <c r="D197" s="141"/>
      <c r="F197" s="141"/>
      <c r="H197" s="141"/>
      <c r="J197" s="141"/>
      <c r="L197" s="141"/>
      <c r="N197" s="141"/>
      <c r="P197" s="141"/>
      <c r="Q197" s="133"/>
      <c r="R197" s="141"/>
      <c r="T197" s="141"/>
      <c r="U197" s="133"/>
      <c r="V197" s="141"/>
    </row>
    <row r="198" spans="1:31" ht="15" thickTop="1">
      <c r="A198" s="132"/>
      <c r="B198" s="148"/>
      <c r="C198" s="133"/>
      <c r="D198" s="148"/>
      <c r="F198" s="148"/>
      <c r="H198" s="148"/>
      <c r="J198" s="148"/>
      <c r="L198" s="148"/>
      <c r="N198" s="148"/>
      <c r="P198" s="148"/>
      <c r="Q198" s="133"/>
      <c r="R198" s="148"/>
      <c r="T198" s="148"/>
      <c r="U198" s="133"/>
      <c r="V198" s="199"/>
    </row>
    <row r="199" spans="1:31">
      <c r="A199" s="132"/>
      <c r="B199" s="155"/>
      <c r="C199" s="155"/>
      <c r="D199" s="155"/>
      <c r="E199" s="155"/>
      <c r="F199" s="155"/>
      <c r="G199" s="155"/>
      <c r="H199" s="155"/>
      <c r="I199" s="155"/>
      <c r="J199" s="155"/>
      <c r="K199" s="155"/>
      <c r="L199" s="155"/>
      <c r="M199" s="155"/>
      <c r="N199" s="155"/>
      <c r="O199" s="155"/>
      <c r="P199" s="155"/>
      <c r="Q199" s="155"/>
      <c r="R199" s="155"/>
      <c r="S199" s="133"/>
      <c r="T199" s="155"/>
      <c r="U199" s="133"/>
      <c r="V199" s="178"/>
    </row>
    <row r="200" spans="1:31">
      <c r="A200" s="132"/>
      <c r="B200" s="133"/>
      <c r="C200" s="133"/>
      <c r="D200" s="133"/>
      <c r="E200" s="205" t="s">
        <v>479</v>
      </c>
      <c r="F200" s="206"/>
      <c r="G200" s="206"/>
      <c r="H200" s="206"/>
      <c r="I200" s="206"/>
      <c r="J200" s="206"/>
      <c r="K200" s="206"/>
      <c r="L200" s="228"/>
      <c r="M200" s="206"/>
      <c r="N200" s="1497"/>
      <c r="O200" s="133"/>
      <c r="P200" s="133"/>
      <c r="Q200" s="133"/>
      <c r="R200" s="133"/>
      <c r="S200" s="133"/>
      <c r="T200" s="133"/>
      <c r="U200" s="133"/>
      <c r="V200" s="178"/>
    </row>
    <row r="201" spans="1:31">
      <c r="A201" s="132"/>
      <c r="B201" s="133"/>
      <c r="C201" s="133"/>
      <c r="D201" s="133"/>
      <c r="E201" s="205" t="s">
        <v>480</v>
      </c>
      <c r="F201" s="206"/>
      <c r="G201" s="206"/>
      <c r="H201" s="206"/>
      <c r="I201" s="206"/>
      <c r="J201" s="206"/>
      <c r="K201" s="206"/>
      <c r="L201" s="206"/>
      <c r="M201" s="206"/>
      <c r="N201" s="1498"/>
      <c r="O201" s="133"/>
      <c r="P201" s="229"/>
      <c r="Q201" s="133"/>
      <c r="R201" s="133"/>
      <c r="S201" s="133"/>
      <c r="T201" s="133"/>
      <c r="U201" s="133"/>
      <c r="V201" s="178"/>
    </row>
    <row r="202" spans="1:31">
      <c r="A202" s="132"/>
      <c r="B202" s="133"/>
      <c r="C202" s="133"/>
      <c r="D202" s="133"/>
      <c r="E202" s="205" t="s">
        <v>481</v>
      </c>
      <c r="F202" s="206"/>
      <c r="G202" s="206"/>
      <c r="H202" s="206"/>
      <c r="I202" s="206"/>
      <c r="J202" s="206"/>
      <c r="K202" s="206"/>
      <c r="L202" s="206"/>
      <c r="M202" s="206"/>
      <c r="N202" s="1499"/>
      <c r="O202" s="133"/>
      <c r="P202" s="133"/>
      <c r="Q202" s="133"/>
      <c r="R202" s="133"/>
      <c r="S202" s="133"/>
      <c r="T202" s="133"/>
      <c r="U202" s="133"/>
      <c r="V202" s="178"/>
    </row>
    <row r="203" spans="1:31">
      <c r="A203" s="132"/>
      <c r="B203" s="133"/>
      <c r="C203" s="133"/>
      <c r="D203" s="133"/>
      <c r="E203" s="133"/>
      <c r="F203" s="133"/>
      <c r="G203" s="133"/>
      <c r="H203" s="133"/>
      <c r="I203" s="133"/>
      <c r="J203" s="133"/>
      <c r="K203" s="133"/>
      <c r="L203" s="133"/>
      <c r="M203" s="133"/>
      <c r="N203" s="133"/>
      <c r="O203" s="133"/>
      <c r="P203" s="133"/>
      <c r="Q203" s="133"/>
      <c r="R203" s="133"/>
      <c r="S203" s="133"/>
      <c r="T203" s="133"/>
      <c r="U203" s="133"/>
      <c r="V203" s="178"/>
    </row>
    <row r="204" spans="1:31">
      <c r="A204" s="132"/>
      <c r="B204" s="133"/>
      <c r="C204" s="133"/>
      <c r="D204" s="133"/>
      <c r="E204" s="133"/>
      <c r="F204" s="133"/>
      <c r="G204" s="133"/>
      <c r="H204" s="133"/>
      <c r="I204" s="133"/>
      <c r="J204" s="133"/>
      <c r="K204" s="133"/>
      <c r="L204" s="133"/>
      <c r="M204" s="133"/>
      <c r="N204" s="133"/>
      <c r="O204" s="133"/>
      <c r="P204" s="133"/>
      <c r="Q204" s="133"/>
      <c r="R204" s="133"/>
      <c r="S204" s="133"/>
      <c r="T204" s="133"/>
      <c r="U204" s="133"/>
      <c r="V204" s="178"/>
    </row>
    <row r="205" spans="1:31">
      <c r="A205" s="207"/>
      <c r="B205" s="208"/>
      <c r="C205" s="208"/>
      <c r="D205" s="208"/>
      <c r="E205" s="208"/>
      <c r="F205" s="208"/>
      <c r="G205" s="208"/>
      <c r="H205" s="208"/>
      <c r="I205" s="208"/>
      <c r="J205" s="208"/>
      <c r="K205" s="208"/>
      <c r="L205" s="208"/>
      <c r="M205" s="208"/>
      <c r="N205" s="208"/>
      <c r="O205" s="208"/>
      <c r="P205" s="208"/>
      <c r="Q205" s="208"/>
      <c r="R205" s="208"/>
      <c r="S205" s="172"/>
      <c r="T205" s="208"/>
      <c r="U205" s="208"/>
      <c r="V205" s="235"/>
    </row>
    <row r="206" spans="1:31">
      <c r="A206" s="209"/>
      <c r="B206" s="133"/>
      <c r="C206" s="133"/>
      <c r="D206" s="133"/>
      <c r="E206" s="133"/>
      <c r="F206" s="133"/>
      <c r="G206" s="133"/>
      <c r="H206" s="133"/>
      <c r="I206" s="133"/>
      <c r="J206" s="133"/>
      <c r="K206" s="133"/>
      <c r="L206" s="133"/>
      <c r="M206" s="133"/>
      <c r="N206" s="133"/>
      <c r="O206" s="133"/>
      <c r="P206" s="133"/>
      <c r="Q206" s="133"/>
      <c r="R206" s="133"/>
      <c r="S206" s="215"/>
      <c r="T206" s="133"/>
      <c r="U206" s="133"/>
      <c r="V206" s="236"/>
    </row>
    <row r="207" spans="1:31">
      <c r="A207" s="209"/>
      <c r="B207" s="133"/>
      <c r="C207" s="133"/>
      <c r="D207" s="210"/>
      <c r="E207" s="210"/>
      <c r="F207" s="210"/>
      <c r="G207" s="210"/>
      <c r="H207" s="210"/>
      <c r="I207" s="210" t="s">
        <v>482</v>
      </c>
      <c r="J207" s="210"/>
      <c r="K207" s="210"/>
      <c r="L207" s="133"/>
      <c r="M207" s="133"/>
      <c r="N207" s="133"/>
      <c r="O207" s="133"/>
      <c r="P207" s="133"/>
      <c r="Q207" s="133"/>
      <c r="R207" s="133"/>
      <c r="S207" s="215"/>
      <c r="T207" s="133"/>
      <c r="U207" s="133"/>
      <c r="V207" s="236"/>
    </row>
    <row r="208" spans="1:31">
      <c r="A208" s="209"/>
      <c r="B208" s="133"/>
      <c r="C208" s="133"/>
      <c r="D208" s="210"/>
      <c r="E208" s="210"/>
      <c r="F208" s="133"/>
      <c r="G208" s="133"/>
      <c r="H208" s="133"/>
      <c r="I208" s="210"/>
      <c r="J208" s="133"/>
      <c r="K208" s="210"/>
      <c r="L208" s="133" t="s">
        <v>483</v>
      </c>
      <c r="M208" s="133"/>
      <c r="N208" s="133"/>
      <c r="O208" s="133"/>
      <c r="P208" s="133"/>
      <c r="Q208" s="133"/>
      <c r="R208" s="237" t="s">
        <v>484</v>
      </c>
      <c r="S208" s="215"/>
      <c r="T208" s="133"/>
      <c r="U208" s="133"/>
      <c r="V208" s="236"/>
    </row>
    <row r="209" spans="1:22" ht="15" thickBot="1">
      <c r="A209" s="209"/>
      <c r="B209" s="133"/>
      <c r="C209" s="211" t="s">
        <v>485</v>
      </c>
      <c r="D209" s="210"/>
      <c r="E209" s="210"/>
      <c r="F209" s="133"/>
      <c r="G209" s="133"/>
      <c r="H209" s="133"/>
      <c r="I209" s="210"/>
      <c r="J209" s="133"/>
      <c r="K209" s="210"/>
      <c r="L209" s="133"/>
      <c r="M209" s="133"/>
      <c r="N209" s="133"/>
      <c r="O209" s="133"/>
      <c r="P209" s="133"/>
      <c r="Q209" s="133"/>
      <c r="R209" s="133"/>
      <c r="S209" s="215"/>
      <c r="T209" s="133"/>
      <c r="U209" s="133"/>
      <c r="V209" s="236"/>
    </row>
    <row r="210" spans="1:22" ht="15.5" thickTop="1" thickBot="1">
      <c r="A210" s="209"/>
      <c r="B210" s="133"/>
      <c r="C210" s="211" t="s">
        <v>486</v>
      </c>
      <c r="D210" s="210"/>
      <c r="E210" s="210"/>
      <c r="F210" s="158"/>
      <c r="G210" s="139"/>
      <c r="H210" s="212"/>
      <c r="I210" s="210"/>
      <c r="J210" s="158"/>
      <c r="K210" s="210"/>
      <c r="L210" s="133" t="s">
        <v>487</v>
      </c>
      <c r="M210" s="133"/>
      <c r="N210" s="133"/>
      <c r="O210" s="133"/>
      <c r="P210" s="133"/>
      <c r="Q210" s="133"/>
      <c r="R210" s="133"/>
      <c r="S210" s="215"/>
      <c r="T210" s="133"/>
      <c r="U210" s="133"/>
      <c r="V210" s="236"/>
    </row>
    <row r="211" spans="1:22" ht="15.5" thickTop="1" thickBot="1">
      <c r="A211" s="209"/>
      <c r="B211" s="133"/>
      <c r="C211" s="211" t="s">
        <v>488</v>
      </c>
      <c r="D211" s="210"/>
      <c r="E211" s="210"/>
      <c r="F211" s="213"/>
      <c r="G211" s="139"/>
      <c r="H211" s="214" t="s">
        <v>390</v>
      </c>
      <c r="I211" s="210"/>
      <c r="J211" s="213"/>
      <c r="K211" s="210"/>
      <c r="L211" s="133"/>
      <c r="M211" s="133"/>
      <c r="N211" s="133"/>
      <c r="O211" s="133"/>
      <c r="P211" s="133"/>
      <c r="Q211" s="133"/>
      <c r="R211" s="237" t="s">
        <v>489</v>
      </c>
      <c r="S211" s="215"/>
      <c r="T211" s="133"/>
      <c r="U211" s="133"/>
      <c r="V211" s="236"/>
    </row>
    <row r="212" spans="1:22" ht="15" thickTop="1">
      <c r="A212" s="209"/>
      <c r="B212" s="133"/>
      <c r="C212" s="133"/>
      <c r="D212" s="210"/>
      <c r="E212" s="210"/>
      <c r="F212" s="210"/>
      <c r="G212" s="210"/>
      <c r="H212" s="210"/>
      <c r="I212" s="210"/>
      <c r="J212" s="210"/>
      <c r="K212" s="210"/>
      <c r="L212" s="133"/>
      <c r="M212" s="133" t="s">
        <v>77</v>
      </c>
      <c r="N212" s="133"/>
      <c r="O212" s="133"/>
      <c r="P212" s="133"/>
      <c r="Q212" s="133"/>
      <c r="R212" s="133"/>
      <c r="S212" s="238"/>
      <c r="T212" s="133"/>
      <c r="U212" s="133"/>
      <c r="V212" s="236"/>
    </row>
    <row r="213" spans="1:22">
      <c r="A213" s="209"/>
      <c r="B213" s="133"/>
      <c r="C213" s="215"/>
      <c r="D213" s="143"/>
      <c r="E213" s="215"/>
      <c r="F213" s="216"/>
      <c r="G213" s="217"/>
      <c r="H213" s="215">
        <v>325</v>
      </c>
      <c r="I213" s="215" t="s">
        <v>219</v>
      </c>
      <c r="J213" s="143"/>
      <c r="K213" s="215"/>
      <c r="L213" s="133"/>
      <c r="M213" s="133"/>
      <c r="N213" s="133"/>
      <c r="O213" s="133"/>
      <c r="P213" s="133"/>
      <c r="Q213" s="133"/>
      <c r="R213" s="133"/>
      <c r="S213" s="215"/>
      <c r="T213" s="133"/>
      <c r="U213" s="133"/>
      <c r="V213" s="236"/>
    </row>
    <row r="214" spans="1:22" ht="15" thickBot="1">
      <c r="A214" s="209"/>
      <c r="B214" s="133"/>
      <c r="C214" s="215"/>
      <c r="D214" s="143"/>
      <c r="E214" s="215"/>
      <c r="F214" s="143"/>
      <c r="G214" s="217"/>
      <c r="H214" s="143"/>
      <c r="I214" s="215"/>
      <c r="J214" s="143"/>
      <c r="K214" s="215"/>
      <c r="L214" s="143"/>
      <c r="M214" s="216" t="s">
        <v>490</v>
      </c>
      <c r="N214" s="143"/>
      <c r="O214" s="215"/>
      <c r="P214" s="143"/>
      <c r="Q214" s="215"/>
      <c r="R214" s="239" t="s">
        <v>491</v>
      </c>
      <c r="S214" s="215"/>
      <c r="T214" s="143"/>
      <c r="U214" s="215"/>
      <c r="V214" s="236"/>
    </row>
    <row r="215" spans="1:22" ht="15.5" thickTop="1" thickBot="1">
      <c r="A215" s="209"/>
      <c r="B215" s="211" t="s">
        <v>492</v>
      </c>
      <c r="C215" s="215"/>
      <c r="D215" s="143"/>
      <c r="E215" s="218" t="s">
        <v>228</v>
      </c>
      <c r="F215" s="133" t="s">
        <v>228</v>
      </c>
      <c r="G215" s="217"/>
      <c r="H215" s="143"/>
      <c r="I215" s="133" t="s">
        <v>493</v>
      </c>
      <c r="J215" s="215"/>
      <c r="K215" s="215"/>
      <c r="L215" s="143"/>
      <c r="M215" s="215"/>
      <c r="N215" s="143"/>
      <c r="O215" s="215"/>
      <c r="P215" s="143"/>
      <c r="Q215" s="143"/>
      <c r="R215" s="143"/>
      <c r="S215" s="215"/>
      <c r="T215" s="143"/>
      <c r="U215" s="215"/>
      <c r="V215" s="236"/>
    </row>
    <row r="216" spans="1:22" ht="15.5" thickTop="1" thickBot="1">
      <c r="A216" s="209"/>
      <c r="B216" s="133"/>
      <c r="C216" s="215"/>
      <c r="D216" s="143"/>
      <c r="E216" s="215"/>
      <c r="F216" s="143"/>
      <c r="G216" s="217"/>
      <c r="H216" s="143"/>
      <c r="I216" s="215"/>
      <c r="J216" s="143"/>
      <c r="K216" s="215"/>
      <c r="L216" s="143"/>
      <c r="M216" s="215"/>
      <c r="N216" s="143"/>
      <c r="O216" s="215"/>
      <c r="P216" s="143"/>
      <c r="Q216" s="215"/>
      <c r="R216" s="143"/>
      <c r="S216" s="234"/>
      <c r="T216" s="143"/>
      <c r="U216" s="215"/>
      <c r="V216" s="236"/>
    </row>
    <row r="217" spans="1:22">
      <c r="A217" s="209"/>
      <c r="B217" s="211" t="s">
        <v>494</v>
      </c>
      <c r="C217" s="215"/>
      <c r="D217" s="143"/>
      <c r="E217" s="143" t="s">
        <v>495</v>
      </c>
      <c r="F217" s="216" t="s">
        <v>109</v>
      </c>
      <c r="G217" s="217"/>
      <c r="H217" s="219"/>
      <c r="I217" s="216" t="s">
        <v>496</v>
      </c>
      <c r="J217" s="143"/>
      <c r="K217" s="215"/>
      <c r="L217" s="133"/>
      <c r="M217" s="216" t="s">
        <v>497</v>
      </c>
      <c r="N217" s="143"/>
      <c r="O217" s="215"/>
      <c r="P217" s="143"/>
      <c r="Q217" s="215"/>
      <c r="R217" s="240" t="s">
        <v>498</v>
      </c>
      <c r="S217" s="133"/>
      <c r="T217" s="143"/>
      <c r="U217" s="215"/>
      <c r="V217" s="236"/>
    </row>
    <row r="218" spans="1:22">
      <c r="A218" s="209"/>
      <c r="B218" s="133"/>
      <c r="C218" s="215"/>
      <c r="D218" s="143"/>
      <c r="E218" s="143"/>
      <c r="F218" s="143"/>
      <c r="G218" s="217"/>
      <c r="H218" s="143"/>
      <c r="I218" s="216" t="s">
        <v>499</v>
      </c>
      <c r="J218" s="143"/>
      <c r="K218" s="215"/>
      <c r="L218" s="143"/>
      <c r="M218" s="215"/>
      <c r="N218" s="143"/>
      <c r="O218" s="215"/>
      <c r="P218" s="143"/>
      <c r="Q218" s="215"/>
      <c r="R218" s="240" t="s">
        <v>500</v>
      </c>
      <c r="T218" s="143"/>
      <c r="U218" s="215"/>
      <c r="V218" s="236"/>
    </row>
    <row r="219" spans="1:22">
      <c r="A219" s="209"/>
      <c r="B219" s="211" t="s">
        <v>501</v>
      </c>
      <c r="C219" s="143"/>
      <c r="D219" s="143"/>
      <c r="E219" s="220" t="s">
        <v>502</v>
      </c>
      <c r="F219" s="216" t="s">
        <v>503</v>
      </c>
      <c r="G219" s="217"/>
      <c r="H219" s="143"/>
      <c r="I219" s="216" t="s">
        <v>504</v>
      </c>
      <c r="J219" s="143"/>
      <c r="K219" s="215"/>
      <c r="L219" s="143"/>
      <c r="M219" s="215"/>
      <c r="N219" s="143"/>
      <c r="O219" s="215"/>
      <c r="P219" s="143"/>
      <c r="Q219" s="241"/>
      <c r="R219" s="143"/>
      <c r="T219" s="143"/>
      <c r="U219" s="215"/>
      <c r="V219" s="236"/>
    </row>
    <row r="220" spans="1:22">
      <c r="A220" s="209"/>
      <c r="B220" s="133"/>
      <c r="C220" s="143"/>
      <c r="D220" s="143"/>
      <c r="E220" s="143"/>
      <c r="F220" s="143"/>
      <c r="G220" s="143"/>
      <c r="H220" s="221"/>
      <c r="I220" s="216"/>
      <c r="J220" s="143"/>
      <c r="K220" s="215"/>
      <c r="L220" s="143"/>
      <c r="M220" s="230"/>
      <c r="N220" s="143"/>
      <c r="O220" s="215"/>
      <c r="P220" s="143"/>
      <c r="Q220" s="241"/>
      <c r="R220" s="238"/>
      <c r="T220" s="143"/>
      <c r="U220" s="215"/>
      <c r="V220" s="236"/>
    </row>
    <row r="221" spans="1:22">
      <c r="A221" s="209"/>
      <c r="B221" s="211" t="s">
        <v>505</v>
      </c>
      <c r="C221" s="143"/>
      <c r="D221" s="143"/>
      <c r="E221" s="222"/>
      <c r="F221" s="143" t="s">
        <v>506</v>
      </c>
      <c r="G221" s="217"/>
      <c r="H221" s="143"/>
      <c r="I221" s="215"/>
      <c r="J221" s="143"/>
      <c r="K221" s="215"/>
      <c r="L221" s="231"/>
      <c r="M221" s="232" t="s">
        <v>507</v>
      </c>
      <c r="N221" s="143"/>
      <c r="O221" s="215"/>
      <c r="P221" s="143"/>
      <c r="Q221" s="215"/>
      <c r="R221" s="216" t="s">
        <v>508</v>
      </c>
      <c r="T221" s="143"/>
      <c r="U221" s="215"/>
      <c r="V221" s="236"/>
    </row>
    <row r="222" spans="1:22">
      <c r="A222" s="209"/>
      <c r="B222" s="133"/>
      <c r="C222" s="143"/>
      <c r="D222" s="143"/>
      <c r="E222" s="215"/>
      <c r="F222" s="143"/>
      <c r="G222" s="217"/>
      <c r="H222" s="143"/>
      <c r="I222" s="215"/>
      <c r="J222" s="143"/>
      <c r="K222" s="215"/>
      <c r="L222" s="143"/>
      <c r="M222" s="215"/>
      <c r="N222" s="143"/>
      <c r="O222" s="215"/>
      <c r="P222" s="143"/>
      <c r="Q222" s="215"/>
      <c r="R222" s="143"/>
      <c r="T222" s="143"/>
      <c r="U222" s="215"/>
      <c r="V222" s="236"/>
    </row>
    <row r="223" spans="1:22">
      <c r="A223" s="209"/>
      <c r="B223" s="211" t="s">
        <v>509</v>
      </c>
      <c r="C223" s="143"/>
      <c r="D223" s="210"/>
      <c r="E223" s="143" t="s">
        <v>220</v>
      </c>
      <c r="F223" s="143" t="s">
        <v>510</v>
      </c>
      <c r="G223" s="217"/>
      <c r="H223" s="143"/>
      <c r="I223" s="233" t="s">
        <v>511</v>
      </c>
      <c r="J223" s="143"/>
      <c r="K223" s="215"/>
      <c r="L223" s="133"/>
      <c r="M223" s="216" t="s">
        <v>512</v>
      </c>
      <c r="N223" s="143"/>
      <c r="O223" s="215"/>
      <c r="P223" s="143"/>
      <c r="Q223" s="242"/>
      <c r="R223" s="243" t="s">
        <v>513</v>
      </c>
      <c r="T223" s="143"/>
      <c r="U223" s="215"/>
      <c r="V223" s="236"/>
    </row>
    <row r="224" spans="1:22" ht="15" thickBot="1">
      <c r="A224" s="223"/>
      <c r="B224" s="224"/>
      <c r="C224" s="225"/>
      <c r="D224" s="225"/>
      <c r="E224" s="225"/>
      <c r="F224" s="226"/>
      <c r="G224" s="227"/>
      <c r="H224" s="225"/>
      <c r="I224" s="234"/>
      <c r="J224" s="225"/>
      <c r="K224" s="234"/>
      <c r="L224" s="224"/>
      <c r="M224" s="226"/>
      <c r="N224" s="225"/>
      <c r="O224" s="234"/>
      <c r="P224" s="225"/>
      <c r="Q224" s="234"/>
      <c r="R224" s="225"/>
      <c r="T224" s="225"/>
      <c r="U224" s="234"/>
      <c r="V224" s="244"/>
    </row>
    <row r="225" spans="1:22">
      <c r="A225" s="133"/>
      <c r="B225" s="133"/>
      <c r="C225" s="133"/>
      <c r="D225" s="133"/>
      <c r="E225" s="133"/>
      <c r="F225" s="133"/>
      <c r="G225" s="133"/>
      <c r="H225" s="133"/>
      <c r="I225" s="133"/>
      <c r="J225" s="133"/>
      <c r="K225" s="133"/>
      <c r="L225" s="133"/>
      <c r="M225" s="133"/>
      <c r="N225" s="133"/>
      <c r="O225" s="133"/>
      <c r="P225" s="133"/>
      <c r="Q225" s="133"/>
      <c r="R225" s="133"/>
      <c r="T225" s="133"/>
      <c r="U225" s="133"/>
      <c r="V225" s="170"/>
    </row>
  </sheetData>
  <mergeCells count="12">
    <mergeCell ref="A1:V1"/>
    <mergeCell ref="A2:V2"/>
    <mergeCell ref="H4:J4"/>
    <mergeCell ref="L4:N4"/>
    <mergeCell ref="O4:Q4"/>
    <mergeCell ref="R4:T4"/>
    <mergeCell ref="D6:E6"/>
    <mergeCell ref="F4:F5"/>
    <mergeCell ref="G4:G5"/>
    <mergeCell ref="N200:N202"/>
    <mergeCell ref="A4:B5"/>
    <mergeCell ref="D4:E5"/>
  </mergeCells>
  <conditionalFormatting sqref="L86">
    <cfRule type="expression" dxfId="45" priority="5">
      <formula>"F"</formula>
    </cfRule>
    <cfRule type="dataBar" priority="6">
      <dataBar>
        <cfvo type="min"/>
        <cfvo type="max"/>
        <color rgb="FF638EC6"/>
      </dataBar>
      <extLst>
        <ext xmlns:x14="http://schemas.microsoft.com/office/spreadsheetml/2009/9/main" uri="{B025F937-C7B1-47D3-B67F-A62EFF666E3E}">
          <x14:id>{4849241C-AA68-499A-B942-5FA2DFCD9488}</x14:id>
        </ext>
      </extLst>
    </cfRule>
    <cfRule type="colorScale" priority="7">
      <colorScale>
        <cfvo type="min"/>
        <cfvo type="percentile" val="50"/>
        <cfvo type="max"/>
        <color rgb="FFF8696B"/>
        <color rgb="FFFFEB84"/>
        <color rgb="FF63BE7B"/>
      </colorScale>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4849241C-AA68-499A-B942-5FA2DFCD9488}">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FB3CC1-A488-4DD0-AB68-904DB9085E2E}">
  <dimension ref="B3:J38"/>
  <sheetViews>
    <sheetView workbookViewId="0">
      <selection activeCell="M7" sqref="M7"/>
    </sheetView>
  </sheetViews>
  <sheetFormatPr defaultRowHeight="14.5"/>
  <sheetData>
    <row r="3" spans="2:10">
      <c r="B3" s="1683" t="s">
        <v>1098</v>
      </c>
      <c r="C3" s="1683" t="s">
        <v>1099</v>
      </c>
      <c r="D3" s="1424" t="s">
        <v>109</v>
      </c>
      <c r="E3" s="421"/>
      <c r="F3" s="1683" t="s">
        <v>1100</v>
      </c>
      <c r="G3" s="1683"/>
      <c r="H3" s="1683"/>
      <c r="I3" s="1683"/>
      <c r="J3" s="1424" t="s">
        <v>34</v>
      </c>
    </row>
    <row r="4" spans="2:10">
      <c r="B4" s="1683"/>
      <c r="C4" s="1683"/>
      <c r="D4" s="1424"/>
      <c r="E4" s="422"/>
      <c r="F4" s="353" t="s">
        <v>60</v>
      </c>
      <c r="G4" s="353" t="s">
        <v>63</v>
      </c>
      <c r="H4" s="353" t="s">
        <v>71</v>
      </c>
      <c r="I4" s="353" t="s">
        <v>1101</v>
      </c>
      <c r="J4" s="1424"/>
    </row>
    <row r="5" spans="2:10">
      <c r="B5" s="57">
        <v>1</v>
      </c>
      <c r="C5" s="57" t="s">
        <v>312</v>
      </c>
      <c r="D5" s="57" t="s">
        <v>119</v>
      </c>
      <c r="E5" s="422">
        <v>2</v>
      </c>
      <c r="F5" s="57">
        <v>3</v>
      </c>
      <c r="G5" s="57">
        <v>3</v>
      </c>
      <c r="H5" s="57">
        <v>3</v>
      </c>
      <c r="I5" s="57">
        <v>3</v>
      </c>
      <c r="J5" s="57"/>
    </row>
    <row r="6" spans="2:10">
      <c r="B6" s="57">
        <f t="shared" ref="B6:B38" si="0">B5+1</f>
        <v>2</v>
      </c>
      <c r="C6" s="57" t="s">
        <v>313</v>
      </c>
      <c r="D6" s="57" t="s">
        <v>242</v>
      </c>
      <c r="E6" s="422">
        <v>1</v>
      </c>
      <c r="F6" s="57">
        <v>1</v>
      </c>
      <c r="G6" s="57">
        <v>1</v>
      </c>
      <c r="H6" s="57">
        <v>1</v>
      </c>
      <c r="I6" s="57">
        <v>1</v>
      </c>
      <c r="J6" s="57"/>
    </row>
    <row r="7" spans="2:10">
      <c r="B7" s="423">
        <f t="shared" si="0"/>
        <v>3</v>
      </c>
      <c r="C7" s="423" t="s">
        <v>320</v>
      </c>
      <c r="D7" s="423" t="s">
        <v>242</v>
      </c>
      <c r="E7" s="424" t="s">
        <v>945</v>
      </c>
      <c r="F7" s="425" t="s">
        <v>1102</v>
      </c>
      <c r="G7" s="425" t="s">
        <v>1102</v>
      </c>
      <c r="H7" s="423">
        <v>1</v>
      </c>
      <c r="I7" s="425" t="s">
        <v>1102</v>
      </c>
      <c r="J7" s="423"/>
    </row>
    <row r="8" spans="2:10">
      <c r="B8" s="57">
        <f t="shared" si="0"/>
        <v>4</v>
      </c>
      <c r="C8" s="57" t="s">
        <v>321</v>
      </c>
      <c r="D8" s="57" t="s">
        <v>185</v>
      </c>
      <c r="E8" s="422">
        <v>1</v>
      </c>
      <c r="F8" s="57">
        <v>1</v>
      </c>
      <c r="G8" s="57">
        <v>1</v>
      </c>
      <c r="H8" s="57">
        <v>1</v>
      </c>
      <c r="I8" s="57">
        <v>1</v>
      </c>
      <c r="J8" s="57"/>
    </row>
    <row r="9" spans="2:10">
      <c r="B9" s="57">
        <f t="shared" si="0"/>
        <v>5</v>
      </c>
      <c r="C9" s="57" t="s">
        <v>322</v>
      </c>
      <c r="D9" s="57" t="s">
        <v>117</v>
      </c>
      <c r="E9" s="422">
        <v>3</v>
      </c>
      <c r="F9" s="57">
        <v>3</v>
      </c>
      <c r="G9" s="57">
        <v>3</v>
      </c>
      <c r="H9" s="57">
        <v>3</v>
      </c>
      <c r="I9" s="57">
        <v>3</v>
      </c>
      <c r="J9" s="57"/>
    </row>
    <row r="10" spans="2:10">
      <c r="B10" s="423">
        <f t="shared" si="0"/>
        <v>6</v>
      </c>
      <c r="C10" s="423" t="s">
        <v>323</v>
      </c>
      <c r="D10" s="423" t="s">
        <v>132</v>
      </c>
      <c r="E10" s="424" t="s">
        <v>945</v>
      </c>
      <c r="F10" s="423">
        <v>3</v>
      </c>
      <c r="G10" s="423">
        <v>3</v>
      </c>
      <c r="H10" s="423">
        <v>3</v>
      </c>
      <c r="I10" s="423">
        <v>3</v>
      </c>
      <c r="J10" s="423"/>
    </row>
    <row r="11" spans="2:10">
      <c r="B11" s="423">
        <f t="shared" si="0"/>
        <v>7</v>
      </c>
      <c r="C11" s="423" t="s">
        <v>1103</v>
      </c>
      <c r="D11" s="423" t="s">
        <v>132</v>
      </c>
      <c r="E11" s="424" t="s">
        <v>945</v>
      </c>
      <c r="F11" s="425" t="s">
        <v>1102</v>
      </c>
      <c r="G11" s="423">
        <v>1</v>
      </c>
      <c r="H11" s="423">
        <v>3</v>
      </c>
      <c r="I11" s="425" t="s">
        <v>1102</v>
      </c>
      <c r="J11" s="423"/>
    </row>
    <row r="12" spans="2:10">
      <c r="B12" s="423">
        <f t="shared" si="0"/>
        <v>8</v>
      </c>
      <c r="C12" s="57" t="s">
        <v>339</v>
      </c>
      <c r="D12" s="57" t="s">
        <v>248</v>
      </c>
      <c r="E12" s="422">
        <v>2</v>
      </c>
      <c r="F12" s="57">
        <v>3</v>
      </c>
      <c r="G12" s="57">
        <v>3</v>
      </c>
      <c r="H12" s="57">
        <v>3</v>
      </c>
      <c r="I12" s="57">
        <v>3</v>
      </c>
      <c r="J12" s="57"/>
    </row>
    <row r="13" spans="2:10">
      <c r="B13" s="423">
        <f t="shared" si="0"/>
        <v>9</v>
      </c>
      <c r="C13" s="423" t="s">
        <v>346</v>
      </c>
      <c r="D13" s="423" t="s">
        <v>182</v>
      </c>
      <c r="E13" s="424" t="s">
        <v>1104</v>
      </c>
      <c r="F13" s="425" t="s">
        <v>1102</v>
      </c>
      <c r="G13" s="425" t="s">
        <v>1102</v>
      </c>
      <c r="H13" s="423">
        <v>1</v>
      </c>
      <c r="I13" s="425" t="s">
        <v>1102</v>
      </c>
      <c r="J13" s="423"/>
    </row>
    <row r="14" spans="2:10">
      <c r="B14" s="423">
        <f t="shared" si="0"/>
        <v>10</v>
      </c>
      <c r="C14" s="57" t="s">
        <v>348</v>
      </c>
      <c r="D14" s="57" t="s">
        <v>248</v>
      </c>
      <c r="E14" s="422">
        <v>3</v>
      </c>
      <c r="F14" s="57">
        <v>3</v>
      </c>
      <c r="G14" s="57">
        <v>3</v>
      </c>
      <c r="H14" s="57">
        <v>3</v>
      </c>
      <c r="I14" s="57">
        <v>3</v>
      </c>
      <c r="J14" s="57"/>
    </row>
    <row r="15" spans="2:10">
      <c r="B15" s="423">
        <f t="shared" si="0"/>
        <v>11</v>
      </c>
      <c r="C15" s="423" t="s">
        <v>153</v>
      </c>
      <c r="D15" s="423" t="s">
        <v>123</v>
      </c>
      <c r="E15" s="424" t="s">
        <v>1104</v>
      </c>
      <c r="F15" s="425" t="s">
        <v>1102</v>
      </c>
      <c r="G15" s="425" t="s">
        <v>1102</v>
      </c>
      <c r="H15" s="423">
        <v>1</v>
      </c>
      <c r="I15" s="425" t="s">
        <v>1102</v>
      </c>
      <c r="J15" s="423"/>
    </row>
    <row r="16" spans="2:10">
      <c r="B16" s="423">
        <f t="shared" si="0"/>
        <v>12</v>
      </c>
      <c r="C16" s="57" t="s">
        <v>352</v>
      </c>
      <c r="D16" s="57" t="s">
        <v>248</v>
      </c>
      <c r="E16" s="422">
        <v>3</v>
      </c>
      <c r="F16" s="57">
        <v>3</v>
      </c>
      <c r="G16" s="57">
        <v>3</v>
      </c>
      <c r="H16" s="57">
        <v>3</v>
      </c>
      <c r="I16" s="57">
        <v>3</v>
      </c>
      <c r="J16" s="57"/>
    </row>
    <row r="17" spans="2:10">
      <c r="B17" s="423">
        <f t="shared" si="0"/>
        <v>13</v>
      </c>
      <c r="C17" s="57" t="s">
        <v>353</v>
      </c>
      <c r="D17" s="57" t="s">
        <v>248</v>
      </c>
      <c r="E17" s="422">
        <v>1</v>
      </c>
      <c r="F17" s="57">
        <v>1</v>
      </c>
      <c r="G17" s="57">
        <v>1</v>
      </c>
      <c r="H17" s="57">
        <v>1</v>
      </c>
      <c r="I17" s="57">
        <v>1</v>
      </c>
      <c r="J17" s="57"/>
    </row>
    <row r="18" spans="2:10">
      <c r="B18" s="423">
        <f t="shared" si="0"/>
        <v>14</v>
      </c>
      <c r="C18" s="57" t="s">
        <v>706</v>
      </c>
      <c r="D18" s="57" t="s">
        <v>125</v>
      </c>
      <c r="E18" s="422">
        <v>1</v>
      </c>
      <c r="F18" s="57">
        <v>1</v>
      </c>
      <c r="G18" s="57">
        <v>1</v>
      </c>
      <c r="H18" s="57">
        <v>1</v>
      </c>
      <c r="I18" s="57">
        <v>1</v>
      </c>
      <c r="J18" s="57"/>
    </row>
    <row r="19" spans="2:10">
      <c r="B19" s="423">
        <f t="shared" si="0"/>
        <v>15</v>
      </c>
      <c r="C19" s="57" t="s">
        <v>707</v>
      </c>
      <c r="D19" s="57" t="s">
        <v>128</v>
      </c>
      <c r="E19" s="422">
        <v>1</v>
      </c>
      <c r="F19" s="57">
        <v>1</v>
      </c>
      <c r="G19" s="57">
        <v>1</v>
      </c>
      <c r="H19" s="57">
        <v>1</v>
      </c>
      <c r="I19" s="57">
        <v>1</v>
      </c>
      <c r="J19" s="57"/>
    </row>
    <row r="20" spans="2:10">
      <c r="B20" s="423">
        <f t="shared" si="0"/>
        <v>16</v>
      </c>
      <c r="C20" s="57" t="s">
        <v>365</v>
      </c>
      <c r="D20" s="57" t="s">
        <v>182</v>
      </c>
      <c r="E20" s="422">
        <v>1</v>
      </c>
      <c r="F20" s="57">
        <v>1</v>
      </c>
      <c r="G20" s="57">
        <v>1</v>
      </c>
      <c r="H20" s="57">
        <v>1</v>
      </c>
      <c r="I20" s="57">
        <v>1</v>
      </c>
      <c r="J20" s="57"/>
    </row>
    <row r="21" spans="2:10">
      <c r="B21" s="423">
        <f t="shared" si="0"/>
        <v>17</v>
      </c>
      <c r="C21" s="57" t="s">
        <v>369</v>
      </c>
      <c r="D21" s="57" t="s">
        <v>182</v>
      </c>
      <c r="E21" s="422">
        <v>1</v>
      </c>
      <c r="F21" s="57">
        <v>1</v>
      </c>
      <c r="G21" s="57">
        <v>1</v>
      </c>
      <c r="H21" s="57">
        <v>1</v>
      </c>
      <c r="I21" s="57">
        <v>1</v>
      </c>
      <c r="J21" s="57"/>
    </row>
    <row r="22" spans="2:10">
      <c r="B22" s="423">
        <f t="shared" si="0"/>
        <v>18</v>
      </c>
      <c r="C22" s="423" t="s">
        <v>1105</v>
      </c>
      <c r="D22" s="423" t="s">
        <v>125</v>
      </c>
      <c r="E22" s="424" t="s">
        <v>1106</v>
      </c>
      <c r="F22" s="425" t="s">
        <v>1102</v>
      </c>
      <c r="G22" s="425" t="s">
        <v>1102</v>
      </c>
      <c r="H22" s="423">
        <v>1</v>
      </c>
      <c r="I22" s="423">
        <v>3</v>
      </c>
      <c r="J22" s="423"/>
    </row>
    <row r="23" spans="2:10">
      <c r="B23" s="423">
        <f t="shared" si="0"/>
        <v>19</v>
      </c>
      <c r="C23" s="423" t="s">
        <v>371</v>
      </c>
      <c r="D23" s="423" t="s">
        <v>185</v>
      </c>
      <c r="E23" s="424" t="s">
        <v>1107</v>
      </c>
      <c r="F23" s="425" t="s">
        <v>1102</v>
      </c>
      <c r="G23" s="425" t="s">
        <v>1102</v>
      </c>
      <c r="H23" s="423">
        <v>1</v>
      </c>
      <c r="I23" s="423">
        <v>3</v>
      </c>
      <c r="J23" s="423"/>
    </row>
    <row r="24" spans="2:10">
      <c r="B24" s="423">
        <f t="shared" si="0"/>
        <v>20</v>
      </c>
      <c r="C24" s="423" t="s">
        <v>288</v>
      </c>
      <c r="D24" s="423" t="s">
        <v>182</v>
      </c>
      <c r="E24" s="424" t="s">
        <v>1108</v>
      </c>
      <c r="F24" s="425" t="s">
        <v>1102</v>
      </c>
      <c r="G24" s="425" t="s">
        <v>1102</v>
      </c>
      <c r="H24" s="423">
        <v>3</v>
      </c>
      <c r="I24" s="423">
        <v>3</v>
      </c>
      <c r="J24" s="423"/>
    </row>
    <row r="25" spans="2:10">
      <c r="B25" s="423">
        <f t="shared" si="0"/>
        <v>21</v>
      </c>
      <c r="C25" s="57" t="s">
        <v>383</v>
      </c>
      <c r="D25" s="57" t="s">
        <v>185</v>
      </c>
      <c r="E25" s="422">
        <v>1</v>
      </c>
      <c r="F25" s="57">
        <v>1</v>
      </c>
      <c r="G25" s="57">
        <v>1</v>
      </c>
      <c r="H25" s="57">
        <v>1</v>
      </c>
      <c r="I25" s="57">
        <v>1</v>
      </c>
      <c r="J25" s="57"/>
    </row>
    <row r="26" spans="2:10">
      <c r="B26" s="423">
        <f t="shared" si="0"/>
        <v>22</v>
      </c>
      <c r="C26" s="57" t="s">
        <v>385</v>
      </c>
      <c r="D26" s="57" t="s">
        <v>182</v>
      </c>
      <c r="E26" s="422">
        <v>1</v>
      </c>
      <c r="F26" s="57">
        <v>1</v>
      </c>
      <c r="G26" s="57">
        <v>1</v>
      </c>
      <c r="H26" s="57">
        <v>1</v>
      </c>
      <c r="I26" s="57">
        <v>1</v>
      </c>
      <c r="J26" s="57"/>
    </row>
    <row r="27" spans="2:10">
      <c r="B27" s="423">
        <f t="shared" si="0"/>
        <v>23</v>
      </c>
      <c r="C27" s="57" t="s">
        <v>386</v>
      </c>
      <c r="D27" s="57" t="s">
        <v>188</v>
      </c>
      <c r="E27" s="422">
        <v>1</v>
      </c>
      <c r="F27" s="57">
        <v>1</v>
      </c>
      <c r="G27" s="57">
        <v>1</v>
      </c>
      <c r="H27" s="57">
        <v>1</v>
      </c>
      <c r="I27" s="57">
        <v>1</v>
      </c>
      <c r="J27" s="57"/>
    </row>
    <row r="28" spans="2:10">
      <c r="B28" s="423">
        <f t="shared" si="0"/>
        <v>24</v>
      </c>
      <c r="C28" s="423" t="s">
        <v>267</v>
      </c>
      <c r="D28" s="423" t="s">
        <v>182</v>
      </c>
      <c r="E28" s="424" t="s">
        <v>945</v>
      </c>
      <c r="F28" s="425" t="s">
        <v>1102</v>
      </c>
      <c r="G28" s="423">
        <v>3</v>
      </c>
      <c r="H28" s="423">
        <v>3</v>
      </c>
      <c r="I28" s="425" t="s">
        <v>1102</v>
      </c>
      <c r="J28" s="423"/>
    </row>
    <row r="29" spans="2:10">
      <c r="B29" s="423">
        <f t="shared" si="0"/>
        <v>25</v>
      </c>
      <c r="C29" s="57" t="s">
        <v>392</v>
      </c>
      <c r="D29" s="57" t="s">
        <v>182</v>
      </c>
      <c r="E29" s="422">
        <v>1</v>
      </c>
      <c r="F29" s="57">
        <v>1</v>
      </c>
      <c r="G29" s="57">
        <v>1</v>
      </c>
      <c r="H29" s="57">
        <v>1</v>
      </c>
      <c r="I29" s="57">
        <v>1</v>
      </c>
      <c r="J29" s="57"/>
    </row>
    <row r="30" spans="2:10">
      <c r="B30" s="423">
        <f t="shared" si="0"/>
        <v>26</v>
      </c>
      <c r="C30" s="57" t="s">
        <v>418</v>
      </c>
      <c r="D30" s="57" t="s">
        <v>185</v>
      </c>
      <c r="E30" s="422">
        <v>1</v>
      </c>
      <c r="F30" s="57">
        <v>1</v>
      </c>
      <c r="G30" s="57">
        <v>1</v>
      </c>
      <c r="H30" s="57">
        <v>1</v>
      </c>
      <c r="I30" s="57">
        <v>1</v>
      </c>
      <c r="J30" s="57"/>
    </row>
    <row r="31" spans="2:10">
      <c r="B31" s="423">
        <f t="shared" si="0"/>
        <v>27</v>
      </c>
      <c r="C31" s="57" t="s">
        <v>423</v>
      </c>
      <c r="D31" s="57" t="s">
        <v>182</v>
      </c>
      <c r="E31" s="422">
        <v>1</v>
      </c>
      <c r="F31" s="57">
        <v>1</v>
      </c>
      <c r="G31" s="57">
        <v>1</v>
      </c>
      <c r="H31" s="57">
        <v>1</v>
      </c>
      <c r="I31" s="57">
        <v>1</v>
      </c>
      <c r="J31" s="57"/>
    </row>
    <row r="32" spans="2:10">
      <c r="B32" s="423">
        <f t="shared" si="0"/>
        <v>28</v>
      </c>
      <c r="C32" s="57" t="s">
        <v>427</v>
      </c>
      <c r="D32" s="57" t="s">
        <v>182</v>
      </c>
      <c r="E32" s="422">
        <v>1</v>
      </c>
      <c r="F32" s="57">
        <v>1</v>
      </c>
      <c r="G32" s="57">
        <v>1</v>
      </c>
      <c r="H32" s="57">
        <v>1</v>
      </c>
      <c r="I32" s="57">
        <v>1</v>
      </c>
      <c r="J32" s="57"/>
    </row>
    <row r="33" spans="2:10">
      <c r="B33" s="423">
        <f t="shared" si="0"/>
        <v>29</v>
      </c>
      <c r="C33" s="57" t="s">
        <v>444</v>
      </c>
      <c r="D33" s="57" t="s">
        <v>123</v>
      </c>
      <c r="E33" s="422">
        <v>3</v>
      </c>
      <c r="F33" s="57">
        <v>3</v>
      </c>
      <c r="G33" s="57">
        <v>3</v>
      </c>
      <c r="H33" s="57">
        <v>3</v>
      </c>
      <c r="I33" s="57">
        <v>3</v>
      </c>
      <c r="J33" s="57"/>
    </row>
    <row r="34" spans="2:10">
      <c r="B34" s="423">
        <f t="shared" si="0"/>
        <v>30</v>
      </c>
      <c r="C34" s="57" t="s">
        <v>445</v>
      </c>
      <c r="D34" s="57" t="s">
        <v>132</v>
      </c>
      <c r="E34" s="422">
        <v>3</v>
      </c>
      <c r="F34" s="57">
        <v>3</v>
      </c>
      <c r="G34" s="57">
        <v>3</v>
      </c>
      <c r="H34" s="57">
        <v>3</v>
      </c>
      <c r="I34" s="57">
        <v>3</v>
      </c>
      <c r="J34" s="57"/>
    </row>
    <row r="35" spans="2:10">
      <c r="B35" s="423">
        <f t="shared" si="0"/>
        <v>31</v>
      </c>
      <c r="C35" s="57" t="s">
        <v>728</v>
      </c>
      <c r="D35" s="57" t="s">
        <v>115</v>
      </c>
      <c r="E35" s="422">
        <v>1</v>
      </c>
      <c r="F35" s="57">
        <v>1</v>
      </c>
      <c r="G35" s="57">
        <v>1</v>
      </c>
      <c r="H35" s="57">
        <v>1</v>
      </c>
      <c r="I35" s="57">
        <v>1</v>
      </c>
      <c r="J35" s="57"/>
    </row>
    <row r="36" spans="2:10">
      <c r="B36" s="423">
        <f t="shared" si="0"/>
        <v>32</v>
      </c>
      <c r="C36" s="57" t="s">
        <v>458</v>
      </c>
      <c r="D36" s="57" t="s">
        <v>132</v>
      </c>
      <c r="E36" s="422">
        <v>3</v>
      </c>
      <c r="F36" s="57">
        <v>3</v>
      </c>
      <c r="G36" s="57">
        <v>3</v>
      </c>
      <c r="H36" s="57">
        <v>3</v>
      </c>
      <c r="I36" s="57">
        <v>3</v>
      </c>
      <c r="J36" s="57"/>
    </row>
    <row r="37" spans="2:10">
      <c r="B37" s="423">
        <f t="shared" si="0"/>
        <v>33</v>
      </c>
      <c r="C37" s="57" t="s">
        <v>459</v>
      </c>
      <c r="D37" s="57" t="s">
        <v>123</v>
      </c>
      <c r="E37" s="422">
        <v>2</v>
      </c>
      <c r="F37" s="57">
        <v>3</v>
      </c>
      <c r="G37" s="57">
        <v>3</v>
      </c>
      <c r="H37" s="57">
        <v>3</v>
      </c>
      <c r="I37" s="57">
        <v>3</v>
      </c>
      <c r="J37" s="57"/>
    </row>
    <row r="38" spans="2:10">
      <c r="B38" s="423">
        <f t="shared" si="0"/>
        <v>34</v>
      </c>
      <c r="C38" s="57" t="s">
        <v>464</v>
      </c>
      <c r="D38" s="57" t="s">
        <v>115</v>
      </c>
      <c r="E38" s="422">
        <v>1</v>
      </c>
      <c r="F38" s="57">
        <v>1</v>
      </c>
      <c r="G38" s="57">
        <v>1</v>
      </c>
      <c r="H38" s="57">
        <v>1</v>
      </c>
      <c r="I38" s="57">
        <v>1</v>
      </c>
      <c r="J38" s="57"/>
    </row>
  </sheetData>
  <mergeCells count="5">
    <mergeCell ref="B3:B4"/>
    <mergeCell ref="C3:C4"/>
    <mergeCell ref="D3:D4"/>
    <mergeCell ref="F3:I3"/>
    <mergeCell ref="J3:J4"/>
  </mergeCells>
  <pageMargins left="0.7" right="0.7" top="0.75" bottom="0.75" header="0.3" footer="0.3"/>
  <pageSetup paperSize="9"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71600A-B3EF-478B-9FF0-1D34EAD0AA31}">
  <sheetPr>
    <pageSetUpPr fitToPage="1"/>
  </sheetPr>
  <dimension ref="A1:V242"/>
  <sheetViews>
    <sheetView view="pageBreakPreview" zoomScale="60" zoomScaleNormal="85" workbookViewId="0">
      <selection activeCell="G6" sqref="G6"/>
    </sheetView>
  </sheetViews>
  <sheetFormatPr defaultRowHeight="14.5"/>
  <sheetData>
    <row r="1" spans="1:22">
      <c r="A1" s="1678" t="s">
        <v>298</v>
      </c>
      <c r="B1" s="1678"/>
      <c r="C1" s="1678"/>
      <c r="D1" s="1678"/>
      <c r="E1" s="1678"/>
      <c r="F1" s="1678"/>
      <c r="G1" s="1678"/>
      <c r="H1" s="1678"/>
      <c r="I1" s="1678"/>
      <c r="J1" s="1678"/>
      <c r="K1" s="1678"/>
      <c r="L1" s="1678"/>
      <c r="M1" s="1678"/>
      <c r="N1" s="1678"/>
      <c r="O1" s="1678"/>
      <c r="P1" s="1678"/>
      <c r="Q1" s="1678"/>
      <c r="R1" s="1678"/>
      <c r="S1" s="1678"/>
      <c r="T1" s="1678"/>
      <c r="U1" s="1678"/>
      <c r="V1" s="1679"/>
    </row>
    <row r="2" spans="1:22" ht="15" thickBot="1">
      <c r="A2" s="1680" t="s">
        <v>299</v>
      </c>
      <c r="B2" s="1510"/>
      <c r="C2" s="1510"/>
      <c r="D2" s="1510"/>
      <c r="E2" s="1510"/>
      <c r="F2" s="1510"/>
      <c r="G2" s="1510"/>
      <c r="H2" s="1510"/>
      <c r="I2" s="1510"/>
      <c r="J2" s="1510"/>
      <c r="K2" s="1510"/>
      <c r="L2" s="1510"/>
      <c r="M2" s="1510"/>
      <c r="N2" s="1510"/>
      <c r="O2" s="1510"/>
      <c r="P2" s="1510"/>
      <c r="Q2" s="1510"/>
      <c r="R2" s="1510"/>
      <c r="S2" s="1510"/>
      <c r="T2" s="1510"/>
      <c r="U2" s="1510"/>
      <c r="V2" s="1681"/>
    </row>
    <row r="3" spans="1:22">
      <c r="A3" s="125"/>
      <c r="B3" s="126"/>
      <c r="C3" s="126"/>
      <c r="D3" s="126"/>
      <c r="E3" s="126"/>
      <c r="F3" s="126"/>
      <c r="G3" s="126"/>
      <c r="H3" s="126"/>
      <c r="I3" s="126"/>
      <c r="J3" s="126"/>
      <c r="K3" s="126"/>
      <c r="L3" s="126"/>
      <c r="M3" s="126"/>
      <c r="N3" s="126"/>
      <c r="O3" s="126"/>
      <c r="P3" s="126"/>
      <c r="Q3" s="126"/>
      <c r="R3" s="126"/>
      <c r="S3" s="126"/>
      <c r="T3" s="126"/>
      <c r="U3" s="163"/>
      <c r="V3" s="164"/>
    </row>
    <row r="4" spans="1:22">
      <c r="A4" s="1673" t="s">
        <v>300</v>
      </c>
      <c r="B4" s="1501"/>
      <c r="C4" s="127"/>
      <c r="D4" s="1674" t="s">
        <v>1086</v>
      </c>
      <c r="E4" s="1675"/>
      <c r="F4" s="1669" t="s">
        <v>302</v>
      </c>
      <c r="G4" s="1671" t="s">
        <v>303</v>
      </c>
      <c r="H4" s="1512" t="s">
        <v>304</v>
      </c>
      <c r="I4" s="1513"/>
      <c r="J4" s="1514"/>
      <c r="K4" s="128" t="s">
        <v>305</v>
      </c>
      <c r="L4" s="1512" t="s">
        <v>306</v>
      </c>
      <c r="M4" s="1513"/>
      <c r="N4" s="1514"/>
      <c r="O4" s="1512" t="s">
        <v>307</v>
      </c>
      <c r="P4" s="1513"/>
      <c r="Q4" s="1514"/>
      <c r="R4" s="1682"/>
      <c r="S4" s="1515"/>
      <c r="T4" s="1515"/>
      <c r="U4" s="166"/>
      <c r="V4" s="167"/>
    </row>
    <row r="5" spans="1:22">
      <c r="A5" s="1673"/>
      <c r="B5" s="1501"/>
      <c r="C5" s="127"/>
      <c r="D5" s="1676"/>
      <c r="E5" s="1677"/>
      <c r="F5" s="1670"/>
      <c r="G5" s="1672"/>
      <c r="H5" s="128" t="s">
        <v>308</v>
      </c>
      <c r="I5" s="128" t="s">
        <v>278</v>
      </c>
      <c r="J5" s="128" t="s">
        <v>309</v>
      </c>
      <c r="K5" s="128" t="s">
        <v>308</v>
      </c>
      <c r="L5" s="128" t="s">
        <v>308</v>
      </c>
      <c r="M5" s="128" t="s">
        <v>278</v>
      </c>
      <c r="N5" s="128" t="s">
        <v>309</v>
      </c>
      <c r="O5" s="128" t="s">
        <v>308</v>
      </c>
      <c r="P5" s="128" t="s">
        <v>278</v>
      </c>
      <c r="Q5" s="128" t="s">
        <v>309</v>
      </c>
      <c r="R5" s="165"/>
      <c r="S5" s="165"/>
      <c r="T5" s="165"/>
      <c r="U5" s="166"/>
      <c r="V5" s="167"/>
    </row>
    <row r="6" spans="1:22">
      <c r="A6" s="129"/>
      <c r="B6" s="127"/>
      <c r="C6" s="127"/>
      <c r="D6" s="1685" t="s">
        <v>1085</v>
      </c>
      <c r="E6" s="1494"/>
      <c r="F6" s="130">
        <v>171</v>
      </c>
      <c r="G6" s="131">
        <v>74</v>
      </c>
      <c r="H6" s="130">
        <v>34</v>
      </c>
      <c r="I6" s="130">
        <v>3</v>
      </c>
      <c r="J6" s="130">
        <f>F6-H6-I6</f>
        <v>134</v>
      </c>
      <c r="K6" s="130">
        <v>21</v>
      </c>
      <c r="L6" s="130"/>
      <c r="M6" s="130"/>
      <c r="N6" s="130">
        <f>F6-L6</f>
        <v>171</v>
      </c>
      <c r="O6" s="130"/>
      <c r="P6" s="130"/>
      <c r="Q6" s="168">
        <f>G6-O6</f>
        <v>74</v>
      </c>
      <c r="R6" s="165"/>
      <c r="S6" s="165"/>
      <c r="T6" s="169"/>
      <c r="U6" s="166"/>
      <c r="V6" s="167"/>
    </row>
    <row r="7" spans="1:22">
      <c r="A7" s="132"/>
      <c r="B7" s="133"/>
      <c r="C7" s="133"/>
      <c r="D7" s="133"/>
      <c r="E7" s="133"/>
      <c r="F7" s="133"/>
      <c r="G7" s="133"/>
      <c r="H7" s="133"/>
      <c r="I7" s="133"/>
      <c r="J7" s="133"/>
      <c r="K7" s="133"/>
      <c r="L7" s="133"/>
      <c r="M7" s="133"/>
      <c r="N7" s="133"/>
      <c r="O7" s="133"/>
      <c r="P7" s="133"/>
      <c r="Q7" s="133"/>
      <c r="R7" s="133"/>
      <c r="S7" s="133"/>
      <c r="T7" s="133"/>
      <c r="U7" s="404"/>
      <c r="V7" s="167"/>
    </row>
    <row r="8" spans="1:22">
      <c r="A8" s="132"/>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404"/>
      <c r="V8" s="167"/>
    </row>
    <row r="9" spans="1:22">
      <c r="A9" s="132"/>
      <c r="B9" s="133"/>
      <c r="C9" s="133"/>
      <c r="D9" s="133"/>
      <c r="E9" s="133"/>
      <c r="F9" s="133"/>
      <c r="G9" s="133"/>
      <c r="H9" s="133"/>
      <c r="I9" s="133"/>
      <c r="J9" s="133"/>
      <c r="K9" s="133"/>
      <c r="L9" s="133"/>
      <c r="M9" s="133"/>
      <c r="N9" s="133"/>
      <c r="O9" s="133"/>
      <c r="P9" s="133"/>
      <c r="Q9" s="133"/>
      <c r="R9" s="133"/>
      <c r="S9" s="133"/>
      <c r="T9" s="133"/>
      <c r="U9" s="404"/>
      <c r="V9" s="167"/>
    </row>
    <row r="10" spans="1:22" ht="15" thickBot="1">
      <c r="A10" s="134"/>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405">
        <f>B10+F10+H10+J10+L10+D10+N10+P10+R10+T10</f>
        <v>3579.8500000000004</v>
      </c>
      <c r="V10" s="167"/>
    </row>
    <row r="11" spans="1:22" ht="15.5" thickTop="1" thickBot="1">
      <c r="A11" s="136"/>
      <c r="B11" s="137"/>
      <c r="C11" s="138"/>
      <c r="D11" s="139"/>
      <c r="E11" s="138"/>
      <c r="F11" s="133"/>
      <c r="G11" s="140"/>
      <c r="H11" s="139"/>
      <c r="I11" s="140"/>
      <c r="J11" s="139"/>
      <c r="K11" s="140"/>
      <c r="L11" s="139"/>
      <c r="M11" s="140"/>
      <c r="N11" s="139"/>
      <c r="O11" s="140"/>
      <c r="P11" s="139"/>
      <c r="Q11" s="140"/>
      <c r="R11" s="139"/>
      <c r="S11" s="140"/>
      <c r="T11" s="162"/>
      <c r="U11" s="405"/>
      <c r="V11" s="167"/>
    </row>
    <row r="12" spans="1:22" ht="15.5" thickTop="1" thickBot="1">
      <c r="A12" s="132"/>
      <c r="B12" s="133"/>
      <c r="C12" s="141"/>
      <c r="D12" s="139"/>
      <c r="E12" s="141"/>
      <c r="F12" s="133"/>
      <c r="G12" s="141"/>
      <c r="H12" s="139"/>
      <c r="I12" s="141"/>
      <c r="J12" s="139"/>
      <c r="K12" s="141"/>
      <c r="L12" s="139"/>
      <c r="M12" s="141"/>
      <c r="N12" s="139"/>
      <c r="O12" s="141"/>
      <c r="P12" s="139"/>
      <c r="Q12" s="141"/>
      <c r="R12" s="139"/>
      <c r="S12" s="141"/>
      <c r="T12" s="162"/>
      <c r="U12" s="404"/>
      <c r="V12" s="167"/>
    </row>
    <row r="13" spans="1:22" ht="15" thickTop="1">
      <c r="A13" s="142"/>
      <c r="B13" s="143"/>
      <c r="C13" s="144" t="s">
        <v>310</v>
      </c>
      <c r="D13" s="145"/>
      <c r="E13" s="384" t="s">
        <v>272</v>
      </c>
      <c r="F13" s="145"/>
      <c r="G13" s="384" t="s">
        <v>273</v>
      </c>
      <c r="H13" s="145"/>
      <c r="I13" s="384" t="s">
        <v>311</v>
      </c>
      <c r="J13" s="133"/>
      <c r="K13" s="144" t="s">
        <v>312</v>
      </c>
      <c r="L13" s="133"/>
      <c r="M13" s="384" t="s">
        <v>313</v>
      </c>
      <c r="N13" s="133"/>
      <c r="O13" s="144" t="s">
        <v>314</v>
      </c>
      <c r="P13" s="133"/>
      <c r="Q13" s="144" t="s">
        <v>315</v>
      </c>
      <c r="R13" s="133"/>
      <c r="S13" s="384" t="s">
        <v>316</v>
      </c>
      <c r="T13" s="133"/>
      <c r="U13" s="404"/>
      <c r="V13" s="167"/>
    </row>
    <row r="14" spans="1:22">
      <c r="A14" s="142"/>
      <c r="B14" s="143"/>
      <c r="C14" s="144" t="s">
        <v>117</v>
      </c>
      <c r="D14" s="145"/>
      <c r="E14" s="145" t="s">
        <v>185</v>
      </c>
      <c r="F14" s="145"/>
      <c r="G14" s="133" t="s">
        <v>182</v>
      </c>
      <c r="H14" s="145"/>
      <c r="I14" s="133" t="s">
        <v>185</v>
      </c>
      <c r="J14" s="133"/>
      <c r="K14" s="144" t="s">
        <v>119</v>
      </c>
      <c r="L14" s="133"/>
      <c r="M14" s="133" t="s">
        <v>242</v>
      </c>
      <c r="N14" s="133"/>
      <c r="O14" s="144" t="s">
        <v>125</v>
      </c>
      <c r="P14" s="133"/>
      <c r="Q14" s="144" t="s">
        <v>319</v>
      </c>
      <c r="R14" s="133"/>
      <c r="S14" s="133" t="s">
        <v>185</v>
      </c>
      <c r="T14" s="133"/>
      <c r="U14" s="404"/>
      <c r="V14" s="167"/>
    </row>
    <row r="15" spans="1:22">
      <c r="A15" s="272"/>
      <c r="B15" s="172"/>
      <c r="C15" s="172"/>
      <c r="D15" s="172"/>
      <c r="E15" s="172"/>
      <c r="F15" s="172"/>
      <c r="G15" s="172"/>
      <c r="H15" s="172"/>
      <c r="I15" s="172"/>
      <c r="J15" s="172"/>
      <c r="K15" s="159" t="s">
        <v>220</v>
      </c>
      <c r="L15" s="172"/>
      <c r="M15" s="159" t="s">
        <v>220</v>
      </c>
      <c r="N15" s="172"/>
      <c r="O15" s="172"/>
      <c r="P15" s="172"/>
      <c r="Q15" s="172"/>
      <c r="R15" s="172"/>
      <c r="S15" s="172"/>
      <c r="T15" s="172"/>
      <c r="U15" s="406"/>
      <c r="V15" s="174"/>
    </row>
    <row r="16" spans="1:22">
      <c r="A16" s="152"/>
      <c r="B16" s="175"/>
      <c r="C16" s="175"/>
      <c r="D16" s="175"/>
      <c r="E16" s="175"/>
      <c r="F16" s="175"/>
      <c r="G16" s="175"/>
      <c r="H16" s="175"/>
      <c r="I16" s="175"/>
      <c r="J16" s="175"/>
      <c r="K16" s="175"/>
      <c r="L16" s="175"/>
      <c r="M16" s="175"/>
      <c r="N16" s="175"/>
      <c r="O16" s="175"/>
      <c r="P16" s="175"/>
      <c r="Q16" s="175"/>
      <c r="R16" s="175"/>
      <c r="S16" s="175"/>
      <c r="T16" s="175"/>
      <c r="U16" s="175"/>
      <c r="V16" s="407"/>
    </row>
    <row r="17" spans="1:22">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280"/>
    </row>
    <row r="18" spans="1:22">
      <c r="A18" s="132"/>
      <c r="B18" s="133"/>
      <c r="C18" s="133"/>
      <c r="D18" s="133"/>
      <c r="E18" s="133"/>
      <c r="F18" s="133"/>
      <c r="G18" s="133"/>
      <c r="H18" s="133"/>
      <c r="I18" s="133"/>
      <c r="J18" s="133"/>
      <c r="K18" s="133"/>
      <c r="L18" s="133"/>
      <c r="M18" s="133"/>
      <c r="N18" s="133"/>
      <c r="O18" s="133"/>
      <c r="P18" s="133"/>
      <c r="Q18" s="133"/>
      <c r="R18" s="133"/>
      <c r="S18" s="133"/>
      <c r="T18" s="133"/>
      <c r="U18" s="133"/>
      <c r="V18" s="280"/>
    </row>
    <row r="19" spans="1:22" ht="15" thickBot="1">
      <c r="A19" s="132"/>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281">
        <f>C19+G19+I19+K19+M19+E19+O19+Q19+S19+U19</f>
        <v>3657.9500000000003</v>
      </c>
    </row>
    <row r="20" spans="1:22" ht="15.5" thickTop="1" thickBot="1">
      <c r="A20" s="132"/>
      <c r="B20" s="140"/>
      <c r="C20" s="139"/>
      <c r="D20" s="140"/>
      <c r="E20" s="139"/>
      <c r="F20" s="140"/>
      <c r="G20" s="133"/>
      <c r="H20" s="140"/>
      <c r="I20" s="139"/>
      <c r="J20" s="140"/>
      <c r="K20" s="139"/>
      <c r="L20" s="140"/>
      <c r="M20" s="139"/>
      <c r="N20" s="140"/>
      <c r="O20" s="139"/>
      <c r="P20" s="140"/>
      <c r="Q20" s="139"/>
      <c r="R20" s="140"/>
      <c r="S20" s="139"/>
      <c r="T20" s="140"/>
      <c r="U20" s="162"/>
      <c r="V20" s="281"/>
    </row>
    <row r="21" spans="1:22" ht="15.5" thickTop="1" thickBot="1">
      <c r="A21" s="132"/>
      <c r="B21" s="141"/>
      <c r="C21" s="139"/>
      <c r="D21" s="141"/>
      <c r="E21" s="139"/>
      <c r="F21" s="141"/>
      <c r="G21" s="133"/>
      <c r="H21" s="141"/>
      <c r="I21" s="139"/>
      <c r="J21" s="141"/>
      <c r="K21" s="139"/>
      <c r="L21" s="141"/>
      <c r="M21" s="139"/>
      <c r="N21" s="141"/>
      <c r="O21" s="139"/>
      <c r="P21" s="141"/>
      <c r="Q21" s="139"/>
      <c r="R21" s="141"/>
      <c r="S21" s="139"/>
      <c r="T21" s="141"/>
      <c r="U21" s="162"/>
      <c r="V21" s="280"/>
    </row>
    <row r="22" spans="1:22" ht="15" thickTop="1">
      <c r="A22" s="132"/>
      <c r="B22" s="384" t="s">
        <v>320</v>
      </c>
      <c r="C22" s="133"/>
      <c r="D22" s="384" t="s">
        <v>321</v>
      </c>
      <c r="E22" s="133"/>
      <c r="F22" s="144" t="s">
        <v>322</v>
      </c>
      <c r="G22" s="133"/>
      <c r="H22" s="144" t="s">
        <v>323</v>
      </c>
      <c r="I22" s="133"/>
      <c r="J22" s="144" t="s">
        <v>324</v>
      </c>
      <c r="K22" s="133"/>
      <c r="L22" s="384" t="s">
        <v>325</v>
      </c>
      <c r="M22" s="133"/>
      <c r="N22" s="144" t="s">
        <v>326</v>
      </c>
      <c r="O22" s="133"/>
      <c r="P22" s="384" t="s">
        <v>327</v>
      </c>
      <c r="Q22" s="133"/>
      <c r="R22" s="384" t="s">
        <v>328</v>
      </c>
      <c r="S22" s="133"/>
      <c r="T22" s="144" t="s">
        <v>329</v>
      </c>
      <c r="U22" s="133"/>
      <c r="V22" s="179"/>
    </row>
    <row r="23" spans="1:22">
      <c r="A23" s="132"/>
      <c r="B23" s="133" t="s">
        <v>242</v>
      </c>
      <c r="C23" s="133"/>
      <c r="D23" s="133" t="s">
        <v>185</v>
      </c>
      <c r="E23" s="133"/>
      <c r="F23" s="144" t="s">
        <v>117</v>
      </c>
      <c r="G23" s="133"/>
      <c r="H23" s="144" t="s">
        <v>330</v>
      </c>
      <c r="I23" s="133"/>
      <c r="J23" s="144" t="s">
        <v>132</v>
      </c>
      <c r="K23" s="133"/>
      <c r="L23" s="145" t="s">
        <v>182</v>
      </c>
      <c r="M23" s="133"/>
      <c r="N23" s="144" t="s">
        <v>132</v>
      </c>
      <c r="O23" s="133"/>
      <c r="P23" s="145" t="s">
        <v>242</v>
      </c>
      <c r="Q23" s="133"/>
      <c r="R23" s="145" t="s">
        <v>242</v>
      </c>
      <c r="S23" s="133"/>
      <c r="T23" s="144" t="s">
        <v>330</v>
      </c>
      <c r="U23" s="133"/>
      <c r="V23" s="179"/>
    </row>
    <row r="24" spans="1:22">
      <c r="A24" s="132"/>
      <c r="B24" s="144" t="s">
        <v>331</v>
      </c>
      <c r="C24" s="133"/>
      <c r="D24" s="144" t="s">
        <v>220</v>
      </c>
      <c r="E24" s="133"/>
      <c r="F24" s="144" t="s">
        <v>220</v>
      </c>
      <c r="G24" s="133"/>
      <c r="H24" s="144" t="s">
        <v>331</v>
      </c>
      <c r="I24" s="133"/>
      <c r="J24" s="133"/>
      <c r="K24" s="133"/>
      <c r="L24" s="144" t="s">
        <v>332</v>
      </c>
      <c r="M24" s="133"/>
      <c r="N24" s="133"/>
      <c r="O24" s="133"/>
      <c r="P24" s="160"/>
      <c r="Q24" s="133"/>
      <c r="R24" s="144" t="s">
        <v>331</v>
      </c>
      <c r="S24" s="133"/>
      <c r="T24" s="144" t="s">
        <v>331</v>
      </c>
      <c r="U24" s="143"/>
      <c r="V24" s="280"/>
    </row>
    <row r="25" spans="1:22">
      <c r="A25" s="132"/>
      <c r="B25" s="133"/>
      <c r="C25" s="133"/>
      <c r="D25" s="133"/>
      <c r="E25" s="133"/>
      <c r="F25" s="133"/>
      <c r="G25" s="133"/>
      <c r="H25" s="133"/>
      <c r="I25" s="133"/>
      <c r="J25" s="133"/>
      <c r="K25" s="133"/>
      <c r="L25" s="133"/>
      <c r="M25" s="133"/>
      <c r="N25" s="133"/>
      <c r="O25" s="133"/>
      <c r="P25" s="133"/>
      <c r="Q25" s="133"/>
      <c r="R25" s="133"/>
      <c r="S25" s="133"/>
      <c r="T25" s="133"/>
      <c r="U25" s="133"/>
      <c r="V25" s="280"/>
    </row>
    <row r="26" spans="1:22">
      <c r="A26" s="132"/>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280"/>
    </row>
    <row r="27" spans="1:22">
      <c r="A27" s="132"/>
      <c r="B27" s="133"/>
      <c r="C27" s="133"/>
      <c r="D27" s="133"/>
      <c r="E27" s="133"/>
      <c r="F27" s="133"/>
      <c r="G27" s="133"/>
      <c r="H27" s="133"/>
      <c r="I27" s="133"/>
      <c r="J27" s="133"/>
      <c r="K27" s="133"/>
      <c r="L27" s="133"/>
      <c r="M27" s="133"/>
      <c r="N27" s="133"/>
      <c r="O27" s="133"/>
      <c r="P27" s="133"/>
      <c r="Q27" s="133"/>
      <c r="R27" s="133"/>
      <c r="S27" s="133"/>
      <c r="T27" s="133"/>
      <c r="U27" s="133"/>
      <c r="V27" s="280"/>
    </row>
    <row r="28" spans="1:22" ht="15" thickBot="1">
      <c r="A28" s="132"/>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281">
        <f>C28+G28+I28+K28+M28+E28+O28+Q28+S28+U28</f>
        <v>3669.3599999999997</v>
      </c>
    </row>
    <row r="29" spans="1:22" ht="15.5" thickTop="1" thickBot="1">
      <c r="A29" s="132"/>
      <c r="B29" s="138"/>
      <c r="C29" s="139"/>
      <c r="D29" s="140"/>
      <c r="E29" s="139"/>
      <c r="F29" s="140"/>
      <c r="G29" s="133"/>
      <c r="H29" s="140"/>
      <c r="I29" s="139"/>
      <c r="J29" s="140"/>
      <c r="K29" s="139"/>
      <c r="L29" s="140"/>
      <c r="M29" s="139"/>
      <c r="N29" s="138"/>
      <c r="O29" s="139"/>
      <c r="P29" s="140"/>
      <c r="Q29" s="139"/>
      <c r="R29" s="138"/>
      <c r="S29" s="139"/>
      <c r="T29" s="140"/>
      <c r="U29" s="162"/>
      <c r="V29" s="281"/>
    </row>
    <row r="30" spans="1:22" ht="15.5" thickTop="1" thickBot="1">
      <c r="A30" s="132"/>
      <c r="B30" s="141"/>
      <c r="C30" s="139"/>
      <c r="D30" s="141"/>
      <c r="E30" s="139"/>
      <c r="F30" s="141"/>
      <c r="G30" s="133"/>
      <c r="H30" s="141"/>
      <c r="I30" s="139"/>
      <c r="J30" s="141"/>
      <c r="K30" s="139"/>
      <c r="L30" s="141"/>
      <c r="M30" s="139"/>
      <c r="N30" s="141"/>
      <c r="O30" s="139"/>
      <c r="P30" s="141"/>
      <c r="Q30" s="139"/>
      <c r="R30" s="141"/>
      <c r="S30" s="139"/>
      <c r="T30" s="141"/>
      <c r="U30" s="162"/>
      <c r="V30" s="280"/>
    </row>
    <row r="31" spans="1:22" ht="15" thickTop="1">
      <c r="A31" s="132"/>
      <c r="B31" s="144" t="s">
        <v>333</v>
      </c>
      <c r="C31" s="133"/>
      <c r="D31" s="144" t="s">
        <v>334</v>
      </c>
      <c r="E31" s="133"/>
      <c r="F31" s="384" t="s">
        <v>335</v>
      </c>
      <c r="G31" s="133"/>
      <c r="H31" s="144" t="s">
        <v>336</v>
      </c>
      <c r="I31" s="133"/>
      <c r="J31" s="384" t="s">
        <v>337</v>
      </c>
      <c r="K31" s="133"/>
      <c r="L31" s="384" t="s">
        <v>338</v>
      </c>
      <c r="M31" s="133"/>
      <c r="N31" s="384" t="s">
        <v>339</v>
      </c>
      <c r="O31" s="133"/>
      <c r="P31" s="144" t="s">
        <v>340</v>
      </c>
      <c r="Q31" s="133"/>
      <c r="R31" s="384" t="s">
        <v>281</v>
      </c>
      <c r="S31" s="133"/>
      <c r="T31" s="144" t="s">
        <v>341</v>
      </c>
      <c r="U31" s="133"/>
      <c r="V31" s="180"/>
    </row>
    <row r="32" spans="1:22">
      <c r="A32" s="132"/>
      <c r="B32" s="144" t="s">
        <v>330</v>
      </c>
      <c r="C32" s="133"/>
      <c r="D32" s="144" t="s">
        <v>342</v>
      </c>
      <c r="E32" s="133"/>
      <c r="F32" s="145" t="s">
        <v>182</v>
      </c>
      <c r="G32" s="133"/>
      <c r="H32" s="144" t="s">
        <v>343</v>
      </c>
      <c r="I32" s="133"/>
      <c r="J32" s="145" t="s">
        <v>248</v>
      </c>
      <c r="K32" s="133"/>
      <c r="L32" s="145" t="s">
        <v>182</v>
      </c>
      <c r="M32" s="133"/>
      <c r="N32" s="145" t="s">
        <v>248</v>
      </c>
      <c r="O32" s="133"/>
      <c r="P32" s="144" t="s">
        <v>319</v>
      </c>
      <c r="Q32" s="133"/>
      <c r="R32" s="145" t="s">
        <v>248</v>
      </c>
      <c r="S32" s="133"/>
      <c r="T32" s="144" t="s">
        <v>344</v>
      </c>
      <c r="U32" s="133"/>
      <c r="V32" s="180"/>
    </row>
    <row r="33" spans="1:22">
      <c r="A33" s="132"/>
      <c r="B33" s="133"/>
      <c r="C33" s="133"/>
      <c r="D33" s="133"/>
      <c r="E33" s="133"/>
      <c r="F33" s="144" t="s">
        <v>345</v>
      </c>
      <c r="G33" s="133"/>
      <c r="H33" s="144"/>
      <c r="I33" s="133"/>
      <c r="J33" s="155"/>
      <c r="K33" s="155"/>
      <c r="L33" s="155"/>
      <c r="M33" s="155"/>
      <c r="N33" s="144" t="s">
        <v>220</v>
      </c>
      <c r="O33" s="155"/>
      <c r="P33" s="155"/>
      <c r="Q33" s="155"/>
      <c r="R33" s="155"/>
      <c r="S33" s="155"/>
      <c r="T33" s="155"/>
      <c r="U33" s="133"/>
      <c r="V33" s="280"/>
    </row>
    <row r="34" spans="1:22">
      <c r="A34" s="132"/>
      <c r="B34" s="133"/>
      <c r="C34" s="133"/>
      <c r="D34" s="133"/>
      <c r="E34" s="133"/>
      <c r="F34" s="133"/>
      <c r="G34" s="133"/>
      <c r="H34" s="133"/>
      <c r="I34" s="133"/>
      <c r="J34" s="133"/>
      <c r="K34" s="133"/>
      <c r="L34" s="133"/>
      <c r="M34" s="133"/>
      <c r="N34" s="133"/>
      <c r="O34" s="133"/>
      <c r="P34" s="133"/>
      <c r="Q34" s="133"/>
      <c r="R34" s="133"/>
      <c r="S34" s="133"/>
      <c r="T34" s="133"/>
      <c r="U34" s="133"/>
      <c r="V34" s="280"/>
    </row>
    <row r="35" spans="1:22">
      <c r="A35" s="132"/>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280"/>
    </row>
    <row r="36" spans="1:22">
      <c r="A36" s="132"/>
      <c r="B36" s="133"/>
      <c r="C36" s="133"/>
      <c r="D36" s="133"/>
      <c r="E36" s="133"/>
      <c r="F36" s="133"/>
      <c r="G36" s="133"/>
      <c r="H36" s="133"/>
      <c r="I36" s="133"/>
      <c r="J36" s="133"/>
      <c r="K36" s="133"/>
      <c r="L36" s="133"/>
      <c r="M36" s="133"/>
      <c r="N36" s="133"/>
      <c r="O36" s="133"/>
      <c r="P36" s="133"/>
      <c r="Q36" s="133"/>
      <c r="R36" s="133"/>
      <c r="S36" s="133"/>
      <c r="T36" s="133"/>
      <c r="U36" s="133"/>
      <c r="V36" s="280"/>
    </row>
    <row r="37" spans="1:22" ht="15" thickBot="1">
      <c r="A37" s="132"/>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35"/>
      <c r="U37" s="135">
        <v>423.77</v>
      </c>
      <c r="V37" s="281" t="e">
        <f>C37+G37+I37+K37+M37+E37+#REF!+O37+Q37+#REF!</f>
        <v>#REF!</v>
      </c>
    </row>
    <row r="38" spans="1:22" ht="15.5" thickTop="1" thickBot="1">
      <c r="A38" s="132"/>
      <c r="B38" s="140"/>
      <c r="C38" s="139"/>
      <c r="D38" s="140"/>
      <c r="E38" s="139"/>
      <c r="F38" s="140"/>
      <c r="G38" s="133"/>
      <c r="H38" s="140"/>
      <c r="I38" s="139"/>
      <c r="J38" s="140"/>
      <c r="K38" s="139"/>
      <c r="L38" s="140"/>
      <c r="M38" s="139"/>
      <c r="N38" s="140"/>
      <c r="O38" s="137"/>
      <c r="P38" s="140"/>
      <c r="Q38" s="162"/>
      <c r="R38" s="181"/>
      <c r="S38" s="133"/>
      <c r="T38" s="181"/>
      <c r="U38" s="133"/>
      <c r="V38" s="281"/>
    </row>
    <row r="39" spans="1:22" ht="15.5" thickTop="1" thickBot="1">
      <c r="A39" s="132"/>
      <c r="B39" s="141"/>
      <c r="C39" s="139"/>
      <c r="D39" s="141"/>
      <c r="E39" s="139"/>
      <c r="F39" s="141"/>
      <c r="G39" s="133"/>
      <c r="H39" s="141"/>
      <c r="I39" s="139"/>
      <c r="J39" s="141"/>
      <c r="K39" s="139"/>
      <c r="L39" s="141"/>
      <c r="M39" s="139"/>
      <c r="N39" s="141"/>
      <c r="O39" s="137"/>
      <c r="P39" s="141"/>
      <c r="Q39" s="162"/>
      <c r="R39" s="182"/>
      <c r="S39" s="133"/>
      <c r="T39" s="182"/>
      <c r="U39" s="133"/>
      <c r="V39" s="280"/>
    </row>
    <row r="40" spans="1:22" ht="15" thickTop="1">
      <c r="A40" s="132"/>
      <c r="B40" s="384" t="s">
        <v>346</v>
      </c>
      <c r="C40" s="133"/>
      <c r="D40" s="384" t="s">
        <v>347</v>
      </c>
      <c r="E40" s="133"/>
      <c r="F40" s="384" t="s">
        <v>348</v>
      </c>
      <c r="G40" s="133"/>
      <c r="H40" s="384" t="s">
        <v>282</v>
      </c>
      <c r="I40" s="133"/>
      <c r="J40" s="384" t="s">
        <v>283</v>
      </c>
      <c r="K40" s="133"/>
      <c r="L40" s="144" t="s">
        <v>349</v>
      </c>
      <c r="M40" s="133"/>
      <c r="N40" s="384" t="s">
        <v>350</v>
      </c>
      <c r="O40" s="133"/>
      <c r="P40" s="144" t="s">
        <v>351</v>
      </c>
      <c r="Q40" s="133"/>
      <c r="R40" s="384" t="s">
        <v>352</v>
      </c>
      <c r="S40" s="133"/>
      <c r="T40" s="384" t="s">
        <v>353</v>
      </c>
      <c r="U40" s="133"/>
      <c r="V40" s="280"/>
    </row>
    <row r="41" spans="1:22">
      <c r="A41" s="132"/>
      <c r="B41" s="145" t="s">
        <v>182</v>
      </c>
      <c r="C41" s="133"/>
      <c r="D41" s="145" t="s">
        <v>182</v>
      </c>
      <c r="E41" s="133"/>
      <c r="F41" s="145" t="s">
        <v>248</v>
      </c>
      <c r="G41" s="133"/>
      <c r="H41" s="145" t="s">
        <v>242</v>
      </c>
      <c r="I41" s="133"/>
      <c r="J41" s="145" t="s">
        <v>242</v>
      </c>
      <c r="K41" s="133"/>
      <c r="L41" s="144" t="s">
        <v>319</v>
      </c>
      <c r="M41" s="133"/>
      <c r="N41" s="145" t="s">
        <v>182</v>
      </c>
      <c r="O41" s="133"/>
      <c r="P41" s="144" t="s">
        <v>342</v>
      </c>
      <c r="Q41" s="133"/>
      <c r="R41" s="145" t="s">
        <v>248</v>
      </c>
      <c r="S41" s="133"/>
      <c r="T41" s="145" t="s">
        <v>248</v>
      </c>
      <c r="U41" s="133"/>
      <c r="V41" s="280"/>
    </row>
    <row r="42" spans="1:22">
      <c r="A42" s="132"/>
      <c r="B42" s="154" t="s">
        <v>220</v>
      </c>
      <c r="C42" s="155"/>
      <c r="D42" s="155"/>
      <c r="E42" s="155"/>
      <c r="F42" s="154" t="s">
        <v>220</v>
      </c>
      <c r="G42" s="155"/>
      <c r="H42" s="155"/>
      <c r="I42" s="155"/>
      <c r="J42" s="155"/>
      <c r="K42" s="155"/>
      <c r="L42" s="155"/>
      <c r="M42" s="155"/>
      <c r="N42" s="155"/>
      <c r="O42" s="155"/>
      <c r="P42" s="144" t="s">
        <v>331</v>
      </c>
      <c r="Q42" s="155"/>
      <c r="R42" s="155"/>
      <c r="S42" s="133"/>
      <c r="T42" s="154" t="s">
        <v>220</v>
      </c>
      <c r="U42" s="133"/>
      <c r="V42" s="280"/>
    </row>
    <row r="43" spans="1:22">
      <c r="A43" s="132"/>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c r="V43" s="167"/>
    </row>
    <row r="44" spans="1:22">
      <c r="A44" s="132"/>
      <c r="B44" s="133"/>
      <c r="C44" s="133"/>
      <c r="D44" s="133"/>
      <c r="E44" s="133"/>
      <c r="F44" s="133"/>
      <c r="G44" s="133"/>
      <c r="H44" s="133"/>
      <c r="I44" s="133"/>
      <c r="J44" s="133"/>
      <c r="K44" s="133"/>
      <c r="L44" s="133"/>
      <c r="M44" s="133"/>
      <c r="N44" s="133"/>
      <c r="O44" s="133"/>
      <c r="P44" s="133"/>
      <c r="Q44" s="133"/>
      <c r="R44" s="133"/>
      <c r="S44" s="133"/>
      <c r="T44" s="133"/>
      <c r="U44" s="133"/>
      <c r="V44" s="167"/>
    </row>
    <row r="45" spans="1:22" ht="15" thickBot="1">
      <c r="A45" s="132"/>
      <c r="B45" s="135"/>
      <c r="C45" s="135">
        <v>407.9</v>
      </c>
      <c r="D45" s="133"/>
      <c r="E45" s="135">
        <v>426.63</v>
      </c>
      <c r="F45" s="133"/>
      <c r="G45" s="135">
        <v>392.27</v>
      </c>
      <c r="H45" s="133"/>
      <c r="I45" s="135">
        <v>431.96</v>
      </c>
      <c r="J45" s="135"/>
      <c r="K45" s="135">
        <v>426.02</v>
      </c>
      <c r="L45" s="133"/>
      <c r="M45" s="135">
        <v>405.36</v>
      </c>
      <c r="N45" s="135"/>
      <c r="O45" s="135">
        <v>411.93</v>
      </c>
      <c r="P45" s="135"/>
      <c r="Q45" s="135">
        <v>423.77</v>
      </c>
      <c r="R45" s="135"/>
      <c r="S45" s="135">
        <v>407.9</v>
      </c>
      <c r="T45" s="133"/>
      <c r="U45" s="135">
        <v>426.63</v>
      </c>
      <c r="V45" s="167"/>
    </row>
    <row r="46" spans="1:22" ht="15.5" thickTop="1" thickBot="1">
      <c r="A46" s="132"/>
      <c r="B46" s="305" t="s">
        <v>354</v>
      </c>
      <c r="C46" s="139"/>
      <c r="D46" s="141" t="s">
        <v>354</v>
      </c>
      <c r="E46" s="133"/>
      <c r="F46" s="140"/>
      <c r="G46" s="139"/>
      <c r="H46" s="140"/>
      <c r="I46" s="139"/>
      <c r="J46" s="140"/>
      <c r="K46" s="139"/>
      <c r="L46" s="140"/>
      <c r="M46" s="139"/>
      <c r="N46" s="140"/>
      <c r="O46" s="139"/>
      <c r="P46" s="140"/>
      <c r="Q46" s="137"/>
      <c r="R46" s="305" t="s">
        <v>354</v>
      </c>
      <c r="S46" s="139"/>
      <c r="T46" s="305" t="s">
        <v>354</v>
      </c>
      <c r="U46" s="133"/>
      <c r="V46" s="167"/>
    </row>
    <row r="47" spans="1:22" ht="15.5" thickTop="1" thickBot="1">
      <c r="A47" s="132"/>
      <c r="B47" s="141"/>
      <c r="C47" s="139"/>
      <c r="D47" s="141"/>
      <c r="E47" s="133"/>
      <c r="F47" s="141"/>
      <c r="G47" s="139"/>
      <c r="H47" s="141"/>
      <c r="I47" s="139"/>
      <c r="J47" s="141" t="s">
        <v>390</v>
      </c>
      <c r="K47" s="139"/>
      <c r="L47" s="141"/>
      <c r="M47" s="139"/>
      <c r="N47" s="141"/>
      <c r="O47" s="139"/>
      <c r="P47" s="141"/>
      <c r="Q47" s="137"/>
      <c r="R47" s="141"/>
      <c r="S47" s="139"/>
      <c r="T47" s="141"/>
      <c r="U47" s="133"/>
      <c r="V47" s="280"/>
    </row>
    <row r="48" spans="1:22" ht="15" thickTop="1">
      <c r="A48" s="132"/>
      <c r="B48" s="384" t="s">
        <v>274</v>
      </c>
      <c r="C48" s="133"/>
      <c r="D48" s="384" t="s">
        <v>275</v>
      </c>
      <c r="E48" s="133"/>
      <c r="F48" s="384" t="s">
        <v>355</v>
      </c>
      <c r="G48" s="133"/>
      <c r="H48" s="384" t="s">
        <v>284</v>
      </c>
      <c r="I48" s="133"/>
      <c r="J48" s="384" t="s">
        <v>285</v>
      </c>
      <c r="K48" s="133"/>
      <c r="L48" s="144" t="s">
        <v>356</v>
      </c>
      <c r="M48" s="133"/>
      <c r="N48" s="144" t="s">
        <v>357</v>
      </c>
      <c r="O48" s="133"/>
      <c r="P48" s="144" t="s">
        <v>154</v>
      </c>
      <c r="Q48" s="133"/>
      <c r="R48" s="384" t="s">
        <v>247</v>
      </c>
      <c r="S48" s="133"/>
      <c r="T48" s="384" t="s">
        <v>260</v>
      </c>
      <c r="U48" s="133"/>
      <c r="V48" s="280"/>
    </row>
    <row r="49" spans="1:22">
      <c r="A49" s="132"/>
      <c r="B49" s="145" t="s">
        <v>248</v>
      </c>
      <c r="C49" s="133"/>
      <c r="D49" s="145" t="s">
        <v>248</v>
      </c>
      <c r="E49" s="133"/>
      <c r="F49" s="145" t="s">
        <v>248</v>
      </c>
      <c r="G49" s="133"/>
      <c r="H49" s="145" t="s">
        <v>185</v>
      </c>
      <c r="I49" s="133"/>
      <c r="J49" s="145" t="s">
        <v>185</v>
      </c>
      <c r="K49" s="133"/>
      <c r="L49" s="144" t="s">
        <v>125</v>
      </c>
      <c r="M49" s="133"/>
      <c r="N49" s="144" t="s">
        <v>330</v>
      </c>
      <c r="O49" s="133"/>
      <c r="P49" s="144" t="s">
        <v>125</v>
      </c>
      <c r="Q49" s="133"/>
      <c r="R49" s="145" t="s">
        <v>248</v>
      </c>
      <c r="S49" s="133"/>
      <c r="T49" s="145" t="s">
        <v>182</v>
      </c>
      <c r="U49" s="133"/>
      <c r="V49" s="281" t="e">
        <f>#REF!+I77+K77+M77+O77+G77+Q77+S77+#REF!+#REF!</f>
        <v>#REF!</v>
      </c>
    </row>
    <row r="50" spans="1:22">
      <c r="A50" s="132"/>
      <c r="B50" s="145"/>
      <c r="C50" s="133"/>
      <c r="D50" s="145"/>
      <c r="E50" s="133"/>
      <c r="F50" s="145"/>
      <c r="G50" s="133"/>
      <c r="H50" s="145"/>
      <c r="I50" s="133"/>
      <c r="J50" s="145"/>
      <c r="K50" s="133"/>
      <c r="L50" s="144"/>
      <c r="M50" s="133"/>
      <c r="N50" s="144"/>
      <c r="O50" s="133"/>
      <c r="P50" s="154" t="s">
        <v>220</v>
      </c>
      <c r="Q50" s="133"/>
      <c r="R50" s="145"/>
      <c r="S50" s="133"/>
      <c r="T50" s="145"/>
      <c r="U50" s="133"/>
      <c r="V50" s="281"/>
    </row>
    <row r="51" spans="1:22">
      <c r="A51" s="132"/>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33">
        <f>T51+1</f>
        <v>60</v>
      </c>
    </row>
    <row r="52" spans="1:22">
      <c r="A52" s="132"/>
      <c r="B52" s="133"/>
      <c r="C52" s="133"/>
      <c r="D52" s="133"/>
      <c r="E52" s="133"/>
      <c r="F52" s="133"/>
      <c r="G52" s="133"/>
      <c r="H52" s="133"/>
      <c r="I52" s="133"/>
      <c r="J52" s="133"/>
      <c r="K52" s="133"/>
      <c r="L52" s="133"/>
      <c r="M52" s="133"/>
      <c r="N52" s="133"/>
      <c r="O52" s="133"/>
      <c r="P52" s="133"/>
      <c r="Q52" s="133"/>
      <c r="R52" s="133"/>
      <c r="S52" s="133"/>
      <c r="T52" s="133"/>
      <c r="V52" s="133"/>
    </row>
    <row r="53" spans="1:22" ht="15" thickBot="1">
      <c r="A53" s="132"/>
      <c r="B53" s="133"/>
      <c r="C53" s="135">
        <v>392.27</v>
      </c>
      <c r="D53" s="133"/>
      <c r="E53" s="135">
        <v>431.96</v>
      </c>
      <c r="F53" s="135"/>
      <c r="G53" s="135">
        <v>426.02</v>
      </c>
      <c r="H53" s="133"/>
      <c r="I53" s="135">
        <v>405.36</v>
      </c>
      <c r="J53" s="135"/>
      <c r="K53" s="135">
        <v>411.93</v>
      </c>
      <c r="L53" s="135"/>
      <c r="M53" s="135">
        <v>350.33</v>
      </c>
      <c r="N53" s="133"/>
      <c r="O53" s="135">
        <v>378.3</v>
      </c>
      <c r="P53" s="135"/>
      <c r="Q53" s="135">
        <v>416.82</v>
      </c>
      <c r="R53" s="135"/>
      <c r="S53" s="135">
        <v>371.85</v>
      </c>
      <c r="T53" s="133"/>
      <c r="V53" s="133"/>
    </row>
    <row r="54" spans="1:22" ht="15.5" thickTop="1" thickBot="1">
      <c r="A54" s="132"/>
      <c r="B54" s="141" t="s">
        <v>354</v>
      </c>
      <c r="C54" s="139"/>
      <c r="D54" s="140"/>
      <c r="E54" s="139"/>
      <c r="F54" s="140"/>
      <c r="G54" s="139"/>
      <c r="H54" s="140"/>
      <c r="I54" s="139"/>
      <c r="J54" s="140"/>
      <c r="K54" s="139"/>
      <c r="L54" s="140"/>
      <c r="M54" s="139"/>
      <c r="N54" s="140"/>
      <c r="O54" s="162"/>
      <c r="P54" s="140"/>
      <c r="Q54" s="139"/>
      <c r="R54" s="140"/>
      <c r="S54" s="139"/>
      <c r="T54" s="140"/>
      <c r="V54" s="140"/>
    </row>
    <row r="55" spans="1:22" ht="15.5" thickTop="1" thickBot="1">
      <c r="A55" s="132"/>
      <c r="B55" s="141"/>
      <c r="C55" s="139"/>
      <c r="D55" s="141"/>
      <c r="E55" s="139"/>
      <c r="F55" s="141"/>
      <c r="G55" s="139"/>
      <c r="H55" s="141"/>
      <c r="I55" s="139"/>
      <c r="J55" s="141"/>
      <c r="K55" s="139"/>
      <c r="L55" s="141"/>
      <c r="M55" s="139"/>
      <c r="N55" s="141"/>
      <c r="O55" s="162"/>
      <c r="P55" s="141"/>
      <c r="Q55" s="139"/>
      <c r="R55" s="141"/>
      <c r="S55" s="139"/>
      <c r="T55" s="141"/>
      <c r="U55" s="133"/>
      <c r="V55" s="141"/>
    </row>
    <row r="56" spans="1:22" ht="15" thickTop="1">
      <c r="A56" s="132"/>
      <c r="B56" s="384" t="s">
        <v>261</v>
      </c>
      <c r="C56" s="133"/>
      <c r="D56" s="384" t="s">
        <v>286</v>
      </c>
      <c r="E56" s="133"/>
      <c r="F56" s="144" t="s">
        <v>358</v>
      </c>
      <c r="G56" s="133"/>
      <c r="H56" s="384" t="s">
        <v>359</v>
      </c>
      <c r="I56" s="133"/>
      <c r="J56" s="384" t="s">
        <v>360</v>
      </c>
      <c r="K56" s="133"/>
      <c r="L56" s="144" t="s">
        <v>361</v>
      </c>
      <c r="M56" s="133"/>
      <c r="N56" s="144" t="s">
        <v>362</v>
      </c>
      <c r="O56" s="133"/>
      <c r="P56" s="384" t="s">
        <v>363</v>
      </c>
      <c r="Q56" s="133"/>
      <c r="R56" s="384" t="s">
        <v>364</v>
      </c>
      <c r="S56" s="133"/>
      <c r="T56" s="384" t="s">
        <v>365</v>
      </c>
      <c r="V56" s="401" t="s">
        <v>1084</v>
      </c>
    </row>
    <row r="57" spans="1:22">
      <c r="A57" s="132"/>
      <c r="B57" s="145" t="s">
        <v>185</v>
      </c>
      <c r="C57" s="133"/>
      <c r="D57" s="145" t="s">
        <v>248</v>
      </c>
      <c r="E57" s="133"/>
      <c r="F57" s="144" t="s">
        <v>128</v>
      </c>
      <c r="G57" s="133"/>
      <c r="H57" s="145" t="s">
        <v>242</v>
      </c>
      <c r="I57" s="133"/>
      <c r="J57" s="145" t="s">
        <v>119</v>
      </c>
      <c r="K57" s="133"/>
      <c r="L57" s="144" t="s">
        <v>330</v>
      </c>
      <c r="M57" s="133"/>
      <c r="N57" s="144" t="s">
        <v>143</v>
      </c>
      <c r="O57" s="133"/>
      <c r="P57" s="145" t="s">
        <v>242</v>
      </c>
      <c r="Q57" s="133"/>
      <c r="R57" s="145" t="s">
        <v>182</v>
      </c>
      <c r="S57" s="133"/>
      <c r="T57" s="145" t="s">
        <v>182</v>
      </c>
      <c r="V57" s="402" t="s">
        <v>343</v>
      </c>
    </row>
    <row r="58" spans="1:22">
      <c r="A58" s="132"/>
      <c r="B58" s="154"/>
      <c r="C58" s="155"/>
      <c r="D58" s="155"/>
      <c r="E58" s="155"/>
      <c r="F58" s="154" t="s">
        <v>220</v>
      </c>
      <c r="G58" s="155"/>
      <c r="H58" s="155"/>
      <c r="I58" s="155"/>
      <c r="J58" s="155"/>
      <c r="K58" s="155"/>
      <c r="L58" s="155"/>
      <c r="M58" s="155"/>
      <c r="N58" s="155"/>
      <c r="O58" s="155"/>
      <c r="P58" s="155"/>
      <c r="Q58" s="155"/>
      <c r="R58" s="154" t="s">
        <v>366</v>
      </c>
      <c r="S58" s="133"/>
      <c r="T58" s="154" t="s">
        <v>220</v>
      </c>
      <c r="V58" s="281" t="e">
        <f>A85+I77+K77+M77+O77+G77+Q77+S77+#REF!+C77</f>
        <v>#REF!</v>
      </c>
    </row>
    <row r="59" spans="1:22">
      <c r="A59" s="132"/>
      <c r="B59" s="133">
        <f>V51+1</f>
        <v>61</v>
      </c>
      <c r="C59" s="133"/>
      <c r="D59" s="133">
        <f>B59+1</f>
        <v>62</v>
      </c>
      <c r="E59" s="133"/>
      <c r="F59" s="133">
        <f>D59+1</f>
        <v>63</v>
      </c>
      <c r="G59" s="133"/>
      <c r="H59" s="133">
        <f>F59+1</f>
        <v>64</v>
      </c>
      <c r="I59" s="133"/>
      <c r="J59" s="133">
        <f>H59+1</f>
        <v>65</v>
      </c>
      <c r="K59" s="133"/>
      <c r="L59" s="133">
        <f>J59+1</f>
        <v>66</v>
      </c>
      <c r="M59" s="133"/>
      <c r="N59" s="133">
        <f>L59+1</f>
        <v>67</v>
      </c>
      <c r="O59" s="133"/>
      <c r="P59" s="161">
        <f>N59+1</f>
        <v>68</v>
      </c>
      <c r="Q59" s="133"/>
      <c r="R59" s="133">
        <f>P59+1</f>
        <v>69</v>
      </c>
      <c r="S59" s="133"/>
      <c r="T59" s="133">
        <f>R59+1</f>
        <v>70</v>
      </c>
      <c r="V59" s="280"/>
    </row>
    <row r="60" spans="1:22">
      <c r="A60" s="132"/>
      <c r="B60" s="133"/>
      <c r="C60" s="133"/>
      <c r="D60" s="133"/>
      <c r="E60" s="133"/>
      <c r="F60" s="133"/>
      <c r="G60" s="133"/>
      <c r="H60" s="133"/>
      <c r="I60" s="133"/>
      <c r="J60" s="133"/>
      <c r="K60" s="133"/>
      <c r="L60" s="133"/>
      <c r="M60" s="133"/>
      <c r="N60" s="133"/>
      <c r="O60" s="133"/>
      <c r="P60" s="133"/>
      <c r="Q60" s="133"/>
      <c r="R60" s="133"/>
      <c r="S60" s="133"/>
      <c r="T60" s="133"/>
      <c r="V60" s="179"/>
    </row>
    <row r="61" spans="1:22" ht="15" thickBot="1">
      <c r="A61" s="132"/>
      <c r="B61" s="133"/>
      <c r="C61" s="135">
        <v>392.27</v>
      </c>
      <c r="D61" s="133"/>
      <c r="E61" s="135">
        <v>431.96</v>
      </c>
      <c r="F61" s="135"/>
      <c r="G61" s="135">
        <v>426.02</v>
      </c>
      <c r="H61" s="133"/>
      <c r="I61" s="135">
        <v>405.36</v>
      </c>
      <c r="J61" s="135"/>
      <c r="K61" s="135">
        <v>411.93</v>
      </c>
      <c r="L61" s="135"/>
      <c r="M61" s="135">
        <v>350.33</v>
      </c>
      <c r="N61" s="133"/>
      <c r="O61" s="135">
        <v>378.3</v>
      </c>
      <c r="P61" s="135"/>
      <c r="Q61" s="135">
        <v>416.82</v>
      </c>
      <c r="R61" s="135"/>
      <c r="S61" s="135">
        <v>371.85</v>
      </c>
      <c r="T61" s="133"/>
      <c r="V61" s="179"/>
    </row>
    <row r="62" spans="1:22" ht="15.5" thickTop="1" thickBot="1">
      <c r="A62" s="132"/>
      <c r="B62" s="140"/>
      <c r="C62" s="139"/>
      <c r="D62" s="140"/>
      <c r="E62" s="139"/>
      <c r="F62" s="140"/>
      <c r="G62" s="139"/>
      <c r="H62" s="140"/>
      <c r="I62" s="139"/>
      <c r="J62" s="140"/>
      <c r="K62" s="139"/>
      <c r="L62" s="140"/>
      <c r="M62" s="139"/>
      <c r="N62" s="140"/>
      <c r="O62" s="162"/>
      <c r="P62" s="140"/>
      <c r="Q62" s="139"/>
      <c r="R62" s="140"/>
      <c r="S62" s="139"/>
      <c r="T62" s="305" t="s">
        <v>354</v>
      </c>
      <c r="V62" s="280"/>
    </row>
    <row r="63" spans="1:22" ht="15.5" thickTop="1" thickBot="1">
      <c r="A63" s="132"/>
      <c r="B63" s="141"/>
      <c r="C63" s="139"/>
      <c r="D63" s="141"/>
      <c r="E63" s="139"/>
      <c r="F63" s="141"/>
      <c r="G63" s="139"/>
      <c r="H63" s="141"/>
      <c r="I63" s="139"/>
      <c r="J63" s="141"/>
      <c r="K63" s="139"/>
      <c r="L63" s="141"/>
      <c r="M63" s="139"/>
      <c r="N63" s="141"/>
      <c r="O63" s="162"/>
      <c r="P63" s="141"/>
      <c r="Q63" s="139"/>
      <c r="R63" s="141"/>
      <c r="S63" s="139"/>
      <c r="T63" s="141"/>
      <c r="U63" s="133"/>
      <c r="V63" s="280"/>
    </row>
    <row r="64" spans="1:22" ht="15" thickTop="1">
      <c r="A64" s="132"/>
      <c r="B64" s="144" t="s">
        <v>367</v>
      </c>
      <c r="C64" s="133"/>
      <c r="D64" s="384" t="s">
        <v>287</v>
      </c>
      <c r="E64" s="133"/>
      <c r="F64" s="384" t="s">
        <v>368</v>
      </c>
      <c r="G64" s="133"/>
      <c r="H64" s="384" t="s">
        <v>369</v>
      </c>
      <c r="I64" s="133"/>
      <c r="J64" s="144" t="s">
        <v>370</v>
      </c>
      <c r="K64" s="133"/>
      <c r="L64" s="384" t="s">
        <v>371</v>
      </c>
      <c r="M64" s="133"/>
      <c r="N64" s="384" t="s">
        <v>372</v>
      </c>
      <c r="O64" s="133"/>
      <c r="P64" s="144" t="s">
        <v>373</v>
      </c>
      <c r="Q64" s="133"/>
      <c r="R64" s="384" t="s">
        <v>288</v>
      </c>
      <c r="S64" s="133"/>
      <c r="T64" s="384" t="s">
        <v>259</v>
      </c>
      <c r="V64" s="280"/>
    </row>
    <row r="65" spans="1:22">
      <c r="A65" s="132"/>
      <c r="B65" s="144" t="s">
        <v>344</v>
      </c>
      <c r="C65" s="133"/>
      <c r="D65" s="145" t="s">
        <v>248</v>
      </c>
      <c r="E65" s="133"/>
      <c r="F65" s="145" t="s">
        <v>182</v>
      </c>
      <c r="G65" s="133"/>
      <c r="H65" s="145" t="s">
        <v>182</v>
      </c>
      <c r="I65" s="133"/>
      <c r="J65" s="144" t="s">
        <v>343</v>
      </c>
      <c r="K65" s="133"/>
      <c r="L65" s="145" t="s">
        <v>185</v>
      </c>
      <c r="M65" s="133"/>
      <c r="N65" s="145" t="s">
        <v>185</v>
      </c>
      <c r="O65" s="133"/>
      <c r="P65" s="144" t="s">
        <v>344</v>
      </c>
      <c r="Q65" s="133"/>
      <c r="R65" s="145" t="s">
        <v>182</v>
      </c>
      <c r="S65" s="133"/>
      <c r="T65" s="145" t="s">
        <v>248</v>
      </c>
      <c r="V65" s="280"/>
    </row>
    <row r="66" spans="1:22">
      <c r="A66" s="132"/>
      <c r="B66" s="154"/>
      <c r="C66" s="155"/>
      <c r="D66" s="155"/>
      <c r="E66" s="155"/>
      <c r="F66" s="155"/>
      <c r="G66" s="155"/>
      <c r="H66" s="154" t="s">
        <v>220</v>
      </c>
      <c r="I66" s="133"/>
      <c r="J66" s="144" t="s">
        <v>331</v>
      </c>
      <c r="K66" s="155"/>
      <c r="L66" s="154" t="s">
        <v>220</v>
      </c>
      <c r="M66" s="155"/>
      <c r="N66" s="155"/>
      <c r="O66" s="155"/>
      <c r="P66" s="155"/>
      <c r="Q66" s="155"/>
      <c r="R66" s="154" t="s">
        <v>374</v>
      </c>
      <c r="S66" s="155"/>
      <c r="T66" s="282" t="s">
        <v>375</v>
      </c>
      <c r="V66" s="281">
        <f>A93+I85+K85+M85+O85+G85+Q85+S85+U85+C85</f>
        <v>3994.99</v>
      </c>
    </row>
    <row r="67" spans="1:22">
      <c r="A67" s="132"/>
      <c r="B67" s="133">
        <f>T59+1</f>
        <v>71</v>
      </c>
      <c r="C67" s="133"/>
      <c r="D67" s="133">
        <f>B67+1</f>
        <v>72</v>
      </c>
      <c r="E67" s="133"/>
      <c r="F67" s="133">
        <f>D67+1</f>
        <v>73</v>
      </c>
      <c r="G67" s="133"/>
      <c r="H67" s="133">
        <f>F67+1</f>
        <v>74</v>
      </c>
      <c r="I67" s="133"/>
      <c r="J67" s="133">
        <f>H67+1</f>
        <v>75</v>
      </c>
      <c r="K67" s="133"/>
      <c r="L67" s="133">
        <f>J67+1</f>
        <v>76</v>
      </c>
      <c r="M67" s="133"/>
      <c r="N67" s="133">
        <f>L67+1</f>
        <v>77</v>
      </c>
      <c r="O67" s="133"/>
      <c r="P67" s="133">
        <f>N67+1</f>
        <v>78</v>
      </c>
      <c r="Q67" s="133"/>
      <c r="R67" s="133">
        <f>P67+1</f>
        <v>79</v>
      </c>
      <c r="S67" s="133"/>
      <c r="T67" s="161">
        <f>R67+1</f>
        <v>80</v>
      </c>
      <c r="V67" s="281"/>
    </row>
    <row r="68" spans="1:22">
      <c r="A68" s="132"/>
      <c r="B68" s="133"/>
      <c r="C68" s="133"/>
      <c r="D68" s="133"/>
      <c r="E68" s="133"/>
      <c r="F68" s="133"/>
      <c r="G68" s="133"/>
      <c r="H68" s="133"/>
      <c r="I68" s="133"/>
      <c r="J68" s="133"/>
      <c r="K68" s="133"/>
      <c r="L68" s="133"/>
      <c r="M68" s="133"/>
      <c r="N68" s="133"/>
      <c r="O68" s="133"/>
      <c r="P68" s="133"/>
      <c r="Q68" s="133"/>
      <c r="R68" s="133"/>
      <c r="S68" s="133"/>
      <c r="T68" s="133"/>
      <c r="V68" s="280"/>
    </row>
    <row r="69" spans="1:22" ht="15" thickBot="1">
      <c r="A69" s="132"/>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280"/>
    </row>
    <row r="70" spans="1:22" ht="15.5" thickTop="1" thickBot="1">
      <c r="A70" s="132"/>
      <c r="B70" s="141" t="s">
        <v>354</v>
      </c>
      <c r="C70" s="139"/>
      <c r="D70" s="140"/>
      <c r="E70" s="139"/>
      <c r="F70" s="305" t="s">
        <v>354</v>
      </c>
      <c r="G70" s="133"/>
      <c r="H70" s="141"/>
      <c r="I70" s="139"/>
      <c r="J70" s="141" t="s">
        <v>354</v>
      </c>
      <c r="K70" s="139"/>
      <c r="L70" s="141" t="s">
        <v>354</v>
      </c>
      <c r="M70" s="139"/>
      <c r="N70" s="141" t="s">
        <v>354</v>
      </c>
      <c r="O70" s="139"/>
      <c r="P70" s="141" t="s">
        <v>354</v>
      </c>
      <c r="Q70" s="139"/>
      <c r="R70" s="141" t="s">
        <v>354</v>
      </c>
      <c r="S70" s="139"/>
      <c r="T70" s="141" t="s">
        <v>354</v>
      </c>
      <c r="V70" s="280"/>
    </row>
    <row r="71" spans="1:22" ht="15.5" thickTop="1" thickBot="1">
      <c r="A71" s="132"/>
      <c r="B71" s="141" t="s">
        <v>376</v>
      </c>
      <c r="C71" s="139"/>
      <c r="D71" s="141"/>
      <c r="E71" s="139"/>
      <c r="F71" s="141"/>
      <c r="G71" s="133"/>
      <c r="H71" s="141"/>
      <c r="I71" s="139"/>
      <c r="J71" s="141" t="s">
        <v>376</v>
      </c>
      <c r="K71" s="139"/>
      <c r="L71" s="141" t="s">
        <v>376</v>
      </c>
      <c r="M71" s="139"/>
      <c r="N71" s="141" t="s">
        <v>376</v>
      </c>
      <c r="O71" s="139"/>
      <c r="P71" s="141"/>
      <c r="Q71" s="139"/>
      <c r="R71" s="141"/>
      <c r="S71" s="139"/>
      <c r="T71" s="141" t="s">
        <v>376</v>
      </c>
      <c r="V71" s="280"/>
    </row>
    <row r="72" spans="1:22" ht="15" thickTop="1">
      <c r="A72" s="132"/>
      <c r="B72" s="384" t="s">
        <v>251</v>
      </c>
      <c r="C72" s="133"/>
      <c r="D72" s="144" t="s">
        <v>377</v>
      </c>
      <c r="E72" s="133"/>
      <c r="F72" s="384" t="s">
        <v>297</v>
      </c>
      <c r="G72" s="133"/>
      <c r="H72" s="144" t="s">
        <v>378</v>
      </c>
      <c r="I72" s="133"/>
      <c r="J72" s="384" t="s">
        <v>236</v>
      </c>
      <c r="K72" s="133"/>
      <c r="L72" s="384" t="s">
        <v>237</v>
      </c>
      <c r="M72" s="133"/>
      <c r="N72" s="384" t="s">
        <v>214</v>
      </c>
      <c r="O72" s="133"/>
      <c r="P72" s="384" t="s">
        <v>213</v>
      </c>
      <c r="Q72" s="133"/>
      <c r="R72" s="384" t="s">
        <v>212</v>
      </c>
      <c r="S72" s="133"/>
      <c r="T72" s="384" t="s">
        <v>209</v>
      </c>
      <c r="V72" s="280"/>
    </row>
    <row r="73" spans="1:22">
      <c r="A73" s="132"/>
      <c r="B73" s="145" t="s">
        <v>248</v>
      </c>
      <c r="C73" s="133"/>
      <c r="D73" s="144" t="s">
        <v>330</v>
      </c>
      <c r="E73" s="133"/>
      <c r="F73" s="145" t="s">
        <v>182</v>
      </c>
      <c r="G73" s="133"/>
      <c r="H73" s="144" t="s">
        <v>115</v>
      </c>
      <c r="I73" s="133"/>
      <c r="J73" s="145" t="s">
        <v>182</v>
      </c>
      <c r="K73" s="133"/>
      <c r="L73" s="145" t="s">
        <v>182</v>
      </c>
      <c r="M73" s="133"/>
      <c r="N73" s="145" t="s">
        <v>185</v>
      </c>
      <c r="O73" s="133"/>
      <c r="P73" s="145" t="s">
        <v>182</v>
      </c>
      <c r="Q73" s="133"/>
      <c r="R73" s="145" t="s">
        <v>182</v>
      </c>
      <c r="S73" s="133"/>
      <c r="T73" s="145" t="s">
        <v>182</v>
      </c>
      <c r="V73" s="167"/>
    </row>
    <row r="74" spans="1:22">
      <c r="A74" s="132"/>
      <c r="B74" s="282" t="s">
        <v>375</v>
      </c>
      <c r="C74" s="133"/>
      <c r="D74" s="155"/>
      <c r="E74" s="155"/>
      <c r="F74" s="155"/>
      <c r="G74" s="155"/>
      <c r="H74" s="144" t="s">
        <v>366</v>
      </c>
      <c r="I74" s="155"/>
      <c r="J74" s="144" t="s">
        <v>366</v>
      </c>
      <c r="K74" s="155"/>
      <c r="L74" s="144" t="s">
        <v>331</v>
      </c>
      <c r="M74" s="155"/>
      <c r="N74" s="155"/>
      <c r="O74" s="155"/>
      <c r="P74" s="155"/>
      <c r="Q74" s="155"/>
      <c r="R74" s="155"/>
      <c r="S74" s="155"/>
      <c r="T74" s="155"/>
      <c r="V74" s="167"/>
    </row>
    <row r="75" spans="1:22">
      <c r="A75" s="132"/>
      <c r="B75" s="133">
        <f>T67+1</f>
        <v>81</v>
      </c>
      <c r="D75" s="133">
        <f>B75+1</f>
        <v>82</v>
      </c>
      <c r="F75" s="133">
        <f>D75+1</f>
        <v>83</v>
      </c>
      <c r="G75" s="133"/>
      <c r="H75" s="133">
        <f>F75+1</f>
        <v>84</v>
      </c>
      <c r="I75" s="133"/>
      <c r="J75" s="133">
        <f>H75+1</f>
        <v>85</v>
      </c>
      <c r="K75" s="133"/>
      <c r="L75" s="133">
        <f>J75+1</f>
        <v>86</v>
      </c>
      <c r="M75" s="133"/>
      <c r="N75" s="133">
        <f>L75+1</f>
        <v>87</v>
      </c>
      <c r="O75" s="133"/>
      <c r="P75" s="133">
        <f>N75+1</f>
        <v>88</v>
      </c>
      <c r="Q75" s="133"/>
      <c r="R75" s="133">
        <f>P75+1</f>
        <v>89</v>
      </c>
      <c r="S75" s="133"/>
      <c r="T75" s="133">
        <f>R75+1</f>
        <v>90</v>
      </c>
      <c r="V75" s="167"/>
    </row>
    <row r="76" spans="1:22">
      <c r="A76" s="132"/>
      <c r="B76" s="133"/>
      <c r="D76" s="133"/>
      <c r="F76" s="133"/>
      <c r="G76" s="133"/>
      <c r="H76" s="133"/>
      <c r="I76" s="133"/>
      <c r="J76" s="133"/>
      <c r="K76" s="133"/>
      <c r="L76" s="133"/>
      <c r="M76" s="133"/>
      <c r="N76" s="133"/>
      <c r="O76" s="133"/>
      <c r="P76" s="133"/>
      <c r="Q76" s="133"/>
      <c r="R76" s="133"/>
      <c r="S76" s="133"/>
      <c r="T76" s="133"/>
      <c r="V76" s="167"/>
    </row>
    <row r="77" spans="1:22" ht="15" thickBot="1">
      <c r="A77" s="132"/>
      <c r="B77" s="135"/>
      <c r="D77" s="135"/>
      <c r="F77" s="135"/>
      <c r="G77" s="135">
        <v>388.46</v>
      </c>
      <c r="H77" s="133"/>
      <c r="I77" s="135">
        <v>380.96</v>
      </c>
      <c r="J77" s="133"/>
      <c r="K77" s="135">
        <v>374.03</v>
      </c>
      <c r="L77" s="133"/>
      <c r="M77" s="135">
        <v>351.96</v>
      </c>
      <c r="N77" s="135"/>
      <c r="O77" s="135">
        <v>395.64</v>
      </c>
      <c r="P77" s="133"/>
      <c r="Q77" s="135">
        <v>414.76</v>
      </c>
      <c r="R77" s="135"/>
      <c r="S77" s="135">
        <v>401.93</v>
      </c>
      <c r="T77" s="135"/>
      <c r="V77" s="167"/>
    </row>
    <row r="78" spans="1:22" ht="15.5" thickTop="1" thickBot="1">
      <c r="A78" s="132"/>
      <c r="B78" s="186" t="s">
        <v>354</v>
      </c>
      <c r="D78" s="140"/>
      <c r="F78" s="305" t="s">
        <v>354</v>
      </c>
      <c r="G78" s="139"/>
      <c r="H78" s="140"/>
      <c r="I78" s="133"/>
      <c r="J78" s="141" t="s">
        <v>354</v>
      </c>
      <c r="K78" s="139"/>
      <c r="L78" s="141" t="s">
        <v>354</v>
      </c>
      <c r="M78" s="139"/>
      <c r="N78" s="141" t="s">
        <v>354</v>
      </c>
      <c r="O78" s="139"/>
      <c r="P78" s="141" t="s">
        <v>354</v>
      </c>
      <c r="Q78" s="139"/>
      <c r="R78" s="141" t="s">
        <v>354</v>
      </c>
      <c r="S78" s="139"/>
      <c r="T78" s="140"/>
      <c r="V78" s="167"/>
    </row>
    <row r="79" spans="1:22" ht="15.5" thickTop="1" thickBot="1">
      <c r="A79" s="132"/>
      <c r="B79" s="186" t="s">
        <v>376</v>
      </c>
      <c r="D79" s="141"/>
      <c r="F79" s="141"/>
      <c r="G79" s="139"/>
      <c r="H79" s="141"/>
      <c r="I79" s="133"/>
      <c r="J79" s="141" t="s">
        <v>376</v>
      </c>
      <c r="K79" s="139"/>
      <c r="L79" s="141"/>
      <c r="M79" s="139"/>
      <c r="N79" s="141"/>
      <c r="O79" s="139"/>
      <c r="P79" s="141" t="s">
        <v>376</v>
      </c>
      <c r="Q79" s="139"/>
      <c r="R79" s="141" t="s">
        <v>376</v>
      </c>
      <c r="S79" s="139"/>
      <c r="T79" s="141"/>
      <c r="V79" s="167"/>
    </row>
    <row r="80" spans="1:22" ht="15" thickTop="1">
      <c r="A80" s="132"/>
      <c r="B80" s="384" t="s">
        <v>231</v>
      </c>
      <c r="D80" s="144" t="s">
        <v>379</v>
      </c>
      <c r="F80" s="384" t="s">
        <v>263</v>
      </c>
      <c r="G80" s="133"/>
      <c r="H80" s="144" t="s">
        <v>380</v>
      </c>
      <c r="I80" s="133"/>
      <c r="J80" s="384" t="s">
        <v>215</v>
      </c>
      <c r="K80" s="133"/>
      <c r="L80" s="384" t="s">
        <v>216</v>
      </c>
      <c r="M80" s="133"/>
      <c r="N80" s="384" t="s">
        <v>239</v>
      </c>
      <c r="O80" s="133"/>
      <c r="P80" s="384" t="s">
        <v>240</v>
      </c>
      <c r="Q80" s="133"/>
      <c r="R80" s="384" t="s">
        <v>241</v>
      </c>
      <c r="S80" s="133"/>
      <c r="T80" s="144" t="s">
        <v>381</v>
      </c>
      <c r="V80" s="167"/>
    </row>
    <row r="81" spans="1:22">
      <c r="A81" s="132"/>
      <c r="B81" s="145" t="s">
        <v>182</v>
      </c>
      <c r="C81" s="133"/>
      <c r="D81" s="144" t="s">
        <v>319</v>
      </c>
      <c r="F81" s="145" t="s">
        <v>242</v>
      </c>
      <c r="G81" s="133"/>
      <c r="H81" s="144" t="s">
        <v>344</v>
      </c>
      <c r="I81" s="133"/>
      <c r="J81" s="145" t="s">
        <v>182</v>
      </c>
      <c r="K81" s="133"/>
      <c r="L81" s="145" t="s">
        <v>185</v>
      </c>
      <c r="M81" s="133"/>
      <c r="N81" s="145" t="s">
        <v>182</v>
      </c>
      <c r="O81" s="133"/>
      <c r="P81" s="145" t="s">
        <v>185</v>
      </c>
      <c r="Q81" s="133"/>
      <c r="R81" s="145" t="s">
        <v>242</v>
      </c>
      <c r="S81" s="133"/>
      <c r="T81" s="144" t="s">
        <v>319</v>
      </c>
      <c r="U81" s="133"/>
      <c r="V81" s="280"/>
    </row>
    <row r="82" spans="1:22">
      <c r="A82" s="187"/>
      <c r="F82" s="282" t="s">
        <v>382</v>
      </c>
      <c r="G82" s="133"/>
      <c r="H82" s="145"/>
      <c r="I82" s="133"/>
      <c r="J82" s="144"/>
      <c r="K82" s="133"/>
      <c r="L82" s="144" t="s">
        <v>366</v>
      </c>
      <c r="M82" s="133"/>
      <c r="N82" s="145"/>
      <c r="O82" s="133"/>
      <c r="P82" s="144"/>
      <c r="Q82" s="133"/>
      <c r="R82" s="145"/>
      <c r="S82" s="133"/>
      <c r="T82" s="145"/>
      <c r="V82" s="167"/>
    </row>
    <row r="83" spans="1:22">
      <c r="A83" s="187"/>
      <c r="B83" s="161">
        <f>T75+1</f>
        <v>91</v>
      </c>
      <c r="C83" s="133"/>
      <c r="D83" s="133">
        <f>B83+1</f>
        <v>92</v>
      </c>
      <c r="F83" s="133">
        <f>D83+1</f>
        <v>93</v>
      </c>
      <c r="G83" s="133"/>
      <c r="H83" s="133">
        <f>F83+1</f>
        <v>94</v>
      </c>
      <c r="I83" s="133"/>
      <c r="J83" s="133">
        <f>H83+1</f>
        <v>95</v>
      </c>
      <c r="K83" s="133"/>
      <c r="L83" s="133">
        <f>J83+1</f>
        <v>96</v>
      </c>
      <c r="M83" s="133"/>
      <c r="N83" s="133">
        <f>L83+1</f>
        <v>97</v>
      </c>
      <c r="O83" s="133"/>
      <c r="P83" s="133">
        <f>N83+1</f>
        <v>98</v>
      </c>
      <c r="Q83" s="133"/>
      <c r="R83" s="133">
        <f>P83+1</f>
        <v>99</v>
      </c>
      <c r="S83" s="133"/>
      <c r="T83" s="133">
        <f>R83+1</f>
        <v>100</v>
      </c>
      <c r="U83" s="133"/>
      <c r="V83" s="167"/>
    </row>
    <row r="84" spans="1:22">
      <c r="A84" s="187"/>
      <c r="B84" s="133"/>
      <c r="C84" s="133"/>
      <c r="D84" s="133"/>
      <c r="F84" s="133"/>
      <c r="G84" s="133"/>
      <c r="H84" s="133"/>
      <c r="I84" s="133"/>
      <c r="J84" s="133"/>
      <c r="K84" s="133"/>
      <c r="L84" s="133"/>
      <c r="M84" s="133"/>
      <c r="N84" s="133"/>
      <c r="O84" s="133"/>
      <c r="P84" s="133"/>
      <c r="Q84" s="133"/>
      <c r="R84" s="133"/>
      <c r="S84" s="133"/>
      <c r="T84" s="133"/>
      <c r="U84" s="133"/>
      <c r="V84" s="167"/>
    </row>
    <row r="85" spans="1:22" ht="15" thickBot="1">
      <c r="A85" s="187"/>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c r="V85" s="167"/>
    </row>
    <row r="86" spans="1:22" ht="15.5" thickTop="1" thickBot="1">
      <c r="A86" s="187"/>
      <c r="B86" s="140"/>
      <c r="C86" s="133"/>
      <c r="D86" s="140"/>
      <c r="F86" s="141" t="s">
        <v>354</v>
      </c>
      <c r="G86" s="139"/>
      <c r="H86" s="140"/>
      <c r="I86" s="133"/>
      <c r="J86" s="140"/>
      <c r="K86" s="139"/>
      <c r="L86" s="141" t="s">
        <v>354</v>
      </c>
      <c r="M86" s="139"/>
      <c r="N86" s="140"/>
      <c r="O86" s="139"/>
      <c r="P86" s="140"/>
      <c r="Q86" s="139"/>
      <c r="R86" s="141" t="s">
        <v>354</v>
      </c>
      <c r="S86" s="139"/>
      <c r="T86" s="138"/>
      <c r="U86" s="162"/>
      <c r="V86" s="167"/>
    </row>
    <row r="87" spans="1:22" ht="15.5" thickTop="1" thickBot="1">
      <c r="A87" s="187"/>
      <c r="B87" s="141"/>
      <c r="C87" s="133"/>
      <c r="D87" s="141"/>
      <c r="F87" s="141" t="s">
        <v>376</v>
      </c>
      <c r="G87" s="139"/>
      <c r="H87" s="141"/>
      <c r="I87" s="133"/>
      <c r="J87" s="141"/>
      <c r="K87" s="139"/>
      <c r="L87" s="141"/>
      <c r="M87" s="139"/>
      <c r="N87" s="141"/>
      <c r="O87" s="139"/>
      <c r="P87" s="141"/>
      <c r="Q87" s="139"/>
      <c r="R87" s="141"/>
      <c r="S87" s="139"/>
      <c r="T87" s="141"/>
      <c r="U87" s="162"/>
      <c r="V87" s="167"/>
    </row>
    <row r="88" spans="1:22" ht="15" thickTop="1">
      <c r="A88" s="187"/>
      <c r="B88" s="384" t="s">
        <v>383</v>
      </c>
      <c r="C88" s="133"/>
      <c r="D88" s="144" t="s">
        <v>384</v>
      </c>
      <c r="F88" s="384" t="s">
        <v>253</v>
      </c>
      <c r="G88" s="133"/>
      <c r="H88" s="384" t="s">
        <v>385</v>
      </c>
      <c r="I88" s="133"/>
      <c r="J88" s="144" t="s">
        <v>386</v>
      </c>
      <c r="K88" s="133"/>
      <c r="L88" s="144" t="s">
        <v>257</v>
      </c>
      <c r="M88" s="133"/>
      <c r="N88" s="144" t="s">
        <v>387</v>
      </c>
      <c r="O88" s="133"/>
      <c r="P88" s="384" t="s">
        <v>267</v>
      </c>
      <c r="Q88" s="133"/>
      <c r="R88" s="384" t="s">
        <v>268</v>
      </c>
      <c r="S88" s="133"/>
      <c r="T88" s="384" t="s">
        <v>269</v>
      </c>
      <c r="U88" s="133"/>
      <c r="V88" s="167"/>
    </row>
    <row r="89" spans="1:22">
      <c r="A89" s="187"/>
      <c r="B89" s="145" t="s">
        <v>185</v>
      </c>
      <c r="C89" s="133"/>
      <c r="D89" s="144" t="s">
        <v>343</v>
      </c>
      <c r="F89" s="145" t="s">
        <v>248</v>
      </c>
      <c r="G89" s="133"/>
      <c r="H89" s="145" t="s">
        <v>182</v>
      </c>
      <c r="I89" s="133"/>
      <c r="J89" s="144" t="s">
        <v>388</v>
      </c>
      <c r="K89" s="133"/>
      <c r="L89" s="144" t="s">
        <v>248</v>
      </c>
      <c r="M89" s="133"/>
      <c r="N89" s="144" t="s">
        <v>330</v>
      </c>
      <c r="O89" s="133"/>
      <c r="P89" s="145" t="s">
        <v>182</v>
      </c>
      <c r="Q89" s="133"/>
      <c r="R89" s="145" t="s">
        <v>185</v>
      </c>
      <c r="S89" s="133"/>
      <c r="T89" s="145" t="s">
        <v>182</v>
      </c>
      <c r="U89" s="133"/>
      <c r="V89" s="167"/>
    </row>
    <row r="90" spans="1:22">
      <c r="A90" s="187"/>
      <c r="F90" s="282" t="s">
        <v>382</v>
      </c>
      <c r="G90" s="133"/>
      <c r="H90" s="144" t="s">
        <v>389</v>
      </c>
      <c r="I90" s="133"/>
      <c r="J90" s="144"/>
      <c r="K90" s="133"/>
      <c r="L90" s="144" t="s">
        <v>366</v>
      </c>
      <c r="M90" s="133"/>
      <c r="N90" s="144"/>
      <c r="O90" s="133"/>
      <c r="P90" s="144" t="s">
        <v>331</v>
      </c>
      <c r="Q90" s="133"/>
      <c r="R90" s="145"/>
      <c r="S90" s="133"/>
      <c r="T90" s="145"/>
      <c r="U90" s="133"/>
      <c r="V90" s="280"/>
    </row>
    <row r="91" spans="1:22">
      <c r="A91" s="132"/>
      <c r="B91" s="161">
        <f>T83+1</f>
        <v>101</v>
      </c>
      <c r="C91" s="133"/>
      <c r="D91" s="133">
        <f>B91+1</f>
        <v>102</v>
      </c>
      <c r="E91" s="188"/>
      <c r="F91" s="188">
        <f>D91+1</f>
        <v>103</v>
      </c>
      <c r="G91" s="188"/>
      <c r="H91" s="188">
        <f>F91+1</f>
        <v>104</v>
      </c>
      <c r="I91" s="188"/>
      <c r="J91" s="188">
        <f>H91+1</f>
        <v>105</v>
      </c>
      <c r="K91" s="133"/>
      <c r="L91" s="188">
        <f>J91+1</f>
        <v>106</v>
      </c>
      <c r="M91" s="133"/>
      <c r="N91" s="188">
        <f>L91+1</f>
        <v>107</v>
      </c>
      <c r="O91" s="133"/>
      <c r="P91" s="188">
        <f>N91+1</f>
        <v>108</v>
      </c>
      <c r="Q91" s="133"/>
      <c r="R91" s="188">
        <f>P91+1</f>
        <v>109</v>
      </c>
      <c r="S91" s="133"/>
      <c r="T91" s="188">
        <f>R91+1</f>
        <v>110</v>
      </c>
      <c r="V91" s="280"/>
    </row>
    <row r="92" spans="1:22">
      <c r="A92" s="132"/>
      <c r="B92" s="133"/>
      <c r="C92" s="133"/>
      <c r="D92" s="133"/>
      <c r="F92" s="133"/>
      <c r="G92" s="133"/>
      <c r="H92" s="133"/>
      <c r="I92" s="133"/>
      <c r="J92" s="133"/>
      <c r="K92" s="133"/>
      <c r="L92" s="133"/>
      <c r="M92" s="133"/>
      <c r="N92" s="133"/>
      <c r="O92" s="133"/>
      <c r="P92" s="133"/>
      <c r="Q92" s="133"/>
      <c r="R92" s="133"/>
      <c r="S92" s="133"/>
      <c r="T92" s="133"/>
      <c r="V92" s="281" t="e">
        <f>G110+K110+M110+O110+Q110+I110+S110+#REF!+C110+#REF!</f>
        <v>#REF!</v>
      </c>
    </row>
    <row r="93" spans="1:22" ht="15" thickBot="1">
      <c r="A93" s="134">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281"/>
    </row>
    <row r="94" spans="1:22" ht="15.5" thickTop="1" thickBot="1">
      <c r="A94" s="189"/>
      <c r="B94" s="138" t="s">
        <v>228</v>
      </c>
      <c r="C94" s="162"/>
      <c r="D94" s="140"/>
      <c r="F94" s="140"/>
      <c r="G94" s="139"/>
      <c r="H94" s="140"/>
      <c r="I94" s="133"/>
      <c r="J94" s="140"/>
      <c r="K94" s="139"/>
      <c r="L94" s="141"/>
      <c r="M94" s="139"/>
      <c r="N94" s="141" t="s">
        <v>354</v>
      </c>
      <c r="O94" s="139"/>
      <c r="P94" s="140"/>
      <c r="Q94" s="139"/>
      <c r="R94" s="140"/>
      <c r="S94" s="139"/>
      <c r="T94" s="141" t="s">
        <v>354</v>
      </c>
      <c r="V94" s="280"/>
    </row>
    <row r="95" spans="1:22" ht="15.5" thickTop="1" thickBot="1">
      <c r="A95" s="189"/>
      <c r="B95" s="141" t="s">
        <v>390</v>
      </c>
      <c r="C95" s="162"/>
      <c r="D95" s="141"/>
      <c r="F95" s="141"/>
      <c r="G95" s="139"/>
      <c r="H95" s="141"/>
      <c r="I95" s="133"/>
      <c r="J95" s="141"/>
      <c r="K95" s="139"/>
      <c r="L95" s="141"/>
      <c r="M95" s="139"/>
      <c r="N95" s="141"/>
      <c r="O95" s="139"/>
      <c r="P95" s="141"/>
      <c r="Q95" s="139"/>
      <c r="R95" s="141"/>
      <c r="S95" s="139"/>
      <c r="T95" s="141"/>
      <c r="V95" s="280"/>
    </row>
    <row r="96" spans="1:22" ht="15" thickTop="1">
      <c r="A96" s="132"/>
      <c r="B96" s="384" t="s">
        <v>227</v>
      </c>
      <c r="C96" s="133"/>
      <c r="D96" s="384" t="s">
        <v>271</v>
      </c>
      <c r="F96" s="144" t="s">
        <v>391</v>
      </c>
      <c r="G96" s="133"/>
      <c r="H96" s="384" t="s">
        <v>392</v>
      </c>
      <c r="I96" s="133"/>
      <c r="J96" s="384" t="s">
        <v>393</v>
      </c>
      <c r="K96" s="133"/>
      <c r="L96" s="144" t="s">
        <v>394</v>
      </c>
      <c r="M96" s="133"/>
      <c r="N96" s="384" t="s">
        <v>225</v>
      </c>
      <c r="O96" s="133"/>
      <c r="P96" s="144" t="s">
        <v>395</v>
      </c>
      <c r="Q96" s="133"/>
      <c r="R96" s="144" t="s">
        <v>396</v>
      </c>
      <c r="S96" s="133"/>
      <c r="T96" s="384" t="s">
        <v>258</v>
      </c>
      <c r="V96" s="280"/>
    </row>
    <row r="97" spans="1:22">
      <c r="A97" s="132"/>
      <c r="B97" s="145" t="s">
        <v>182</v>
      </c>
      <c r="C97" s="133"/>
      <c r="D97" s="145" t="s">
        <v>242</v>
      </c>
      <c r="F97" s="144" t="s">
        <v>388</v>
      </c>
      <c r="G97" s="133"/>
      <c r="H97" s="145" t="s">
        <v>182</v>
      </c>
      <c r="I97" s="133"/>
      <c r="J97" s="145" t="s">
        <v>185</v>
      </c>
      <c r="K97" s="133"/>
      <c r="L97" s="144" t="s">
        <v>319</v>
      </c>
      <c r="M97" s="133"/>
      <c r="N97" s="145" t="s">
        <v>185</v>
      </c>
      <c r="O97" s="133"/>
      <c r="P97" s="144" t="s">
        <v>397</v>
      </c>
      <c r="Q97" s="133"/>
      <c r="R97" s="144" t="s">
        <v>319</v>
      </c>
      <c r="S97" s="133"/>
      <c r="T97" s="145" t="s">
        <v>182</v>
      </c>
      <c r="V97" s="280"/>
    </row>
    <row r="98" spans="1:22">
      <c r="A98" s="132"/>
      <c r="F98" s="145"/>
      <c r="G98" s="133"/>
      <c r="H98" s="144" t="s">
        <v>220</v>
      </c>
      <c r="I98" s="133"/>
      <c r="J98" s="144"/>
      <c r="K98" s="133"/>
      <c r="L98" s="145"/>
      <c r="M98" s="133"/>
      <c r="N98" s="145"/>
      <c r="O98" s="133"/>
      <c r="P98" s="144"/>
      <c r="Q98" s="133"/>
      <c r="R98" s="145"/>
      <c r="S98" s="133"/>
      <c r="T98" s="282" t="s">
        <v>375</v>
      </c>
      <c r="U98" s="133"/>
      <c r="V98" s="280"/>
    </row>
    <row r="99" spans="1:22">
      <c r="A99" s="132"/>
      <c r="B99" s="188">
        <f>T91+1</f>
        <v>111</v>
      </c>
      <c r="C99" s="133"/>
      <c r="D99" s="188">
        <f>B99+1</f>
        <v>112</v>
      </c>
      <c r="E99" s="188"/>
      <c r="F99" s="133">
        <f>D99+1</f>
        <v>113</v>
      </c>
      <c r="G99" s="133"/>
      <c r="H99" s="133">
        <f>F99+1</f>
        <v>114</v>
      </c>
      <c r="I99" s="133"/>
      <c r="J99" s="133">
        <f>H99+1</f>
        <v>115</v>
      </c>
      <c r="K99" s="133"/>
      <c r="L99" s="133">
        <f>J99+1</f>
        <v>116</v>
      </c>
      <c r="M99" s="133"/>
      <c r="N99" s="133">
        <f>L99+1</f>
        <v>117</v>
      </c>
      <c r="O99" s="133"/>
      <c r="P99" s="133">
        <f>N99+1</f>
        <v>118</v>
      </c>
      <c r="Q99" s="133"/>
      <c r="R99" s="133">
        <f>P99+1</f>
        <v>119</v>
      </c>
      <c r="S99" s="133"/>
      <c r="T99" s="133">
        <f>R99+1</f>
        <v>120</v>
      </c>
      <c r="U99" s="133"/>
      <c r="V99" s="280"/>
    </row>
    <row r="100" spans="1:22">
      <c r="A100" s="132"/>
      <c r="B100" s="133"/>
      <c r="C100" s="133"/>
      <c r="D100" s="404"/>
      <c r="F100" s="133"/>
      <c r="G100" s="133"/>
      <c r="H100" s="133"/>
      <c r="I100" s="133"/>
      <c r="J100" s="133"/>
      <c r="K100" s="133"/>
      <c r="L100" s="133"/>
      <c r="M100" s="133"/>
      <c r="N100" s="133"/>
      <c r="O100" s="133"/>
      <c r="P100" s="133"/>
      <c r="Q100" s="133"/>
      <c r="R100" s="133"/>
      <c r="S100" s="133"/>
      <c r="T100" s="133"/>
      <c r="U100" s="135"/>
      <c r="V100" s="281">
        <f>G117+K117+O117+Q117+S117+I117+U117+Q125+C117+U100</f>
        <v>3121.94</v>
      </c>
    </row>
    <row r="101" spans="1:22" ht="15" thickBot="1">
      <c r="A101" s="132"/>
      <c r="B101" s="133"/>
      <c r="C101" s="135">
        <v>395.01</v>
      </c>
      <c r="D101" s="405"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281"/>
    </row>
    <row r="102" spans="1:22" ht="15.5" thickTop="1" thickBot="1">
      <c r="A102" s="132"/>
      <c r="B102" s="140"/>
      <c r="C102" s="139"/>
      <c r="D102" s="141" t="s">
        <v>354</v>
      </c>
      <c r="F102" s="141" t="s">
        <v>354</v>
      </c>
      <c r="G102" s="139"/>
      <c r="H102" s="140"/>
      <c r="I102" s="139"/>
      <c r="J102" s="141" t="s">
        <v>354</v>
      </c>
      <c r="K102" s="133"/>
      <c r="L102" s="138"/>
      <c r="M102" s="139"/>
      <c r="N102" s="140"/>
      <c r="O102" s="139"/>
      <c r="P102" s="140"/>
      <c r="Q102" s="139"/>
      <c r="R102" s="140"/>
      <c r="S102" s="139"/>
      <c r="T102" s="140"/>
      <c r="U102" s="133"/>
      <c r="V102" s="280"/>
    </row>
    <row r="103" spans="1:22" ht="15.5" thickTop="1" thickBot="1">
      <c r="A103" s="132"/>
      <c r="B103" s="141"/>
      <c r="C103" s="139"/>
      <c r="D103" s="141"/>
      <c r="F103" s="141"/>
      <c r="G103" s="139"/>
      <c r="H103" s="141"/>
      <c r="I103" s="139"/>
      <c r="J103" s="141"/>
      <c r="K103" s="133"/>
      <c r="L103" s="141" t="s">
        <v>390</v>
      </c>
      <c r="M103" s="139"/>
      <c r="N103" s="141"/>
      <c r="O103" s="139"/>
      <c r="P103" s="141"/>
      <c r="Q103" s="139"/>
      <c r="R103" s="141"/>
      <c r="S103" s="139"/>
      <c r="T103" s="141"/>
      <c r="U103" s="133"/>
      <c r="V103" s="280"/>
    </row>
    <row r="104" spans="1:22" ht="15" thickTop="1">
      <c r="A104" s="132"/>
      <c r="B104" s="144" t="s">
        <v>398</v>
      </c>
      <c r="C104" s="133"/>
      <c r="D104" s="384" t="s">
        <v>262</v>
      </c>
      <c r="F104" s="384" t="s">
        <v>244</v>
      </c>
      <c r="G104" s="133"/>
      <c r="H104" s="144" t="s">
        <v>399</v>
      </c>
      <c r="I104" s="133"/>
      <c r="J104" s="384" t="s">
        <v>277</v>
      </c>
      <c r="K104" s="133"/>
      <c r="L104" s="384" t="s">
        <v>280</v>
      </c>
      <c r="M104" s="133"/>
      <c r="N104" s="144" t="s">
        <v>400</v>
      </c>
      <c r="O104" s="133"/>
      <c r="P104" s="144" t="s">
        <v>401</v>
      </c>
      <c r="Q104" s="133"/>
      <c r="R104" s="384" t="s">
        <v>402</v>
      </c>
      <c r="S104" s="133"/>
      <c r="T104" s="144" t="s">
        <v>403</v>
      </c>
      <c r="U104" s="133"/>
      <c r="V104" s="280"/>
    </row>
    <row r="105" spans="1:22">
      <c r="A105" s="132"/>
      <c r="B105" s="144" t="s">
        <v>343</v>
      </c>
      <c r="C105" s="133"/>
      <c r="D105" s="145" t="s">
        <v>242</v>
      </c>
      <c r="F105" s="145" t="s">
        <v>182</v>
      </c>
      <c r="G105" s="133"/>
      <c r="H105" s="144" t="s">
        <v>319</v>
      </c>
      <c r="I105" s="133"/>
      <c r="J105" s="145" t="s">
        <v>185</v>
      </c>
      <c r="K105" s="133"/>
      <c r="L105" s="145" t="s">
        <v>248</v>
      </c>
      <c r="M105" s="133"/>
      <c r="N105" s="144" t="s">
        <v>319</v>
      </c>
      <c r="O105" s="133"/>
      <c r="P105" s="144" t="s">
        <v>319</v>
      </c>
      <c r="Q105" s="133"/>
      <c r="R105" s="145" t="s">
        <v>248</v>
      </c>
      <c r="S105" s="133"/>
      <c r="T105" s="144" t="s">
        <v>319</v>
      </c>
      <c r="U105" s="133"/>
      <c r="V105" s="280"/>
    </row>
    <row r="106" spans="1:22">
      <c r="A106" s="132"/>
      <c r="B106" s="282" t="s">
        <v>375</v>
      </c>
      <c r="C106" s="133"/>
      <c r="D106" s="282" t="s">
        <v>375</v>
      </c>
      <c r="F106" s="282" t="s">
        <v>375</v>
      </c>
      <c r="G106" s="133"/>
      <c r="H106" s="133"/>
      <c r="I106" s="133"/>
      <c r="J106" s="133"/>
      <c r="K106" s="133"/>
      <c r="L106" s="133"/>
      <c r="M106" s="133"/>
      <c r="N106" s="133"/>
      <c r="O106" s="133"/>
      <c r="P106" s="133"/>
      <c r="Q106" s="133"/>
      <c r="R106" s="133"/>
      <c r="S106" s="133"/>
      <c r="T106" s="133"/>
      <c r="U106" s="133"/>
      <c r="V106" s="280"/>
    </row>
    <row r="107" spans="1:22">
      <c r="A107" s="132"/>
      <c r="Q107" s="133"/>
      <c r="U107" s="133"/>
      <c r="V107" s="280"/>
    </row>
    <row r="108" spans="1:22">
      <c r="A108" s="132"/>
      <c r="B108" s="133">
        <f>T99+1</f>
        <v>121</v>
      </c>
      <c r="C108" s="133"/>
      <c r="D108" s="161">
        <f>B108+1</f>
        <v>122</v>
      </c>
      <c r="F108" s="133">
        <f>D108+1</f>
        <v>123</v>
      </c>
      <c r="G108" s="133"/>
      <c r="H108" s="133">
        <f>F108+1</f>
        <v>124</v>
      </c>
      <c r="I108" s="133"/>
      <c r="J108" s="133">
        <f>H108+1</f>
        <v>125</v>
      </c>
      <c r="K108" s="133"/>
      <c r="L108" s="133">
        <f>J108+1</f>
        <v>126</v>
      </c>
      <c r="M108" s="133"/>
      <c r="N108" s="133">
        <f>L108+1</f>
        <v>127</v>
      </c>
      <c r="O108" s="133"/>
      <c r="P108" s="133">
        <f>N108+1</f>
        <v>128</v>
      </c>
      <c r="Q108" s="133"/>
      <c r="R108" s="133">
        <f>P108+1</f>
        <v>129</v>
      </c>
      <c r="S108" s="133"/>
      <c r="T108" s="133">
        <f>R108+1</f>
        <v>130</v>
      </c>
      <c r="U108" s="133"/>
      <c r="V108" s="280"/>
    </row>
    <row r="109" spans="1:22">
      <c r="A109" s="132"/>
      <c r="B109" s="133"/>
      <c r="C109" s="133"/>
      <c r="D109" s="133"/>
      <c r="F109" s="133"/>
      <c r="G109" s="133"/>
      <c r="H109" s="133"/>
      <c r="I109" s="133"/>
      <c r="J109" s="133"/>
      <c r="K109" s="133"/>
      <c r="L109" s="133"/>
      <c r="M109" s="133"/>
      <c r="N109" s="133"/>
      <c r="O109" s="133"/>
      <c r="P109" s="133"/>
      <c r="Q109" s="133"/>
      <c r="R109" s="133"/>
      <c r="S109" s="133"/>
      <c r="T109" s="133"/>
      <c r="U109" s="135"/>
      <c r="V109" s="281" t="e">
        <f>G101+K101+M101+O101+Q101+I101+S101+#REF!+C101+U109</f>
        <v>#REF!</v>
      </c>
    </row>
    <row r="110" spans="1:22" ht="15" thickBot="1">
      <c r="A110" s="132"/>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281"/>
    </row>
    <row r="111" spans="1:22" ht="15.5" thickTop="1" thickBot="1">
      <c r="A111" s="132"/>
      <c r="B111" s="140"/>
      <c r="C111" s="139"/>
      <c r="D111" s="140"/>
      <c r="F111" s="140"/>
      <c r="G111" s="139"/>
      <c r="H111" s="140"/>
      <c r="I111" s="139"/>
      <c r="J111" s="140"/>
      <c r="K111" s="133"/>
      <c r="L111" s="140"/>
      <c r="M111" s="139"/>
      <c r="N111" s="140"/>
      <c r="O111" s="139"/>
      <c r="P111" s="140"/>
      <c r="Q111" s="139"/>
      <c r="R111" s="140"/>
      <c r="S111" s="139"/>
      <c r="T111" s="140"/>
      <c r="U111" s="133"/>
      <c r="V111" s="280"/>
    </row>
    <row r="112" spans="1:22" ht="15.5" thickTop="1" thickBot="1">
      <c r="A112" s="132"/>
      <c r="B112" s="141"/>
      <c r="C112" s="139"/>
      <c r="D112" s="141"/>
      <c r="F112" s="141"/>
      <c r="G112" s="139"/>
      <c r="H112" s="141"/>
      <c r="I112" s="139"/>
      <c r="J112" s="141"/>
      <c r="K112" s="133"/>
      <c r="L112" s="141"/>
      <c r="M112" s="139"/>
      <c r="N112" s="141"/>
      <c r="O112" s="139"/>
      <c r="P112" s="141"/>
      <c r="Q112" s="139"/>
      <c r="R112" s="141"/>
      <c r="S112" s="139"/>
      <c r="T112" s="141"/>
      <c r="U112" s="133"/>
      <c r="V112" s="280"/>
    </row>
    <row r="113" spans="1:22" ht="15" thickTop="1">
      <c r="A113" s="132"/>
      <c r="B113" s="384" t="s">
        <v>404</v>
      </c>
      <c r="C113" s="133"/>
      <c r="D113" s="144" t="s">
        <v>405</v>
      </c>
      <c r="F113" s="384" t="s">
        <v>406</v>
      </c>
      <c r="G113" s="133"/>
      <c r="H113" s="384" t="s">
        <v>290</v>
      </c>
      <c r="I113" s="133"/>
      <c r="J113" s="384" t="s">
        <v>407</v>
      </c>
      <c r="K113" s="133"/>
      <c r="L113" s="144" t="s">
        <v>408</v>
      </c>
      <c r="M113" s="133"/>
      <c r="N113" s="144" t="s">
        <v>409</v>
      </c>
      <c r="O113" s="133"/>
      <c r="P113" s="144" t="s">
        <v>410</v>
      </c>
      <c r="Q113" s="133"/>
      <c r="R113" s="144" t="s">
        <v>411</v>
      </c>
      <c r="S113" s="133"/>
      <c r="T113" s="144" t="s">
        <v>412</v>
      </c>
      <c r="U113" s="133"/>
      <c r="V113" s="280"/>
    </row>
    <row r="114" spans="1:22">
      <c r="A114" s="132"/>
      <c r="B114" s="145" t="s">
        <v>248</v>
      </c>
      <c r="C114" s="133"/>
      <c r="D114" s="144" t="s">
        <v>343</v>
      </c>
      <c r="F114" s="145" t="s">
        <v>182</v>
      </c>
      <c r="G114" s="133"/>
      <c r="H114" s="145" t="s">
        <v>182</v>
      </c>
      <c r="I114" s="133"/>
      <c r="J114" s="145" t="s">
        <v>182</v>
      </c>
      <c r="K114" s="133"/>
      <c r="L114" s="144" t="s">
        <v>319</v>
      </c>
      <c r="M114" s="133"/>
      <c r="N114" s="144" t="s">
        <v>319</v>
      </c>
      <c r="O114" s="133"/>
      <c r="P114" s="144" t="s">
        <v>413</v>
      </c>
      <c r="Q114" s="133"/>
      <c r="R114" s="144" t="s">
        <v>413</v>
      </c>
      <c r="S114" s="133"/>
      <c r="T114" s="144" t="s">
        <v>344</v>
      </c>
      <c r="U114" s="133"/>
      <c r="V114" s="280"/>
    </row>
    <row r="115" spans="1:22">
      <c r="A115" s="132"/>
      <c r="B115" s="133">
        <f>T108+1</f>
        <v>131</v>
      </c>
      <c r="C115" s="155"/>
      <c r="D115" s="161">
        <f>B115+1</f>
        <v>132</v>
      </c>
      <c r="F115" s="161">
        <f>D115+1</f>
        <v>133</v>
      </c>
      <c r="G115" s="155"/>
      <c r="H115" s="161">
        <f>F115+1</f>
        <v>134</v>
      </c>
      <c r="I115" s="155"/>
      <c r="J115" s="161">
        <f>H115+1</f>
        <v>135</v>
      </c>
      <c r="K115" s="155"/>
      <c r="L115" s="161">
        <f>J115+1</f>
        <v>136</v>
      </c>
      <c r="M115" s="155"/>
      <c r="N115" s="161">
        <f>L115+1</f>
        <v>137</v>
      </c>
      <c r="O115" s="155"/>
      <c r="P115" s="161">
        <f>N115+1</f>
        <v>138</v>
      </c>
      <c r="Q115" s="155"/>
      <c r="R115" s="161">
        <f>P115+1</f>
        <v>139</v>
      </c>
      <c r="S115" s="155"/>
      <c r="T115" s="161">
        <f>R115+1</f>
        <v>140</v>
      </c>
      <c r="U115" s="133"/>
      <c r="V115" s="408">
        <v>141</v>
      </c>
    </row>
    <row r="116" spans="1:22">
      <c r="A116" s="132"/>
      <c r="B116" s="133"/>
      <c r="C116" s="133"/>
      <c r="D116" s="133"/>
      <c r="F116" s="133"/>
      <c r="G116" s="133"/>
      <c r="H116" s="133"/>
      <c r="I116" s="133"/>
      <c r="J116" s="133"/>
      <c r="K116" s="133"/>
      <c r="L116" s="133"/>
      <c r="N116" s="133"/>
      <c r="O116" s="133"/>
      <c r="P116" s="133"/>
      <c r="Q116" s="133"/>
      <c r="R116" s="133"/>
      <c r="S116" s="133"/>
      <c r="T116" s="133"/>
      <c r="U116" s="133"/>
      <c r="V116" s="195"/>
    </row>
    <row r="117" spans="1:22" ht="15" thickBot="1">
      <c r="A117" s="132"/>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96"/>
    </row>
    <row r="118" spans="1:22" ht="15.5" thickTop="1" thickBot="1">
      <c r="A118" s="132"/>
      <c r="B118" s="140"/>
      <c r="C118" s="139"/>
      <c r="D118" s="140"/>
      <c r="F118" s="141" t="s">
        <v>354</v>
      </c>
      <c r="G118" s="139"/>
      <c r="H118" s="140"/>
      <c r="I118" s="139"/>
      <c r="J118" s="141" t="s">
        <v>354</v>
      </c>
      <c r="K118" s="133"/>
      <c r="L118" s="141" t="s">
        <v>354</v>
      </c>
      <c r="N118" s="140"/>
      <c r="O118" s="139"/>
      <c r="P118" s="140"/>
      <c r="Q118" s="139"/>
      <c r="R118" s="140"/>
      <c r="S118" s="139"/>
      <c r="T118" s="140"/>
      <c r="U118" s="139"/>
      <c r="V118" s="197"/>
    </row>
    <row r="119" spans="1:22" ht="15.5" thickTop="1" thickBot="1">
      <c r="A119" s="132"/>
      <c r="B119" s="141"/>
      <c r="C119" s="139"/>
      <c r="D119" s="141"/>
      <c r="F119" s="141"/>
      <c r="G119" s="139"/>
      <c r="H119" s="141"/>
      <c r="I119" s="139"/>
      <c r="J119" s="141"/>
      <c r="K119" s="133"/>
      <c r="L119" s="141"/>
      <c r="N119" s="141"/>
      <c r="O119" s="139"/>
      <c r="P119" s="141"/>
      <c r="Q119" s="139"/>
      <c r="R119" s="141"/>
      <c r="S119" s="139"/>
      <c r="T119" s="141"/>
      <c r="U119" s="139"/>
      <c r="V119" s="198"/>
    </row>
    <row r="120" spans="1:22" ht="15" thickTop="1">
      <c r="A120" s="132"/>
      <c r="B120" s="384" t="s">
        <v>414</v>
      </c>
      <c r="C120" s="133"/>
      <c r="D120" s="144" t="s">
        <v>415</v>
      </c>
      <c r="F120" s="384" t="s">
        <v>217</v>
      </c>
      <c r="G120" s="133"/>
      <c r="H120" s="144" t="s">
        <v>416</v>
      </c>
      <c r="I120" s="133"/>
      <c r="J120" s="384" t="s">
        <v>294</v>
      </c>
      <c r="K120" s="133"/>
      <c r="L120" s="384" t="s">
        <v>276</v>
      </c>
      <c r="N120" s="144" t="s">
        <v>417</v>
      </c>
      <c r="O120" s="133"/>
      <c r="P120" s="384" t="s">
        <v>418</v>
      </c>
      <c r="Q120" s="133"/>
      <c r="R120" s="144" t="s">
        <v>419</v>
      </c>
      <c r="S120" s="133"/>
      <c r="T120" s="145" t="s">
        <v>420</v>
      </c>
      <c r="U120" s="133"/>
      <c r="V120" s="409" t="s">
        <v>421</v>
      </c>
    </row>
    <row r="121" spans="1:22">
      <c r="A121" s="132"/>
      <c r="B121" s="145" t="s">
        <v>248</v>
      </c>
      <c r="C121" s="133"/>
      <c r="D121" s="144" t="s">
        <v>119</v>
      </c>
      <c r="F121" s="145" t="s">
        <v>182</v>
      </c>
      <c r="G121" s="133"/>
      <c r="H121" s="144" t="s">
        <v>319</v>
      </c>
      <c r="I121" s="133"/>
      <c r="J121" s="145" t="s">
        <v>182</v>
      </c>
      <c r="K121" s="133"/>
      <c r="L121" s="145" t="s">
        <v>182</v>
      </c>
      <c r="N121" s="144" t="s">
        <v>319</v>
      </c>
      <c r="O121" s="133"/>
      <c r="P121" s="145" t="s">
        <v>185</v>
      </c>
      <c r="Q121" s="133"/>
      <c r="R121" s="144" t="s">
        <v>319</v>
      </c>
      <c r="S121" s="133"/>
      <c r="T121" s="145" t="s">
        <v>182</v>
      </c>
      <c r="U121" s="133"/>
      <c r="V121" s="180" t="s">
        <v>319</v>
      </c>
    </row>
    <row r="122" spans="1:22">
      <c r="A122" s="132"/>
      <c r="B122" s="144"/>
      <c r="C122" s="133"/>
      <c r="D122" s="145"/>
      <c r="E122" s="133"/>
      <c r="F122" s="145"/>
      <c r="G122" s="133"/>
      <c r="H122" s="144"/>
      <c r="I122" s="133"/>
      <c r="J122" s="193"/>
      <c r="K122" s="193"/>
      <c r="L122" s="193"/>
      <c r="M122" s="193"/>
      <c r="O122" s="193"/>
      <c r="P122" s="144" t="s">
        <v>220</v>
      </c>
      <c r="Q122" s="193"/>
      <c r="R122" s="193"/>
      <c r="S122" s="155"/>
      <c r="T122" s="161"/>
      <c r="U122" s="133"/>
      <c r="V122" s="280"/>
    </row>
    <row r="123" spans="1:22">
      <c r="A123" s="132"/>
      <c r="B123" s="161">
        <f>V115+1</f>
        <v>142</v>
      </c>
      <c r="C123" s="133"/>
      <c r="D123" s="161">
        <f>B123+1</f>
        <v>143</v>
      </c>
      <c r="F123" s="161">
        <f>D123+1</f>
        <v>144</v>
      </c>
      <c r="H123" s="161">
        <f>F123+1</f>
        <v>145</v>
      </c>
      <c r="J123" s="161">
        <f>H123+1</f>
        <v>146</v>
      </c>
      <c r="L123" s="161">
        <f>J123+1</f>
        <v>147</v>
      </c>
      <c r="N123" s="161">
        <f>L123+1</f>
        <v>148</v>
      </c>
      <c r="P123" s="161">
        <f>N123+1</f>
        <v>149</v>
      </c>
      <c r="Q123" s="155"/>
      <c r="R123" s="161">
        <f>P123+1</f>
        <v>150</v>
      </c>
      <c r="T123" s="161">
        <f>R123+1</f>
        <v>151</v>
      </c>
      <c r="U123" s="133"/>
      <c r="V123" s="200">
        <f>T123+1</f>
        <v>152</v>
      </c>
    </row>
    <row r="124" spans="1:22">
      <c r="A124" s="132"/>
      <c r="B124" s="133"/>
      <c r="C124" s="133"/>
      <c r="D124" s="133"/>
      <c r="F124" s="133"/>
      <c r="H124" s="133"/>
      <c r="J124" s="133"/>
      <c r="L124" s="133"/>
      <c r="N124" s="133"/>
      <c r="P124" s="133"/>
      <c r="Q124" s="133"/>
      <c r="R124" s="133"/>
      <c r="T124" s="133"/>
      <c r="U124" s="133"/>
      <c r="V124" s="195"/>
    </row>
    <row r="125" spans="1:22" ht="15" thickBot="1">
      <c r="A125" s="132"/>
      <c r="B125" s="135"/>
      <c r="C125" s="133"/>
      <c r="D125" s="133"/>
      <c r="F125" s="133"/>
      <c r="H125" s="133"/>
      <c r="J125" s="133"/>
      <c r="L125" s="133"/>
      <c r="N125" s="133"/>
      <c r="P125" s="133"/>
      <c r="Q125" s="135"/>
      <c r="R125" s="133"/>
      <c r="T125" s="133"/>
      <c r="U125" s="133"/>
      <c r="V125" s="195"/>
    </row>
    <row r="126" spans="1:22" ht="15.5" thickTop="1" thickBot="1">
      <c r="A126" s="132"/>
      <c r="B126" s="141"/>
      <c r="C126" s="133"/>
      <c r="D126" s="140"/>
      <c r="F126" s="140"/>
      <c r="H126" s="140"/>
      <c r="J126" s="140"/>
      <c r="L126" s="141" t="s">
        <v>354</v>
      </c>
      <c r="N126" s="140"/>
      <c r="P126" s="140"/>
      <c r="Q126" s="133"/>
      <c r="R126" s="140"/>
      <c r="T126" s="140"/>
      <c r="U126" s="133"/>
      <c r="V126" s="197"/>
    </row>
    <row r="127" spans="1:22" ht="15.5" thickTop="1" thickBot="1">
      <c r="A127" s="132"/>
      <c r="B127" s="141" t="s">
        <v>390</v>
      </c>
      <c r="C127" s="133"/>
      <c r="D127" s="141"/>
      <c r="F127" s="141"/>
      <c r="H127" s="141"/>
      <c r="J127" s="141"/>
      <c r="L127" s="141"/>
      <c r="N127" s="141"/>
      <c r="P127" s="141"/>
      <c r="Q127" s="133"/>
      <c r="R127" s="141"/>
      <c r="T127" s="141"/>
      <c r="U127" s="133"/>
      <c r="V127" s="198"/>
    </row>
    <row r="128" spans="1:22" ht="15" thickTop="1">
      <c r="A128" s="132"/>
      <c r="B128" s="384" t="s">
        <v>289</v>
      </c>
      <c r="C128" s="191"/>
      <c r="D128" s="384" t="s">
        <v>422</v>
      </c>
      <c r="F128" s="384" t="s">
        <v>423</v>
      </c>
      <c r="H128" s="384" t="s">
        <v>424</v>
      </c>
      <c r="J128" s="384" t="s">
        <v>425</v>
      </c>
      <c r="L128" s="384" t="s">
        <v>279</v>
      </c>
      <c r="N128" s="384" t="s">
        <v>426</v>
      </c>
      <c r="P128" s="384" t="s">
        <v>427</v>
      </c>
      <c r="Q128" s="133"/>
      <c r="R128" s="384" t="s">
        <v>428</v>
      </c>
      <c r="T128" s="384" t="s">
        <v>291</v>
      </c>
      <c r="U128" s="133"/>
      <c r="V128" s="409" t="s">
        <v>429</v>
      </c>
    </row>
    <row r="129" spans="1:22">
      <c r="A129" s="132"/>
      <c r="B129" s="145" t="s">
        <v>182</v>
      </c>
      <c r="C129" s="133"/>
      <c r="D129" s="145" t="s">
        <v>343</v>
      </c>
      <c r="F129" s="145" t="s">
        <v>182</v>
      </c>
      <c r="H129" s="145" t="s">
        <v>430</v>
      </c>
      <c r="J129" s="145" t="s">
        <v>115</v>
      </c>
      <c r="L129" s="145" t="s">
        <v>242</v>
      </c>
      <c r="N129" s="145" t="s">
        <v>182</v>
      </c>
      <c r="P129" s="145" t="s">
        <v>182</v>
      </c>
      <c r="Q129" s="133"/>
      <c r="R129" s="145" t="s">
        <v>242</v>
      </c>
      <c r="T129" s="145" t="s">
        <v>185</v>
      </c>
      <c r="U129" s="133"/>
      <c r="V129" s="180" t="s">
        <v>185</v>
      </c>
    </row>
    <row r="130" spans="1:22">
      <c r="A130" s="132"/>
      <c r="B130" s="145"/>
      <c r="C130" s="133"/>
      <c r="D130" s="145"/>
      <c r="F130" s="410" t="s">
        <v>220</v>
      </c>
      <c r="H130" s="145"/>
      <c r="J130" s="145"/>
      <c r="L130" s="145"/>
      <c r="N130" s="145"/>
      <c r="P130" s="410" t="s">
        <v>220</v>
      </c>
      <c r="Q130" s="133"/>
      <c r="R130" s="145"/>
      <c r="T130" s="145"/>
      <c r="U130" s="133"/>
      <c r="V130" s="180"/>
    </row>
    <row r="131" spans="1:22">
      <c r="A131" s="132"/>
      <c r="B131" s="145"/>
      <c r="C131" s="133"/>
      <c r="D131" s="145"/>
      <c r="F131" s="145"/>
      <c r="H131" s="145"/>
      <c r="J131" s="145"/>
      <c r="L131" s="145"/>
      <c r="N131" s="145"/>
      <c r="P131" s="145"/>
      <c r="Q131" s="133"/>
      <c r="R131" s="145"/>
      <c r="T131" s="145"/>
      <c r="U131" s="133"/>
      <c r="V131" s="180"/>
    </row>
    <row r="132" spans="1:22">
      <c r="A132" s="132"/>
      <c r="B132" s="161">
        <f>V123+1</f>
        <v>153</v>
      </c>
      <c r="C132" s="133"/>
      <c r="D132" s="161">
        <f>B132+1</f>
        <v>154</v>
      </c>
      <c r="F132" s="161">
        <f>D132+1</f>
        <v>155</v>
      </c>
      <c r="H132" s="161">
        <f>F132+1</f>
        <v>156</v>
      </c>
      <c r="J132" s="161">
        <f>H132+1</f>
        <v>157</v>
      </c>
      <c r="L132" s="161">
        <f>J132+1</f>
        <v>158</v>
      </c>
      <c r="N132" s="161">
        <f>L132+1</f>
        <v>159</v>
      </c>
      <c r="P132" s="161">
        <f>N132+1</f>
        <v>160</v>
      </c>
      <c r="Q132" s="155"/>
      <c r="R132" s="161">
        <f>P132+1</f>
        <v>161</v>
      </c>
      <c r="T132" s="161">
        <f>R132+1</f>
        <v>162</v>
      </c>
      <c r="U132" s="133"/>
      <c r="V132" s="200">
        <f>T132+1</f>
        <v>163</v>
      </c>
    </row>
    <row r="133" spans="1:22">
      <c r="A133" s="132"/>
      <c r="B133" s="133"/>
      <c r="C133" s="133"/>
      <c r="D133" s="133"/>
      <c r="F133" s="133"/>
      <c r="H133" s="133"/>
      <c r="J133" s="133"/>
      <c r="L133" s="133"/>
      <c r="N133" s="133"/>
      <c r="P133" s="133"/>
      <c r="Q133" s="133"/>
      <c r="R133" s="133"/>
      <c r="T133" s="133"/>
      <c r="U133" s="133"/>
      <c r="V133" s="195"/>
    </row>
    <row r="134" spans="1:22" ht="15" thickBot="1">
      <c r="A134" s="132"/>
      <c r="B134" s="135"/>
      <c r="C134" s="133"/>
      <c r="D134" s="133"/>
      <c r="F134" s="133"/>
      <c r="H134" s="133"/>
      <c r="J134" s="133"/>
      <c r="L134" s="133"/>
      <c r="N134" s="133"/>
      <c r="P134" s="133"/>
      <c r="Q134" s="135"/>
      <c r="R134" s="133"/>
      <c r="T134" s="133"/>
      <c r="U134" s="133"/>
      <c r="V134" s="195"/>
    </row>
    <row r="135" spans="1:22" ht="15.5" thickTop="1" thickBot="1">
      <c r="A135" s="132"/>
      <c r="B135" s="140"/>
      <c r="C135" s="133"/>
      <c r="D135" s="140"/>
      <c r="F135" s="140"/>
      <c r="H135" s="140"/>
      <c r="J135" s="140"/>
      <c r="L135" s="140"/>
      <c r="N135" s="140"/>
      <c r="P135" s="140"/>
      <c r="Q135" s="133"/>
      <c r="R135" s="140"/>
      <c r="T135" s="140"/>
      <c r="U135" s="133"/>
      <c r="V135" s="197"/>
    </row>
    <row r="136" spans="1:22" ht="15.5" thickTop="1" thickBot="1">
      <c r="A136" s="132"/>
      <c r="B136" s="141"/>
      <c r="C136" s="133"/>
      <c r="D136" s="141"/>
      <c r="F136" s="141"/>
      <c r="H136" s="141"/>
      <c r="J136" s="141"/>
      <c r="L136" s="141"/>
      <c r="N136" s="141"/>
      <c r="P136" s="141"/>
      <c r="Q136" s="133"/>
      <c r="R136" s="141"/>
      <c r="T136" s="141"/>
      <c r="U136" s="133"/>
      <c r="V136" s="198"/>
    </row>
    <row r="137" spans="1:22" ht="15" thickTop="1">
      <c r="A137" s="132"/>
      <c r="B137" s="384" t="s">
        <v>431</v>
      </c>
      <c r="C137" s="191"/>
      <c r="D137" s="384" t="s">
        <v>432</v>
      </c>
      <c r="F137" s="384" t="s">
        <v>433</v>
      </c>
      <c r="H137" s="384" t="s">
        <v>434</v>
      </c>
      <c r="J137" s="411" t="s">
        <v>435</v>
      </c>
      <c r="L137" s="384" t="s">
        <v>436</v>
      </c>
      <c r="N137" s="384" t="s">
        <v>437</v>
      </c>
      <c r="P137" s="384" t="s">
        <v>438</v>
      </c>
      <c r="Q137" s="133"/>
      <c r="R137" s="384" t="s">
        <v>439</v>
      </c>
      <c r="T137" s="384" t="s">
        <v>440</v>
      </c>
      <c r="U137" s="133"/>
      <c r="V137" s="409" t="s">
        <v>441</v>
      </c>
    </row>
    <row r="138" spans="1:22">
      <c r="A138" s="132"/>
      <c r="B138" s="145" t="s">
        <v>344</v>
      </c>
      <c r="C138" s="133"/>
      <c r="D138" s="145" t="s">
        <v>182</v>
      </c>
      <c r="F138" s="145" t="s">
        <v>182</v>
      </c>
      <c r="H138" s="145" t="s">
        <v>319</v>
      </c>
      <c r="J138" s="145" t="s">
        <v>242</v>
      </c>
      <c r="L138" s="145" t="s">
        <v>442</v>
      </c>
      <c r="N138" s="145" t="s">
        <v>143</v>
      </c>
      <c r="P138" s="145" t="s">
        <v>182</v>
      </c>
      <c r="Q138" s="133"/>
      <c r="R138" s="145" t="s">
        <v>182</v>
      </c>
      <c r="T138" s="145" t="s">
        <v>115</v>
      </c>
      <c r="U138" s="133"/>
      <c r="V138" s="180" t="s">
        <v>242</v>
      </c>
    </row>
    <row r="139" spans="1:22">
      <c r="A139" s="132"/>
      <c r="B139" s="145"/>
      <c r="C139" s="133"/>
      <c r="D139" s="145"/>
      <c r="F139" s="145"/>
      <c r="H139" s="145"/>
      <c r="J139" s="145"/>
      <c r="L139" s="145"/>
      <c r="N139" s="145"/>
      <c r="P139" s="145"/>
      <c r="Q139" s="133"/>
      <c r="R139" s="145"/>
      <c r="T139" s="145"/>
      <c r="U139" s="133"/>
      <c r="V139" s="180"/>
    </row>
    <row r="140" spans="1:22">
      <c r="A140" s="132"/>
      <c r="B140" s="145"/>
      <c r="C140" s="133"/>
      <c r="D140" s="145"/>
      <c r="F140" s="145"/>
      <c r="H140" s="145"/>
      <c r="J140" s="145"/>
      <c r="L140" s="145"/>
      <c r="N140" s="145"/>
      <c r="P140" s="145"/>
      <c r="Q140" s="133"/>
      <c r="R140" s="145"/>
      <c r="T140" s="145"/>
      <c r="U140" s="133"/>
      <c r="V140" s="180"/>
    </row>
    <row r="141" spans="1:22">
      <c r="A141" s="132"/>
      <c r="B141" s="161">
        <f>V132+1</f>
        <v>164</v>
      </c>
      <c r="C141" s="133"/>
      <c r="D141" s="161">
        <f>B141+1</f>
        <v>165</v>
      </c>
      <c r="F141" s="161">
        <f>D141+1</f>
        <v>166</v>
      </c>
      <c r="H141" s="161">
        <f>F141+1</f>
        <v>167</v>
      </c>
      <c r="J141" s="161">
        <f>H141+1</f>
        <v>168</v>
      </c>
      <c r="L141" s="161">
        <f>J141+1</f>
        <v>169</v>
      </c>
      <c r="N141" s="161">
        <f>L141+1</f>
        <v>170</v>
      </c>
      <c r="P141" s="161">
        <f>N141+1</f>
        <v>171</v>
      </c>
      <c r="Q141" s="155"/>
      <c r="R141" s="161">
        <f>P141+1</f>
        <v>172</v>
      </c>
      <c r="T141" s="161">
        <f>R141+1</f>
        <v>173</v>
      </c>
      <c r="U141" s="133"/>
      <c r="V141" s="200">
        <f>T141+1</f>
        <v>174</v>
      </c>
    </row>
    <row r="142" spans="1:22">
      <c r="A142" s="132"/>
      <c r="B142" s="133"/>
      <c r="C142" s="133"/>
      <c r="D142" s="133"/>
      <c r="F142" s="133"/>
      <c r="H142" s="133"/>
      <c r="J142" s="133"/>
      <c r="L142" s="133"/>
      <c r="N142" s="133"/>
      <c r="P142" s="133"/>
      <c r="Q142" s="133"/>
      <c r="R142" s="133"/>
      <c r="T142" s="133"/>
      <c r="U142" s="133"/>
      <c r="V142" s="195"/>
    </row>
    <row r="143" spans="1:22" ht="15" thickBot="1">
      <c r="A143" s="132"/>
      <c r="B143" s="135"/>
      <c r="C143" s="133"/>
      <c r="D143" s="133"/>
      <c r="F143" s="133"/>
      <c r="H143" s="133"/>
      <c r="J143" s="133"/>
      <c r="L143" s="133"/>
      <c r="N143" s="133"/>
      <c r="P143" s="133"/>
      <c r="Q143" s="135"/>
      <c r="R143" s="133"/>
      <c r="T143" s="133"/>
      <c r="U143" s="133"/>
      <c r="V143" s="195"/>
    </row>
    <row r="144" spans="1:22" ht="15.5" thickTop="1" thickBot="1">
      <c r="A144" s="132"/>
      <c r="B144" s="140"/>
      <c r="C144" s="133"/>
      <c r="D144" s="140"/>
      <c r="F144" s="140"/>
      <c r="H144" s="140"/>
      <c r="J144" s="140"/>
      <c r="L144" s="140"/>
      <c r="N144" s="140"/>
      <c r="P144" s="140"/>
      <c r="Q144" s="133"/>
      <c r="R144" s="140"/>
      <c r="T144" s="140"/>
      <c r="U144" s="133"/>
      <c r="V144" s="197"/>
    </row>
    <row r="145" spans="1:22" ht="15.5" thickTop="1" thickBot="1">
      <c r="A145" s="132"/>
      <c r="B145" s="141"/>
      <c r="C145" s="133"/>
      <c r="D145" s="141"/>
      <c r="F145" s="141"/>
      <c r="H145" s="141"/>
      <c r="J145" s="141"/>
      <c r="L145" s="141"/>
      <c r="N145" s="141"/>
      <c r="P145" s="141"/>
      <c r="Q145" s="133"/>
      <c r="R145" s="141"/>
      <c r="T145" s="141"/>
      <c r="U145" s="133"/>
      <c r="V145" s="198"/>
    </row>
    <row r="146" spans="1:22" ht="15" thickTop="1">
      <c r="A146" s="132"/>
      <c r="B146" s="384" t="s">
        <v>443</v>
      </c>
      <c r="C146" s="191"/>
      <c r="D146" s="384" t="s">
        <v>444</v>
      </c>
      <c r="F146" s="384" t="s">
        <v>445</v>
      </c>
      <c r="H146" s="384" t="s">
        <v>446</v>
      </c>
      <c r="J146" s="384" t="s">
        <v>447</v>
      </c>
      <c r="L146" s="384" t="s">
        <v>448</v>
      </c>
      <c r="N146" s="411" t="s">
        <v>449</v>
      </c>
      <c r="P146" s="384" t="s">
        <v>450</v>
      </c>
      <c r="Q146" s="133"/>
      <c r="R146" s="384" t="s">
        <v>451</v>
      </c>
      <c r="T146" s="411" t="s">
        <v>452</v>
      </c>
      <c r="U146" s="133"/>
      <c r="V146" s="409" t="s">
        <v>453</v>
      </c>
    </row>
    <row r="147" spans="1:22">
      <c r="A147" s="132"/>
      <c r="B147" s="145" t="s">
        <v>132</v>
      </c>
      <c r="C147" s="133"/>
      <c r="D147" s="145" t="s">
        <v>123</v>
      </c>
      <c r="F147" s="145" t="s">
        <v>132</v>
      </c>
      <c r="H147" s="145" t="s">
        <v>182</v>
      </c>
      <c r="J147" s="145" t="s">
        <v>182</v>
      </c>
      <c r="L147" s="145" t="s">
        <v>125</v>
      </c>
      <c r="N147" s="145" t="s">
        <v>185</v>
      </c>
      <c r="P147" s="145" t="s">
        <v>128</v>
      </c>
      <c r="Q147" s="133"/>
      <c r="R147" s="145" t="s">
        <v>143</v>
      </c>
      <c r="T147" s="145" t="s">
        <v>248</v>
      </c>
      <c r="U147" s="133"/>
      <c r="V147" s="180" t="s">
        <v>115</v>
      </c>
    </row>
    <row r="148" spans="1:22">
      <c r="A148" s="132"/>
      <c r="B148" s="145"/>
      <c r="C148" s="133"/>
      <c r="D148" s="410" t="s">
        <v>220</v>
      </c>
      <c r="F148" s="410" t="s">
        <v>220</v>
      </c>
      <c r="H148" s="145"/>
      <c r="J148" s="145"/>
      <c r="L148" s="145"/>
      <c r="N148" s="145"/>
      <c r="P148" s="145"/>
      <c r="Q148" s="133"/>
      <c r="R148" s="145"/>
      <c r="T148" s="145"/>
      <c r="U148" s="133"/>
      <c r="V148" s="412" t="s">
        <v>454</v>
      </c>
    </row>
    <row r="149" spans="1:22">
      <c r="A149" s="132"/>
      <c r="B149" s="145"/>
      <c r="C149" s="133"/>
      <c r="D149" s="410"/>
      <c r="F149" s="410"/>
      <c r="H149" s="145"/>
      <c r="J149" s="145"/>
      <c r="L149" s="145"/>
      <c r="N149" s="145"/>
      <c r="P149" s="145"/>
      <c r="Q149" s="133"/>
      <c r="R149" s="145"/>
      <c r="T149" s="145"/>
      <c r="U149" s="133"/>
      <c r="V149" s="180"/>
    </row>
    <row r="150" spans="1:22">
      <c r="A150" s="132"/>
      <c r="B150" s="161">
        <f>V141+1</f>
        <v>175</v>
      </c>
      <c r="C150" s="133"/>
      <c r="D150" s="161">
        <f>B150+1</f>
        <v>176</v>
      </c>
      <c r="F150" s="161">
        <f>D150+1</f>
        <v>177</v>
      </c>
      <c r="H150" s="161">
        <f>F150+1</f>
        <v>178</v>
      </c>
      <c r="J150" s="161">
        <f>H150+1</f>
        <v>179</v>
      </c>
      <c r="L150" s="161">
        <f>J150+1</f>
        <v>180</v>
      </c>
      <c r="N150" s="161">
        <f>L150+1</f>
        <v>181</v>
      </c>
      <c r="P150" s="161">
        <f>N150+1</f>
        <v>182</v>
      </c>
      <c r="Q150" s="155"/>
      <c r="R150" s="161">
        <f>P150+1</f>
        <v>183</v>
      </c>
      <c r="T150" s="161">
        <f>R150+1</f>
        <v>184</v>
      </c>
      <c r="U150" s="133"/>
      <c r="V150" s="200">
        <f>T150+1</f>
        <v>185</v>
      </c>
    </row>
    <row r="151" spans="1:22">
      <c r="A151" s="132"/>
      <c r="B151" s="133"/>
      <c r="C151" s="133"/>
      <c r="D151" s="133"/>
      <c r="F151" s="133"/>
      <c r="H151" s="133"/>
      <c r="J151" s="133"/>
      <c r="L151" s="133"/>
      <c r="N151" s="133"/>
      <c r="P151" s="133"/>
      <c r="Q151" s="133"/>
      <c r="R151" s="133"/>
      <c r="T151" s="133"/>
      <c r="U151" s="133"/>
      <c r="V151" s="195"/>
    </row>
    <row r="152" spans="1:22" ht="15" thickBot="1">
      <c r="A152" s="132"/>
      <c r="B152" s="135"/>
      <c r="C152" s="133"/>
      <c r="D152" s="133"/>
      <c r="F152" s="133"/>
      <c r="H152" s="133"/>
      <c r="J152" s="133"/>
      <c r="L152" s="133"/>
      <c r="N152" s="133"/>
      <c r="P152" s="133"/>
      <c r="Q152" s="135"/>
      <c r="R152" s="133"/>
      <c r="T152" s="133"/>
      <c r="U152" s="133"/>
      <c r="V152" s="195"/>
    </row>
    <row r="153" spans="1:22" ht="15.5" thickTop="1" thickBot="1">
      <c r="A153" s="132"/>
      <c r="B153" s="140"/>
      <c r="C153" s="133"/>
      <c r="D153" s="140"/>
      <c r="F153" s="140"/>
      <c r="H153" s="140"/>
      <c r="J153" s="140"/>
      <c r="L153" s="140"/>
      <c r="N153" s="140"/>
      <c r="P153" s="140"/>
      <c r="Q153" s="133"/>
      <c r="R153" s="140"/>
      <c r="T153" s="140"/>
      <c r="U153" s="133"/>
      <c r="V153" s="197"/>
    </row>
    <row r="154" spans="1:22" ht="15.5" thickTop="1" thickBot="1">
      <c r="A154" s="132"/>
      <c r="B154" s="141"/>
      <c r="C154" s="133"/>
      <c r="D154" s="141"/>
      <c r="F154" s="141"/>
      <c r="H154" s="141"/>
      <c r="J154" s="141"/>
      <c r="L154" s="141"/>
      <c r="N154" s="141"/>
      <c r="P154" s="141"/>
      <c r="Q154" s="133"/>
      <c r="R154" s="141"/>
      <c r="T154" s="141"/>
      <c r="U154" s="133"/>
      <c r="V154" s="198"/>
    </row>
    <row r="155" spans="1:22" ht="15" thickTop="1">
      <c r="A155" s="132"/>
      <c r="B155" s="384" t="s">
        <v>455</v>
      </c>
      <c r="C155" s="191"/>
      <c r="D155" s="384" t="s">
        <v>456</v>
      </c>
      <c r="F155" s="384" t="s">
        <v>457</v>
      </c>
      <c r="H155" s="384" t="s">
        <v>458</v>
      </c>
      <c r="J155" s="384" t="s">
        <v>459</v>
      </c>
      <c r="L155" s="384" t="s">
        <v>460</v>
      </c>
      <c r="N155" s="384" t="s">
        <v>461</v>
      </c>
      <c r="P155" s="384" t="s">
        <v>462</v>
      </c>
      <c r="Q155" s="133"/>
      <c r="R155" s="411" t="s">
        <v>463</v>
      </c>
      <c r="T155" s="384" t="s">
        <v>464</v>
      </c>
      <c r="U155" s="133"/>
      <c r="V155" s="413" t="s">
        <v>465</v>
      </c>
    </row>
    <row r="156" spans="1:22">
      <c r="A156" s="132"/>
      <c r="B156" s="145" t="s">
        <v>137</v>
      </c>
      <c r="C156" s="133"/>
      <c r="D156" s="145" t="s">
        <v>167</v>
      </c>
      <c r="F156" s="145" t="s">
        <v>115</v>
      </c>
      <c r="H156" s="145" t="s">
        <v>132</v>
      </c>
      <c r="J156" s="145" t="s">
        <v>123</v>
      </c>
      <c r="L156" s="145" t="s">
        <v>125</v>
      </c>
      <c r="N156" s="145" t="s">
        <v>115</v>
      </c>
      <c r="P156" s="145" t="s">
        <v>115</v>
      </c>
      <c r="Q156" s="133"/>
      <c r="R156" s="145" t="s">
        <v>248</v>
      </c>
      <c r="T156" s="145" t="s">
        <v>115</v>
      </c>
      <c r="U156" s="133"/>
      <c r="V156" s="180" t="s">
        <v>132</v>
      </c>
    </row>
    <row r="157" spans="1:22">
      <c r="A157" s="132"/>
      <c r="B157" s="145"/>
      <c r="C157" s="133"/>
      <c r="D157" s="410"/>
      <c r="F157" s="410"/>
      <c r="H157" s="410" t="s">
        <v>466</v>
      </c>
      <c r="J157" s="410" t="s">
        <v>466</v>
      </c>
      <c r="L157" s="145"/>
      <c r="N157" s="145"/>
      <c r="P157" s="145"/>
      <c r="Q157" s="133"/>
      <c r="R157" s="145"/>
      <c r="T157" s="410" t="s">
        <v>454</v>
      </c>
      <c r="U157" s="133"/>
      <c r="V157" s="180"/>
    </row>
    <row r="158" spans="1:22">
      <c r="A158" s="132"/>
      <c r="B158" s="161">
        <f>V150+1</f>
        <v>186</v>
      </c>
      <c r="C158" s="133"/>
      <c r="D158" s="161">
        <f>B158+1</f>
        <v>187</v>
      </c>
      <c r="F158" s="161">
        <f>D158+1</f>
        <v>188</v>
      </c>
      <c r="H158" s="161">
        <f>F158+1</f>
        <v>189</v>
      </c>
      <c r="J158" s="161">
        <f>H158+1</f>
        <v>190</v>
      </c>
      <c r="L158" s="161">
        <f>J158+1</f>
        <v>191</v>
      </c>
      <c r="N158" s="161">
        <f>L158+1</f>
        <v>192</v>
      </c>
      <c r="P158" s="161">
        <f>N158+1</f>
        <v>193</v>
      </c>
      <c r="Q158" s="155"/>
      <c r="R158" s="161">
        <f>P158+1</f>
        <v>194</v>
      </c>
      <c r="T158" s="161">
        <f>R158+1</f>
        <v>195</v>
      </c>
      <c r="U158" s="133"/>
      <c r="V158" s="200">
        <f>T158+1</f>
        <v>196</v>
      </c>
    </row>
    <row r="159" spans="1:22">
      <c r="A159" s="132"/>
      <c r="B159" s="133"/>
      <c r="C159" s="133"/>
      <c r="D159" s="133"/>
      <c r="F159" s="133"/>
      <c r="H159" s="133"/>
      <c r="J159" s="133"/>
      <c r="L159" s="133"/>
      <c r="N159" s="133"/>
      <c r="P159" s="133"/>
      <c r="Q159" s="133"/>
      <c r="R159" s="133"/>
      <c r="T159" s="133"/>
      <c r="U159" s="133"/>
      <c r="V159" s="195"/>
    </row>
    <row r="160" spans="1:22" ht="15" thickBot="1">
      <c r="A160" s="132"/>
      <c r="B160" s="135"/>
      <c r="C160" s="133"/>
      <c r="D160" s="133"/>
      <c r="F160" s="133"/>
      <c r="H160" s="133"/>
      <c r="J160" s="133"/>
      <c r="L160" s="133"/>
      <c r="N160" s="133"/>
      <c r="P160" s="133"/>
      <c r="Q160" s="135"/>
      <c r="R160" s="133"/>
      <c r="T160" s="133"/>
      <c r="U160" s="133"/>
      <c r="V160" s="195"/>
    </row>
    <row r="161" spans="1:22" ht="15.5" thickTop="1" thickBot="1">
      <c r="A161" s="132"/>
      <c r="B161" s="140"/>
      <c r="C161" s="133"/>
      <c r="D161" s="140"/>
      <c r="F161" s="140"/>
      <c r="H161" s="140"/>
      <c r="J161" s="140"/>
      <c r="L161" s="140"/>
      <c r="N161" s="140"/>
      <c r="P161" s="140"/>
      <c r="Q161" s="133"/>
      <c r="R161" s="140"/>
      <c r="T161" s="140"/>
      <c r="U161" s="133"/>
      <c r="V161" s="197"/>
    </row>
    <row r="162" spans="1:22" ht="15.5" thickTop="1" thickBot="1">
      <c r="A162" s="132"/>
      <c r="B162" s="141"/>
      <c r="C162" s="133"/>
      <c r="D162" s="141"/>
      <c r="F162" s="141"/>
      <c r="H162" s="141"/>
      <c r="J162" s="141"/>
      <c r="L162" s="141"/>
      <c r="N162" s="141"/>
      <c r="P162" s="141"/>
      <c r="Q162" s="133"/>
      <c r="R162" s="141"/>
      <c r="T162" s="141"/>
      <c r="U162" s="133"/>
      <c r="V162" s="198"/>
    </row>
    <row r="163" spans="1:22" ht="15" thickTop="1">
      <c r="A163" s="132"/>
      <c r="B163" s="384" t="s">
        <v>467</v>
      </c>
      <c r="C163" s="191"/>
      <c r="D163" s="411" t="s">
        <v>468</v>
      </c>
      <c r="F163" s="384" t="s">
        <v>469</v>
      </c>
      <c r="H163" s="411" t="s">
        <v>470</v>
      </c>
      <c r="J163" s="411" t="s">
        <v>471</v>
      </c>
      <c r="L163" s="384" t="s">
        <v>472</v>
      </c>
      <c r="N163" s="384" t="s">
        <v>473</v>
      </c>
      <c r="P163" s="384" t="s">
        <v>474</v>
      </c>
      <c r="Q163" s="133"/>
      <c r="R163" s="384" t="s">
        <v>475</v>
      </c>
      <c r="T163" s="384" t="s">
        <v>476</v>
      </c>
      <c r="U163" s="133"/>
      <c r="V163" s="413" t="s">
        <v>477</v>
      </c>
    </row>
    <row r="164" spans="1:22">
      <c r="A164" s="132"/>
      <c r="B164" s="145" t="s">
        <v>125</v>
      </c>
      <c r="C164" s="133"/>
      <c r="D164" s="145" t="s">
        <v>182</v>
      </c>
      <c r="F164" s="145" t="s">
        <v>125</v>
      </c>
      <c r="H164" s="145" t="s">
        <v>185</v>
      </c>
      <c r="J164" s="145" t="s">
        <v>132</v>
      </c>
      <c r="L164" s="145" t="s">
        <v>137</v>
      </c>
      <c r="N164" s="145" t="s">
        <v>143</v>
      </c>
      <c r="P164" s="145" t="s">
        <v>185</v>
      </c>
      <c r="Q164" s="133"/>
      <c r="R164" s="145" t="s">
        <v>185</v>
      </c>
      <c r="T164" s="145" t="s">
        <v>115</v>
      </c>
      <c r="U164" s="133"/>
      <c r="V164" s="180" t="s">
        <v>242</v>
      </c>
    </row>
    <row r="165" spans="1:22">
      <c r="A165" s="132"/>
      <c r="B165" s="145"/>
      <c r="C165" s="133"/>
      <c r="D165" s="410" t="s">
        <v>366</v>
      </c>
      <c r="F165" s="410" t="s">
        <v>220</v>
      </c>
      <c r="H165" s="145"/>
      <c r="J165" s="145"/>
      <c r="L165" s="145"/>
      <c r="N165" s="145"/>
      <c r="P165" s="145"/>
      <c r="Q165" s="133"/>
      <c r="R165" s="145"/>
      <c r="T165" s="145"/>
      <c r="U165" s="133"/>
      <c r="V165" s="180"/>
    </row>
    <row r="166" spans="1:22">
      <c r="A166" s="132"/>
      <c r="B166" s="161">
        <f>V158+1</f>
        <v>197</v>
      </c>
      <c r="C166" s="133"/>
      <c r="D166" s="161">
        <f>B166+1</f>
        <v>198</v>
      </c>
      <c r="F166" s="161">
        <f>D166+1</f>
        <v>199</v>
      </c>
      <c r="H166" s="161">
        <f>F166+1</f>
        <v>200</v>
      </c>
      <c r="J166" s="161">
        <f>H166+1</f>
        <v>201</v>
      </c>
      <c r="L166" s="161">
        <f>J166+1</f>
        <v>202</v>
      </c>
      <c r="N166" s="161">
        <f>L166+1</f>
        <v>203</v>
      </c>
      <c r="P166" s="161">
        <f>N166+1</f>
        <v>204</v>
      </c>
      <c r="Q166" s="155"/>
      <c r="R166" s="161">
        <f>P166+1</f>
        <v>205</v>
      </c>
      <c r="T166" s="161">
        <f>R166+1</f>
        <v>206</v>
      </c>
      <c r="U166" s="133"/>
      <c r="V166" s="161">
        <f>T166+1</f>
        <v>207</v>
      </c>
    </row>
    <row r="167" spans="1:22">
      <c r="A167" s="132"/>
      <c r="B167" s="133"/>
      <c r="C167" s="133"/>
      <c r="D167" s="133"/>
      <c r="F167" s="133"/>
      <c r="H167" s="133"/>
      <c r="J167" s="133"/>
      <c r="L167" s="133"/>
      <c r="N167" s="133"/>
      <c r="P167" s="133"/>
      <c r="Q167" s="133"/>
      <c r="R167" s="133"/>
      <c r="T167" s="133"/>
      <c r="U167" s="133"/>
      <c r="V167" s="195"/>
    </row>
    <row r="168" spans="1:22" ht="15" thickBot="1">
      <c r="A168" s="132"/>
      <c r="B168" s="135"/>
      <c r="C168" s="133"/>
      <c r="D168" s="135"/>
      <c r="F168" s="135"/>
      <c r="H168" s="135"/>
      <c r="J168" s="135"/>
      <c r="L168" s="135"/>
      <c r="N168" s="135"/>
      <c r="P168" s="135"/>
      <c r="Q168" s="135"/>
      <c r="R168" s="135"/>
      <c r="T168" s="135"/>
      <c r="U168" s="133"/>
      <c r="V168" s="196"/>
    </row>
    <row r="169" spans="1:22" ht="15.5" thickTop="1" thickBot="1">
      <c r="A169" s="132"/>
      <c r="B169" s="140"/>
      <c r="C169" s="133"/>
      <c r="D169" s="140"/>
      <c r="F169" s="140"/>
      <c r="H169" s="140"/>
      <c r="J169" s="140"/>
      <c r="L169" s="140"/>
      <c r="N169" s="140"/>
      <c r="P169" s="140"/>
      <c r="Q169" s="133"/>
      <c r="R169" s="140"/>
      <c r="T169" s="140"/>
      <c r="U169" s="133"/>
      <c r="V169" s="197"/>
    </row>
    <row r="170" spans="1:22" ht="15.5" thickTop="1" thickBot="1">
      <c r="A170" s="132"/>
      <c r="B170" s="141"/>
      <c r="C170" s="133"/>
      <c r="D170" s="141"/>
      <c r="F170" s="141"/>
      <c r="H170" s="141"/>
      <c r="J170" s="141"/>
      <c r="L170" s="141"/>
      <c r="N170" s="141"/>
      <c r="P170" s="141"/>
      <c r="Q170" s="133"/>
      <c r="R170" s="141"/>
      <c r="T170" s="141"/>
      <c r="U170" s="133"/>
      <c r="V170" s="198"/>
    </row>
    <row r="171" spans="1:22" ht="15" thickTop="1">
      <c r="A171" s="132"/>
      <c r="B171" s="384" t="s">
        <v>478</v>
      </c>
      <c r="C171" s="191"/>
      <c r="D171" s="384" t="s">
        <v>863</v>
      </c>
      <c r="F171" s="411" t="s">
        <v>734</v>
      </c>
      <c r="H171" s="411" t="s">
        <v>735</v>
      </c>
      <c r="J171" s="411" t="s">
        <v>864</v>
      </c>
      <c r="L171" s="411" t="s">
        <v>865</v>
      </c>
      <c r="N171" s="411" t="s">
        <v>866</v>
      </c>
      <c r="P171" s="411" t="s">
        <v>739</v>
      </c>
      <c r="Q171" s="133"/>
      <c r="R171" s="411" t="s">
        <v>740</v>
      </c>
      <c r="T171" s="411" t="s">
        <v>741</v>
      </c>
      <c r="U171" s="133"/>
      <c r="V171" s="413" t="s">
        <v>177</v>
      </c>
    </row>
    <row r="172" spans="1:22">
      <c r="A172" s="132"/>
      <c r="B172" s="145" t="s">
        <v>125</v>
      </c>
      <c r="C172" s="133"/>
      <c r="D172" s="145" t="s">
        <v>128</v>
      </c>
      <c r="F172" s="145" t="s">
        <v>185</v>
      </c>
      <c r="H172" s="145" t="s">
        <v>185</v>
      </c>
      <c r="J172" s="145" t="s">
        <v>115</v>
      </c>
      <c r="L172" s="145" t="s">
        <v>137</v>
      </c>
      <c r="N172" s="145" t="s">
        <v>137</v>
      </c>
      <c r="P172" s="145" t="s">
        <v>182</v>
      </c>
      <c r="Q172" s="133"/>
      <c r="R172" s="145" t="s">
        <v>182</v>
      </c>
      <c r="T172" s="145" t="s">
        <v>182</v>
      </c>
      <c r="U172" s="133"/>
      <c r="V172" s="180" t="s">
        <v>115</v>
      </c>
    </row>
    <row r="173" spans="1:22">
      <c r="A173" s="132"/>
      <c r="B173" s="161">
        <f>V166+1</f>
        <v>208</v>
      </c>
      <c r="C173" s="133"/>
      <c r="D173" s="161">
        <f>B173+1</f>
        <v>209</v>
      </c>
      <c r="F173" s="161">
        <f>D173+1</f>
        <v>210</v>
      </c>
      <c r="H173" s="161">
        <f>F173+1</f>
        <v>211</v>
      </c>
      <c r="J173" s="161">
        <f>H173+1</f>
        <v>212</v>
      </c>
      <c r="L173" s="161">
        <f>J173+1</f>
        <v>213</v>
      </c>
      <c r="N173" s="161">
        <f>L173+1</f>
        <v>214</v>
      </c>
      <c r="P173" s="161">
        <f>N173+1</f>
        <v>215</v>
      </c>
      <c r="Q173" s="133"/>
      <c r="R173" s="161">
        <f>P173+1</f>
        <v>216</v>
      </c>
      <c r="T173" s="161">
        <f>R173+1</f>
        <v>217</v>
      </c>
      <c r="U173" s="133"/>
      <c r="V173" s="161">
        <f>T173+1</f>
        <v>218</v>
      </c>
    </row>
    <row r="174" spans="1:22">
      <c r="A174" s="132"/>
      <c r="B174" s="145"/>
      <c r="C174" s="133"/>
      <c r="D174" s="145"/>
      <c r="F174" s="145"/>
      <c r="H174" s="145"/>
      <c r="J174" s="145"/>
      <c r="L174" s="145"/>
      <c r="N174" s="145"/>
      <c r="P174" s="145"/>
      <c r="Q174" s="133"/>
      <c r="R174" s="145"/>
      <c r="T174" s="145"/>
      <c r="U174" s="133"/>
      <c r="V174" s="180"/>
    </row>
    <row r="175" spans="1:22" ht="15" thickBot="1">
      <c r="A175" s="132"/>
      <c r="B175" s="135"/>
      <c r="C175" s="133"/>
      <c r="D175" s="135"/>
      <c r="F175" s="135"/>
      <c r="H175" s="135"/>
      <c r="J175" s="135"/>
      <c r="L175" s="135"/>
      <c r="N175" s="135"/>
      <c r="P175" s="135"/>
      <c r="Q175" s="133"/>
      <c r="R175" s="135"/>
      <c r="T175" s="135"/>
      <c r="U175" s="133"/>
      <c r="V175" s="135"/>
    </row>
    <row r="176" spans="1:22" ht="15.5" thickTop="1" thickBot="1">
      <c r="A176" s="132"/>
      <c r="B176" s="202"/>
      <c r="C176" s="133"/>
      <c r="D176" s="202"/>
      <c r="F176" s="202"/>
      <c r="H176" s="202"/>
      <c r="J176" s="202"/>
      <c r="L176" s="202"/>
      <c r="N176" s="202"/>
      <c r="P176" s="202"/>
      <c r="Q176" s="133"/>
      <c r="R176" s="202"/>
      <c r="T176" s="140"/>
      <c r="U176" s="133"/>
      <c r="V176" s="140"/>
    </row>
    <row r="177" spans="1:22" ht="15.5" thickTop="1" thickBot="1">
      <c r="A177" s="132"/>
      <c r="B177" s="203"/>
      <c r="C177" s="133"/>
      <c r="D177" s="203"/>
      <c r="F177" s="203"/>
      <c r="H177" s="203"/>
      <c r="J177" s="203"/>
      <c r="L177" s="203"/>
      <c r="N177" s="203"/>
      <c r="P177" s="203"/>
      <c r="Q177" s="133"/>
      <c r="R177" s="203"/>
      <c r="T177" s="141"/>
      <c r="U177" s="133"/>
      <c r="V177" s="141"/>
    </row>
    <row r="178" spans="1:22">
      <c r="A178" s="132"/>
      <c r="B178" s="411" t="s">
        <v>743</v>
      </c>
      <c r="C178" s="133"/>
      <c r="D178" s="411" t="s">
        <v>744</v>
      </c>
      <c r="F178" s="411" t="s">
        <v>745</v>
      </c>
      <c r="H178" s="411" t="s">
        <v>867</v>
      </c>
      <c r="J178" s="411" t="s">
        <v>747</v>
      </c>
      <c r="L178" s="411" t="s">
        <v>868</v>
      </c>
      <c r="N178" s="411" t="s">
        <v>749</v>
      </c>
      <c r="P178" s="411" t="s">
        <v>869</v>
      </c>
      <c r="Q178" s="133"/>
      <c r="R178" s="411" t="s">
        <v>751</v>
      </c>
      <c r="T178" s="411" t="s">
        <v>752</v>
      </c>
      <c r="U178" s="133"/>
      <c r="V178" s="411" t="s">
        <v>870</v>
      </c>
    </row>
    <row r="179" spans="1:22">
      <c r="A179" s="132"/>
      <c r="B179" s="145" t="s">
        <v>242</v>
      </c>
      <c r="C179" s="133"/>
      <c r="D179" s="145" t="s">
        <v>185</v>
      </c>
      <c r="F179" s="145" t="s">
        <v>242</v>
      </c>
      <c r="H179" s="145" t="s">
        <v>192</v>
      </c>
      <c r="J179" s="145" t="s">
        <v>248</v>
      </c>
      <c r="L179" s="145" t="s">
        <v>137</v>
      </c>
      <c r="N179" s="145" t="s">
        <v>242</v>
      </c>
      <c r="P179" s="145" t="s">
        <v>115</v>
      </c>
      <c r="Q179" s="133"/>
      <c r="R179" s="145" t="s">
        <v>185</v>
      </c>
      <c r="T179" s="145" t="s">
        <v>248</v>
      </c>
      <c r="U179" s="133"/>
      <c r="V179" s="145" t="s">
        <v>128</v>
      </c>
    </row>
    <row r="180" spans="1:22">
      <c r="A180" s="132"/>
      <c r="B180" s="161">
        <f>V173+1</f>
        <v>219</v>
      </c>
      <c r="C180" s="133"/>
      <c r="D180" s="161">
        <f>B180+1</f>
        <v>220</v>
      </c>
      <c r="F180" s="161">
        <f>D180+1</f>
        <v>221</v>
      </c>
      <c r="H180" s="161">
        <f>F180+1</f>
        <v>222</v>
      </c>
      <c r="J180" s="161">
        <f>H180+1</f>
        <v>223</v>
      </c>
      <c r="L180" s="161">
        <f>J180+1</f>
        <v>224</v>
      </c>
      <c r="N180" s="161">
        <f>L180+1</f>
        <v>225</v>
      </c>
      <c r="P180" s="161">
        <f>N180+1</f>
        <v>226</v>
      </c>
      <c r="Q180" s="133"/>
      <c r="R180" s="161">
        <f>P180+1</f>
        <v>227</v>
      </c>
      <c r="T180" s="161">
        <f>R180+1</f>
        <v>228</v>
      </c>
      <c r="U180" s="133"/>
      <c r="V180" s="161">
        <f>T180+1</f>
        <v>229</v>
      </c>
    </row>
    <row r="181" spans="1:22">
      <c r="A181" s="132"/>
      <c r="B181" s="145"/>
      <c r="C181" s="133"/>
      <c r="D181" s="145"/>
      <c r="F181" s="145"/>
      <c r="H181" s="145"/>
      <c r="J181" s="145"/>
      <c r="L181" s="145"/>
      <c r="N181" s="145"/>
      <c r="P181" s="145"/>
      <c r="Q181" s="133"/>
      <c r="R181" s="145"/>
      <c r="T181" s="145"/>
      <c r="U181" s="133"/>
      <c r="V181" s="180"/>
    </row>
    <row r="182" spans="1:22" ht="15" thickBot="1">
      <c r="A182" s="132"/>
      <c r="B182" s="135"/>
      <c r="C182" s="133"/>
      <c r="D182" s="135"/>
      <c r="F182" s="135"/>
      <c r="H182" s="135"/>
      <c r="J182" s="135"/>
      <c r="L182" s="135"/>
      <c r="N182" s="135"/>
      <c r="P182" s="135"/>
      <c r="Q182" s="133"/>
      <c r="R182" s="135"/>
      <c r="T182" s="135"/>
      <c r="U182" s="133"/>
      <c r="V182" s="135"/>
    </row>
    <row r="183" spans="1:22" ht="15.5" thickTop="1" thickBot="1">
      <c r="A183" s="132"/>
      <c r="B183" s="140"/>
      <c r="C183" s="133"/>
      <c r="D183" s="140"/>
      <c r="F183" s="140"/>
      <c r="H183" s="140"/>
      <c r="J183" s="140"/>
      <c r="L183" s="140"/>
      <c r="N183" s="140"/>
      <c r="P183" s="140"/>
      <c r="Q183" s="133"/>
      <c r="R183" s="140"/>
      <c r="T183" s="140"/>
      <c r="U183" s="133"/>
      <c r="V183" s="140"/>
    </row>
    <row r="184" spans="1:22" ht="15.5" thickTop="1" thickBot="1">
      <c r="A184" s="132"/>
      <c r="B184" s="141"/>
      <c r="C184" s="133"/>
      <c r="D184" s="141"/>
      <c r="F184" s="141"/>
      <c r="H184" s="141"/>
      <c r="J184" s="141"/>
      <c r="L184" s="141"/>
      <c r="N184" s="141"/>
      <c r="P184" s="141"/>
      <c r="Q184" s="133"/>
      <c r="R184" s="141"/>
      <c r="T184" s="141"/>
      <c r="U184" s="133"/>
      <c r="V184" s="141"/>
    </row>
    <row r="185" spans="1:22" ht="15" thickTop="1">
      <c r="A185" s="132"/>
      <c r="B185" s="411" t="s">
        <v>754</v>
      </c>
      <c r="D185" s="411" t="s">
        <v>178</v>
      </c>
      <c r="J185" s="145"/>
      <c r="L185" s="145"/>
      <c r="N185" s="145"/>
      <c r="P185" s="145"/>
      <c r="Q185" s="133"/>
      <c r="R185" s="145"/>
      <c r="T185" s="145"/>
      <c r="U185" s="133"/>
      <c r="V185" s="180"/>
    </row>
    <row r="186" spans="1:22">
      <c r="A186" s="132"/>
      <c r="B186" s="145" t="s">
        <v>182</v>
      </c>
      <c r="D186" s="145" t="s">
        <v>125</v>
      </c>
      <c r="J186" s="145"/>
      <c r="L186" s="145"/>
      <c r="N186" s="145"/>
      <c r="P186" s="145"/>
      <c r="Q186" s="133"/>
      <c r="R186" s="145"/>
      <c r="T186" s="145"/>
      <c r="U186" s="133"/>
      <c r="V186" s="180"/>
    </row>
    <row r="187" spans="1:22">
      <c r="A187" s="132"/>
      <c r="B187" s="161">
        <f>V180+1</f>
        <v>230</v>
      </c>
      <c r="C187" s="133"/>
      <c r="D187" s="161">
        <f>B187+1</f>
        <v>231</v>
      </c>
      <c r="F187" s="161">
        <f>D187+1</f>
        <v>232</v>
      </c>
      <c r="H187" s="161">
        <f>F187+1</f>
        <v>233</v>
      </c>
      <c r="J187" s="161">
        <f>H187+1</f>
        <v>234</v>
      </c>
      <c r="L187" s="161">
        <f>J187+1</f>
        <v>235</v>
      </c>
      <c r="N187" s="161">
        <f>L187+1</f>
        <v>236</v>
      </c>
      <c r="P187" s="161">
        <f>N187+1</f>
        <v>237</v>
      </c>
      <c r="Q187" s="133"/>
      <c r="R187" s="161">
        <f>P187+1</f>
        <v>238</v>
      </c>
      <c r="T187" s="161">
        <f>R187+1</f>
        <v>239</v>
      </c>
      <c r="U187" s="133"/>
      <c r="V187" s="161">
        <f>T187+1</f>
        <v>240</v>
      </c>
    </row>
    <row r="188" spans="1:22">
      <c r="A188" s="132"/>
      <c r="B188" s="145"/>
      <c r="C188" s="133"/>
      <c r="D188" s="145"/>
      <c r="F188" s="145"/>
      <c r="H188" s="145"/>
      <c r="J188" s="145"/>
      <c r="L188" s="145"/>
      <c r="N188" s="145"/>
      <c r="P188" s="145"/>
      <c r="Q188" s="133"/>
      <c r="R188" s="145"/>
      <c r="T188" s="145"/>
      <c r="U188" s="133"/>
      <c r="V188" s="180"/>
    </row>
    <row r="189" spans="1:22" ht="15" thickBot="1">
      <c r="A189" s="132"/>
      <c r="B189" s="135"/>
      <c r="C189" s="133"/>
      <c r="D189" s="135"/>
      <c r="F189" s="135"/>
      <c r="H189" s="135"/>
      <c r="J189" s="135"/>
      <c r="L189" s="135"/>
      <c r="N189" s="135"/>
      <c r="P189" s="135"/>
      <c r="Q189" s="133"/>
      <c r="R189" s="135"/>
      <c r="T189" s="135"/>
      <c r="U189" s="133"/>
      <c r="V189" s="135"/>
    </row>
    <row r="190" spans="1:22" ht="15.5" thickTop="1" thickBot="1">
      <c r="A190" s="132"/>
      <c r="B190" s="140"/>
      <c r="C190" s="133"/>
      <c r="D190" s="140"/>
      <c r="F190" s="140"/>
      <c r="H190" s="140"/>
      <c r="J190" s="140"/>
      <c r="L190" s="140"/>
      <c r="N190" s="140"/>
      <c r="P190" s="140"/>
      <c r="Q190" s="133"/>
      <c r="R190" s="140"/>
      <c r="T190" s="140"/>
      <c r="U190" s="133"/>
      <c r="V190" s="140"/>
    </row>
    <row r="191" spans="1:22" ht="15.5" thickTop="1" thickBot="1">
      <c r="A191" s="132"/>
      <c r="B191" s="141"/>
      <c r="C191" s="133"/>
      <c r="D191" s="141"/>
      <c r="F191" s="141"/>
      <c r="H191" s="141"/>
      <c r="J191" s="141"/>
      <c r="L191" s="141"/>
      <c r="N191" s="141"/>
      <c r="P191" s="141"/>
      <c r="Q191" s="133"/>
      <c r="R191" s="141"/>
      <c r="T191" s="141"/>
      <c r="U191" s="133"/>
      <c r="V191" s="141"/>
    </row>
    <row r="192" spans="1:22" ht="15" thickTop="1">
      <c r="A192" s="132"/>
      <c r="B192" s="145"/>
      <c r="C192" s="133"/>
      <c r="D192" s="145"/>
      <c r="F192" s="145"/>
      <c r="H192" s="145"/>
      <c r="J192" s="145"/>
      <c r="L192" s="145"/>
      <c r="N192" s="145"/>
      <c r="P192" s="145"/>
      <c r="Q192" s="133"/>
      <c r="R192" s="145"/>
      <c r="T192" s="145"/>
      <c r="U192" s="133"/>
      <c r="V192" s="180"/>
    </row>
    <row r="193" spans="1:22">
      <c r="A193" s="132"/>
      <c r="B193" s="145"/>
      <c r="C193" s="133"/>
      <c r="D193" s="145"/>
      <c r="F193" s="145"/>
      <c r="H193" s="145"/>
      <c r="J193" s="145"/>
      <c r="L193" s="145"/>
      <c r="N193" s="145"/>
      <c r="P193" s="145"/>
      <c r="Q193" s="133"/>
      <c r="R193" s="145"/>
      <c r="T193" s="145"/>
      <c r="U193" s="133"/>
      <c r="V193" s="180"/>
    </row>
    <row r="194" spans="1:22">
      <c r="A194" s="132"/>
      <c r="B194" s="145"/>
      <c r="C194" s="133"/>
      <c r="D194" s="145"/>
      <c r="F194" s="145"/>
      <c r="H194" s="145"/>
      <c r="J194" s="145"/>
      <c r="L194" s="145"/>
      <c r="N194" s="145"/>
      <c r="P194" s="145"/>
      <c r="Q194" s="133"/>
      <c r="R194" s="145"/>
      <c r="T194" s="145"/>
      <c r="U194" s="133"/>
      <c r="V194" s="180"/>
    </row>
    <row r="195" spans="1:22" ht="15" thickBot="1">
      <c r="A195" s="132"/>
      <c r="B195" s="135"/>
      <c r="C195" s="133"/>
      <c r="D195" s="135"/>
      <c r="F195" s="135"/>
      <c r="H195" s="135"/>
      <c r="J195" s="135"/>
      <c r="L195" s="135"/>
      <c r="N195" s="135"/>
      <c r="P195" s="135"/>
      <c r="Q195" s="133"/>
      <c r="R195" s="135"/>
      <c r="T195" s="135"/>
      <c r="U195" s="133"/>
      <c r="V195" s="135"/>
    </row>
    <row r="196" spans="1:22" ht="15.5" thickTop="1" thickBot="1">
      <c r="A196" s="132"/>
      <c r="B196" s="140"/>
      <c r="C196" s="133"/>
      <c r="D196" s="140"/>
      <c r="F196" s="140"/>
      <c r="H196" s="140"/>
      <c r="J196" s="140"/>
      <c r="L196" s="140"/>
      <c r="N196" s="140"/>
      <c r="P196" s="140"/>
      <c r="Q196" s="133"/>
      <c r="R196" s="140"/>
      <c r="T196" s="140"/>
      <c r="U196" s="133"/>
      <c r="V196" s="140"/>
    </row>
    <row r="197" spans="1:22" ht="15.5" thickTop="1" thickBot="1">
      <c r="A197" s="132"/>
      <c r="B197" s="141"/>
      <c r="C197" s="133"/>
      <c r="D197" s="141"/>
      <c r="F197" s="141"/>
      <c r="H197" s="141"/>
      <c r="J197" s="141"/>
      <c r="L197" s="141"/>
      <c r="N197" s="141"/>
      <c r="P197" s="141"/>
      <c r="Q197" s="133"/>
      <c r="R197" s="141"/>
      <c r="T197" s="141"/>
      <c r="U197" s="133"/>
      <c r="V197" s="141"/>
    </row>
    <row r="198" spans="1:22" ht="15" thickTop="1">
      <c r="A198" s="132"/>
      <c r="B198" s="148"/>
      <c r="C198" s="133"/>
      <c r="D198" s="148"/>
      <c r="F198" s="148"/>
      <c r="H198" s="148"/>
      <c r="J198" s="148"/>
      <c r="L198" s="148"/>
      <c r="N198" s="148"/>
      <c r="P198" s="148"/>
      <c r="Q198" s="133"/>
      <c r="R198" s="148"/>
      <c r="T198" s="148"/>
      <c r="U198" s="133"/>
      <c r="V198" s="199"/>
    </row>
    <row r="200" spans="1:22" hidden="1"/>
    <row r="201" spans="1:22" hidden="1"/>
    <row r="202" spans="1:22" hidden="1"/>
    <row r="203" spans="1:22" hidden="1"/>
    <row r="204" spans="1:22" hidden="1"/>
    <row r="205" spans="1:22" hidden="1">
      <c r="B205" s="403" t="s">
        <v>182</v>
      </c>
    </row>
    <row r="206" spans="1:22" hidden="1"/>
    <row r="207" spans="1:22" hidden="1">
      <c r="B207" s="417">
        <v>50</v>
      </c>
      <c r="C207" s="417">
        <v>28</v>
      </c>
      <c r="D207" s="417">
        <v>21</v>
      </c>
      <c r="E207" s="417">
        <v>20</v>
      </c>
      <c r="F207" s="417">
        <v>119</v>
      </c>
      <c r="G207" s="348">
        <v>3</v>
      </c>
      <c r="H207" s="348">
        <v>2</v>
      </c>
      <c r="I207" s="348">
        <v>1</v>
      </c>
      <c r="J207" s="349">
        <v>7</v>
      </c>
      <c r="K207">
        <v>13</v>
      </c>
      <c r="L207" s="418">
        <v>12</v>
      </c>
      <c r="M207" s="418">
        <v>6</v>
      </c>
      <c r="N207" s="418">
        <v>4</v>
      </c>
      <c r="O207" s="418">
        <v>2</v>
      </c>
      <c r="P207">
        <v>24</v>
      </c>
      <c r="Q207" s="419">
        <v>9</v>
      </c>
      <c r="R207" s="419">
        <v>5</v>
      </c>
      <c r="S207" s="419">
        <v>1</v>
      </c>
      <c r="T207" s="419">
        <v>0</v>
      </c>
      <c r="U207" s="419">
        <v>15</v>
      </c>
    </row>
    <row r="208" spans="1:22" hidden="1"/>
    <row r="209" spans="2:9" hidden="1"/>
    <row r="210" spans="2:9">
      <c r="B210" s="403" t="s">
        <v>1091</v>
      </c>
    </row>
    <row r="211" spans="2:9">
      <c r="B211" s="415" t="s">
        <v>1092</v>
      </c>
      <c r="C211" s="415" t="s">
        <v>1093</v>
      </c>
      <c r="D211" s="415" t="s">
        <v>1092</v>
      </c>
      <c r="E211" s="415" t="s">
        <v>1093</v>
      </c>
      <c r="F211" s="415" t="s">
        <v>1092</v>
      </c>
      <c r="G211" s="416" t="s">
        <v>1093</v>
      </c>
      <c r="H211" s="415" t="s">
        <v>1092</v>
      </c>
      <c r="I211" s="415" t="s">
        <v>1093</v>
      </c>
    </row>
    <row r="212" spans="2:9">
      <c r="B212" s="414" t="s">
        <v>182</v>
      </c>
      <c r="C212" s="310">
        <v>50</v>
      </c>
      <c r="D212" s="414" t="s">
        <v>119</v>
      </c>
      <c r="E212" s="310">
        <v>3</v>
      </c>
      <c r="F212" s="414" t="s">
        <v>115</v>
      </c>
      <c r="G212" s="310">
        <v>12</v>
      </c>
      <c r="H212" s="414" t="s">
        <v>125</v>
      </c>
      <c r="I212" s="310">
        <v>9</v>
      </c>
    </row>
    <row r="213" spans="2:9">
      <c r="B213" s="414" t="s">
        <v>185</v>
      </c>
      <c r="C213" s="310">
        <v>28</v>
      </c>
      <c r="D213" s="414" t="s">
        <v>188</v>
      </c>
      <c r="E213" s="310">
        <v>2</v>
      </c>
      <c r="F213" s="414" t="s">
        <v>137</v>
      </c>
      <c r="G213" s="310">
        <v>6</v>
      </c>
      <c r="H213" s="414" t="s">
        <v>143</v>
      </c>
      <c r="I213" s="310">
        <v>5</v>
      </c>
    </row>
    <row r="214" spans="2:9">
      <c r="B214" s="414" t="s">
        <v>242</v>
      </c>
      <c r="C214" s="310">
        <v>21</v>
      </c>
      <c r="D214" s="414" t="s">
        <v>167</v>
      </c>
      <c r="E214" s="310">
        <v>1</v>
      </c>
      <c r="F214" s="414" t="s">
        <v>128</v>
      </c>
      <c r="G214" s="310">
        <v>4</v>
      </c>
      <c r="H214" s="414" t="s">
        <v>192</v>
      </c>
      <c r="I214" s="310">
        <v>1</v>
      </c>
    </row>
    <row r="215" spans="2:9">
      <c r="B215" s="414" t="s">
        <v>248</v>
      </c>
      <c r="C215" s="310">
        <v>20</v>
      </c>
      <c r="D215" s="414" t="s">
        <v>132</v>
      </c>
      <c r="E215" s="310">
        <v>7</v>
      </c>
      <c r="F215" s="414" t="s">
        <v>123</v>
      </c>
      <c r="G215" s="310">
        <v>2</v>
      </c>
      <c r="H215" s="414" t="s">
        <v>147</v>
      </c>
      <c r="I215" s="310">
        <v>0</v>
      </c>
    </row>
    <row r="216" spans="2:9">
      <c r="B216" s="310"/>
      <c r="C216" s="310">
        <f>SUM(C212:C215)</f>
        <v>119</v>
      </c>
      <c r="D216" s="310"/>
      <c r="E216" s="310">
        <f>SUM(E212:E215)</f>
        <v>13</v>
      </c>
      <c r="F216" s="310"/>
      <c r="G216" s="310">
        <f>SUM(G212:G215)</f>
        <v>24</v>
      </c>
      <c r="H216" s="414" t="s">
        <v>117</v>
      </c>
      <c r="I216" s="310"/>
    </row>
    <row r="217" spans="2:9">
      <c r="B217" s="403"/>
      <c r="H217" s="414" t="s">
        <v>113</v>
      </c>
      <c r="I217" s="310"/>
    </row>
    <row r="218" spans="2:9">
      <c r="B218" s="403"/>
      <c r="H218" s="414" t="s">
        <v>201</v>
      </c>
      <c r="I218" s="310"/>
    </row>
    <row r="219" spans="2:9">
      <c r="B219" s="403"/>
      <c r="H219" s="403"/>
      <c r="I219">
        <f>SUM(I212:I218)</f>
        <v>15</v>
      </c>
    </row>
    <row r="220" spans="2:9">
      <c r="B220" s="426"/>
      <c r="C220" s="403"/>
      <c r="D220" s="403"/>
    </row>
    <row r="221" spans="2:9">
      <c r="B221" s="403"/>
      <c r="C221" s="403"/>
    </row>
    <row r="222" spans="2:9">
      <c r="B222" s="403"/>
      <c r="C222" s="1684"/>
    </row>
    <row r="223" spans="2:9">
      <c r="B223" s="403"/>
      <c r="C223" s="1684"/>
    </row>
    <row r="224" spans="2:9">
      <c r="B224" s="403"/>
      <c r="C224" s="1684"/>
    </row>
    <row r="226" spans="2:2">
      <c r="B226" s="403"/>
    </row>
    <row r="227" spans="2:2">
      <c r="B227" s="403"/>
    </row>
    <row r="228" spans="2:2">
      <c r="B228" s="403"/>
    </row>
    <row r="229" spans="2:2">
      <c r="B229" s="403"/>
    </row>
    <row r="231" spans="2:2">
      <c r="B231" s="403"/>
    </row>
    <row r="232" spans="2:2">
      <c r="B232" s="403"/>
    </row>
    <row r="233" spans="2:2">
      <c r="B233" s="403"/>
    </row>
    <row r="234" spans="2:2">
      <c r="B234" s="403"/>
    </row>
    <row r="236" spans="2:2">
      <c r="B236" s="403"/>
    </row>
    <row r="237" spans="2:2">
      <c r="B237" s="403"/>
    </row>
    <row r="238" spans="2:2">
      <c r="B238" s="403"/>
    </row>
    <row r="239" spans="2:2">
      <c r="B239" s="403"/>
    </row>
    <row r="240" spans="2:2">
      <c r="B240" s="403"/>
    </row>
    <row r="241" spans="2:2">
      <c r="B241" s="403"/>
    </row>
    <row r="242" spans="2:2">
      <c r="B242" s="403"/>
    </row>
  </sheetData>
  <mergeCells count="12">
    <mergeCell ref="C222:C224"/>
    <mergeCell ref="D6:E6"/>
    <mergeCell ref="A1:V1"/>
    <mergeCell ref="A2:V2"/>
    <mergeCell ref="A4:B5"/>
    <mergeCell ref="D4:E5"/>
    <mergeCell ref="F4:F5"/>
    <mergeCell ref="G4:G5"/>
    <mergeCell ref="H4:J4"/>
    <mergeCell ref="L4:N4"/>
    <mergeCell ref="O4:Q4"/>
    <mergeCell ref="R4:T4"/>
  </mergeCells>
  <conditionalFormatting sqref="L86">
    <cfRule type="expression" dxfId="44" priority="1">
      <formula>"F"</formula>
    </cfRule>
    <cfRule type="dataBar" priority="2">
      <dataBar>
        <cfvo type="min"/>
        <cfvo type="max"/>
        <color rgb="FF638EC6"/>
      </dataBar>
      <extLst>
        <ext xmlns:x14="http://schemas.microsoft.com/office/spreadsheetml/2009/9/main" uri="{B025F937-C7B1-47D3-B67F-A62EFF666E3E}">
          <x14:id>{24B56787-566E-4F5C-BA5C-01B5295D397B}</x14:id>
        </ext>
      </extLst>
    </cfRule>
    <cfRule type="colorScale" priority="3">
      <colorScale>
        <cfvo type="min"/>
        <cfvo type="percentile" val="50"/>
        <cfvo type="max"/>
        <color rgb="FFF8696B"/>
        <color rgb="FFFFEB84"/>
        <color rgb="FF63BE7B"/>
      </colorScale>
    </cfRule>
  </conditionalFormatting>
  <pageMargins left="0.7" right="0.7" top="0.75" bottom="0.75" header="0.3" footer="0.3"/>
  <pageSetup paperSize="9" scale="68" fitToHeight="0" orientation="landscape" r:id="rId1"/>
  <rowBreaks count="5" manualBreakCount="5">
    <brk id="42" max="21" man="1"/>
    <brk id="90" max="21" man="1"/>
    <brk id="138" max="21" man="1"/>
    <brk id="186" max="21" man="1"/>
    <brk id="219" max="16383" man="1"/>
  </rowBreaks>
  <drawing r:id="rId2"/>
  <extLst>
    <ext xmlns:x14="http://schemas.microsoft.com/office/spreadsheetml/2009/9/main" uri="{78C0D931-6437-407d-A8EE-F0AAD7539E65}">
      <x14:conditionalFormattings>
        <x14:conditionalFormatting xmlns:xm="http://schemas.microsoft.com/office/excel/2006/main">
          <x14:cfRule type="dataBar" id="{24B56787-566E-4F5C-BA5C-01B5295D397B}">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C142"/>
  <sheetViews>
    <sheetView topLeftCell="A66" workbookViewId="0">
      <selection activeCell="A24" sqref="A24"/>
    </sheetView>
  </sheetViews>
  <sheetFormatPr defaultColWidth="8.81640625" defaultRowHeight="14.5"/>
  <cols>
    <col min="1" max="1" width="4.81640625" style="46" customWidth="1"/>
    <col min="2" max="2" width="5.1796875" style="46" customWidth="1"/>
    <col min="3" max="3" width="8.36328125" style="46" customWidth="1"/>
    <col min="4" max="4" width="5" style="46" customWidth="1"/>
    <col min="5" max="5" width="11.1796875" style="46" customWidth="1"/>
    <col min="6" max="6" width="6.90625" style="46" customWidth="1"/>
    <col min="7" max="7" width="7" style="46" customWidth="1"/>
    <col min="8" max="8" width="5.453125" style="46" customWidth="1"/>
    <col min="9" max="9" width="6.36328125" style="46" customWidth="1"/>
    <col min="10" max="10" width="7.453125" style="46" customWidth="1"/>
    <col min="11" max="11" width="6.54296875" style="46" customWidth="1"/>
    <col min="12" max="12" width="8.1796875" style="46" customWidth="1"/>
    <col min="13" max="13" width="10.36328125" style="46" customWidth="1"/>
    <col min="14" max="14" width="6.54296875" style="46" customWidth="1"/>
    <col min="15" max="15" width="6.90625" style="46" customWidth="1"/>
    <col min="16" max="25" width="5.1796875" style="46" customWidth="1"/>
    <col min="26" max="26" width="10.81640625" style="46" customWidth="1"/>
    <col min="27" max="27" width="8.81640625" style="46"/>
    <col min="28" max="28" width="9.36328125" style="46" customWidth="1"/>
    <col min="29" max="16384" width="8.81640625" style="46"/>
  </cols>
  <sheetData>
    <row r="1" spans="1:29" ht="15.5">
      <c r="A1" s="1533" t="s">
        <v>78</v>
      </c>
      <c r="B1" s="1534"/>
      <c r="C1" s="1534"/>
      <c r="D1" s="1534"/>
      <c r="E1" s="1534"/>
      <c r="F1" s="1534"/>
      <c r="G1" s="1534"/>
      <c r="H1" s="1534"/>
      <c r="I1" s="1534"/>
      <c r="J1" s="1534"/>
      <c r="K1" s="1534"/>
      <c r="L1" s="1534"/>
      <c r="M1" s="1534"/>
      <c r="N1" s="1534"/>
      <c r="O1" s="1534"/>
      <c r="P1" s="1534"/>
      <c r="Q1" s="1534"/>
      <c r="R1" s="1534"/>
      <c r="S1" s="1534"/>
      <c r="T1" s="1534"/>
      <c r="U1" s="1534"/>
      <c r="V1" s="1534"/>
      <c r="W1" s="1534"/>
      <c r="X1" s="1534"/>
      <c r="Y1" s="1534"/>
      <c r="Z1" s="1534"/>
      <c r="AA1" s="1534"/>
      <c r="AB1" s="1534"/>
      <c r="AC1" s="1535"/>
    </row>
    <row r="2" spans="1:29" ht="15.5">
      <c r="A2" s="1536" t="s">
        <v>79</v>
      </c>
      <c r="B2" s="1419"/>
      <c r="C2" s="1419"/>
      <c r="D2" s="1419"/>
      <c r="E2" s="1419"/>
      <c r="F2" s="1419"/>
      <c r="G2" s="1419"/>
      <c r="H2" s="1419"/>
      <c r="I2" s="1419"/>
      <c r="J2" s="1419"/>
      <c r="K2" s="1419"/>
      <c r="L2" s="1419"/>
      <c r="M2" s="1419"/>
      <c r="N2" s="1419"/>
      <c r="O2" s="1419"/>
      <c r="P2" s="1419"/>
      <c r="Q2" s="1419"/>
      <c r="R2" s="1419"/>
      <c r="S2" s="1419"/>
      <c r="T2" s="1419"/>
      <c r="U2" s="1419"/>
      <c r="V2" s="1419"/>
      <c r="W2" s="1419"/>
      <c r="X2" s="1419"/>
      <c r="Y2" s="1419"/>
      <c r="Z2" s="1419"/>
      <c r="AA2" s="1419"/>
      <c r="AB2" s="1419"/>
      <c r="AC2" s="1537"/>
    </row>
    <row r="3" spans="1:29" ht="15.5">
      <c r="A3" s="1536" t="s">
        <v>80</v>
      </c>
      <c r="B3" s="1419"/>
      <c r="C3" s="1419"/>
      <c r="D3" s="1419"/>
      <c r="E3" s="1419"/>
      <c r="F3" s="1419"/>
      <c r="G3" s="1419"/>
      <c r="H3" s="1419"/>
      <c r="I3" s="1419"/>
      <c r="J3" s="1419"/>
      <c r="K3" s="1419"/>
      <c r="L3" s="1419"/>
      <c r="M3" s="1419"/>
      <c r="N3" s="1419"/>
      <c r="O3" s="1419"/>
      <c r="P3" s="1419"/>
      <c r="Q3" s="1419"/>
      <c r="R3" s="1419"/>
      <c r="S3" s="1419"/>
      <c r="T3" s="1419"/>
      <c r="U3" s="1419"/>
      <c r="V3" s="1419"/>
      <c r="W3" s="1419"/>
      <c r="X3" s="1419"/>
      <c r="Y3" s="1419"/>
      <c r="Z3" s="1419"/>
      <c r="AA3" s="1419"/>
      <c r="AB3" s="1419"/>
      <c r="AC3" s="1537"/>
    </row>
    <row r="4" spans="1:29" ht="18.5">
      <c r="A4" s="1721" t="s">
        <v>871</v>
      </c>
      <c r="B4" s="1420"/>
      <c r="C4" s="1420"/>
      <c r="D4" s="1420"/>
      <c r="E4" s="1420"/>
      <c r="F4" s="1420"/>
      <c r="G4" s="1420"/>
      <c r="H4" s="1420"/>
      <c r="I4" s="1420"/>
      <c r="J4" s="1420"/>
      <c r="K4" s="1420"/>
      <c r="L4" s="1420"/>
      <c r="M4" s="1420"/>
      <c r="N4" s="1420"/>
      <c r="O4" s="1420"/>
      <c r="P4" s="1420"/>
      <c r="Q4" s="1420"/>
      <c r="R4" s="1420"/>
      <c r="S4" s="1420"/>
      <c r="T4" s="1420"/>
      <c r="U4" s="1420"/>
      <c r="V4" s="1420"/>
      <c r="W4" s="1420"/>
      <c r="X4" s="1420"/>
      <c r="Y4" s="1420"/>
      <c r="Z4" s="1420"/>
      <c r="AA4" s="1420"/>
      <c r="AB4" s="1420"/>
      <c r="AC4" s="1722"/>
    </row>
    <row r="5" spans="1:29" ht="15.5">
      <c r="A5" s="1723" t="s">
        <v>872</v>
      </c>
      <c r="B5" s="1724"/>
      <c r="C5" s="1724"/>
      <c r="D5" s="1724"/>
      <c r="E5" s="1724"/>
      <c r="F5" s="1724"/>
      <c r="G5" s="1724"/>
      <c r="H5" s="1724"/>
      <c r="I5" s="1724"/>
      <c r="J5" s="1724"/>
      <c r="K5" s="1724"/>
      <c r="L5" s="1724"/>
      <c r="M5" s="1724"/>
      <c r="N5" s="1724"/>
      <c r="O5" s="1724"/>
      <c r="P5" s="1724"/>
      <c r="Q5" s="1724"/>
      <c r="R5" s="1724"/>
      <c r="S5" s="1724"/>
      <c r="T5" s="1724"/>
      <c r="U5" s="1724"/>
      <c r="V5" s="1724"/>
      <c r="W5" s="1724"/>
      <c r="X5" s="1724"/>
      <c r="Y5" s="1724"/>
      <c r="Z5" s="1724"/>
      <c r="AA5" s="1724"/>
      <c r="AB5" s="1724"/>
      <c r="AC5" s="1725"/>
    </row>
    <row r="6" spans="1:29" ht="21">
      <c r="A6" s="1704" t="s">
        <v>873</v>
      </c>
      <c r="B6" s="1705"/>
      <c r="C6" s="1705"/>
      <c r="D6" s="1705"/>
      <c r="E6" s="1705"/>
      <c r="F6" s="1705"/>
      <c r="G6" s="1705"/>
      <c r="H6" s="1706" t="s">
        <v>874</v>
      </c>
      <c r="I6" s="1706"/>
      <c r="J6" s="1706"/>
      <c r="K6" s="1706"/>
      <c r="L6" s="1707"/>
      <c r="M6" s="1706"/>
      <c r="N6" s="1706"/>
      <c r="O6" s="1706"/>
      <c r="P6" s="1706"/>
      <c r="Q6" s="1706"/>
      <c r="R6" s="1706"/>
      <c r="S6" s="1706"/>
      <c r="T6" s="1706"/>
      <c r="U6" s="1706"/>
      <c r="V6" s="1706"/>
      <c r="W6" s="1706"/>
      <c r="X6" s="1706"/>
      <c r="Y6" s="1706"/>
      <c r="Z6" s="1706"/>
      <c r="AA6" s="1706"/>
      <c r="AB6" s="91"/>
      <c r="AC6" s="92"/>
    </row>
    <row r="7" spans="1:29" ht="15" customHeight="1">
      <c r="A7" s="1694" t="s">
        <v>875</v>
      </c>
      <c r="B7" s="1696" t="s">
        <v>876</v>
      </c>
      <c r="C7" s="1698" t="s">
        <v>109</v>
      </c>
      <c r="D7" s="1700" t="s">
        <v>877</v>
      </c>
      <c r="E7" s="1696" t="s">
        <v>878</v>
      </c>
      <c r="F7" s="1702" t="s">
        <v>879</v>
      </c>
      <c r="G7" s="1698" t="s">
        <v>880</v>
      </c>
      <c r="H7" s="1708" t="s">
        <v>875</v>
      </c>
      <c r="I7" s="1713" t="s">
        <v>876</v>
      </c>
      <c r="J7" s="1708" t="s">
        <v>109</v>
      </c>
      <c r="K7" s="1715" t="s">
        <v>877</v>
      </c>
      <c r="L7" s="1717" t="s">
        <v>881</v>
      </c>
      <c r="M7" s="1713" t="s">
        <v>878</v>
      </c>
      <c r="N7" s="1719" t="s">
        <v>879</v>
      </c>
      <c r="O7" s="1708" t="s">
        <v>880</v>
      </c>
      <c r="P7" s="1708" t="s">
        <v>882</v>
      </c>
      <c r="Q7" s="1708"/>
      <c r="R7" s="1708"/>
      <c r="S7" s="1715" t="s">
        <v>883</v>
      </c>
      <c r="T7" s="1709" t="s">
        <v>884</v>
      </c>
      <c r="U7" s="1709"/>
      <c r="V7" s="1709"/>
      <c r="W7" s="1709" t="s">
        <v>885</v>
      </c>
      <c r="X7" s="1709"/>
      <c r="Y7" s="1709"/>
      <c r="Z7" s="1708" t="s">
        <v>886</v>
      </c>
      <c r="AA7" s="1710" t="s">
        <v>887</v>
      </c>
      <c r="AB7" s="1710"/>
      <c r="AC7" s="1711"/>
    </row>
    <row r="8" spans="1:29" ht="56.5" customHeight="1">
      <c r="A8" s="1695"/>
      <c r="B8" s="1697"/>
      <c r="C8" s="1699"/>
      <c r="D8" s="1701"/>
      <c r="E8" s="1697"/>
      <c r="F8" s="1703"/>
      <c r="G8" s="1699"/>
      <c r="H8" s="1712"/>
      <c r="I8" s="1714"/>
      <c r="J8" s="1712"/>
      <c r="K8" s="1716"/>
      <c r="L8" s="1718"/>
      <c r="M8" s="1714"/>
      <c r="N8" s="1720"/>
      <c r="O8" s="1712"/>
      <c r="P8" s="70" t="s">
        <v>888</v>
      </c>
      <c r="Q8" s="70" t="s">
        <v>889</v>
      </c>
      <c r="R8" s="70" t="s">
        <v>481</v>
      </c>
      <c r="S8" s="1716"/>
      <c r="T8" s="70" t="s">
        <v>888</v>
      </c>
      <c r="U8" s="70" t="s">
        <v>889</v>
      </c>
      <c r="V8" s="70" t="s">
        <v>481</v>
      </c>
      <c r="W8" s="70" t="s">
        <v>888</v>
      </c>
      <c r="X8" s="70" t="s">
        <v>889</v>
      </c>
      <c r="Y8" s="70" t="s">
        <v>481</v>
      </c>
      <c r="Z8" s="1712"/>
      <c r="AA8" s="93" t="s">
        <v>890</v>
      </c>
      <c r="AB8" s="93" t="s">
        <v>891</v>
      </c>
      <c r="AC8" s="94" t="s">
        <v>892</v>
      </c>
    </row>
    <row r="9" spans="1:29" ht="26">
      <c r="A9" s="47">
        <v>1</v>
      </c>
      <c r="B9" s="48" t="s">
        <v>893</v>
      </c>
      <c r="C9" s="48" t="s">
        <v>894</v>
      </c>
      <c r="D9" s="49"/>
      <c r="E9" s="48" t="s">
        <v>895</v>
      </c>
      <c r="F9" s="50"/>
      <c r="G9" s="51"/>
      <c r="H9" s="52">
        <v>1</v>
      </c>
      <c r="I9" s="48" t="s">
        <v>893</v>
      </c>
      <c r="J9" s="48" t="s">
        <v>894</v>
      </c>
      <c r="K9" s="71"/>
      <c r="L9" s="72" t="s">
        <v>332</v>
      </c>
      <c r="M9" s="73" t="s">
        <v>896</v>
      </c>
      <c r="N9" s="50"/>
      <c r="O9" s="51"/>
      <c r="P9" s="74">
        <v>385.17</v>
      </c>
      <c r="Q9" s="74">
        <v>345.19</v>
      </c>
      <c r="R9" s="74">
        <v>730.36</v>
      </c>
      <c r="S9" s="82">
        <v>365</v>
      </c>
      <c r="T9" s="83">
        <v>197</v>
      </c>
      <c r="U9" s="83">
        <v>128</v>
      </c>
      <c r="V9" s="84">
        <v>325</v>
      </c>
      <c r="W9" s="83">
        <v>196</v>
      </c>
      <c r="X9" s="83">
        <v>147</v>
      </c>
      <c r="Y9" s="84">
        <v>343</v>
      </c>
      <c r="Z9" s="95"/>
      <c r="AA9" s="96">
        <v>782527.14300000004</v>
      </c>
      <c r="AB9" s="96">
        <v>2837712.3050000002</v>
      </c>
      <c r="AC9" s="97">
        <v>125.81</v>
      </c>
    </row>
    <row r="10" spans="1:29">
      <c r="A10" s="53"/>
      <c r="B10" s="54"/>
      <c r="C10" s="54"/>
      <c r="D10" s="55"/>
      <c r="E10" s="54"/>
      <c r="F10" s="56">
        <v>345.19</v>
      </c>
      <c r="G10" s="1688">
        <v>2920</v>
      </c>
      <c r="H10" s="58"/>
      <c r="I10" s="58"/>
      <c r="J10" s="58"/>
      <c r="K10" s="75"/>
      <c r="L10" s="76"/>
      <c r="M10" s="54"/>
      <c r="N10" s="56">
        <v>345.19</v>
      </c>
      <c r="O10" s="1688">
        <v>2920</v>
      </c>
      <c r="P10" s="77"/>
      <c r="Q10" s="77"/>
      <c r="R10" s="77"/>
      <c r="S10" s="77"/>
      <c r="T10" s="77"/>
      <c r="U10" s="77"/>
      <c r="V10" s="77"/>
      <c r="W10" s="77"/>
      <c r="X10" s="77"/>
      <c r="Y10" s="77"/>
      <c r="Z10" s="98" t="s">
        <v>897</v>
      </c>
      <c r="AA10" s="99"/>
      <c r="AB10" s="99"/>
      <c r="AC10" s="100"/>
    </row>
    <row r="11" spans="1:29">
      <c r="A11" s="59">
        <v>2</v>
      </c>
      <c r="B11" s="60" t="s">
        <v>898</v>
      </c>
      <c r="C11" s="60" t="s">
        <v>899</v>
      </c>
      <c r="D11" s="55"/>
      <c r="E11" s="54"/>
      <c r="F11" s="54"/>
      <c r="G11" s="1688"/>
      <c r="H11" s="61">
        <v>2</v>
      </c>
      <c r="I11" s="60" t="s">
        <v>898</v>
      </c>
      <c r="J11" s="60" t="s">
        <v>899</v>
      </c>
      <c r="K11" s="75"/>
      <c r="L11" s="76"/>
      <c r="M11" s="54"/>
      <c r="N11" s="54"/>
      <c r="O11" s="1688"/>
      <c r="P11" s="78">
        <v>345.19</v>
      </c>
      <c r="Q11" s="78">
        <v>332.38</v>
      </c>
      <c r="R11" s="78">
        <v>677.57</v>
      </c>
      <c r="S11" s="85">
        <v>339</v>
      </c>
      <c r="T11" s="86">
        <v>218</v>
      </c>
      <c r="U11" s="86">
        <v>116</v>
      </c>
      <c r="V11" s="87">
        <v>334</v>
      </c>
      <c r="W11" s="86">
        <v>200</v>
      </c>
      <c r="X11" s="86">
        <v>137</v>
      </c>
      <c r="Y11" s="87">
        <v>337</v>
      </c>
      <c r="Z11" s="77"/>
      <c r="AA11" s="101">
        <v>782723.20600000001</v>
      </c>
      <c r="AB11" s="101">
        <v>2837428.199</v>
      </c>
      <c r="AC11" s="102">
        <v>133.297</v>
      </c>
    </row>
    <row r="12" spans="1:29">
      <c r="A12" s="53"/>
      <c r="B12" s="54"/>
      <c r="C12" s="54"/>
      <c r="D12" s="55"/>
      <c r="E12" s="54"/>
      <c r="F12" s="56">
        <v>332.38</v>
      </c>
      <c r="G12" s="1688"/>
      <c r="H12" s="58"/>
      <c r="I12" s="58"/>
      <c r="J12" s="58"/>
      <c r="K12" s="75"/>
      <c r="L12" s="76"/>
      <c r="M12" s="54"/>
      <c r="N12" s="56">
        <v>332.38</v>
      </c>
      <c r="O12" s="1688"/>
      <c r="P12" s="77"/>
      <c r="Q12" s="77"/>
      <c r="R12" s="77"/>
      <c r="S12" s="77"/>
      <c r="T12" s="77"/>
      <c r="U12" s="77"/>
      <c r="V12" s="77"/>
      <c r="W12" s="77"/>
      <c r="X12" s="77"/>
      <c r="Y12" s="77"/>
      <c r="Z12" s="98" t="s">
        <v>900</v>
      </c>
      <c r="AA12" s="99"/>
      <c r="AB12" s="99"/>
      <c r="AC12" s="100"/>
    </row>
    <row r="13" spans="1:29">
      <c r="A13" s="59">
        <v>3</v>
      </c>
      <c r="B13" s="60" t="s">
        <v>901</v>
      </c>
      <c r="C13" s="60" t="s">
        <v>899</v>
      </c>
      <c r="D13" s="55"/>
      <c r="E13" s="54"/>
      <c r="F13" s="54"/>
      <c r="G13" s="1688"/>
      <c r="H13" s="61">
        <v>3</v>
      </c>
      <c r="I13" s="60" t="s">
        <v>901</v>
      </c>
      <c r="J13" s="60" t="s">
        <v>899</v>
      </c>
      <c r="K13" s="75"/>
      <c r="L13" s="76"/>
      <c r="M13" s="54"/>
      <c r="N13" s="54"/>
      <c r="O13" s="1688"/>
      <c r="P13" s="78">
        <v>332.38</v>
      </c>
      <c r="Q13" s="78">
        <v>393.62</v>
      </c>
      <c r="R13" s="78">
        <v>726.01</v>
      </c>
      <c r="S13" s="85">
        <v>363</v>
      </c>
      <c r="T13" s="86">
        <v>217</v>
      </c>
      <c r="U13" s="86">
        <v>288</v>
      </c>
      <c r="V13" s="87">
        <v>505</v>
      </c>
      <c r="W13" s="86">
        <v>197</v>
      </c>
      <c r="X13" s="86">
        <v>252</v>
      </c>
      <c r="Y13" s="87">
        <v>449</v>
      </c>
      <c r="Z13" s="77"/>
      <c r="AA13" s="101">
        <v>782911.99300000002</v>
      </c>
      <c r="AB13" s="101">
        <v>2837154.6340000001</v>
      </c>
      <c r="AC13" s="102">
        <v>141.16999999999999</v>
      </c>
    </row>
    <row r="14" spans="1:29">
      <c r="A14" s="53"/>
      <c r="B14" s="54"/>
      <c r="C14" s="54"/>
      <c r="D14" s="55"/>
      <c r="E14" s="54"/>
      <c r="F14" s="56">
        <v>393.62</v>
      </c>
      <c r="G14" s="1688"/>
      <c r="H14" s="58"/>
      <c r="I14" s="58"/>
      <c r="J14" s="58"/>
      <c r="K14" s="75"/>
      <c r="L14" s="76"/>
      <c r="M14" s="54"/>
      <c r="N14" s="56">
        <v>393.62</v>
      </c>
      <c r="O14" s="1688"/>
      <c r="P14" s="77"/>
      <c r="Q14" s="77"/>
      <c r="R14" s="77"/>
      <c r="S14" s="77"/>
      <c r="T14" s="77"/>
      <c r="U14" s="77"/>
      <c r="V14" s="77"/>
      <c r="W14" s="77"/>
      <c r="X14" s="77"/>
      <c r="Y14" s="77"/>
      <c r="Z14" s="77"/>
      <c r="AA14" s="99"/>
      <c r="AB14" s="99"/>
      <c r="AC14" s="100"/>
    </row>
    <row r="15" spans="1:29">
      <c r="A15" s="59">
        <v>4</v>
      </c>
      <c r="B15" s="60" t="s">
        <v>902</v>
      </c>
      <c r="C15" s="60" t="s">
        <v>903</v>
      </c>
      <c r="D15" s="55"/>
      <c r="E15" s="54"/>
      <c r="F15" s="54"/>
      <c r="G15" s="1688"/>
      <c r="H15" s="61">
        <v>4</v>
      </c>
      <c r="I15" s="60" t="s">
        <v>902</v>
      </c>
      <c r="J15" s="60" t="s">
        <v>903</v>
      </c>
      <c r="K15" s="75"/>
      <c r="L15" s="76"/>
      <c r="M15" s="54"/>
      <c r="N15" s="54"/>
      <c r="O15" s="1688"/>
      <c r="P15" s="78">
        <v>393.62</v>
      </c>
      <c r="Q15" s="78">
        <v>387.95</v>
      </c>
      <c r="R15" s="78">
        <v>781.57</v>
      </c>
      <c r="S15" s="85">
        <v>391</v>
      </c>
      <c r="T15" s="86">
        <v>107</v>
      </c>
      <c r="U15" s="86">
        <v>260</v>
      </c>
      <c r="V15" s="87">
        <v>367</v>
      </c>
      <c r="W15" s="86">
        <v>144</v>
      </c>
      <c r="X15" s="86">
        <v>234</v>
      </c>
      <c r="Y15" s="87">
        <v>378</v>
      </c>
      <c r="Z15" s="77"/>
      <c r="AA15" s="101">
        <v>783135.56400000001</v>
      </c>
      <c r="AB15" s="101">
        <v>2836830.6669999999</v>
      </c>
      <c r="AC15" s="102">
        <v>121.36499999999999</v>
      </c>
    </row>
    <row r="16" spans="1:29">
      <c r="A16" s="53"/>
      <c r="B16" s="54"/>
      <c r="C16" s="54"/>
      <c r="D16" s="55"/>
      <c r="E16" s="54"/>
      <c r="F16" s="56">
        <v>387.95</v>
      </c>
      <c r="G16" s="1688"/>
      <c r="H16" s="58"/>
      <c r="I16" s="58"/>
      <c r="J16" s="58"/>
      <c r="K16" s="75"/>
      <c r="L16" s="76"/>
      <c r="M16" s="54"/>
      <c r="N16" s="56">
        <v>387.95</v>
      </c>
      <c r="O16" s="1688"/>
      <c r="P16" s="77"/>
      <c r="Q16" s="77"/>
      <c r="R16" s="77"/>
      <c r="S16" s="77"/>
      <c r="T16" s="77"/>
      <c r="U16" s="77"/>
      <c r="V16" s="77"/>
      <c r="W16" s="77"/>
      <c r="X16" s="77"/>
      <c r="Y16" s="77"/>
      <c r="Z16" s="98" t="s">
        <v>904</v>
      </c>
      <c r="AA16" s="99"/>
      <c r="AB16" s="99"/>
      <c r="AC16" s="100"/>
    </row>
    <row r="17" spans="1:29">
      <c r="A17" s="59">
        <v>5</v>
      </c>
      <c r="B17" s="60" t="s">
        <v>905</v>
      </c>
      <c r="C17" s="60" t="s">
        <v>899</v>
      </c>
      <c r="D17" s="55"/>
      <c r="E17" s="54"/>
      <c r="F17" s="54"/>
      <c r="G17" s="1688"/>
      <c r="H17" s="61">
        <v>5</v>
      </c>
      <c r="I17" s="60" t="s">
        <v>905</v>
      </c>
      <c r="J17" s="60" t="s">
        <v>899</v>
      </c>
      <c r="K17" s="75"/>
      <c r="L17" s="76"/>
      <c r="M17" s="54"/>
      <c r="N17" s="54"/>
      <c r="O17" s="1688"/>
      <c r="P17" s="78">
        <v>387.95</v>
      </c>
      <c r="Q17" s="78">
        <v>340.35</v>
      </c>
      <c r="R17" s="78">
        <v>728.3</v>
      </c>
      <c r="S17" s="85">
        <v>364</v>
      </c>
      <c r="T17" s="86">
        <v>129</v>
      </c>
      <c r="U17" s="86">
        <v>196</v>
      </c>
      <c r="V17" s="87">
        <v>325</v>
      </c>
      <c r="W17" s="86">
        <v>156</v>
      </c>
      <c r="X17" s="86">
        <v>186</v>
      </c>
      <c r="Y17" s="87">
        <v>342</v>
      </c>
      <c r="Z17" s="77"/>
      <c r="AA17" s="101">
        <v>783355.91200000001</v>
      </c>
      <c r="AB17" s="101">
        <v>2836511.37</v>
      </c>
      <c r="AC17" s="102">
        <v>112.432</v>
      </c>
    </row>
    <row r="18" spans="1:29">
      <c r="A18" s="53"/>
      <c r="B18" s="54"/>
      <c r="C18" s="54"/>
      <c r="D18" s="55"/>
      <c r="E18" s="54"/>
      <c r="F18" s="56">
        <v>340.35</v>
      </c>
      <c r="G18" s="1688"/>
      <c r="H18" s="58"/>
      <c r="I18" s="58"/>
      <c r="J18" s="58"/>
      <c r="K18" s="75"/>
      <c r="L18" s="76"/>
      <c r="M18" s="54"/>
      <c r="N18" s="56">
        <v>340.35</v>
      </c>
      <c r="O18" s="1688"/>
      <c r="P18" s="77"/>
      <c r="Q18" s="77"/>
      <c r="R18" s="77"/>
      <c r="S18" s="77"/>
      <c r="T18" s="77"/>
      <c r="U18" s="77"/>
      <c r="V18" s="77"/>
      <c r="W18" s="77"/>
      <c r="X18" s="77"/>
      <c r="Y18" s="77"/>
      <c r="Z18" s="98" t="s">
        <v>906</v>
      </c>
      <c r="AA18" s="99"/>
      <c r="AB18" s="99"/>
      <c r="AC18" s="100"/>
    </row>
    <row r="19" spans="1:29">
      <c r="A19" s="59">
        <v>6</v>
      </c>
      <c r="B19" s="60" t="s">
        <v>907</v>
      </c>
      <c r="C19" s="60" t="s">
        <v>899</v>
      </c>
      <c r="D19" s="55"/>
      <c r="E19" s="54"/>
      <c r="F19" s="54"/>
      <c r="G19" s="1688"/>
      <c r="H19" s="61">
        <v>6</v>
      </c>
      <c r="I19" s="60" t="s">
        <v>907</v>
      </c>
      <c r="J19" s="60" t="s">
        <v>899</v>
      </c>
      <c r="K19" s="75"/>
      <c r="L19" s="76"/>
      <c r="M19" s="54"/>
      <c r="N19" s="54"/>
      <c r="O19" s="1688"/>
      <c r="P19" s="78">
        <v>340.35</v>
      </c>
      <c r="Q19" s="78">
        <v>393.12</v>
      </c>
      <c r="R19" s="78">
        <v>733.47</v>
      </c>
      <c r="S19" s="85">
        <v>367</v>
      </c>
      <c r="T19" s="86">
        <v>145</v>
      </c>
      <c r="U19" s="86">
        <v>176</v>
      </c>
      <c r="V19" s="87">
        <v>321</v>
      </c>
      <c r="W19" s="86">
        <v>156</v>
      </c>
      <c r="X19" s="86">
        <v>185</v>
      </c>
      <c r="Y19" s="87">
        <v>341</v>
      </c>
      <c r="Z19" s="77"/>
      <c r="AA19" s="101">
        <v>783549.223</v>
      </c>
      <c r="AB19" s="101">
        <v>2836231.25</v>
      </c>
      <c r="AC19" s="102">
        <v>108.339</v>
      </c>
    </row>
    <row r="20" spans="1:29">
      <c r="A20" s="53"/>
      <c r="B20" s="54"/>
      <c r="C20" s="54"/>
      <c r="D20" s="55"/>
      <c r="E20" s="54"/>
      <c r="F20" s="56">
        <v>393.12</v>
      </c>
      <c r="G20" s="1688"/>
      <c r="H20" s="58"/>
      <c r="I20" s="58"/>
      <c r="J20" s="58"/>
      <c r="K20" s="75"/>
      <c r="L20" s="76"/>
      <c r="M20" s="54"/>
      <c r="N20" s="56">
        <v>393.12</v>
      </c>
      <c r="O20" s="1688"/>
      <c r="P20" s="77"/>
      <c r="Q20" s="77"/>
      <c r="R20" s="77"/>
      <c r="S20" s="77"/>
      <c r="T20" s="77"/>
      <c r="U20" s="77"/>
      <c r="V20" s="77"/>
      <c r="W20" s="77"/>
      <c r="X20" s="77"/>
      <c r="Y20" s="77"/>
      <c r="Z20" s="77"/>
      <c r="AA20" s="99"/>
      <c r="AB20" s="99"/>
      <c r="AC20" s="100"/>
    </row>
    <row r="21" spans="1:29">
      <c r="A21" s="59">
        <v>7</v>
      </c>
      <c r="B21" s="60" t="s">
        <v>908</v>
      </c>
      <c r="C21" s="60" t="s">
        <v>899</v>
      </c>
      <c r="D21" s="55"/>
      <c r="E21" s="54"/>
      <c r="F21" s="54"/>
      <c r="G21" s="1688"/>
      <c r="H21" s="61">
        <v>7</v>
      </c>
      <c r="I21" s="60" t="s">
        <v>908</v>
      </c>
      <c r="J21" s="60" t="s">
        <v>899</v>
      </c>
      <c r="K21" s="75"/>
      <c r="L21" s="76"/>
      <c r="M21" s="54"/>
      <c r="N21" s="54"/>
      <c r="O21" s="1688"/>
      <c r="P21" s="78">
        <v>393.12</v>
      </c>
      <c r="Q21" s="78">
        <v>328.54</v>
      </c>
      <c r="R21" s="78">
        <v>721.66</v>
      </c>
      <c r="S21" s="85">
        <v>361</v>
      </c>
      <c r="T21" s="86">
        <v>217</v>
      </c>
      <c r="U21" s="86">
        <v>180</v>
      </c>
      <c r="V21" s="87">
        <v>397</v>
      </c>
      <c r="W21" s="86">
        <v>210</v>
      </c>
      <c r="X21" s="86">
        <v>174</v>
      </c>
      <c r="Y21" s="87">
        <v>384</v>
      </c>
      <c r="Z21" s="77"/>
      <c r="AA21" s="101">
        <v>783772.50899999996</v>
      </c>
      <c r="AB21" s="101">
        <v>2835907.696</v>
      </c>
      <c r="AC21" s="102">
        <v>112.14700000000001</v>
      </c>
    </row>
    <row r="22" spans="1:29">
      <c r="A22" s="53"/>
      <c r="B22" s="54"/>
      <c r="C22" s="54"/>
      <c r="D22" s="55"/>
      <c r="E22" s="54"/>
      <c r="F22" s="56">
        <v>328.54</v>
      </c>
      <c r="G22" s="1688"/>
      <c r="H22" s="58"/>
      <c r="I22" s="58"/>
      <c r="J22" s="58"/>
      <c r="K22" s="75"/>
      <c r="L22" s="76"/>
      <c r="M22" s="54"/>
      <c r="N22" s="56">
        <v>328.54</v>
      </c>
      <c r="O22" s="1688"/>
      <c r="P22" s="77"/>
      <c r="Q22" s="77"/>
      <c r="R22" s="77"/>
      <c r="S22" s="77"/>
      <c r="T22" s="77"/>
      <c r="U22" s="77"/>
      <c r="V22" s="77"/>
      <c r="W22" s="77"/>
      <c r="X22" s="77"/>
      <c r="Y22" s="77"/>
      <c r="Z22" s="77"/>
      <c r="AA22" s="99"/>
      <c r="AB22" s="99"/>
      <c r="AC22" s="100"/>
    </row>
    <row r="23" spans="1:29">
      <c r="A23" s="59">
        <v>8</v>
      </c>
      <c r="B23" s="60" t="s">
        <v>909</v>
      </c>
      <c r="C23" s="60" t="s">
        <v>899</v>
      </c>
      <c r="D23" s="55"/>
      <c r="E23" s="54"/>
      <c r="F23" s="54"/>
      <c r="G23" s="1688"/>
      <c r="H23" s="61">
        <v>8</v>
      </c>
      <c r="I23" s="60" t="s">
        <v>909</v>
      </c>
      <c r="J23" s="60" t="s">
        <v>899</v>
      </c>
      <c r="K23" s="75"/>
      <c r="L23" s="76"/>
      <c r="M23" s="54"/>
      <c r="N23" s="54"/>
      <c r="O23" s="1688"/>
      <c r="P23" s="78">
        <v>328.54</v>
      </c>
      <c r="Q23" s="78">
        <v>398.52</v>
      </c>
      <c r="R23" s="78">
        <v>727.05</v>
      </c>
      <c r="S23" s="85">
        <v>364</v>
      </c>
      <c r="T23" s="86">
        <v>149</v>
      </c>
      <c r="U23" s="86">
        <v>240</v>
      </c>
      <c r="V23" s="87">
        <v>389</v>
      </c>
      <c r="W23" s="86">
        <v>156</v>
      </c>
      <c r="X23" s="86">
        <v>224</v>
      </c>
      <c r="Y23" s="87">
        <v>380</v>
      </c>
      <c r="Z23" s="77"/>
      <c r="AA23" s="101">
        <v>783959.11199999996</v>
      </c>
      <c r="AB23" s="101">
        <v>2835637.2969999998</v>
      </c>
      <c r="AC23" s="102">
        <v>109.80200000000001</v>
      </c>
    </row>
    <row r="24" spans="1:29">
      <c r="A24" s="53"/>
      <c r="B24" s="54"/>
      <c r="C24" s="54"/>
      <c r="D24" s="55"/>
      <c r="E24" s="54"/>
      <c r="F24" s="56">
        <v>398.52</v>
      </c>
      <c r="G24" s="1688"/>
      <c r="H24" s="58"/>
      <c r="I24" s="58"/>
      <c r="J24" s="58"/>
      <c r="K24" s="75"/>
      <c r="L24" s="76"/>
      <c r="M24" s="54"/>
      <c r="N24" s="56">
        <v>398.52</v>
      </c>
      <c r="O24" s="1688"/>
      <c r="P24" s="77"/>
      <c r="Q24" s="77"/>
      <c r="R24" s="77"/>
      <c r="S24" s="77"/>
      <c r="T24" s="77"/>
      <c r="U24" s="77"/>
      <c r="V24" s="77"/>
      <c r="W24" s="77"/>
      <c r="X24" s="77"/>
      <c r="Y24" s="77"/>
      <c r="Z24" s="98" t="s">
        <v>906</v>
      </c>
      <c r="AA24" s="99"/>
      <c r="AB24" s="99"/>
      <c r="AC24" s="100"/>
    </row>
    <row r="25" spans="1:29" ht="19">
      <c r="A25" s="62">
        <v>9</v>
      </c>
      <c r="B25" s="63" t="s">
        <v>910</v>
      </c>
      <c r="C25" s="63" t="s">
        <v>894</v>
      </c>
      <c r="D25" s="64"/>
      <c r="E25" s="63" t="s">
        <v>911</v>
      </c>
      <c r="F25" s="65"/>
      <c r="G25" s="66"/>
      <c r="H25" s="67">
        <v>9</v>
      </c>
      <c r="I25" s="63" t="s">
        <v>910</v>
      </c>
      <c r="J25" s="63" t="s">
        <v>894</v>
      </c>
      <c r="K25" s="79"/>
      <c r="L25" s="66"/>
      <c r="M25" s="63" t="s">
        <v>911</v>
      </c>
      <c r="N25" s="65"/>
      <c r="O25" s="66"/>
      <c r="P25" s="80">
        <v>398.52</v>
      </c>
      <c r="Q25" s="80">
        <v>425.85</v>
      </c>
      <c r="R25" s="80">
        <v>824.36</v>
      </c>
      <c r="S25" s="88">
        <v>412</v>
      </c>
      <c r="T25" s="89">
        <v>159</v>
      </c>
      <c r="U25" s="89">
        <v>190</v>
      </c>
      <c r="V25" s="90">
        <v>349</v>
      </c>
      <c r="W25" s="89">
        <v>176</v>
      </c>
      <c r="X25" s="89">
        <v>199</v>
      </c>
      <c r="Y25" s="90">
        <v>375</v>
      </c>
      <c r="Z25" s="103"/>
      <c r="AA25" s="104">
        <v>784185.46200000006</v>
      </c>
      <c r="AB25" s="104">
        <v>2835309.3029999998</v>
      </c>
      <c r="AC25" s="105">
        <v>101.99</v>
      </c>
    </row>
    <row r="26" spans="1:29">
      <c r="A26" s="53"/>
      <c r="B26" s="54"/>
      <c r="C26" s="54"/>
      <c r="D26" s="55"/>
      <c r="E26" s="54"/>
      <c r="F26" s="56">
        <v>425.85</v>
      </c>
      <c r="G26" s="1688">
        <v>835</v>
      </c>
      <c r="H26" s="58"/>
      <c r="I26" s="58"/>
      <c r="J26" s="58"/>
      <c r="K26" s="75"/>
      <c r="L26" s="76"/>
      <c r="M26" s="54"/>
      <c r="N26" s="56">
        <v>425.85</v>
      </c>
      <c r="O26" s="1688">
        <v>835</v>
      </c>
      <c r="P26" s="77"/>
      <c r="Q26" s="77"/>
      <c r="R26" s="77"/>
      <c r="S26" s="77"/>
      <c r="T26" s="77"/>
      <c r="U26" s="77"/>
      <c r="V26" s="77"/>
      <c r="W26" s="77"/>
      <c r="X26" s="77"/>
      <c r="Y26" s="77"/>
      <c r="Z26" s="98" t="s">
        <v>906</v>
      </c>
      <c r="AA26" s="99"/>
      <c r="AB26" s="99"/>
      <c r="AC26" s="100"/>
    </row>
    <row r="27" spans="1:29">
      <c r="A27" s="59">
        <v>10</v>
      </c>
      <c r="B27" s="60" t="s">
        <v>912</v>
      </c>
      <c r="C27" s="60" t="s">
        <v>913</v>
      </c>
      <c r="D27" s="55"/>
      <c r="E27" s="54"/>
      <c r="F27" s="54"/>
      <c r="G27" s="1688"/>
      <c r="H27" s="61">
        <v>10</v>
      </c>
      <c r="I27" s="60" t="s">
        <v>912</v>
      </c>
      <c r="J27" s="60" t="s">
        <v>913</v>
      </c>
      <c r="K27" s="75"/>
      <c r="L27" s="76"/>
      <c r="M27" s="54"/>
      <c r="N27" s="54"/>
      <c r="O27" s="1688"/>
      <c r="P27" s="78">
        <v>425.85</v>
      </c>
      <c r="Q27" s="78">
        <v>409.37</v>
      </c>
      <c r="R27" s="78">
        <v>835.22</v>
      </c>
      <c r="S27" s="85">
        <v>418</v>
      </c>
      <c r="T27" s="86">
        <v>237</v>
      </c>
      <c r="U27" s="86">
        <v>224</v>
      </c>
      <c r="V27" s="87">
        <v>461</v>
      </c>
      <c r="W27" s="86">
        <v>229</v>
      </c>
      <c r="X27" s="86">
        <v>218</v>
      </c>
      <c r="Y27" s="87">
        <v>447</v>
      </c>
      <c r="Z27" s="77"/>
      <c r="AA27" s="101">
        <v>784517.76399999997</v>
      </c>
      <c r="AB27" s="101">
        <v>2835042.9920000001</v>
      </c>
      <c r="AC27" s="102">
        <v>101.179</v>
      </c>
    </row>
    <row r="28" spans="1:29">
      <c r="A28" s="53"/>
      <c r="B28" s="54"/>
      <c r="C28" s="54"/>
      <c r="D28" s="55"/>
      <c r="E28" s="54"/>
      <c r="F28" s="56">
        <v>409.37</v>
      </c>
      <c r="G28" s="1688"/>
      <c r="H28" s="58"/>
      <c r="I28" s="58"/>
      <c r="J28" s="58"/>
      <c r="K28" s="75"/>
      <c r="L28" s="76"/>
      <c r="M28" s="54"/>
      <c r="N28" s="56">
        <v>409.37</v>
      </c>
      <c r="O28" s="1688"/>
      <c r="P28" s="77"/>
      <c r="Q28" s="77"/>
      <c r="R28" s="77"/>
      <c r="S28" s="77"/>
      <c r="T28" s="77"/>
      <c r="U28" s="77"/>
      <c r="V28" s="77"/>
      <c r="W28" s="77"/>
      <c r="X28" s="77"/>
      <c r="Y28" s="77"/>
      <c r="Z28" s="77"/>
      <c r="AA28" s="99"/>
      <c r="AB28" s="99"/>
      <c r="AC28" s="100"/>
    </row>
    <row r="29" spans="1:29" ht="19">
      <c r="A29" s="62">
        <v>11</v>
      </c>
      <c r="B29" s="63" t="s">
        <v>914</v>
      </c>
      <c r="C29" s="63" t="s">
        <v>915</v>
      </c>
      <c r="D29" s="64"/>
      <c r="E29" s="63" t="s">
        <v>916</v>
      </c>
      <c r="F29" s="65"/>
      <c r="G29" s="66"/>
      <c r="H29" s="67">
        <v>11</v>
      </c>
      <c r="I29" s="63" t="s">
        <v>914</v>
      </c>
      <c r="J29" s="63" t="s">
        <v>915</v>
      </c>
      <c r="K29" s="79"/>
      <c r="L29" s="66"/>
      <c r="M29" s="63" t="s">
        <v>916</v>
      </c>
      <c r="N29" s="65"/>
      <c r="O29" s="66"/>
      <c r="P29" s="80">
        <v>409.37</v>
      </c>
      <c r="Q29" s="80">
        <v>388.46</v>
      </c>
      <c r="R29" s="80">
        <v>797.82</v>
      </c>
      <c r="S29" s="88">
        <v>399</v>
      </c>
      <c r="T29" s="89">
        <v>186</v>
      </c>
      <c r="U29" s="89">
        <v>199</v>
      </c>
      <c r="V29" s="90">
        <v>385</v>
      </c>
      <c r="W29" s="89">
        <v>193</v>
      </c>
      <c r="X29" s="89">
        <v>198</v>
      </c>
      <c r="Y29" s="90">
        <v>391</v>
      </c>
      <c r="Z29" s="103"/>
      <c r="AA29" s="104">
        <v>784837.20799999998</v>
      </c>
      <c r="AB29" s="104">
        <v>2834786.986</v>
      </c>
      <c r="AC29" s="105">
        <v>103.07</v>
      </c>
    </row>
    <row r="30" spans="1:29">
      <c r="A30" s="53"/>
      <c r="B30" s="54"/>
      <c r="C30" s="54"/>
      <c r="D30" s="55"/>
      <c r="E30" s="54"/>
      <c r="F30" s="56">
        <v>388.46</v>
      </c>
      <c r="G30" s="1688">
        <v>2306</v>
      </c>
      <c r="H30" s="58"/>
      <c r="I30" s="58"/>
      <c r="J30" s="58"/>
      <c r="K30" s="75"/>
      <c r="L30" s="76"/>
      <c r="M30" s="54"/>
      <c r="N30" s="56">
        <v>388.46</v>
      </c>
      <c r="O30" s="1688">
        <v>2306</v>
      </c>
      <c r="P30" s="77"/>
      <c r="Q30" s="77"/>
      <c r="R30" s="77"/>
      <c r="S30" s="77"/>
      <c r="T30" s="77"/>
      <c r="U30" s="77"/>
      <c r="V30" s="77"/>
      <c r="W30" s="77"/>
      <c r="X30" s="77"/>
      <c r="Y30" s="77"/>
      <c r="Z30" s="77"/>
      <c r="AA30" s="99"/>
      <c r="AB30" s="99"/>
      <c r="AC30" s="100"/>
    </row>
    <row r="31" spans="1:29">
      <c r="A31" s="59">
        <v>12</v>
      </c>
      <c r="B31" s="60" t="s">
        <v>917</v>
      </c>
      <c r="C31" s="60" t="s">
        <v>899</v>
      </c>
      <c r="D31" s="55"/>
      <c r="E31" s="54"/>
      <c r="F31" s="54"/>
      <c r="G31" s="1688"/>
      <c r="H31" s="61">
        <v>12</v>
      </c>
      <c r="I31" s="60" t="s">
        <v>917</v>
      </c>
      <c r="J31" s="60" t="s">
        <v>899</v>
      </c>
      <c r="K31" s="75"/>
      <c r="L31" s="76"/>
      <c r="M31" s="54"/>
      <c r="N31" s="54"/>
      <c r="O31" s="1688"/>
      <c r="P31" s="78">
        <v>388.46</v>
      </c>
      <c r="Q31" s="78">
        <v>380.96</v>
      </c>
      <c r="R31" s="78">
        <v>769.42</v>
      </c>
      <c r="S31" s="85">
        <v>385</v>
      </c>
      <c r="T31" s="86">
        <v>190</v>
      </c>
      <c r="U31" s="86">
        <v>193</v>
      </c>
      <c r="V31" s="87">
        <v>383</v>
      </c>
      <c r="W31" s="86">
        <v>192</v>
      </c>
      <c r="X31" s="86">
        <v>192</v>
      </c>
      <c r="Y31" s="87">
        <v>384</v>
      </c>
      <c r="Z31" s="77"/>
      <c r="AA31" s="101">
        <v>785079.59299999999</v>
      </c>
      <c r="AB31" s="101">
        <v>2834483.429</v>
      </c>
      <c r="AC31" s="102">
        <v>102.411</v>
      </c>
    </row>
    <row r="32" spans="1:29" ht="19">
      <c r="A32" s="53"/>
      <c r="B32" s="54"/>
      <c r="C32" s="54"/>
      <c r="D32" s="55"/>
      <c r="E32" s="54"/>
      <c r="F32" s="56">
        <v>380.96</v>
      </c>
      <c r="G32" s="1688"/>
      <c r="H32" s="58"/>
      <c r="I32" s="58"/>
      <c r="J32" s="58"/>
      <c r="K32" s="75"/>
      <c r="L32" s="76"/>
      <c r="M32" s="54"/>
      <c r="N32" s="56">
        <v>380.96</v>
      </c>
      <c r="O32" s="1688"/>
      <c r="P32" s="77"/>
      <c r="Q32" s="77"/>
      <c r="R32" s="77"/>
      <c r="S32" s="77"/>
      <c r="T32" s="77"/>
      <c r="U32" s="77"/>
      <c r="V32" s="77"/>
      <c r="W32" s="77"/>
      <c r="X32" s="77"/>
      <c r="Y32" s="77"/>
      <c r="Z32" s="98" t="s">
        <v>918</v>
      </c>
      <c r="AA32" s="99"/>
      <c r="AB32" s="99"/>
      <c r="AC32" s="100"/>
    </row>
    <row r="33" spans="1:29" ht="26">
      <c r="A33" s="59">
        <v>13</v>
      </c>
      <c r="B33" s="60" t="s">
        <v>919</v>
      </c>
      <c r="C33" s="60" t="s">
        <v>903</v>
      </c>
      <c r="D33" s="55"/>
      <c r="E33" s="54"/>
      <c r="F33" s="54"/>
      <c r="G33" s="1688"/>
      <c r="H33" s="61">
        <v>13</v>
      </c>
      <c r="I33" s="60" t="s">
        <v>919</v>
      </c>
      <c r="J33" s="60" t="s">
        <v>903</v>
      </c>
      <c r="K33" s="75"/>
      <c r="L33" s="81" t="s">
        <v>332</v>
      </c>
      <c r="M33" s="54"/>
      <c r="N33" s="54"/>
      <c r="O33" s="1688"/>
      <c r="P33" s="78">
        <v>380.96</v>
      </c>
      <c r="Q33" s="78">
        <v>381.39</v>
      </c>
      <c r="R33" s="78">
        <v>762.35</v>
      </c>
      <c r="S33" s="85">
        <v>381</v>
      </c>
      <c r="T33" s="86">
        <v>189</v>
      </c>
      <c r="U33" s="86">
        <v>212</v>
      </c>
      <c r="V33" s="87">
        <v>401</v>
      </c>
      <c r="W33" s="86">
        <v>190</v>
      </c>
      <c r="X33" s="86">
        <v>204</v>
      </c>
      <c r="Y33" s="87">
        <v>394</v>
      </c>
      <c r="Z33" s="77"/>
      <c r="AA33" s="101">
        <v>785317.30099999998</v>
      </c>
      <c r="AB33" s="101">
        <v>2834185.7280000001</v>
      </c>
      <c r="AC33" s="102">
        <v>99.05</v>
      </c>
    </row>
    <row r="34" spans="1:29">
      <c r="A34" s="53"/>
      <c r="B34" s="54"/>
      <c r="C34" s="54"/>
      <c r="D34" s="55"/>
      <c r="E34" s="54"/>
      <c r="F34" s="56">
        <v>381.39</v>
      </c>
      <c r="G34" s="1688"/>
      <c r="H34" s="58"/>
      <c r="I34" s="58"/>
      <c r="J34" s="58"/>
      <c r="K34" s="75"/>
      <c r="L34" s="76"/>
      <c r="M34" s="54"/>
      <c r="N34" s="56">
        <v>381.39</v>
      </c>
      <c r="O34" s="1688"/>
      <c r="P34" s="77"/>
      <c r="Q34" s="77"/>
      <c r="R34" s="77"/>
      <c r="S34" s="77"/>
      <c r="T34" s="77"/>
      <c r="U34" s="77"/>
      <c r="V34" s="77"/>
      <c r="W34" s="77"/>
      <c r="X34" s="77"/>
      <c r="Y34" s="77"/>
      <c r="Z34" s="98" t="s">
        <v>906</v>
      </c>
      <c r="AA34" s="99"/>
      <c r="AB34" s="99"/>
      <c r="AC34" s="100"/>
    </row>
    <row r="35" spans="1:29">
      <c r="A35" s="59">
        <v>14</v>
      </c>
      <c r="B35" s="60" t="s">
        <v>920</v>
      </c>
      <c r="C35" s="60" t="s">
        <v>899</v>
      </c>
      <c r="D35" s="55"/>
      <c r="E35" s="54"/>
      <c r="F35" s="54"/>
      <c r="G35" s="1688"/>
      <c r="H35" s="61">
        <v>14</v>
      </c>
      <c r="I35" s="60" t="s">
        <v>920</v>
      </c>
      <c r="J35" s="60" t="s">
        <v>899</v>
      </c>
      <c r="K35" s="75"/>
      <c r="L35" s="76"/>
      <c r="M35" s="54"/>
      <c r="N35" s="54"/>
      <c r="O35" s="1688"/>
      <c r="P35" s="78">
        <v>381.39</v>
      </c>
      <c r="Q35" s="78">
        <v>344.6</v>
      </c>
      <c r="R35" s="78">
        <v>725.98</v>
      </c>
      <c r="S35" s="85">
        <v>363</v>
      </c>
      <c r="T35" s="86">
        <v>170</v>
      </c>
      <c r="U35" s="86">
        <v>170</v>
      </c>
      <c r="V35" s="87">
        <v>340</v>
      </c>
      <c r="W35" s="86">
        <v>179</v>
      </c>
      <c r="X35" s="86">
        <v>171</v>
      </c>
      <c r="Y35" s="87">
        <v>350</v>
      </c>
      <c r="Z35" s="77"/>
      <c r="AA35" s="101">
        <v>785555.277</v>
      </c>
      <c r="AB35" s="101">
        <v>2833887.693</v>
      </c>
      <c r="AC35" s="102">
        <v>98.293000000000006</v>
      </c>
    </row>
    <row r="36" spans="1:29">
      <c r="A36" s="53"/>
      <c r="B36" s="54"/>
      <c r="C36" s="54"/>
      <c r="D36" s="55"/>
      <c r="E36" s="54"/>
      <c r="F36" s="56">
        <v>344.6</v>
      </c>
      <c r="G36" s="1688"/>
      <c r="H36" s="58"/>
      <c r="I36" s="58"/>
      <c r="J36" s="58"/>
      <c r="K36" s="75"/>
      <c r="L36" s="76"/>
      <c r="M36" s="54"/>
      <c r="N36" s="56">
        <v>344.6</v>
      </c>
      <c r="O36" s="1688"/>
      <c r="P36" s="77"/>
      <c r="Q36" s="77"/>
      <c r="R36" s="77"/>
      <c r="S36" s="77"/>
      <c r="T36" s="77"/>
      <c r="U36" s="77"/>
      <c r="V36" s="77"/>
      <c r="W36" s="77"/>
      <c r="X36" s="77"/>
      <c r="Y36" s="77"/>
      <c r="Z36" s="98" t="s">
        <v>921</v>
      </c>
      <c r="AA36" s="99"/>
      <c r="AB36" s="99"/>
      <c r="AC36" s="100"/>
    </row>
    <row r="37" spans="1:29">
      <c r="A37" s="59">
        <v>15</v>
      </c>
      <c r="B37" s="60" t="s">
        <v>922</v>
      </c>
      <c r="C37" s="60" t="s">
        <v>903</v>
      </c>
      <c r="D37" s="55"/>
      <c r="E37" s="54"/>
      <c r="F37" s="54"/>
      <c r="G37" s="1688"/>
      <c r="H37" s="61">
        <v>15</v>
      </c>
      <c r="I37" s="60" t="s">
        <v>922</v>
      </c>
      <c r="J37" s="60" t="s">
        <v>903</v>
      </c>
      <c r="K37" s="75"/>
      <c r="L37" s="76"/>
      <c r="M37" s="54"/>
      <c r="N37" s="54"/>
      <c r="O37" s="1688"/>
      <c r="P37" s="78">
        <v>344.6</v>
      </c>
      <c r="Q37" s="78">
        <v>395.64</v>
      </c>
      <c r="R37" s="78">
        <v>740.24</v>
      </c>
      <c r="S37" s="85">
        <v>370</v>
      </c>
      <c r="T37" s="86">
        <v>175</v>
      </c>
      <c r="U37" s="86">
        <v>205</v>
      </c>
      <c r="V37" s="87">
        <v>380</v>
      </c>
      <c r="W37" s="86">
        <v>174</v>
      </c>
      <c r="X37" s="86">
        <v>203</v>
      </c>
      <c r="Y37" s="87">
        <v>377</v>
      </c>
      <c r="Z37" s="77"/>
      <c r="AA37" s="101">
        <v>785770.29500000004</v>
      </c>
      <c r="AB37" s="101">
        <v>2833618.41</v>
      </c>
      <c r="AC37" s="102">
        <v>95.694999999999993</v>
      </c>
    </row>
    <row r="38" spans="1:29">
      <c r="A38" s="53"/>
      <c r="B38" s="54"/>
      <c r="C38" s="54"/>
      <c r="D38" s="55"/>
      <c r="E38" s="54"/>
      <c r="F38" s="56">
        <v>395.64</v>
      </c>
      <c r="G38" s="1688"/>
      <c r="H38" s="58"/>
      <c r="I38" s="58"/>
      <c r="J38" s="58"/>
      <c r="K38" s="75"/>
      <c r="L38" s="76"/>
      <c r="M38" s="54"/>
      <c r="N38" s="56">
        <v>395.64</v>
      </c>
      <c r="O38" s="1688"/>
      <c r="P38" s="77"/>
      <c r="Q38" s="77"/>
      <c r="R38" s="77"/>
      <c r="S38" s="77"/>
      <c r="T38" s="77"/>
      <c r="U38" s="77"/>
      <c r="V38" s="77"/>
      <c r="W38" s="77"/>
      <c r="X38" s="77"/>
      <c r="Y38" s="77"/>
      <c r="Z38" s="77"/>
      <c r="AA38" s="99"/>
      <c r="AB38" s="99"/>
      <c r="AC38" s="100"/>
    </row>
    <row r="39" spans="1:29">
      <c r="A39" s="59">
        <v>16</v>
      </c>
      <c r="B39" s="60" t="s">
        <v>923</v>
      </c>
      <c r="C39" s="60" t="s">
        <v>913</v>
      </c>
      <c r="D39" s="55"/>
      <c r="E39" s="54"/>
      <c r="F39" s="54"/>
      <c r="G39" s="1688"/>
      <c r="H39" s="61">
        <v>16</v>
      </c>
      <c r="I39" s="60" t="s">
        <v>923</v>
      </c>
      <c r="J39" s="60" t="s">
        <v>913</v>
      </c>
      <c r="K39" s="75"/>
      <c r="L39" s="76"/>
      <c r="M39" s="54"/>
      <c r="N39" s="54"/>
      <c r="O39" s="1688"/>
      <c r="P39" s="78">
        <v>395.64</v>
      </c>
      <c r="Q39" s="78">
        <v>414.76</v>
      </c>
      <c r="R39" s="78">
        <v>810.4</v>
      </c>
      <c r="S39" s="85">
        <v>405</v>
      </c>
      <c r="T39" s="86">
        <v>191</v>
      </c>
      <c r="U39" s="86">
        <v>118</v>
      </c>
      <c r="V39" s="87">
        <v>309</v>
      </c>
      <c r="W39" s="86">
        <v>195</v>
      </c>
      <c r="X39" s="86">
        <v>153</v>
      </c>
      <c r="Y39" s="87">
        <v>348</v>
      </c>
      <c r="Z39" s="77"/>
      <c r="AA39" s="101">
        <v>786017.16299999994</v>
      </c>
      <c r="AB39" s="101">
        <v>2833309.2370000002</v>
      </c>
      <c r="AC39" s="102">
        <v>91.436000000000007</v>
      </c>
    </row>
    <row r="40" spans="1:29">
      <c r="A40" s="53"/>
      <c r="B40" s="54"/>
      <c r="C40" s="54"/>
      <c r="D40" s="55"/>
      <c r="E40" s="54"/>
      <c r="F40" s="56">
        <v>414.76</v>
      </c>
      <c r="G40" s="1688"/>
      <c r="H40" s="58"/>
      <c r="I40" s="58"/>
      <c r="J40" s="58"/>
      <c r="K40" s="75"/>
      <c r="L40" s="76"/>
      <c r="M40" s="54"/>
      <c r="N40" s="56">
        <v>414.76</v>
      </c>
      <c r="O40" s="1688"/>
      <c r="P40" s="77"/>
      <c r="Q40" s="77"/>
      <c r="R40" s="77"/>
      <c r="S40" s="77"/>
      <c r="T40" s="77"/>
      <c r="U40" s="77"/>
      <c r="V40" s="77"/>
      <c r="W40" s="77"/>
      <c r="X40" s="77"/>
      <c r="Y40" s="77"/>
      <c r="Z40" s="98" t="s">
        <v>906</v>
      </c>
      <c r="AA40" s="99"/>
      <c r="AB40" s="99"/>
      <c r="AC40" s="100"/>
    </row>
    <row r="41" spans="1:29" ht="19">
      <c r="A41" s="62">
        <v>17</v>
      </c>
      <c r="B41" s="63" t="s">
        <v>924</v>
      </c>
      <c r="C41" s="63" t="s">
        <v>894</v>
      </c>
      <c r="D41" s="64"/>
      <c r="E41" s="63" t="s">
        <v>925</v>
      </c>
      <c r="F41" s="65"/>
      <c r="G41" s="66"/>
      <c r="H41" s="67">
        <v>17</v>
      </c>
      <c r="I41" s="63" t="s">
        <v>924</v>
      </c>
      <c r="J41" s="63" t="s">
        <v>894</v>
      </c>
      <c r="K41" s="79"/>
      <c r="L41" s="66"/>
      <c r="M41" s="63" t="s">
        <v>925</v>
      </c>
      <c r="N41" s="65"/>
      <c r="O41" s="66"/>
      <c r="P41" s="80">
        <v>414.76</v>
      </c>
      <c r="Q41" s="80">
        <v>401.93</v>
      </c>
      <c r="R41" s="80">
        <v>816.69</v>
      </c>
      <c r="S41" s="88">
        <v>409</v>
      </c>
      <c r="T41" s="89">
        <v>298</v>
      </c>
      <c r="U41" s="89">
        <v>296</v>
      </c>
      <c r="V41" s="90">
        <v>594</v>
      </c>
      <c r="W41" s="89">
        <v>264</v>
      </c>
      <c r="X41" s="89">
        <v>259</v>
      </c>
      <c r="Y41" s="90">
        <v>523</v>
      </c>
      <c r="Z41" s="103"/>
      <c r="AA41" s="104">
        <v>786275.96299999999</v>
      </c>
      <c r="AB41" s="104">
        <v>2832985.122</v>
      </c>
      <c r="AC41" s="105">
        <v>114.99</v>
      </c>
    </row>
    <row r="42" spans="1:29">
      <c r="A42" s="53"/>
      <c r="B42" s="54"/>
      <c r="C42" s="54"/>
      <c r="D42" s="55"/>
      <c r="E42" s="54"/>
      <c r="F42" s="56">
        <v>401.93</v>
      </c>
      <c r="G42" s="1688">
        <v>757</v>
      </c>
      <c r="H42" s="58"/>
      <c r="I42" s="58"/>
      <c r="J42" s="58"/>
      <c r="K42" s="75"/>
      <c r="L42" s="76"/>
      <c r="M42" s="54"/>
      <c r="N42" s="56">
        <v>401.93</v>
      </c>
      <c r="O42" s="1688">
        <v>757</v>
      </c>
      <c r="P42" s="77"/>
      <c r="Q42" s="77"/>
      <c r="R42" s="77"/>
      <c r="S42" s="77"/>
      <c r="T42" s="77"/>
      <c r="U42" s="77"/>
      <c r="V42" s="77"/>
      <c r="W42" s="77"/>
      <c r="X42" s="77"/>
      <c r="Y42" s="77"/>
      <c r="Z42" s="98" t="s">
        <v>926</v>
      </c>
      <c r="AA42" s="99"/>
      <c r="AB42" s="99"/>
      <c r="AC42" s="100"/>
    </row>
    <row r="43" spans="1:29">
      <c r="A43" s="59">
        <v>18</v>
      </c>
      <c r="B43" s="60" t="s">
        <v>927</v>
      </c>
      <c r="C43" s="60" t="s">
        <v>903</v>
      </c>
      <c r="D43" s="68">
        <v>1</v>
      </c>
      <c r="E43" s="54"/>
      <c r="F43" s="54"/>
      <c r="G43" s="1688"/>
      <c r="H43" s="61">
        <v>18</v>
      </c>
      <c r="I43" s="60" t="s">
        <v>927</v>
      </c>
      <c r="J43" s="60" t="s">
        <v>903</v>
      </c>
      <c r="K43" s="68">
        <v>1</v>
      </c>
      <c r="L43" s="76"/>
      <c r="M43" s="54"/>
      <c r="N43" s="54"/>
      <c r="O43" s="1688"/>
      <c r="P43" s="78">
        <v>401.93</v>
      </c>
      <c r="Q43" s="78">
        <v>354.95</v>
      </c>
      <c r="R43" s="78">
        <v>756.88</v>
      </c>
      <c r="S43" s="85">
        <v>379</v>
      </c>
      <c r="T43" s="86">
        <v>106</v>
      </c>
      <c r="U43" s="86">
        <v>225</v>
      </c>
      <c r="V43" s="87">
        <v>331</v>
      </c>
      <c r="W43" s="86">
        <v>144</v>
      </c>
      <c r="X43" s="86">
        <v>207</v>
      </c>
      <c r="Y43" s="87">
        <v>351</v>
      </c>
      <c r="Z43" s="77"/>
      <c r="AA43" s="101">
        <v>786635.31900000002</v>
      </c>
      <c r="AB43" s="101">
        <v>2832805.0929999999</v>
      </c>
      <c r="AC43" s="102">
        <v>93.102999999999994</v>
      </c>
    </row>
    <row r="44" spans="1:29">
      <c r="A44" s="53"/>
      <c r="B44" s="54"/>
      <c r="C44" s="54"/>
      <c r="D44" s="55"/>
      <c r="E44" s="54"/>
      <c r="F44" s="56">
        <v>354.95</v>
      </c>
      <c r="G44" s="1688"/>
      <c r="H44" s="58"/>
      <c r="I44" s="58"/>
      <c r="J44" s="58"/>
      <c r="K44" s="75"/>
      <c r="L44" s="76"/>
      <c r="M44" s="54"/>
      <c r="N44" s="56">
        <v>354.95</v>
      </c>
      <c r="O44" s="1688"/>
      <c r="P44" s="77"/>
      <c r="Q44" s="77"/>
      <c r="R44" s="77"/>
      <c r="S44" s="77"/>
      <c r="T44" s="77"/>
      <c r="U44" s="77"/>
      <c r="V44" s="77"/>
      <c r="W44" s="77"/>
      <c r="X44" s="77"/>
      <c r="Y44" s="77"/>
      <c r="Z44" s="77"/>
      <c r="AA44" s="99"/>
      <c r="AB44" s="99"/>
      <c r="AC44" s="100"/>
    </row>
    <row r="45" spans="1:29" ht="19">
      <c r="A45" s="62">
        <v>19</v>
      </c>
      <c r="B45" s="63" t="s">
        <v>928</v>
      </c>
      <c r="C45" s="63" t="s">
        <v>929</v>
      </c>
      <c r="D45" s="64"/>
      <c r="E45" s="63" t="s">
        <v>930</v>
      </c>
      <c r="F45" s="65"/>
      <c r="G45" s="66"/>
      <c r="H45" s="67">
        <v>19</v>
      </c>
      <c r="I45" s="63" t="s">
        <v>928</v>
      </c>
      <c r="J45" s="63" t="s">
        <v>929</v>
      </c>
      <c r="K45" s="79"/>
      <c r="L45" s="66"/>
      <c r="M45" s="63" t="s">
        <v>930</v>
      </c>
      <c r="N45" s="65"/>
      <c r="O45" s="66"/>
      <c r="P45" s="80">
        <v>354.95</v>
      </c>
      <c r="Q45" s="80">
        <v>425</v>
      </c>
      <c r="R45" s="80">
        <v>779.95</v>
      </c>
      <c r="S45" s="88">
        <v>390</v>
      </c>
      <c r="T45" s="89">
        <v>130</v>
      </c>
      <c r="U45" s="89">
        <v>142</v>
      </c>
      <c r="V45" s="90">
        <v>272</v>
      </c>
      <c r="W45" s="89">
        <v>149</v>
      </c>
      <c r="X45" s="89">
        <v>169</v>
      </c>
      <c r="Y45" s="90">
        <v>318</v>
      </c>
      <c r="Z45" s="103"/>
      <c r="AA45" s="104">
        <v>786952.67</v>
      </c>
      <c r="AB45" s="104">
        <v>2832646.1069999998</v>
      </c>
      <c r="AC45" s="105">
        <v>88.93</v>
      </c>
    </row>
    <row r="46" spans="1:29" ht="28.5">
      <c r="A46" s="53"/>
      <c r="B46" s="54"/>
      <c r="C46" s="54"/>
      <c r="D46" s="55"/>
      <c r="E46" s="54"/>
      <c r="F46" s="56">
        <v>425</v>
      </c>
      <c r="G46" s="1688">
        <v>1192</v>
      </c>
      <c r="H46" s="58"/>
      <c r="I46" s="58"/>
      <c r="J46" s="58"/>
      <c r="K46" s="75"/>
      <c r="L46" s="76"/>
      <c r="M46" s="54"/>
      <c r="N46" s="56">
        <v>425</v>
      </c>
      <c r="O46" s="1688">
        <v>1192</v>
      </c>
      <c r="P46" s="77"/>
      <c r="Q46" s="77"/>
      <c r="R46" s="77"/>
      <c r="S46" s="77"/>
      <c r="T46" s="77"/>
      <c r="U46" s="77"/>
      <c r="V46" s="77"/>
      <c r="W46" s="77"/>
      <c r="X46" s="77"/>
      <c r="Y46" s="77"/>
      <c r="Z46" s="98" t="s">
        <v>931</v>
      </c>
      <c r="AA46" s="99"/>
      <c r="AB46" s="99"/>
      <c r="AC46" s="100"/>
    </row>
    <row r="47" spans="1:29">
      <c r="A47" s="59">
        <v>20</v>
      </c>
      <c r="B47" s="60" t="s">
        <v>932</v>
      </c>
      <c r="C47" s="60" t="s">
        <v>933</v>
      </c>
      <c r="D47" s="55"/>
      <c r="E47" s="54"/>
      <c r="F47" s="54"/>
      <c r="G47" s="1688"/>
      <c r="H47" s="61">
        <v>20</v>
      </c>
      <c r="I47" s="60" t="s">
        <v>932</v>
      </c>
      <c r="J47" s="60" t="s">
        <v>933</v>
      </c>
      <c r="K47" s="75"/>
      <c r="L47" s="76"/>
      <c r="M47" s="54"/>
      <c r="N47" s="54"/>
      <c r="O47" s="1688"/>
      <c r="P47" s="78">
        <v>425</v>
      </c>
      <c r="Q47" s="78">
        <v>414</v>
      </c>
      <c r="R47" s="78">
        <v>839</v>
      </c>
      <c r="S47" s="85">
        <v>420</v>
      </c>
      <c r="T47" s="86">
        <v>284</v>
      </c>
      <c r="U47" s="86">
        <v>203</v>
      </c>
      <c r="V47" s="87">
        <v>487</v>
      </c>
      <c r="W47" s="86">
        <v>258</v>
      </c>
      <c r="X47" s="86">
        <v>205</v>
      </c>
      <c r="Y47" s="87">
        <v>463</v>
      </c>
      <c r="Z47" s="77"/>
      <c r="AA47" s="101">
        <v>787132.09699999995</v>
      </c>
      <c r="AB47" s="101">
        <v>2832260.84</v>
      </c>
      <c r="AC47" s="102">
        <v>94.694999999999993</v>
      </c>
    </row>
    <row r="48" spans="1:29">
      <c r="A48" s="53"/>
      <c r="B48" s="54"/>
      <c r="C48" s="54"/>
      <c r="D48" s="55"/>
      <c r="E48" s="54"/>
      <c r="F48" s="56">
        <v>414</v>
      </c>
      <c r="G48" s="1688"/>
      <c r="H48" s="58"/>
      <c r="I48" s="58"/>
      <c r="J48" s="58"/>
      <c r="K48" s="75"/>
      <c r="L48" s="76"/>
      <c r="M48" s="54"/>
      <c r="N48" s="56">
        <v>414</v>
      </c>
      <c r="O48" s="1688"/>
      <c r="P48" s="77"/>
      <c r="Q48" s="77"/>
      <c r="R48" s="77"/>
      <c r="S48" s="77"/>
      <c r="T48" s="77"/>
      <c r="U48" s="77"/>
      <c r="V48" s="77"/>
      <c r="W48" s="77"/>
      <c r="X48" s="77"/>
      <c r="Y48" s="77"/>
      <c r="Z48" s="77"/>
      <c r="AA48" s="99"/>
      <c r="AB48" s="99"/>
      <c r="AC48" s="100"/>
    </row>
    <row r="49" spans="1:29" ht="26">
      <c r="A49" s="59">
        <v>21</v>
      </c>
      <c r="B49" s="60" t="s">
        <v>934</v>
      </c>
      <c r="C49" s="60" t="s">
        <v>899</v>
      </c>
      <c r="D49" s="68">
        <v>1</v>
      </c>
      <c r="E49" s="54"/>
      <c r="F49" s="54"/>
      <c r="G49" s="1688"/>
      <c r="H49" s="61">
        <v>21</v>
      </c>
      <c r="I49" s="60" t="s">
        <v>934</v>
      </c>
      <c r="J49" s="60" t="s">
        <v>899</v>
      </c>
      <c r="K49" s="68">
        <v>1</v>
      </c>
      <c r="L49" s="81" t="s">
        <v>332</v>
      </c>
      <c r="M49" s="54"/>
      <c r="N49" s="54"/>
      <c r="O49" s="1688"/>
      <c r="P49" s="78">
        <v>414</v>
      </c>
      <c r="Q49" s="78">
        <v>353.05</v>
      </c>
      <c r="R49" s="78">
        <v>767.05</v>
      </c>
      <c r="S49" s="85">
        <v>384</v>
      </c>
      <c r="T49" s="86">
        <v>211</v>
      </c>
      <c r="U49" s="86">
        <v>188</v>
      </c>
      <c r="V49" s="87">
        <v>399</v>
      </c>
      <c r="W49" s="86">
        <v>210</v>
      </c>
      <c r="X49" s="86">
        <v>184</v>
      </c>
      <c r="Y49" s="87">
        <v>394</v>
      </c>
      <c r="Z49" s="77"/>
      <c r="AA49" s="101">
        <v>787306.88100000005</v>
      </c>
      <c r="AB49" s="101">
        <v>2831885.5440000002</v>
      </c>
      <c r="AC49" s="102">
        <v>103.51600000000001</v>
      </c>
    </row>
    <row r="50" spans="1:29">
      <c r="A50" s="53"/>
      <c r="B50" s="54"/>
      <c r="C50" s="54"/>
      <c r="D50" s="55"/>
      <c r="E50" s="54"/>
      <c r="F50" s="56">
        <v>353.05</v>
      </c>
      <c r="G50" s="1688"/>
      <c r="H50" s="58"/>
      <c r="I50" s="58"/>
      <c r="J50" s="58"/>
      <c r="K50" s="75"/>
      <c r="L50" s="76"/>
      <c r="M50" s="54"/>
      <c r="N50" s="56">
        <v>353.05</v>
      </c>
      <c r="O50" s="1688"/>
      <c r="P50" s="77"/>
      <c r="Q50" s="77"/>
      <c r="R50" s="77"/>
      <c r="S50" s="77"/>
      <c r="T50" s="77"/>
      <c r="U50" s="77"/>
      <c r="V50" s="77"/>
      <c r="W50" s="77"/>
      <c r="X50" s="77"/>
      <c r="Y50" s="77"/>
      <c r="Z50" s="98" t="s">
        <v>906</v>
      </c>
      <c r="AA50" s="99"/>
      <c r="AB50" s="99"/>
      <c r="AC50" s="100"/>
    </row>
    <row r="51" spans="1:29" ht="19">
      <c r="A51" s="62">
        <v>22</v>
      </c>
      <c r="B51" s="63" t="s">
        <v>935</v>
      </c>
      <c r="C51" s="63" t="s">
        <v>936</v>
      </c>
      <c r="D51" s="69">
        <v>1</v>
      </c>
      <c r="E51" s="63" t="s">
        <v>937</v>
      </c>
      <c r="F51" s="65"/>
      <c r="G51" s="66"/>
      <c r="H51" s="67">
        <v>22</v>
      </c>
      <c r="I51" s="63" t="s">
        <v>935</v>
      </c>
      <c r="J51" s="63" t="s">
        <v>936</v>
      </c>
      <c r="K51" s="69">
        <v>1</v>
      </c>
      <c r="L51" s="66"/>
      <c r="M51" s="63" t="s">
        <v>937</v>
      </c>
      <c r="N51" s="65"/>
      <c r="O51" s="66"/>
      <c r="P51" s="80">
        <v>353.05</v>
      </c>
      <c r="Q51" s="80">
        <v>441.06</v>
      </c>
      <c r="R51" s="80">
        <v>794.11</v>
      </c>
      <c r="S51" s="88">
        <v>397</v>
      </c>
      <c r="T51" s="89">
        <v>165</v>
      </c>
      <c r="U51" s="89">
        <v>156</v>
      </c>
      <c r="V51" s="90">
        <v>321</v>
      </c>
      <c r="W51" s="89">
        <v>170</v>
      </c>
      <c r="X51" s="89">
        <v>179</v>
      </c>
      <c r="Y51" s="90">
        <v>349</v>
      </c>
      <c r="Z51" s="103"/>
      <c r="AA51" s="104">
        <v>787455.93299999996</v>
      </c>
      <c r="AB51" s="104">
        <v>2831565.4989999998</v>
      </c>
      <c r="AC51" s="105">
        <v>98.39</v>
      </c>
    </row>
    <row r="52" spans="1:29">
      <c r="A52" s="53"/>
      <c r="B52" s="54"/>
      <c r="C52" s="54"/>
      <c r="D52" s="55"/>
      <c r="E52" s="54"/>
      <c r="F52" s="56">
        <v>441.06</v>
      </c>
      <c r="G52" s="1688">
        <v>829</v>
      </c>
      <c r="H52" s="58"/>
      <c r="I52" s="58"/>
      <c r="J52" s="58"/>
      <c r="K52" s="75"/>
      <c r="L52" s="76"/>
      <c r="M52" s="54"/>
      <c r="N52" s="56">
        <v>441.06</v>
      </c>
      <c r="O52" s="1688">
        <v>829</v>
      </c>
      <c r="P52" s="77"/>
      <c r="Q52" s="77"/>
      <c r="R52" s="77"/>
      <c r="S52" s="77"/>
      <c r="T52" s="77"/>
      <c r="U52" s="77"/>
      <c r="V52" s="77"/>
      <c r="W52" s="77"/>
      <c r="X52" s="77"/>
      <c r="Y52" s="77"/>
      <c r="Z52" s="98" t="s">
        <v>938</v>
      </c>
      <c r="AA52" s="99"/>
      <c r="AB52" s="99"/>
      <c r="AC52" s="100"/>
    </row>
    <row r="53" spans="1:29" ht="26">
      <c r="A53" s="59">
        <v>23</v>
      </c>
      <c r="B53" s="60" t="s">
        <v>939</v>
      </c>
      <c r="C53" s="60" t="s">
        <v>933</v>
      </c>
      <c r="D53" s="55"/>
      <c r="E53" s="54"/>
      <c r="F53" s="54"/>
      <c r="G53" s="1688"/>
      <c r="H53" s="61">
        <v>23</v>
      </c>
      <c r="I53" s="60" t="s">
        <v>939</v>
      </c>
      <c r="J53" s="60" t="s">
        <v>933</v>
      </c>
      <c r="K53" s="75"/>
      <c r="L53" s="81" t="s">
        <v>332</v>
      </c>
      <c r="M53" s="54"/>
      <c r="N53" s="54"/>
      <c r="O53" s="1688"/>
      <c r="P53" s="78">
        <v>441.06</v>
      </c>
      <c r="Q53" s="78">
        <v>387.5</v>
      </c>
      <c r="R53" s="78">
        <v>828.55</v>
      </c>
      <c r="S53" s="85">
        <v>415</v>
      </c>
      <c r="T53" s="86">
        <v>287</v>
      </c>
      <c r="U53" s="86">
        <v>271</v>
      </c>
      <c r="V53" s="87">
        <v>558</v>
      </c>
      <c r="W53" s="86">
        <v>264</v>
      </c>
      <c r="X53" s="86">
        <v>245</v>
      </c>
      <c r="Y53" s="87">
        <v>509</v>
      </c>
      <c r="Z53" s="77"/>
      <c r="AA53" s="101">
        <v>787735.78899999999</v>
      </c>
      <c r="AB53" s="101">
        <v>2831224.6030000001</v>
      </c>
      <c r="AC53" s="102">
        <v>108.033</v>
      </c>
    </row>
    <row r="54" spans="1:29" ht="28.5">
      <c r="A54" s="53"/>
      <c r="B54" s="54"/>
      <c r="C54" s="54"/>
      <c r="D54" s="55"/>
      <c r="E54" s="54"/>
      <c r="F54" s="56">
        <v>387.5</v>
      </c>
      <c r="G54" s="1688"/>
      <c r="H54" s="58"/>
      <c r="I54" s="58"/>
      <c r="J54" s="58"/>
      <c r="K54" s="75"/>
      <c r="L54" s="76"/>
      <c r="M54" s="54"/>
      <c r="N54" s="56">
        <v>387.5</v>
      </c>
      <c r="O54" s="1688"/>
      <c r="P54" s="77"/>
      <c r="Q54" s="77"/>
      <c r="R54" s="77"/>
      <c r="S54" s="77"/>
      <c r="T54" s="77"/>
      <c r="U54" s="77"/>
      <c r="V54" s="77"/>
      <c r="W54" s="77"/>
      <c r="X54" s="77"/>
      <c r="Y54" s="77"/>
      <c r="Z54" s="98" t="s">
        <v>940</v>
      </c>
      <c r="AA54" s="99"/>
      <c r="AB54" s="99"/>
      <c r="AC54" s="100"/>
    </row>
    <row r="55" spans="1:29" ht="19">
      <c r="A55" s="62">
        <v>24</v>
      </c>
      <c r="B55" s="63" t="s">
        <v>941</v>
      </c>
      <c r="C55" s="63" t="s">
        <v>942</v>
      </c>
      <c r="D55" s="64"/>
      <c r="E55" s="63" t="s">
        <v>943</v>
      </c>
      <c r="F55" s="65"/>
      <c r="G55" s="66"/>
      <c r="H55" s="67">
        <v>24</v>
      </c>
      <c r="I55" s="63" t="s">
        <v>941</v>
      </c>
      <c r="J55" s="63" t="s">
        <v>942</v>
      </c>
      <c r="K55" s="79"/>
      <c r="L55" s="66"/>
      <c r="M55" s="63" t="s">
        <v>943</v>
      </c>
      <c r="N55" s="65"/>
      <c r="O55" s="66"/>
      <c r="P55" s="80">
        <v>387.5</v>
      </c>
      <c r="Q55" s="80">
        <v>372.63</v>
      </c>
      <c r="R55" s="80">
        <v>760.12</v>
      </c>
      <c r="S55" s="88">
        <v>380</v>
      </c>
      <c r="T55" s="89">
        <v>117</v>
      </c>
      <c r="U55" s="89">
        <v>157</v>
      </c>
      <c r="V55" s="90">
        <v>274</v>
      </c>
      <c r="W55" s="89">
        <v>145</v>
      </c>
      <c r="X55" s="89">
        <v>168</v>
      </c>
      <c r="Y55" s="90">
        <v>313</v>
      </c>
      <c r="Z55" s="103"/>
      <c r="AA55" s="104">
        <v>787981.66099999996</v>
      </c>
      <c r="AB55" s="104">
        <v>2830925.105</v>
      </c>
      <c r="AC55" s="105">
        <v>92.91</v>
      </c>
    </row>
    <row r="56" spans="1:29">
      <c r="A56" s="53"/>
      <c r="B56" s="54"/>
      <c r="C56" s="54"/>
      <c r="D56" s="55"/>
      <c r="E56" s="54"/>
      <c r="F56" s="56">
        <v>372.63</v>
      </c>
      <c r="G56" s="1688">
        <v>2400</v>
      </c>
      <c r="H56" s="58"/>
      <c r="I56" s="58"/>
      <c r="J56" s="58"/>
      <c r="K56" s="75"/>
      <c r="L56" s="76"/>
      <c r="M56" s="54"/>
      <c r="N56" s="56">
        <v>372.63</v>
      </c>
      <c r="O56" s="1688">
        <v>2400</v>
      </c>
      <c r="P56" s="77"/>
      <c r="Q56" s="77"/>
      <c r="R56" s="77"/>
      <c r="S56" s="77"/>
      <c r="T56" s="77"/>
      <c r="U56" s="77"/>
      <c r="V56" s="77"/>
      <c r="W56" s="77"/>
      <c r="X56" s="77"/>
      <c r="Y56" s="77"/>
      <c r="Z56" s="98" t="s">
        <v>904</v>
      </c>
      <c r="AA56" s="99"/>
      <c r="AB56" s="99"/>
      <c r="AC56" s="100"/>
    </row>
    <row r="57" spans="1:29" ht="39">
      <c r="A57" s="59">
        <v>25</v>
      </c>
      <c r="B57" s="60" t="s">
        <v>944</v>
      </c>
      <c r="C57" s="60" t="s">
        <v>899</v>
      </c>
      <c r="D57" s="55"/>
      <c r="E57" s="54"/>
      <c r="F57" s="54"/>
      <c r="G57" s="1688"/>
      <c r="H57" s="61">
        <v>25</v>
      </c>
      <c r="I57" s="60" t="s">
        <v>944</v>
      </c>
      <c r="J57" s="60" t="s">
        <v>899</v>
      </c>
      <c r="K57" s="75"/>
      <c r="L57" s="81" t="s">
        <v>945</v>
      </c>
      <c r="M57" s="54"/>
      <c r="N57" s="54"/>
      <c r="O57" s="1688"/>
      <c r="P57" s="78">
        <v>372.63</v>
      </c>
      <c r="Q57" s="78">
        <v>415.3</v>
      </c>
      <c r="R57" s="78">
        <v>787.93</v>
      </c>
      <c r="S57" s="85">
        <v>394</v>
      </c>
      <c r="T57" s="86">
        <v>216</v>
      </c>
      <c r="U57" s="86">
        <v>255</v>
      </c>
      <c r="V57" s="87">
        <v>471</v>
      </c>
      <c r="W57" s="86">
        <v>206</v>
      </c>
      <c r="X57" s="86">
        <v>238</v>
      </c>
      <c r="Y57" s="87">
        <v>444</v>
      </c>
      <c r="Z57" s="77"/>
      <c r="AA57" s="101">
        <v>788140.66500000004</v>
      </c>
      <c r="AB57" s="101">
        <v>2830588.105</v>
      </c>
      <c r="AC57" s="102">
        <v>107.482</v>
      </c>
    </row>
    <row r="58" spans="1:29" ht="28.5">
      <c r="A58" s="53"/>
      <c r="B58" s="54"/>
      <c r="C58" s="54"/>
      <c r="D58" s="55"/>
      <c r="E58" s="54"/>
      <c r="F58" s="56">
        <v>415.3</v>
      </c>
      <c r="G58" s="1688"/>
      <c r="H58" s="58"/>
      <c r="I58" s="58"/>
      <c r="J58" s="58"/>
      <c r="K58" s="75"/>
      <c r="L58" s="76"/>
      <c r="M58" s="54"/>
      <c r="N58" s="56">
        <v>415.3</v>
      </c>
      <c r="O58" s="1688"/>
      <c r="P58" s="77"/>
      <c r="Q58" s="77"/>
      <c r="R58" s="77"/>
      <c r="S58" s="77"/>
      <c r="T58" s="77"/>
      <c r="U58" s="77"/>
      <c r="V58" s="77"/>
      <c r="W58" s="77"/>
      <c r="X58" s="77"/>
      <c r="Y58" s="77"/>
      <c r="Z58" s="98" t="s">
        <v>946</v>
      </c>
      <c r="AA58" s="99"/>
      <c r="AB58" s="99"/>
      <c r="AC58" s="100"/>
    </row>
    <row r="59" spans="1:29">
      <c r="A59" s="59">
        <v>26</v>
      </c>
      <c r="B59" s="60" t="s">
        <v>947</v>
      </c>
      <c r="C59" s="60" t="s">
        <v>903</v>
      </c>
      <c r="D59" s="55"/>
      <c r="E59" s="54"/>
      <c r="F59" s="54"/>
      <c r="G59" s="1688"/>
      <c r="H59" s="61">
        <v>26</v>
      </c>
      <c r="I59" s="60" t="s">
        <v>947</v>
      </c>
      <c r="J59" s="60" t="s">
        <v>903</v>
      </c>
      <c r="K59" s="75"/>
      <c r="L59" s="76"/>
      <c r="M59" s="54"/>
      <c r="N59" s="54"/>
      <c r="O59" s="1688"/>
      <c r="P59" s="78">
        <v>415.3</v>
      </c>
      <c r="Q59" s="78">
        <v>424.58</v>
      </c>
      <c r="R59" s="78">
        <v>839.89</v>
      </c>
      <c r="S59" s="85">
        <v>420</v>
      </c>
      <c r="T59" s="86">
        <v>161</v>
      </c>
      <c r="U59" s="86">
        <v>132</v>
      </c>
      <c r="V59" s="87">
        <v>293</v>
      </c>
      <c r="W59" s="86">
        <v>179</v>
      </c>
      <c r="X59" s="86">
        <v>162</v>
      </c>
      <c r="Y59" s="87">
        <v>341</v>
      </c>
      <c r="Z59" s="77"/>
      <c r="AA59" s="101">
        <v>788317.87899999996</v>
      </c>
      <c r="AB59" s="101">
        <v>2830212.5090000001</v>
      </c>
      <c r="AC59" s="102">
        <v>94.983000000000004</v>
      </c>
    </row>
    <row r="60" spans="1:29">
      <c r="A60" s="53"/>
      <c r="B60" s="54"/>
      <c r="C60" s="54"/>
      <c r="D60" s="55"/>
      <c r="E60" s="54"/>
      <c r="F60" s="56">
        <v>424.58</v>
      </c>
      <c r="G60" s="1688"/>
      <c r="H60" s="58"/>
      <c r="I60" s="58"/>
      <c r="J60" s="58"/>
      <c r="K60" s="75"/>
      <c r="L60" s="76"/>
      <c r="M60" s="54"/>
      <c r="N60" s="56">
        <v>424.58</v>
      </c>
      <c r="O60" s="1688"/>
      <c r="P60" s="77"/>
      <c r="Q60" s="77"/>
      <c r="R60" s="77"/>
      <c r="S60" s="77"/>
      <c r="T60" s="77"/>
      <c r="U60" s="77"/>
      <c r="V60" s="77"/>
      <c r="W60" s="77"/>
      <c r="X60" s="77"/>
      <c r="Y60" s="77"/>
      <c r="Z60" s="77"/>
      <c r="AA60" s="99"/>
      <c r="AB60" s="99"/>
      <c r="AC60" s="100"/>
    </row>
    <row r="61" spans="1:29">
      <c r="A61" s="59">
        <v>27</v>
      </c>
      <c r="B61" s="60" t="s">
        <v>948</v>
      </c>
      <c r="C61" s="60" t="s">
        <v>899</v>
      </c>
      <c r="D61" s="55"/>
      <c r="E61" s="54"/>
      <c r="F61" s="54"/>
      <c r="G61" s="1688"/>
      <c r="H61" s="61">
        <v>27</v>
      </c>
      <c r="I61" s="60" t="s">
        <v>948</v>
      </c>
      <c r="J61" s="60" t="s">
        <v>899</v>
      </c>
      <c r="K61" s="75"/>
      <c r="L61" s="76"/>
      <c r="M61" s="54"/>
      <c r="N61" s="54"/>
      <c r="O61" s="1688"/>
      <c r="P61" s="78">
        <v>424.58</v>
      </c>
      <c r="Q61" s="78">
        <v>391.7</v>
      </c>
      <c r="R61" s="78">
        <v>816.29</v>
      </c>
      <c r="S61" s="85">
        <v>408</v>
      </c>
      <c r="T61" s="86">
        <v>294</v>
      </c>
      <c r="U61" s="86">
        <v>205</v>
      </c>
      <c r="V61" s="87">
        <v>499</v>
      </c>
      <c r="W61" s="86">
        <v>264</v>
      </c>
      <c r="X61" s="86">
        <v>202</v>
      </c>
      <c r="Y61" s="87">
        <v>466</v>
      </c>
      <c r="Z61" s="77"/>
      <c r="AA61" s="101">
        <v>788499.05299999996</v>
      </c>
      <c r="AB61" s="101">
        <v>2829828.52</v>
      </c>
      <c r="AC61" s="102">
        <v>114.64400000000001</v>
      </c>
    </row>
    <row r="62" spans="1:29">
      <c r="A62" s="53"/>
      <c r="B62" s="54"/>
      <c r="C62" s="54"/>
      <c r="D62" s="55"/>
      <c r="E62" s="54"/>
      <c r="F62" s="56">
        <v>391.7</v>
      </c>
      <c r="G62" s="1688"/>
      <c r="H62" s="58"/>
      <c r="I62" s="58"/>
      <c r="J62" s="58"/>
      <c r="K62" s="75"/>
      <c r="L62" s="76"/>
      <c r="M62" s="54"/>
      <c r="N62" s="56">
        <v>391.7</v>
      </c>
      <c r="O62" s="1688"/>
      <c r="P62" s="77"/>
      <c r="Q62" s="77"/>
      <c r="R62" s="77"/>
      <c r="S62" s="77"/>
      <c r="T62" s="77"/>
      <c r="U62" s="77"/>
      <c r="V62" s="77"/>
      <c r="W62" s="77"/>
      <c r="X62" s="77"/>
      <c r="Y62" s="77"/>
      <c r="Z62" s="77"/>
      <c r="AA62" s="99"/>
      <c r="AB62" s="99"/>
      <c r="AC62" s="100"/>
    </row>
    <row r="63" spans="1:29">
      <c r="A63" s="59">
        <v>28</v>
      </c>
      <c r="B63" s="60" t="s">
        <v>949</v>
      </c>
      <c r="C63" s="60" t="s">
        <v>899</v>
      </c>
      <c r="D63" s="55"/>
      <c r="E63" s="54"/>
      <c r="F63" s="54"/>
      <c r="G63" s="1688"/>
      <c r="H63" s="61">
        <v>28</v>
      </c>
      <c r="I63" s="60" t="s">
        <v>949</v>
      </c>
      <c r="J63" s="60" t="s">
        <v>899</v>
      </c>
      <c r="K63" s="75"/>
      <c r="L63" s="76"/>
      <c r="M63" s="54"/>
      <c r="N63" s="54"/>
      <c r="O63" s="1688"/>
      <c r="P63" s="78">
        <v>391.7</v>
      </c>
      <c r="Q63" s="78">
        <v>410.47</v>
      </c>
      <c r="R63" s="78">
        <v>802.17</v>
      </c>
      <c r="S63" s="85">
        <v>401</v>
      </c>
      <c r="T63" s="86">
        <v>187</v>
      </c>
      <c r="U63" s="86">
        <v>206</v>
      </c>
      <c r="V63" s="87">
        <v>393</v>
      </c>
      <c r="W63" s="86">
        <v>191</v>
      </c>
      <c r="X63" s="86">
        <v>206</v>
      </c>
      <c r="Y63" s="87">
        <v>397</v>
      </c>
      <c r="Z63" s="77"/>
      <c r="AA63" s="101">
        <v>788666.19799999997</v>
      </c>
      <c r="AB63" s="101">
        <v>2829474.2680000002</v>
      </c>
      <c r="AC63" s="102">
        <v>112.98</v>
      </c>
    </row>
    <row r="64" spans="1:29" ht="28.5">
      <c r="A64" s="53"/>
      <c r="B64" s="54"/>
      <c r="C64" s="54"/>
      <c r="D64" s="55"/>
      <c r="E64" s="54"/>
      <c r="F64" s="56">
        <v>410.47</v>
      </c>
      <c r="G64" s="1688"/>
      <c r="H64" s="58"/>
      <c r="I64" s="58"/>
      <c r="J64" s="58"/>
      <c r="K64" s="75"/>
      <c r="L64" s="76"/>
      <c r="M64" s="54"/>
      <c r="N64" s="56">
        <v>410.47</v>
      </c>
      <c r="O64" s="1688"/>
      <c r="P64" s="77"/>
      <c r="Q64" s="77"/>
      <c r="R64" s="77"/>
      <c r="S64" s="77"/>
      <c r="T64" s="77"/>
      <c r="U64" s="77"/>
      <c r="V64" s="77"/>
      <c r="W64" s="77"/>
      <c r="X64" s="77"/>
      <c r="Y64" s="77"/>
      <c r="Z64" s="98" t="s">
        <v>950</v>
      </c>
      <c r="AA64" s="99"/>
      <c r="AB64" s="99"/>
      <c r="AC64" s="100"/>
    </row>
    <row r="65" spans="1:29">
      <c r="A65" s="59">
        <v>29</v>
      </c>
      <c r="B65" s="60" t="s">
        <v>951</v>
      </c>
      <c r="C65" s="60" t="s">
        <v>913</v>
      </c>
      <c r="D65" s="55"/>
      <c r="E65" s="54"/>
      <c r="F65" s="54"/>
      <c r="G65" s="1688"/>
      <c r="H65" s="61">
        <v>29</v>
      </c>
      <c r="I65" s="60" t="s">
        <v>951</v>
      </c>
      <c r="J65" s="60" t="s">
        <v>913</v>
      </c>
      <c r="K65" s="75"/>
      <c r="L65" s="76"/>
      <c r="M65" s="54"/>
      <c r="N65" s="54"/>
      <c r="O65" s="1688"/>
      <c r="P65" s="78">
        <v>410.47</v>
      </c>
      <c r="Q65" s="78">
        <v>385.54</v>
      </c>
      <c r="R65" s="78">
        <v>796.01</v>
      </c>
      <c r="S65" s="85">
        <v>398</v>
      </c>
      <c r="T65" s="86">
        <v>205</v>
      </c>
      <c r="U65" s="86">
        <v>235</v>
      </c>
      <c r="V65" s="87">
        <v>440</v>
      </c>
      <c r="W65" s="86">
        <v>206</v>
      </c>
      <c r="X65" s="86">
        <v>220</v>
      </c>
      <c r="Y65" s="87">
        <v>426</v>
      </c>
      <c r="Z65" s="77"/>
      <c r="AA65" s="101">
        <v>788841.348</v>
      </c>
      <c r="AB65" s="101">
        <v>2829103.0469999998</v>
      </c>
      <c r="AC65" s="102">
        <v>106.94199999999999</v>
      </c>
    </row>
    <row r="66" spans="1:29" ht="19">
      <c r="A66" s="53"/>
      <c r="B66" s="54"/>
      <c r="C66" s="54"/>
      <c r="D66" s="55"/>
      <c r="E66" s="54"/>
      <c r="F66" s="56">
        <v>385.54</v>
      </c>
      <c r="G66" s="1688"/>
      <c r="H66" s="58"/>
      <c r="I66" s="58"/>
      <c r="J66" s="58"/>
      <c r="K66" s="75"/>
      <c r="L66" s="76"/>
      <c r="M66" s="54"/>
      <c r="N66" s="56">
        <v>385.54</v>
      </c>
      <c r="O66" s="1688"/>
      <c r="P66" s="77"/>
      <c r="Q66" s="77"/>
      <c r="R66" s="77"/>
      <c r="S66" s="77"/>
      <c r="T66" s="77"/>
      <c r="U66" s="77"/>
      <c r="V66" s="77"/>
      <c r="W66" s="77"/>
      <c r="X66" s="77"/>
      <c r="Y66" s="77"/>
      <c r="Z66" s="98" t="s">
        <v>952</v>
      </c>
      <c r="AA66" s="99"/>
      <c r="AB66" s="99"/>
      <c r="AC66" s="100"/>
    </row>
    <row r="67" spans="1:29" ht="19">
      <c r="A67" s="62">
        <v>30</v>
      </c>
      <c r="B67" s="63" t="s">
        <v>953</v>
      </c>
      <c r="C67" s="63" t="s">
        <v>936</v>
      </c>
      <c r="D67" s="64"/>
      <c r="E67" s="63" t="s">
        <v>954</v>
      </c>
      <c r="F67" s="65"/>
      <c r="G67" s="66"/>
      <c r="H67" s="67">
        <v>30</v>
      </c>
      <c r="I67" s="63" t="s">
        <v>953</v>
      </c>
      <c r="J67" s="63" t="s">
        <v>936</v>
      </c>
      <c r="K67" s="79"/>
      <c r="L67" s="66"/>
      <c r="M67" s="63" t="s">
        <v>954</v>
      </c>
      <c r="N67" s="65"/>
      <c r="O67" s="66"/>
      <c r="P67" s="80">
        <v>385.54</v>
      </c>
      <c r="Q67" s="80">
        <v>418.31</v>
      </c>
      <c r="R67" s="80">
        <v>803.85</v>
      </c>
      <c r="S67" s="88">
        <v>402</v>
      </c>
      <c r="T67" s="89">
        <v>151</v>
      </c>
      <c r="U67" s="89">
        <v>214</v>
      </c>
      <c r="V67" s="90">
        <v>365</v>
      </c>
      <c r="W67" s="89">
        <v>167</v>
      </c>
      <c r="X67" s="89">
        <v>213</v>
      </c>
      <c r="Y67" s="90">
        <v>380</v>
      </c>
      <c r="Z67" s="103"/>
      <c r="AA67" s="104">
        <v>789005.86199999996</v>
      </c>
      <c r="AB67" s="104">
        <v>2828754.3679999998</v>
      </c>
      <c r="AC67" s="105">
        <v>101.9</v>
      </c>
    </row>
    <row r="68" spans="1:29">
      <c r="A68" s="53"/>
      <c r="B68" s="54"/>
      <c r="C68" s="54"/>
      <c r="D68" s="55"/>
      <c r="E68" s="54"/>
      <c r="F68" s="56">
        <v>418.31</v>
      </c>
      <c r="G68" s="1688">
        <v>1242</v>
      </c>
      <c r="H68" s="58"/>
      <c r="I68" s="58"/>
      <c r="J68" s="58"/>
      <c r="K68" s="75"/>
      <c r="L68" s="76"/>
      <c r="M68" s="54"/>
      <c r="N68" s="56">
        <v>418.31</v>
      </c>
      <c r="O68" s="1688">
        <v>1242</v>
      </c>
      <c r="P68" s="77"/>
      <c r="Q68" s="77"/>
      <c r="R68" s="77"/>
      <c r="S68" s="77"/>
      <c r="T68" s="77"/>
      <c r="U68" s="77"/>
      <c r="V68" s="77"/>
      <c r="W68" s="77"/>
      <c r="X68" s="77"/>
      <c r="Y68" s="77"/>
      <c r="Z68" s="98" t="s">
        <v>904</v>
      </c>
      <c r="AA68" s="99"/>
      <c r="AB68" s="99"/>
      <c r="AC68" s="100"/>
    </row>
    <row r="69" spans="1:29">
      <c r="A69" s="59">
        <v>31</v>
      </c>
      <c r="B69" s="60" t="s">
        <v>955</v>
      </c>
      <c r="C69" s="60" t="s">
        <v>899</v>
      </c>
      <c r="D69" s="68">
        <v>1</v>
      </c>
      <c r="E69" s="54"/>
      <c r="F69" s="54"/>
      <c r="G69" s="1688"/>
      <c r="H69" s="61">
        <v>31</v>
      </c>
      <c r="I69" s="60" t="s">
        <v>955</v>
      </c>
      <c r="J69" s="60" t="s">
        <v>899</v>
      </c>
      <c r="K69" s="68">
        <v>1</v>
      </c>
      <c r="L69" s="76"/>
      <c r="M69" s="54"/>
      <c r="N69" s="54"/>
      <c r="O69" s="1688"/>
      <c r="P69" s="78">
        <v>418.31</v>
      </c>
      <c r="Q69" s="78">
        <v>421.47</v>
      </c>
      <c r="R69" s="78">
        <v>839.79</v>
      </c>
      <c r="S69" s="85">
        <v>420</v>
      </c>
      <c r="T69" s="86">
        <v>205</v>
      </c>
      <c r="U69" s="86">
        <v>230</v>
      </c>
      <c r="V69" s="87">
        <v>435</v>
      </c>
      <c r="W69" s="86">
        <v>207</v>
      </c>
      <c r="X69" s="86">
        <v>224</v>
      </c>
      <c r="Y69" s="87">
        <v>431</v>
      </c>
      <c r="Z69" s="77"/>
      <c r="AA69" s="101">
        <v>789259.12600000005</v>
      </c>
      <c r="AB69" s="101">
        <v>2828421.4369999999</v>
      </c>
      <c r="AC69" s="102">
        <v>103.093</v>
      </c>
    </row>
    <row r="70" spans="1:29">
      <c r="A70" s="53"/>
      <c r="B70" s="54"/>
      <c r="C70" s="54"/>
      <c r="D70" s="55"/>
      <c r="E70" s="54"/>
      <c r="F70" s="56">
        <v>421.47</v>
      </c>
      <c r="G70" s="1688"/>
      <c r="H70" s="58"/>
      <c r="I70" s="58"/>
      <c r="J70" s="58"/>
      <c r="K70" s="75"/>
      <c r="L70" s="76"/>
      <c r="M70" s="54"/>
      <c r="N70" s="56">
        <v>421.47</v>
      </c>
      <c r="O70" s="1688"/>
      <c r="P70" s="77"/>
      <c r="Q70" s="77"/>
      <c r="R70" s="77"/>
      <c r="S70" s="77"/>
      <c r="T70" s="77"/>
      <c r="U70" s="77"/>
      <c r="V70" s="77"/>
      <c r="W70" s="77"/>
      <c r="X70" s="77"/>
      <c r="Y70" s="77"/>
      <c r="Z70" s="98" t="s">
        <v>906</v>
      </c>
      <c r="AA70" s="99"/>
      <c r="AB70" s="99"/>
      <c r="AC70" s="100"/>
    </row>
    <row r="71" spans="1:29">
      <c r="A71" s="59">
        <v>32</v>
      </c>
      <c r="B71" s="60" t="s">
        <v>956</v>
      </c>
      <c r="C71" s="60" t="s">
        <v>903</v>
      </c>
      <c r="D71" s="55"/>
      <c r="E71" s="54"/>
      <c r="F71" s="54"/>
      <c r="G71" s="1688"/>
      <c r="H71" s="61">
        <v>32</v>
      </c>
      <c r="I71" s="60" t="s">
        <v>956</v>
      </c>
      <c r="J71" s="60" t="s">
        <v>903</v>
      </c>
      <c r="K71" s="75"/>
      <c r="L71" s="76"/>
      <c r="M71" s="54"/>
      <c r="N71" s="54"/>
      <c r="O71" s="1688"/>
      <c r="P71" s="78">
        <v>421.47</v>
      </c>
      <c r="Q71" s="78">
        <v>401.98</v>
      </c>
      <c r="R71" s="78">
        <v>823.45</v>
      </c>
      <c r="S71" s="85">
        <v>412</v>
      </c>
      <c r="T71" s="86">
        <v>192</v>
      </c>
      <c r="U71" s="86">
        <v>233</v>
      </c>
      <c r="V71" s="87">
        <v>425</v>
      </c>
      <c r="W71" s="86">
        <v>199</v>
      </c>
      <c r="X71" s="86">
        <v>222</v>
      </c>
      <c r="Y71" s="87">
        <v>421</v>
      </c>
      <c r="Z71" s="77"/>
      <c r="AA71" s="101">
        <v>789514.304</v>
      </c>
      <c r="AB71" s="101">
        <v>2828085.9909999999</v>
      </c>
      <c r="AC71" s="102">
        <v>97.132000000000005</v>
      </c>
    </row>
    <row r="72" spans="1:29">
      <c r="A72" s="53"/>
      <c r="B72" s="54"/>
      <c r="C72" s="54"/>
      <c r="D72" s="55"/>
      <c r="E72" s="54"/>
      <c r="F72" s="56">
        <v>401.98</v>
      </c>
      <c r="G72" s="1688"/>
      <c r="H72" s="58"/>
      <c r="I72" s="58"/>
      <c r="J72" s="58"/>
      <c r="K72" s="75"/>
      <c r="L72" s="76"/>
      <c r="M72" s="54"/>
      <c r="N72" s="56">
        <v>401.98</v>
      </c>
      <c r="O72" s="1688"/>
      <c r="P72" s="77"/>
      <c r="Q72" s="77"/>
      <c r="R72" s="77"/>
      <c r="S72" s="77"/>
      <c r="T72" s="77"/>
      <c r="U72" s="77"/>
      <c r="V72" s="77"/>
      <c r="W72" s="77"/>
      <c r="X72" s="77"/>
      <c r="Y72" s="77"/>
      <c r="Z72" s="98" t="s">
        <v>906</v>
      </c>
      <c r="AA72" s="99"/>
      <c r="AB72" s="99"/>
      <c r="AC72" s="100"/>
    </row>
    <row r="73" spans="1:29" ht="19">
      <c r="A73" s="62">
        <v>33</v>
      </c>
      <c r="B73" s="63" t="s">
        <v>957</v>
      </c>
      <c r="C73" s="63" t="s">
        <v>894</v>
      </c>
      <c r="D73" s="64"/>
      <c r="E73" s="63" t="s">
        <v>958</v>
      </c>
      <c r="F73" s="65"/>
      <c r="G73" s="66"/>
      <c r="H73" s="67">
        <v>33</v>
      </c>
      <c r="I73" s="63" t="s">
        <v>957</v>
      </c>
      <c r="J73" s="63" t="s">
        <v>894</v>
      </c>
      <c r="K73" s="79"/>
      <c r="L73" s="66"/>
      <c r="M73" s="63" t="s">
        <v>958</v>
      </c>
      <c r="N73" s="65"/>
      <c r="O73" s="66"/>
      <c r="P73" s="80">
        <v>401.98</v>
      </c>
      <c r="Q73" s="80">
        <v>429.38</v>
      </c>
      <c r="R73" s="80">
        <v>831.36</v>
      </c>
      <c r="S73" s="88">
        <v>416</v>
      </c>
      <c r="T73" s="89">
        <v>170</v>
      </c>
      <c r="U73" s="89">
        <v>198</v>
      </c>
      <c r="V73" s="90">
        <v>368</v>
      </c>
      <c r="W73" s="89">
        <v>182</v>
      </c>
      <c r="X73" s="89">
        <v>205</v>
      </c>
      <c r="Y73" s="90">
        <v>387</v>
      </c>
      <c r="Z73" s="103"/>
      <c r="AA73" s="104">
        <v>789757.679</v>
      </c>
      <c r="AB73" s="104">
        <v>2827766.0610000002</v>
      </c>
      <c r="AC73" s="105">
        <v>93.67</v>
      </c>
    </row>
    <row r="74" spans="1:29" ht="19">
      <c r="A74" s="53"/>
      <c r="B74" s="54"/>
      <c r="C74" s="54"/>
      <c r="D74" s="55"/>
      <c r="E74" s="54"/>
      <c r="F74" s="56">
        <v>429.38</v>
      </c>
      <c r="G74" s="1688">
        <v>833</v>
      </c>
      <c r="H74" s="58"/>
      <c r="I74" s="58"/>
      <c r="J74" s="58"/>
      <c r="K74" s="75"/>
      <c r="L74" s="76"/>
      <c r="M74" s="54"/>
      <c r="N74" s="56">
        <v>429.38</v>
      </c>
      <c r="O74" s="1688">
        <v>833</v>
      </c>
      <c r="P74" s="77"/>
      <c r="Q74" s="77"/>
      <c r="R74" s="77"/>
      <c r="S74" s="77"/>
      <c r="T74" s="77"/>
      <c r="U74" s="77"/>
      <c r="V74" s="77"/>
      <c r="W74" s="77"/>
      <c r="X74" s="77"/>
      <c r="Y74" s="77"/>
      <c r="Z74" s="98" t="s">
        <v>959</v>
      </c>
      <c r="AA74" s="99"/>
      <c r="AB74" s="99"/>
      <c r="AC74" s="100"/>
    </row>
    <row r="75" spans="1:29">
      <c r="A75" s="59">
        <v>34</v>
      </c>
      <c r="B75" s="60" t="s">
        <v>960</v>
      </c>
      <c r="C75" s="60" t="s">
        <v>903</v>
      </c>
      <c r="D75" s="55"/>
      <c r="E75" s="54"/>
      <c r="F75" s="54"/>
      <c r="G75" s="1688"/>
      <c r="H75" s="61">
        <v>34</v>
      </c>
      <c r="I75" s="60" t="s">
        <v>960</v>
      </c>
      <c r="J75" s="60" t="s">
        <v>903</v>
      </c>
      <c r="K75" s="75"/>
      <c r="L75" s="76"/>
      <c r="M75" s="54"/>
      <c r="N75" s="54"/>
      <c r="O75" s="1688"/>
      <c r="P75" s="78">
        <v>429.38</v>
      </c>
      <c r="Q75" s="78">
        <v>403.83</v>
      </c>
      <c r="R75" s="78">
        <v>833.21</v>
      </c>
      <c r="S75" s="85">
        <v>417</v>
      </c>
      <c r="T75" s="86">
        <v>233</v>
      </c>
      <c r="U75" s="86">
        <v>191</v>
      </c>
      <c r="V75" s="87">
        <v>424</v>
      </c>
      <c r="W75" s="86">
        <v>227</v>
      </c>
      <c r="X75" s="86">
        <v>196</v>
      </c>
      <c r="Y75" s="87">
        <v>423</v>
      </c>
      <c r="Z75" s="77"/>
      <c r="AA75" s="101">
        <v>789924.81299999997</v>
      </c>
      <c r="AB75" s="101">
        <v>2827370.5449999999</v>
      </c>
      <c r="AC75" s="102">
        <v>94.494</v>
      </c>
    </row>
    <row r="76" spans="1:29">
      <c r="A76" s="53"/>
      <c r="B76" s="54"/>
      <c r="C76" s="54"/>
      <c r="D76" s="55"/>
      <c r="E76" s="54"/>
      <c r="F76" s="56">
        <v>403.83</v>
      </c>
      <c r="G76" s="1688"/>
      <c r="H76" s="58"/>
      <c r="I76" s="58"/>
      <c r="J76" s="58"/>
      <c r="K76" s="75"/>
      <c r="L76" s="76"/>
      <c r="M76" s="54"/>
      <c r="N76" s="56">
        <v>403.83</v>
      </c>
      <c r="O76" s="1688"/>
      <c r="P76" s="77"/>
      <c r="Q76" s="77"/>
      <c r="R76" s="77"/>
      <c r="S76" s="77"/>
      <c r="T76" s="77"/>
      <c r="U76" s="77"/>
      <c r="V76" s="77"/>
      <c r="W76" s="77"/>
      <c r="X76" s="77"/>
      <c r="Y76" s="77"/>
      <c r="Z76" s="98" t="s">
        <v>938</v>
      </c>
      <c r="AA76" s="99"/>
      <c r="AB76" s="99"/>
      <c r="AC76" s="100"/>
    </row>
    <row r="77" spans="1:29" ht="19">
      <c r="A77" s="62">
        <v>35</v>
      </c>
      <c r="B77" s="63" t="s">
        <v>961</v>
      </c>
      <c r="C77" s="63" t="s">
        <v>962</v>
      </c>
      <c r="D77" s="64"/>
      <c r="E77" s="63" t="s">
        <v>963</v>
      </c>
      <c r="F77" s="65"/>
      <c r="G77" s="66"/>
      <c r="H77" s="67">
        <v>35</v>
      </c>
      <c r="I77" s="63" t="s">
        <v>961</v>
      </c>
      <c r="J77" s="63" t="s">
        <v>962</v>
      </c>
      <c r="K77" s="79"/>
      <c r="L77" s="66"/>
      <c r="M77" s="63" t="s">
        <v>963</v>
      </c>
      <c r="N77" s="65"/>
      <c r="O77" s="66"/>
      <c r="P77" s="80">
        <v>403.83</v>
      </c>
      <c r="Q77" s="80">
        <v>384.63</v>
      </c>
      <c r="R77" s="80">
        <v>788.46</v>
      </c>
      <c r="S77" s="88">
        <v>394</v>
      </c>
      <c r="T77" s="89">
        <v>214</v>
      </c>
      <c r="U77" s="89">
        <v>272</v>
      </c>
      <c r="V77" s="90">
        <v>486</v>
      </c>
      <c r="W77" s="89">
        <v>210</v>
      </c>
      <c r="X77" s="89">
        <v>241</v>
      </c>
      <c r="Y77" s="90">
        <v>451</v>
      </c>
      <c r="Z77" s="103"/>
      <c r="AA77" s="104">
        <v>790082.00300000003</v>
      </c>
      <c r="AB77" s="104">
        <v>2826998.5619999999</v>
      </c>
      <c r="AC77" s="105">
        <v>93.69</v>
      </c>
    </row>
    <row r="78" spans="1:29">
      <c r="A78" s="53"/>
      <c r="B78" s="54"/>
      <c r="C78" s="54"/>
      <c r="D78" s="55"/>
      <c r="E78" s="54"/>
      <c r="F78" s="56">
        <v>384.63</v>
      </c>
      <c r="G78" s="106">
        <v>385</v>
      </c>
      <c r="H78" s="58"/>
      <c r="I78" s="58"/>
      <c r="J78" s="58"/>
      <c r="K78" s="75"/>
      <c r="L78" s="76"/>
      <c r="M78" s="54"/>
      <c r="N78" s="56">
        <v>384.63</v>
      </c>
      <c r="O78" s="106">
        <v>385</v>
      </c>
      <c r="P78" s="77"/>
      <c r="Q78" s="77"/>
      <c r="R78" s="77"/>
      <c r="S78" s="77"/>
      <c r="T78" s="77"/>
      <c r="U78" s="77"/>
      <c r="V78" s="77"/>
      <c r="W78" s="77"/>
      <c r="X78" s="77"/>
      <c r="Y78" s="77"/>
      <c r="Z78" s="98" t="s">
        <v>904</v>
      </c>
      <c r="AA78" s="99"/>
      <c r="AB78" s="99"/>
      <c r="AC78" s="100"/>
    </row>
    <row r="79" spans="1:29" ht="19">
      <c r="A79" s="62">
        <v>36</v>
      </c>
      <c r="B79" s="63" t="s">
        <v>964</v>
      </c>
      <c r="C79" s="63" t="s">
        <v>894</v>
      </c>
      <c r="D79" s="64"/>
      <c r="E79" s="63" t="s">
        <v>965</v>
      </c>
      <c r="F79" s="65"/>
      <c r="G79" s="107"/>
      <c r="H79" s="67">
        <v>36</v>
      </c>
      <c r="I79" s="63" t="s">
        <v>964</v>
      </c>
      <c r="J79" s="63" t="s">
        <v>894</v>
      </c>
      <c r="K79" s="79"/>
      <c r="L79" s="66"/>
      <c r="M79" s="63" t="s">
        <v>965</v>
      </c>
      <c r="N79" s="65"/>
      <c r="O79" s="107"/>
      <c r="P79" s="80">
        <v>384.63</v>
      </c>
      <c r="Q79" s="80">
        <v>380.68</v>
      </c>
      <c r="R79" s="80">
        <v>765.31</v>
      </c>
      <c r="S79" s="88">
        <v>383</v>
      </c>
      <c r="T79" s="89">
        <v>114</v>
      </c>
      <c r="U79" s="89">
        <v>189</v>
      </c>
      <c r="V79" s="90">
        <v>303</v>
      </c>
      <c r="W79" s="89">
        <v>145</v>
      </c>
      <c r="X79" s="89">
        <v>190</v>
      </c>
      <c r="Y79" s="90">
        <v>335</v>
      </c>
      <c r="Z79" s="103"/>
      <c r="AA79" s="104">
        <v>790331.23400000005</v>
      </c>
      <c r="AB79" s="104">
        <v>2826705.605</v>
      </c>
      <c r="AC79" s="105">
        <v>85.28</v>
      </c>
    </row>
    <row r="80" spans="1:29">
      <c r="A80" s="53"/>
      <c r="B80" s="54"/>
      <c r="C80" s="54"/>
      <c r="D80" s="55"/>
      <c r="E80" s="54"/>
      <c r="F80" s="56">
        <v>380.68</v>
      </c>
      <c r="G80" s="1688">
        <v>735</v>
      </c>
      <c r="H80" s="58"/>
      <c r="I80" s="58"/>
      <c r="J80" s="58"/>
      <c r="K80" s="75"/>
      <c r="L80" s="76"/>
      <c r="M80" s="54"/>
      <c r="N80" s="56">
        <v>380.68</v>
      </c>
      <c r="O80" s="1688">
        <v>735</v>
      </c>
      <c r="P80" s="77"/>
      <c r="Q80" s="77"/>
      <c r="R80" s="77"/>
      <c r="S80" s="77"/>
      <c r="T80" s="77"/>
      <c r="U80" s="77"/>
      <c r="V80" s="77"/>
      <c r="W80" s="77"/>
      <c r="X80" s="77"/>
      <c r="Y80" s="77"/>
      <c r="Z80" s="98" t="s">
        <v>906</v>
      </c>
      <c r="AA80" s="99"/>
      <c r="AB80" s="99"/>
      <c r="AC80" s="100"/>
    </row>
    <row r="81" spans="1:29">
      <c r="A81" s="59">
        <v>37</v>
      </c>
      <c r="B81" s="60" t="s">
        <v>966</v>
      </c>
      <c r="C81" s="60" t="s">
        <v>899</v>
      </c>
      <c r="D81" s="55"/>
      <c r="E81" s="54"/>
      <c r="F81" s="54"/>
      <c r="G81" s="1688"/>
      <c r="H81" s="61">
        <v>37</v>
      </c>
      <c r="I81" s="60" t="s">
        <v>966</v>
      </c>
      <c r="J81" s="60" t="s">
        <v>899</v>
      </c>
      <c r="K81" s="75"/>
      <c r="L81" s="76"/>
      <c r="M81" s="54"/>
      <c r="N81" s="54"/>
      <c r="O81" s="1688"/>
      <c r="P81" s="78">
        <v>380.68</v>
      </c>
      <c r="Q81" s="78">
        <v>354.53</v>
      </c>
      <c r="R81" s="78">
        <v>735.21</v>
      </c>
      <c r="S81" s="85">
        <v>368</v>
      </c>
      <c r="T81" s="86">
        <v>193</v>
      </c>
      <c r="U81" s="86">
        <v>176</v>
      </c>
      <c r="V81" s="87">
        <v>369</v>
      </c>
      <c r="W81" s="86">
        <v>193</v>
      </c>
      <c r="X81" s="86">
        <v>177</v>
      </c>
      <c r="Y81" s="87">
        <v>370</v>
      </c>
      <c r="Z81" s="77"/>
      <c r="AA81" s="101">
        <v>790421.21600000001</v>
      </c>
      <c r="AB81" s="101">
        <v>2826335.71</v>
      </c>
      <c r="AC81" s="102">
        <v>85.763999999999996</v>
      </c>
    </row>
    <row r="82" spans="1:29">
      <c r="A82" s="53"/>
      <c r="B82" s="54"/>
      <c r="C82" s="54"/>
      <c r="D82" s="55"/>
      <c r="E82" s="54"/>
      <c r="F82" s="56">
        <v>354.53</v>
      </c>
      <c r="G82" s="1688"/>
      <c r="H82" s="58"/>
      <c r="I82" s="58"/>
      <c r="J82" s="58"/>
      <c r="K82" s="75"/>
      <c r="L82" s="76"/>
      <c r="M82" s="54"/>
      <c r="N82" s="56">
        <v>354.53</v>
      </c>
      <c r="O82" s="1688"/>
      <c r="P82" s="77"/>
      <c r="Q82" s="77"/>
      <c r="R82" s="77"/>
      <c r="S82" s="77"/>
      <c r="T82" s="77"/>
      <c r="U82" s="77"/>
      <c r="V82" s="77"/>
      <c r="W82" s="77"/>
      <c r="X82" s="77"/>
      <c r="Y82" s="77"/>
      <c r="Z82" s="98" t="s">
        <v>904</v>
      </c>
      <c r="AA82" s="99"/>
      <c r="AB82" s="99"/>
      <c r="AC82" s="100"/>
    </row>
    <row r="83" spans="1:29" ht="19">
      <c r="A83" s="62">
        <v>38</v>
      </c>
      <c r="B83" s="63" t="s">
        <v>967</v>
      </c>
      <c r="C83" s="63" t="s">
        <v>929</v>
      </c>
      <c r="D83" s="64"/>
      <c r="E83" s="63" t="s">
        <v>968</v>
      </c>
      <c r="F83" s="65"/>
      <c r="G83" s="66"/>
      <c r="H83" s="67">
        <v>38</v>
      </c>
      <c r="I83" s="63" t="s">
        <v>967</v>
      </c>
      <c r="J83" s="63" t="s">
        <v>929</v>
      </c>
      <c r="K83" s="79"/>
      <c r="L83" s="66"/>
      <c r="M83" s="63" t="s">
        <v>968</v>
      </c>
      <c r="N83" s="65"/>
      <c r="O83" s="66"/>
      <c r="P83" s="80">
        <v>354.53</v>
      </c>
      <c r="Q83" s="80">
        <v>405.57</v>
      </c>
      <c r="R83" s="80">
        <v>760.1</v>
      </c>
      <c r="S83" s="88">
        <v>380</v>
      </c>
      <c r="T83" s="89">
        <v>180</v>
      </c>
      <c r="U83" s="89">
        <v>165</v>
      </c>
      <c r="V83" s="90">
        <v>345</v>
      </c>
      <c r="W83" s="89">
        <v>180</v>
      </c>
      <c r="X83" s="89">
        <v>180</v>
      </c>
      <c r="Y83" s="90">
        <v>360</v>
      </c>
      <c r="Z83" s="103"/>
      <c r="AA83" s="104">
        <v>790505.01500000001</v>
      </c>
      <c r="AB83" s="104">
        <v>2825991.23</v>
      </c>
      <c r="AC83" s="105">
        <v>86.03</v>
      </c>
    </row>
    <row r="84" spans="1:29">
      <c r="A84" s="53"/>
      <c r="B84" s="54"/>
      <c r="C84" s="54"/>
      <c r="D84" s="55"/>
      <c r="E84" s="54"/>
      <c r="F84" s="56">
        <v>405.57</v>
      </c>
      <c r="G84" s="1688">
        <v>1203</v>
      </c>
      <c r="H84" s="58"/>
      <c r="I84" s="58"/>
      <c r="J84" s="58"/>
      <c r="K84" s="75"/>
      <c r="L84" s="76"/>
      <c r="M84" s="54"/>
      <c r="N84" s="56">
        <v>405.57</v>
      </c>
      <c r="O84" s="1688">
        <v>1203</v>
      </c>
      <c r="P84" s="77"/>
      <c r="Q84" s="77"/>
      <c r="R84" s="77"/>
      <c r="S84" s="77"/>
      <c r="T84" s="77"/>
      <c r="U84" s="77"/>
      <c r="V84" s="77"/>
      <c r="W84" s="77"/>
      <c r="X84" s="77"/>
      <c r="Y84" s="77"/>
      <c r="Z84" s="77"/>
      <c r="AA84" s="99"/>
      <c r="AB84" s="99"/>
      <c r="AC84" s="100"/>
    </row>
    <row r="85" spans="1:29">
      <c r="A85" s="59">
        <v>39</v>
      </c>
      <c r="B85" s="60" t="s">
        <v>969</v>
      </c>
      <c r="C85" s="60" t="s">
        <v>913</v>
      </c>
      <c r="D85" s="55"/>
      <c r="E85" s="54"/>
      <c r="F85" s="54"/>
      <c r="G85" s="1688"/>
      <c r="H85" s="61">
        <v>39</v>
      </c>
      <c r="I85" s="60" t="s">
        <v>969</v>
      </c>
      <c r="J85" s="60" t="s">
        <v>913</v>
      </c>
      <c r="K85" s="75"/>
      <c r="L85" s="76"/>
      <c r="M85" s="54"/>
      <c r="N85" s="54"/>
      <c r="O85" s="1688"/>
      <c r="P85" s="78">
        <v>405.57</v>
      </c>
      <c r="Q85" s="78">
        <v>416.87</v>
      </c>
      <c r="R85" s="78">
        <v>822.45</v>
      </c>
      <c r="S85" s="85">
        <v>411</v>
      </c>
      <c r="T85" s="86">
        <v>241</v>
      </c>
      <c r="U85" s="86">
        <v>246</v>
      </c>
      <c r="V85" s="87">
        <v>487</v>
      </c>
      <c r="W85" s="86">
        <v>227</v>
      </c>
      <c r="X85" s="86">
        <v>233</v>
      </c>
      <c r="Y85" s="87">
        <v>460</v>
      </c>
      <c r="Z85" s="77"/>
      <c r="AA85" s="101">
        <v>790832.65800000005</v>
      </c>
      <c r="AB85" s="101">
        <v>2825752.1889999998</v>
      </c>
      <c r="AC85" s="102">
        <v>87.613</v>
      </c>
    </row>
    <row r="86" spans="1:29" ht="28.5">
      <c r="A86" s="53"/>
      <c r="B86" s="54"/>
      <c r="C86" s="54"/>
      <c r="D86" s="55"/>
      <c r="E86" s="54"/>
      <c r="F86" s="56">
        <v>416.87</v>
      </c>
      <c r="G86" s="1688"/>
      <c r="H86" s="58"/>
      <c r="I86" s="58"/>
      <c r="J86" s="58"/>
      <c r="K86" s="75"/>
      <c r="L86" s="76"/>
      <c r="M86" s="54"/>
      <c r="N86" s="56">
        <v>416.87</v>
      </c>
      <c r="O86" s="1688"/>
      <c r="P86" s="77"/>
      <c r="Q86" s="77"/>
      <c r="R86" s="77"/>
      <c r="S86" s="77"/>
      <c r="T86" s="77"/>
      <c r="U86" s="77"/>
      <c r="V86" s="77"/>
      <c r="W86" s="77"/>
      <c r="X86" s="77"/>
      <c r="Y86" s="77"/>
      <c r="Z86" s="98" t="s">
        <v>970</v>
      </c>
      <c r="AA86" s="99"/>
      <c r="AB86" s="99"/>
      <c r="AC86" s="100"/>
    </row>
    <row r="87" spans="1:29">
      <c r="A87" s="59">
        <v>40</v>
      </c>
      <c r="B87" s="60" t="s">
        <v>971</v>
      </c>
      <c r="C87" s="60" t="s">
        <v>899</v>
      </c>
      <c r="D87" s="55"/>
      <c r="E87" s="54"/>
      <c r="F87" s="54"/>
      <c r="G87" s="1688"/>
      <c r="H87" s="61">
        <v>40</v>
      </c>
      <c r="I87" s="60" t="s">
        <v>971</v>
      </c>
      <c r="J87" s="60" t="s">
        <v>899</v>
      </c>
      <c r="K87" s="75"/>
      <c r="L87" s="76"/>
      <c r="M87" s="54"/>
      <c r="N87" s="54"/>
      <c r="O87" s="1688"/>
      <c r="P87" s="78">
        <v>416.87</v>
      </c>
      <c r="Q87" s="78">
        <v>380.77</v>
      </c>
      <c r="R87" s="78">
        <v>797.64</v>
      </c>
      <c r="S87" s="85">
        <v>399</v>
      </c>
      <c r="T87" s="86">
        <v>172</v>
      </c>
      <c r="U87" s="86">
        <v>191</v>
      </c>
      <c r="V87" s="87">
        <v>363</v>
      </c>
      <c r="W87" s="86">
        <v>186</v>
      </c>
      <c r="X87" s="86">
        <v>191</v>
      </c>
      <c r="Y87" s="87">
        <v>377</v>
      </c>
      <c r="Z87" s="77"/>
      <c r="AA87" s="101">
        <v>791169.429</v>
      </c>
      <c r="AB87" s="101">
        <v>2825506.4879999999</v>
      </c>
      <c r="AC87" s="102">
        <v>86.123000000000005</v>
      </c>
    </row>
    <row r="88" spans="1:29">
      <c r="A88" s="53"/>
      <c r="B88" s="54"/>
      <c r="C88" s="54"/>
      <c r="D88" s="55"/>
      <c r="E88" s="54"/>
      <c r="F88" s="56">
        <v>380.77</v>
      </c>
      <c r="G88" s="1688"/>
      <c r="H88" s="58"/>
      <c r="I88" s="58"/>
      <c r="J88" s="58"/>
      <c r="K88" s="75"/>
      <c r="L88" s="76"/>
      <c r="M88" s="54"/>
      <c r="N88" s="56">
        <v>380.77</v>
      </c>
      <c r="O88" s="1688"/>
      <c r="P88" s="77"/>
      <c r="Q88" s="77"/>
      <c r="R88" s="77"/>
      <c r="S88" s="77"/>
      <c r="T88" s="77"/>
      <c r="U88" s="77"/>
      <c r="V88" s="77"/>
      <c r="W88" s="77"/>
      <c r="X88" s="77"/>
      <c r="Y88" s="77"/>
      <c r="Z88" s="98" t="s">
        <v>904</v>
      </c>
      <c r="AA88" s="99"/>
      <c r="AB88" s="99"/>
      <c r="AC88" s="100"/>
    </row>
    <row r="89" spans="1:29" ht="19">
      <c r="A89" s="62">
        <v>41</v>
      </c>
      <c r="B89" s="63" t="s">
        <v>972</v>
      </c>
      <c r="C89" s="63" t="s">
        <v>894</v>
      </c>
      <c r="D89" s="64"/>
      <c r="E89" s="63" t="s">
        <v>973</v>
      </c>
      <c r="F89" s="65"/>
      <c r="G89" s="66"/>
      <c r="H89" s="67">
        <v>41</v>
      </c>
      <c r="I89" s="63" t="s">
        <v>972</v>
      </c>
      <c r="J89" s="63" t="s">
        <v>894</v>
      </c>
      <c r="K89" s="79"/>
      <c r="L89" s="66"/>
      <c r="M89" s="63" t="s">
        <v>973</v>
      </c>
      <c r="N89" s="65"/>
      <c r="O89" s="66"/>
      <c r="P89" s="80">
        <v>380.77</v>
      </c>
      <c r="Q89" s="80">
        <v>411.81</v>
      </c>
      <c r="R89" s="80">
        <v>792.58</v>
      </c>
      <c r="S89" s="88">
        <v>396</v>
      </c>
      <c r="T89" s="89">
        <v>191</v>
      </c>
      <c r="U89" s="89">
        <v>203</v>
      </c>
      <c r="V89" s="90">
        <v>394</v>
      </c>
      <c r="W89" s="89">
        <v>191</v>
      </c>
      <c r="X89" s="89">
        <v>205</v>
      </c>
      <c r="Y89" s="90">
        <v>396</v>
      </c>
      <c r="Z89" s="103"/>
      <c r="AA89" s="104">
        <v>791477.03099999996</v>
      </c>
      <c r="AB89" s="104">
        <v>2825282.0690000001</v>
      </c>
      <c r="AC89" s="105">
        <v>85.95</v>
      </c>
    </row>
    <row r="90" spans="1:29" ht="28.5">
      <c r="A90" s="53"/>
      <c r="B90" s="54"/>
      <c r="C90" s="54"/>
      <c r="D90" s="55"/>
      <c r="E90" s="54"/>
      <c r="F90" s="56">
        <v>411.81</v>
      </c>
      <c r="G90" s="1688">
        <v>1101</v>
      </c>
      <c r="H90" s="58"/>
      <c r="I90" s="58"/>
      <c r="J90" s="58"/>
      <c r="K90" s="75"/>
      <c r="L90" s="76"/>
      <c r="M90" s="54"/>
      <c r="N90" s="56">
        <v>411.81</v>
      </c>
      <c r="O90" s="1688">
        <v>1101</v>
      </c>
      <c r="P90" s="77"/>
      <c r="Q90" s="77"/>
      <c r="R90" s="77"/>
      <c r="S90" s="77"/>
      <c r="T90" s="77"/>
      <c r="U90" s="77"/>
      <c r="V90" s="77"/>
      <c r="W90" s="77"/>
      <c r="X90" s="77"/>
      <c r="Y90" s="77"/>
      <c r="Z90" s="98" t="s">
        <v>940</v>
      </c>
      <c r="AA90" s="99"/>
      <c r="AB90" s="99"/>
      <c r="AC90" s="100"/>
    </row>
    <row r="91" spans="1:29">
      <c r="A91" s="59">
        <v>42</v>
      </c>
      <c r="B91" s="60" t="s">
        <v>974</v>
      </c>
      <c r="C91" s="60" t="s">
        <v>903</v>
      </c>
      <c r="D91" s="55"/>
      <c r="E91" s="54"/>
      <c r="F91" s="54"/>
      <c r="G91" s="1688"/>
      <c r="H91" s="61">
        <v>42</v>
      </c>
      <c r="I91" s="60" t="s">
        <v>974</v>
      </c>
      <c r="J91" s="60" t="s">
        <v>903</v>
      </c>
      <c r="K91" s="75"/>
      <c r="L91" s="76"/>
      <c r="M91" s="54"/>
      <c r="N91" s="54"/>
      <c r="O91" s="1688"/>
      <c r="P91" s="78">
        <v>411.81</v>
      </c>
      <c r="Q91" s="78">
        <v>392.08</v>
      </c>
      <c r="R91" s="78">
        <v>803.89</v>
      </c>
      <c r="S91" s="85">
        <v>402</v>
      </c>
      <c r="T91" s="86">
        <v>210</v>
      </c>
      <c r="U91" s="86">
        <v>169</v>
      </c>
      <c r="V91" s="87">
        <v>379</v>
      </c>
      <c r="W91" s="86">
        <v>209</v>
      </c>
      <c r="X91" s="86">
        <v>180</v>
      </c>
      <c r="Y91" s="87">
        <v>389</v>
      </c>
      <c r="Z91" s="77"/>
      <c r="AA91" s="101">
        <v>791683.05</v>
      </c>
      <c r="AB91" s="101">
        <v>2824925.4920000001</v>
      </c>
      <c r="AC91" s="102">
        <v>83.796000000000006</v>
      </c>
    </row>
    <row r="92" spans="1:29">
      <c r="A92" s="53"/>
      <c r="B92" s="54"/>
      <c r="C92" s="54"/>
      <c r="D92" s="55"/>
      <c r="E92" s="54"/>
      <c r="F92" s="56">
        <v>392.08</v>
      </c>
      <c r="G92" s="1688"/>
      <c r="H92" s="58"/>
      <c r="I92" s="58"/>
      <c r="J92" s="58"/>
      <c r="K92" s="75"/>
      <c r="L92" s="76"/>
      <c r="M92" s="54"/>
      <c r="N92" s="56">
        <v>392.08</v>
      </c>
      <c r="O92" s="1688"/>
      <c r="P92" s="77"/>
      <c r="Q92" s="77"/>
      <c r="R92" s="77"/>
      <c r="S92" s="77"/>
      <c r="T92" s="77"/>
      <c r="U92" s="77"/>
      <c r="V92" s="77"/>
      <c r="W92" s="77"/>
      <c r="X92" s="77"/>
      <c r="Y92" s="77"/>
      <c r="Z92" s="98" t="s">
        <v>904</v>
      </c>
      <c r="AA92" s="99"/>
      <c r="AB92" s="99"/>
      <c r="AC92" s="100"/>
    </row>
    <row r="93" spans="1:29">
      <c r="A93" s="59">
        <v>43</v>
      </c>
      <c r="B93" s="60" t="s">
        <v>975</v>
      </c>
      <c r="C93" s="60" t="s">
        <v>933</v>
      </c>
      <c r="D93" s="55"/>
      <c r="E93" s="54"/>
      <c r="F93" s="54"/>
      <c r="G93" s="1688"/>
      <c r="H93" s="61">
        <v>43</v>
      </c>
      <c r="I93" s="60" t="s">
        <v>975</v>
      </c>
      <c r="J93" s="60" t="s">
        <v>933</v>
      </c>
      <c r="K93" s="75"/>
      <c r="L93" s="76"/>
      <c r="M93" s="54"/>
      <c r="N93" s="54"/>
      <c r="O93" s="1688"/>
      <c r="P93" s="78">
        <v>392.08</v>
      </c>
      <c r="Q93" s="78">
        <v>296.87</v>
      </c>
      <c r="R93" s="78">
        <v>688.95</v>
      </c>
      <c r="S93" s="85">
        <v>345</v>
      </c>
      <c r="T93" s="86">
        <v>224</v>
      </c>
      <c r="U93" s="86">
        <v>191</v>
      </c>
      <c r="V93" s="87">
        <v>415</v>
      </c>
      <c r="W93" s="86">
        <v>213</v>
      </c>
      <c r="X93" s="86">
        <v>174</v>
      </c>
      <c r="Y93" s="87">
        <v>387</v>
      </c>
      <c r="Z93" s="77"/>
      <c r="AA93" s="101">
        <v>791879.19700000004</v>
      </c>
      <c r="AB93" s="101">
        <v>2824586.003</v>
      </c>
      <c r="AC93" s="102">
        <v>82.85</v>
      </c>
    </row>
    <row r="94" spans="1:29" ht="49.5">
      <c r="A94" s="53"/>
      <c r="B94" s="54"/>
      <c r="C94" s="54"/>
      <c r="D94" s="55"/>
      <c r="E94" s="54"/>
      <c r="F94" s="56">
        <v>296.87</v>
      </c>
      <c r="G94" s="1688"/>
      <c r="H94" s="58"/>
      <c r="I94" s="58"/>
      <c r="J94" s="58"/>
      <c r="K94" s="75"/>
      <c r="L94" s="76"/>
      <c r="M94" s="54"/>
      <c r="N94" s="56">
        <v>296.87</v>
      </c>
      <c r="O94" s="1688"/>
      <c r="P94" s="77"/>
      <c r="Q94" s="77"/>
      <c r="R94" s="77"/>
      <c r="S94" s="77"/>
      <c r="T94" s="77"/>
      <c r="U94" s="77"/>
      <c r="V94" s="77"/>
      <c r="W94" s="77"/>
      <c r="X94" s="77"/>
      <c r="Y94" s="77"/>
      <c r="Z94" s="121" t="s">
        <v>976</v>
      </c>
      <c r="AA94" s="99"/>
      <c r="AB94" s="99"/>
      <c r="AC94" s="100"/>
    </row>
    <row r="95" spans="1:29" ht="19">
      <c r="A95" s="62">
        <v>44</v>
      </c>
      <c r="B95" s="63" t="s">
        <v>977</v>
      </c>
      <c r="C95" s="63" t="s">
        <v>894</v>
      </c>
      <c r="D95" s="64"/>
      <c r="E95" s="63" t="s">
        <v>978</v>
      </c>
      <c r="F95" s="65"/>
      <c r="G95" s="66"/>
      <c r="H95" s="67">
        <v>44</v>
      </c>
      <c r="I95" s="63" t="s">
        <v>977</v>
      </c>
      <c r="J95" s="63" t="s">
        <v>894</v>
      </c>
      <c r="K95" s="79"/>
      <c r="L95" s="66"/>
      <c r="M95" s="63" t="s">
        <v>978</v>
      </c>
      <c r="N95" s="65"/>
      <c r="O95" s="66"/>
      <c r="P95" s="80">
        <v>296.87</v>
      </c>
      <c r="Q95" s="80">
        <v>412.4</v>
      </c>
      <c r="R95" s="80">
        <v>709.27</v>
      </c>
      <c r="S95" s="88">
        <v>355</v>
      </c>
      <c r="T95" s="89">
        <v>107</v>
      </c>
      <c r="U95" s="89">
        <v>209</v>
      </c>
      <c r="V95" s="90">
        <v>316</v>
      </c>
      <c r="W95" s="89">
        <v>124</v>
      </c>
      <c r="X95" s="89">
        <v>209</v>
      </c>
      <c r="Y95" s="90">
        <v>333</v>
      </c>
      <c r="Z95" s="103"/>
      <c r="AA95" s="104">
        <v>792027.71400000004</v>
      </c>
      <c r="AB95" s="104">
        <v>2824328.95</v>
      </c>
      <c r="AC95" s="105">
        <v>85.77</v>
      </c>
    </row>
    <row r="96" spans="1:29">
      <c r="A96" s="53"/>
      <c r="B96" s="54"/>
      <c r="C96" s="54"/>
      <c r="D96" s="55"/>
      <c r="E96" s="54"/>
      <c r="F96" s="56">
        <v>412.4</v>
      </c>
      <c r="G96" s="57">
        <v>412</v>
      </c>
      <c r="H96" s="58"/>
      <c r="I96" s="58"/>
      <c r="J96" s="58"/>
      <c r="K96" s="75"/>
      <c r="L96" s="76"/>
      <c r="M96" s="54"/>
      <c r="N96" s="56">
        <v>412.4</v>
      </c>
      <c r="O96" s="57">
        <v>412</v>
      </c>
      <c r="P96" s="77"/>
      <c r="Q96" s="77"/>
      <c r="R96" s="77"/>
      <c r="S96" s="77"/>
      <c r="T96" s="77"/>
      <c r="U96" s="77"/>
      <c r="V96" s="77"/>
      <c r="W96" s="77"/>
      <c r="X96" s="77"/>
      <c r="Y96" s="77"/>
      <c r="Z96" s="77"/>
      <c r="AA96" s="99"/>
      <c r="AB96" s="99"/>
      <c r="AC96" s="100"/>
    </row>
    <row r="97" spans="1:29" ht="19">
      <c r="A97" s="62">
        <v>45</v>
      </c>
      <c r="B97" s="63" t="s">
        <v>979</v>
      </c>
      <c r="C97" s="63" t="s">
        <v>894</v>
      </c>
      <c r="D97" s="64"/>
      <c r="E97" s="63" t="s">
        <v>980</v>
      </c>
      <c r="F97" s="65"/>
      <c r="G97" s="66"/>
      <c r="H97" s="67">
        <v>45</v>
      </c>
      <c r="I97" s="63" t="s">
        <v>979</v>
      </c>
      <c r="J97" s="63" t="s">
        <v>894</v>
      </c>
      <c r="K97" s="79"/>
      <c r="L97" s="66"/>
      <c r="M97" s="63" t="s">
        <v>980</v>
      </c>
      <c r="N97" s="65"/>
      <c r="O97" s="66"/>
      <c r="P97" s="80">
        <v>412.4</v>
      </c>
      <c r="Q97" s="80">
        <v>382.17</v>
      </c>
      <c r="R97" s="80">
        <v>794.57</v>
      </c>
      <c r="S97" s="88">
        <v>397</v>
      </c>
      <c r="T97" s="89">
        <v>204</v>
      </c>
      <c r="U97" s="89">
        <v>107</v>
      </c>
      <c r="V97" s="90">
        <v>311</v>
      </c>
      <c r="W97" s="89">
        <v>206</v>
      </c>
      <c r="X97" s="89">
        <v>137</v>
      </c>
      <c r="Y97" s="90">
        <v>343</v>
      </c>
      <c r="Z97" s="103"/>
      <c r="AA97" s="104">
        <v>792064.495</v>
      </c>
      <c r="AB97" s="104">
        <v>2823918.1940000001</v>
      </c>
      <c r="AC97" s="105">
        <v>85.31</v>
      </c>
    </row>
    <row r="98" spans="1:29" ht="19">
      <c r="A98" s="53"/>
      <c r="B98" s="54"/>
      <c r="C98" s="54"/>
      <c r="D98" s="55"/>
      <c r="E98" s="54"/>
      <c r="F98" s="56">
        <v>382.17</v>
      </c>
      <c r="G98" s="1688">
        <v>835</v>
      </c>
      <c r="H98" s="58"/>
      <c r="I98" s="58"/>
      <c r="J98" s="58"/>
      <c r="K98" s="75"/>
      <c r="L98" s="76"/>
      <c r="M98" s="54"/>
      <c r="N98" s="56">
        <v>382.17</v>
      </c>
      <c r="O98" s="1688">
        <v>835</v>
      </c>
      <c r="P98" s="77"/>
      <c r="Q98" s="77"/>
      <c r="R98" s="77"/>
      <c r="S98" s="77"/>
      <c r="T98" s="77"/>
      <c r="U98" s="77"/>
      <c r="V98" s="77"/>
      <c r="W98" s="77"/>
      <c r="X98" s="77"/>
      <c r="Y98" s="77"/>
      <c r="Z98" s="98" t="s">
        <v>981</v>
      </c>
      <c r="AA98" s="99"/>
      <c r="AB98" s="99"/>
      <c r="AC98" s="100"/>
    </row>
    <row r="99" spans="1:29">
      <c r="A99" s="59">
        <v>46</v>
      </c>
      <c r="B99" s="60" t="s">
        <v>982</v>
      </c>
      <c r="C99" s="60" t="s">
        <v>933</v>
      </c>
      <c r="D99" s="55"/>
      <c r="E99" s="54"/>
      <c r="F99" s="54"/>
      <c r="G99" s="1688"/>
      <c r="H99" s="61">
        <v>46</v>
      </c>
      <c r="I99" s="60" t="s">
        <v>982</v>
      </c>
      <c r="J99" s="60" t="s">
        <v>933</v>
      </c>
      <c r="K99" s="75"/>
      <c r="L99" s="76"/>
      <c r="M99" s="54"/>
      <c r="N99" s="54"/>
      <c r="O99" s="1688"/>
      <c r="P99" s="78">
        <v>382.17</v>
      </c>
      <c r="Q99" s="78">
        <v>452.74</v>
      </c>
      <c r="R99" s="78">
        <v>834.91</v>
      </c>
      <c r="S99" s="85">
        <v>418</v>
      </c>
      <c r="T99" s="86">
        <v>276</v>
      </c>
      <c r="U99" s="86">
        <v>266</v>
      </c>
      <c r="V99" s="87">
        <v>542</v>
      </c>
      <c r="W99" s="86">
        <v>247</v>
      </c>
      <c r="X99" s="86">
        <v>253</v>
      </c>
      <c r="Y99" s="87">
        <v>500</v>
      </c>
      <c r="Z99" s="77"/>
      <c r="AA99" s="101">
        <v>792251.16899999999</v>
      </c>
      <c r="AB99" s="101">
        <v>2823584.7140000002</v>
      </c>
      <c r="AC99" s="102">
        <v>92.75</v>
      </c>
    </row>
    <row r="100" spans="1:29">
      <c r="A100" s="53"/>
      <c r="B100" s="54"/>
      <c r="C100" s="54"/>
      <c r="D100" s="55"/>
      <c r="E100" s="54"/>
      <c r="F100" s="56">
        <v>452.74</v>
      </c>
      <c r="G100" s="1688"/>
      <c r="H100" s="58"/>
      <c r="I100" s="58"/>
      <c r="J100" s="58"/>
      <c r="K100" s="75"/>
      <c r="L100" s="76"/>
      <c r="M100" s="54"/>
      <c r="N100" s="56">
        <v>452.74</v>
      </c>
      <c r="O100" s="1688"/>
      <c r="P100" s="77"/>
      <c r="Q100" s="77"/>
      <c r="R100" s="77"/>
      <c r="S100" s="77"/>
      <c r="T100" s="77"/>
      <c r="U100" s="77"/>
      <c r="V100" s="77"/>
      <c r="W100" s="77"/>
      <c r="X100" s="77"/>
      <c r="Y100" s="77"/>
      <c r="Z100" s="98" t="s">
        <v>983</v>
      </c>
      <c r="AA100" s="99"/>
      <c r="AB100" s="99"/>
      <c r="AC100" s="100"/>
    </row>
    <row r="101" spans="1:29" ht="19">
      <c r="A101" s="62">
        <v>47</v>
      </c>
      <c r="B101" s="63" t="s">
        <v>984</v>
      </c>
      <c r="C101" s="63" t="s">
        <v>894</v>
      </c>
      <c r="D101" s="64"/>
      <c r="E101" s="63" t="s">
        <v>985</v>
      </c>
      <c r="F101" s="65"/>
      <c r="G101" s="66"/>
      <c r="H101" s="67">
        <v>47</v>
      </c>
      <c r="I101" s="63" t="s">
        <v>984</v>
      </c>
      <c r="J101" s="63" t="s">
        <v>894</v>
      </c>
      <c r="K101" s="79"/>
      <c r="L101" s="66"/>
      <c r="M101" s="63" t="s">
        <v>985</v>
      </c>
      <c r="N101" s="65"/>
      <c r="O101" s="66"/>
      <c r="P101" s="80">
        <v>452.74</v>
      </c>
      <c r="Q101" s="80">
        <v>420.21</v>
      </c>
      <c r="R101" s="80">
        <v>872.94</v>
      </c>
      <c r="S101" s="88">
        <v>437</v>
      </c>
      <c r="T101" s="89">
        <v>188</v>
      </c>
      <c r="U101" s="89">
        <v>205</v>
      </c>
      <c r="V101" s="90">
        <v>393</v>
      </c>
      <c r="W101" s="89">
        <v>202</v>
      </c>
      <c r="X101" s="89">
        <v>207</v>
      </c>
      <c r="Y101" s="90">
        <v>409</v>
      </c>
      <c r="Z101" s="103"/>
      <c r="AA101" s="104">
        <v>792472.31099999999</v>
      </c>
      <c r="AB101" s="104">
        <v>2823189.6609999998</v>
      </c>
      <c r="AC101" s="105">
        <v>92.68</v>
      </c>
    </row>
    <row r="102" spans="1:29">
      <c r="A102" s="53"/>
      <c r="B102" s="54"/>
      <c r="C102" s="54"/>
      <c r="D102" s="55"/>
      <c r="E102" s="54"/>
      <c r="F102" s="56">
        <v>420.21</v>
      </c>
      <c r="G102" s="1688">
        <v>815</v>
      </c>
      <c r="H102" s="58"/>
      <c r="I102" s="58"/>
      <c r="J102" s="58"/>
      <c r="K102" s="75"/>
      <c r="L102" s="76"/>
      <c r="M102" s="54"/>
      <c r="N102" s="56">
        <v>420.21</v>
      </c>
      <c r="O102" s="1688">
        <v>815</v>
      </c>
      <c r="P102" s="77"/>
      <c r="Q102" s="77"/>
      <c r="R102" s="77"/>
      <c r="S102" s="77"/>
      <c r="T102" s="77"/>
      <c r="U102" s="77"/>
      <c r="V102" s="77"/>
      <c r="W102" s="77"/>
      <c r="X102" s="77"/>
      <c r="Y102" s="77"/>
      <c r="Z102" s="77"/>
      <c r="AA102" s="99"/>
      <c r="AB102" s="99"/>
      <c r="AC102" s="100"/>
    </row>
    <row r="103" spans="1:29">
      <c r="A103" s="59">
        <v>48</v>
      </c>
      <c r="B103" s="60" t="s">
        <v>986</v>
      </c>
      <c r="C103" s="60" t="s">
        <v>933</v>
      </c>
      <c r="D103" s="55"/>
      <c r="E103" s="54"/>
      <c r="F103" s="54"/>
      <c r="G103" s="1688"/>
      <c r="H103" s="61">
        <v>48</v>
      </c>
      <c r="I103" s="60" t="s">
        <v>986</v>
      </c>
      <c r="J103" s="60" t="s">
        <v>933</v>
      </c>
      <c r="K103" s="75"/>
      <c r="L103" s="76"/>
      <c r="M103" s="54"/>
      <c r="N103" s="54"/>
      <c r="O103" s="1688"/>
      <c r="P103" s="78">
        <v>420.21</v>
      </c>
      <c r="Q103" s="78">
        <v>395.01</v>
      </c>
      <c r="R103" s="78">
        <v>815.22</v>
      </c>
      <c r="S103" s="85">
        <v>408</v>
      </c>
      <c r="T103" s="86">
        <v>216</v>
      </c>
      <c r="U103" s="86">
        <v>252</v>
      </c>
      <c r="V103" s="87">
        <v>468</v>
      </c>
      <c r="W103" s="86">
        <v>215</v>
      </c>
      <c r="X103" s="86">
        <v>233</v>
      </c>
      <c r="Y103" s="87">
        <v>448</v>
      </c>
      <c r="Z103" s="77"/>
      <c r="AA103" s="101">
        <v>792554.45700000005</v>
      </c>
      <c r="AB103" s="101">
        <v>2822777.5619999999</v>
      </c>
      <c r="AC103" s="102">
        <v>85.093999999999994</v>
      </c>
    </row>
    <row r="104" spans="1:29" ht="38">
      <c r="A104" s="53"/>
      <c r="B104" s="54"/>
      <c r="C104" s="54"/>
      <c r="D104" s="55"/>
      <c r="E104" s="54"/>
      <c r="F104" s="56">
        <v>395.01</v>
      </c>
      <c r="G104" s="1688"/>
      <c r="H104" s="58"/>
      <c r="I104" s="58"/>
      <c r="J104" s="58"/>
      <c r="K104" s="75"/>
      <c r="L104" s="76"/>
      <c r="M104" s="54"/>
      <c r="N104" s="56">
        <v>395.01</v>
      </c>
      <c r="O104" s="1688"/>
      <c r="P104" s="77"/>
      <c r="Q104" s="77"/>
      <c r="R104" s="77"/>
      <c r="S104" s="77"/>
      <c r="T104" s="77"/>
      <c r="U104" s="77"/>
      <c r="V104" s="77"/>
      <c r="W104" s="77"/>
      <c r="X104" s="77"/>
      <c r="Y104" s="77"/>
      <c r="Z104" s="98" t="s">
        <v>987</v>
      </c>
      <c r="AA104" s="99"/>
      <c r="AB104" s="99"/>
      <c r="AC104" s="100"/>
    </row>
    <row r="105" spans="1:29" ht="19">
      <c r="A105" s="62">
        <v>49</v>
      </c>
      <c r="B105" s="63" t="s">
        <v>988</v>
      </c>
      <c r="C105" s="63" t="s">
        <v>929</v>
      </c>
      <c r="D105" s="64"/>
      <c r="E105" s="63" t="s">
        <v>989</v>
      </c>
      <c r="F105" s="65"/>
      <c r="G105" s="66"/>
      <c r="H105" s="67">
        <v>49</v>
      </c>
      <c r="I105" s="63" t="s">
        <v>988</v>
      </c>
      <c r="J105" s="63" t="s">
        <v>929</v>
      </c>
      <c r="K105" s="79"/>
      <c r="L105" s="66"/>
      <c r="M105" s="63" t="s">
        <v>989</v>
      </c>
      <c r="N105" s="65"/>
      <c r="O105" s="66"/>
      <c r="P105" s="80">
        <v>395.01</v>
      </c>
      <c r="Q105" s="80">
        <v>386.74</v>
      </c>
      <c r="R105" s="80">
        <v>781.75</v>
      </c>
      <c r="S105" s="88">
        <v>391</v>
      </c>
      <c r="T105" s="89">
        <v>143</v>
      </c>
      <c r="U105" s="89">
        <v>197</v>
      </c>
      <c r="V105" s="90">
        <v>340</v>
      </c>
      <c r="W105" s="89">
        <v>164</v>
      </c>
      <c r="X105" s="89">
        <v>196</v>
      </c>
      <c r="Y105" s="90">
        <v>360</v>
      </c>
      <c r="Z105" s="103"/>
      <c r="AA105" s="104">
        <v>792631.67799999996</v>
      </c>
      <c r="AB105" s="104">
        <v>2822390.1719999998</v>
      </c>
      <c r="AC105" s="105">
        <v>83.39</v>
      </c>
    </row>
    <row r="106" spans="1:29">
      <c r="A106" s="53"/>
      <c r="B106" s="54"/>
      <c r="C106" s="54"/>
      <c r="D106" s="55"/>
      <c r="E106" s="54"/>
      <c r="F106" s="56">
        <v>386.74</v>
      </c>
      <c r="G106" s="1688">
        <v>1473</v>
      </c>
      <c r="H106" s="58"/>
      <c r="I106" s="58"/>
      <c r="J106" s="58"/>
      <c r="K106" s="75"/>
      <c r="L106" s="76"/>
      <c r="M106" s="54"/>
      <c r="N106" s="56">
        <v>386.74</v>
      </c>
      <c r="O106" s="1688">
        <v>1473</v>
      </c>
      <c r="P106" s="77"/>
      <c r="Q106" s="77"/>
      <c r="R106" s="77"/>
      <c r="S106" s="77"/>
      <c r="T106" s="77"/>
      <c r="U106" s="77"/>
      <c r="V106" s="77"/>
      <c r="W106" s="77"/>
      <c r="X106" s="77"/>
      <c r="Y106" s="77"/>
      <c r="Z106" s="77"/>
      <c r="AA106" s="99"/>
      <c r="AB106" s="99"/>
      <c r="AC106" s="100"/>
    </row>
    <row r="107" spans="1:29">
      <c r="A107" s="59">
        <v>50</v>
      </c>
      <c r="B107" s="60" t="s">
        <v>990</v>
      </c>
      <c r="C107" s="60" t="s">
        <v>899</v>
      </c>
      <c r="D107" s="55"/>
      <c r="E107" s="54"/>
      <c r="F107" s="54"/>
      <c r="G107" s="1688"/>
      <c r="H107" s="61">
        <v>50</v>
      </c>
      <c r="I107" s="60" t="s">
        <v>990</v>
      </c>
      <c r="J107" s="60" t="s">
        <v>899</v>
      </c>
      <c r="K107" s="75"/>
      <c r="L107" s="76"/>
      <c r="M107" s="54"/>
      <c r="N107" s="54"/>
      <c r="O107" s="1688"/>
      <c r="P107" s="78">
        <v>386.74</v>
      </c>
      <c r="Q107" s="78">
        <v>378.62</v>
      </c>
      <c r="R107" s="78">
        <v>765.36</v>
      </c>
      <c r="S107" s="85">
        <v>383</v>
      </c>
      <c r="T107" s="86">
        <v>191</v>
      </c>
      <c r="U107" s="86">
        <v>198</v>
      </c>
      <c r="V107" s="87">
        <v>389</v>
      </c>
      <c r="W107" s="86">
        <v>192</v>
      </c>
      <c r="X107" s="86">
        <v>195</v>
      </c>
      <c r="Y107" s="87">
        <v>387</v>
      </c>
      <c r="Z107" s="77"/>
      <c r="AA107" s="101">
        <v>792924.98499999999</v>
      </c>
      <c r="AB107" s="101">
        <v>2822138.111</v>
      </c>
      <c r="AC107" s="102">
        <v>83.028999999999996</v>
      </c>
    </row>
    <row r="108" spans="1:29">
      <c r="A108" s="53"/>
      <c r="B108" s="54"/>
      <c r="C108" s="54"/>
      <c r="D108" s="55"/>
      <c r="E108" s="54"/>
      <c r="F108" s="56">
        <v>378.62</v>
      </c>
      <c r="G108" s="1688"/>
      <c r="H108" s="58"/>
      <c r="I108" s="58"/>
      <c r="J108" s="58"/>
      <c r="K108" s="75"/>
      <c r="L108" s="76"/>
      <c r="M108" s="54"/>
      <c r="N108" s="56">
        <v>378.62</v>
      </c>
      <c r="O108" s="1688"/>
      <c r="P108" s="77"/>
      <c r="Q108" s="77"/>
      <c r="R108" s="77"/>
      <c r="S108" s="77"/>
      <c r="T108" s="77"/>
      <c r="U108" s="77"/>
      <c r="V108" s="77"/>
      <c r="W108" s="77"/>
      <c r="X108" s="77"/>
      <c r="Y108" s="77"/>
      <c r="Z108" s="77"/>
      <c r="AA108" s="99"/>
      <c r="AB108" s="99"/>
      <c r="AC108" s="100"/>
    </row>
    <row r="109" spans="1:29">
      <c r="A109" s="59">
        <v>51</v>
      </c>
      <c r="B109" s="60" t="s">
        <v>991</v>
      </c>
      <c r="C109" s="60" t="s">
        <v>899</v>
      </c>
      <c r="D109" s="55"/>
      <c r="E109" s="54"/>
      <c r="F109" s="54"/>
      <c r="G109" s="1688"/>
      <c r="H109" s="61">
        <v>51</v>
      </c>
      <c r="I109" s="60" t="s">
        <v>991</v>
      </c>
      <c r="J109" s="60" t="s">
        <v>899</v>
      </c>
      <c r="K109" s="75"/>
      <c r="L109" s="76"/>
      <c r="M109" s="54"/>
      <c r="N109" s="54"/>
      <c r="O109" s="1688"/>
      <c r="P109" s="78">
        <v>378.62</v>
      </c>
      <c r="Q109" s="78">
        <v>350.22</v>
      </c>
      <c r="R109" s="78">
        <v>728.84</v>
      </c>
      <c r="S109" s="85">
        <v>364</v>
      </c>
      <c r="T109" s="86">
        <v>181</v>
      </c>
      <c r="U109" s="86">
        <v>228</v>
      </c>
      <c r="V109" s="87">
        <v>409</v>
      </c>
      <c r="W109" s="86">
        <v>185</v>
      </c>
      <c r="X109" s="86">
        <v>207</v>
      </c>
      <c r="Y109" s="87">
        <v>392</v>
      </c>
      <c r="Z109" s="77"/>
      <c r="AA109" s="101">
        <v>793212.14</v>
      </c>
      <c r="AB109" s="101">
        <v>2821891.335</v>
      </c>
      <c r="AC109" s="102">
        <v>81.543000000000006</v>
      </c>
    </row>
    <row r="110" spans="1:29" ht="28.5">
      <c r="A110" s="53"/>
      <c r="B110" s="54"/>
      <c r="C110" s="54"/>
      <c r="D110" s="55"/>
      <c r="E110" s="54"/>
      <c r="F110" s="56">
        <v>350.22</v>
      </c>
      <c r="G110" s="1688"/>
      <c r="H110" s="58"/>
      <c r="I110" s="58"/>
      <c r="J110" s="58"/>
      <c r="K110" s="75"/>
      <c r="L110" s="76"/>
      <c r="M110" s="54"/>
      <c r="N110" s="56">
        <v>350.22</v>
      </c>
      <c r="O110" s="1688"/>
      <c r="P110" s="77"/>
      <c r="Q110" s="77"/>
      <c r="R110" s="77"/>
      <c r="S110" s="77"/>
      <c r="T110" s="77"/>
      <c r="U110" s="77"/>
      <c r="V110" s="77"/>
      <c r="W110" s="77"/>
      <c r="X110" s="77"/>
      <c r="Y110" s="77"/>
      <c r="Z110" s="98" t="s">
        <v>992</v>
      </c>
      <c r="AA110" s="99"/>
      <c r="AB110" s="99"/>
      <c r="AC110" s="100"/>
    </row>
    <row r="111" spans="1:29">
      <c r="A111" s="59">
        <v>52</v>
      </c>
      <c r="B111" s="60" t="s">
        <v>993</v>
      </c>
      <c r="C111" s="60" t="s">
        <v>899</v>
      </c>
      <c r="D111" s="55"/>
      <c r="E111" s="54"/>
      <c r="F111" s="54"/>
      <c r="G111" s="1688"/>
      <c r="H111" s="61">
        <v>52</v>
      </c>
      <c r="I111" s="60" t="s">
        <v>993</v>
      </c>
      <c r="J111" s="60" t="s">
        <v>899</v>
      </c>
      <c r="K111" s="75"/>
      <c r="L111" s="76"/>
      <c r="M111" s="54"/>
      <c r="N111" s="54"/>
      <c r="O111" s="1688"/>
      <c r="P111" s="78">
        <v>350.22</v>
      </c>
      <c r="Q111" s="78">
        <v>357.91</v>
      </c>
      <c r="R111" s="78">
        <v>708.12</v>
      </c>
      <c r="S111" s="85">
        <v>354</v>
      </c>
      <c r="T111" s="86">
        <v>122</v>
      </c>
      <c r="U111" s="86">
        <v>184</v>
      </c>
      <c r="V111" s="87">
        <v>306</v>
      </c>
      <c r="W111" s="86">
        <v>144</v>
      </c>
      <c r="X111" s="86">
        <v>182</v>
      </c>
      <c r="Y111" s="87">
        <v>326</v>
      </c>
      <c r="Z111" s="77"/>
      <c r="AA111" s="101">
        <v>793477.75</v>
      </c>
      <c r="AB111" s="101">
        <v>2821663.077</v>
      </c>
      <c r="AC111" s="102">
        <v>72.814999999999998</v>
      </c>
    </row>
    <row r="112" spans="1:29">
      <c r="A112" s="53"/>
      <c r="B112" s="54"/>
      <c r="C112" s="54"/>
      <c r="D112" s="55"/>
      <c r="E112" s="54"/>
      <c r="F112" s="56">
        <v>357.91</v>
      </c>
      <c r="G112" s="1688"/>
      <c r="H112" s="58"/>
      <c r="I112" s="58"/>
      <c r="J112" s="58"/>
      <c r="K112" s="75"/>
      <c r="L112" s="76"/>
      <c r="M112" s="54"/>
      <c r="N112" s="56">
        <v>357.91</v>
      </c>
      <c r="O112" s="1688"/>
      <c r="P112" s="77"/>
      <c r="Q112" s="77"/>
      <c r="R112" s="77"/>
      <c r="S112" s="77"/>
      <c r="T112" s="77"/>
      <c r="U112" s="77"/>
      <c r="V112" s="77"/>
      <c r="W112" s="77"/>
      <c r="X112" s="77"/>
      <c r="Y112" s="77"/>
      <c r="Z112" s="77"/>
      <c r="AA112" s="99"/>
      <c r="AB112" s="99"/>
      <c r="AC112" s="100"/>
    </row>
    <row r="113" spans="1:29" ht="19">
      <c r="A113" s="108">
        <v>53</v>
      </c>
      <c r="B113" s="109" t="s">
        <v>994</v>
      </c>
      <c r="C113" s="109" t="s">
        <v>894</v>
      </c>
      <c r="D113" s="110"/>
      <c r="E113" s="109" t="s">
        <v>995</v>
      </c>
      <c r="F113" s="111"/>
      <c r="G113" s="112"/>
      <c r="H113" s="113">
        <v>53</v>
      </c>
      <c r="I113" s="109" t="s">
        <v>994</v>
      </c>
      <c r="J113" s="109" t="s">
        <v>894</v>
      </c>
      <c r="K113" s="115"/>
      <c r="L113" s="112"/>
      <c r="M113" s="116" t="s">
        <v>996</v>
      </c>
      <c r="N113" s="111"/>
      <c r="O113" s="112"/>
      <c r="P113" s="117">
        <v>357.91</v>
      </c>
      <c r="Q113" s="117">
        <v>237.48</v>
      </c>
      <c r="R113" s="117">
        <v>595.38</v>
      </c>
      <c r="S113" s="118">
        <v>298</v>
      </c>
      <c r="T113" s="119">
        <v>174</v>
      </c>
      <c r="U113" s="119">
        <v>165</v>
      </c>
      <c r="V113" s="120">
        <v>339</v>
      </c>
      <c r="W113" s="119">
        <v>177</v>
      </c>
      <c r="X113" s="119">
        <v>140</v>
      </c>
      <c r="Y113" s="120">
        <v>317</v>
      </c>
      <c r="Z113" s="122"/>
      <c r="AA113" s="123">
        <v>793749.19200000004</v>
      </c>
      <c r="AB113" s="123">
        <v>2821429.8050000002</v>
      </c>
      <c r="AC113" s="124">
        <v>71.78</v>
      </c>
    </row>
    <row r="115" spans="1:29">
      <c r="G115" s="114" t="s">
        <v>997</v>
      </c>
    </row>
    <row r="116" spans="1:29">
      <c r="E116" s="1689" t="s">
        <v>998</v>
      </c>
      <c r="F116" s="1689"/>
      <c r="G116" s="1689"/>
      <c r="H116" s="114"/>
      <c r="I116" s="114"/>
      <c r="J116" s="1689" t="s">
        <v>999</v>
      </c>
      <c r="K116" s="1689"/>
      <c r="L116" s="1689"/>
    </row>
    <row r="117" spans="1:29">
      <c r="E117" s="46" t="s">
        <v>1000</v>
      </c>
      <c r="G117" s="46" t="s">
        <v>1001</v>
      </c>
      <c r="J117" s="46" t="s">
        <v>1000</v>
      </c>
      <c r="L117" s="46" t="s">
        <v>1001</v>
      </c>
    </row>
    <row r="118" spans="1:29">
      <c r="E118" s="46" t="s">
        <v>182</v>
      </c>
      <c r="F118" s="46" t="s">
        <v>1002</v>
      </c>
      <c r="G118" s="46">
        <f>COUNTIF($C$9:$C$113,"DA+0")</f>
        <v>18</v>
      </c>
      <c r="J118" s="46" t="s">
        <v>182</v>
      </c>
      <c r="K118" s="46" t="s">
        <v>1002</v>
      </c>
      <c r="L118" s="46">
        <f>COUNTIF($J$9:$J$113,"DA+0")</f>
        <v>18</v>
      </c>
    </row>
    <row r="119" spans="1:29">
      <c r="E119" s="46" t="s">
        <v>185</v>
      </c>
      <c r="F119" s="46" t="s">
        <v>1002</v>
      </c>
      <c r="G119" s="46">
        <f>COUNTIF($C$9:$C$113,"DA+3")</f>
        <v>8</v>
      </c>
      <c r="J119" s="46" t="s">
        <v>185</v>
      </c>
      <c r="K119" s="46" t="s">
        <v>1002</v>
      </c>
      <c r="L119" s="46">
        <f>COUNTIF($J$9:$J$113,"DA+3")</f>
        <v>8</v>
      </c>
    </row>
    <row r="120" spans="1:29">
      <c r="E120" s="46" t="s">
        <v>242</v>
      </c>
      <c r="F120" s="46" t="s">
        <v>1002</v>
      </c>
      <c r="G120" s="46">
        <f>COUNTIF($C$9:$C$113,"DA+6")</f>
        <v>4</v>
      </c>
      <c r="J120" s="46" t="s">
        <v>242</v>
      </c>
      <c r="K120" s="46" t="s">
        <v>1002</v>
      </c>
      <c r="L120" s="46">
        <f>COUNTIF($J$9:$J$113,"DA+6")</f>
        <v>4</v>
      </c>
    </row>
    <row r="121" spans="1:29">
      <c r="E121" s="46" t="s">
        <v>248</v>
      </c>
      <c r="F121" s="46" t="s">
        <v>1002</v>
      </c>
      <c r="G121" s="46">
        <f>COUNTIF($C$9:$C$113,"DA+9")</f>
        <v>5</v>
      </c>
      <c r="J121" s="46" t="s">
        <v>248</v>
      </c>
      <c r="K121" s="46" t="s">
        <v>1002</v>
      </c>
      <c r="L121" s="46">
        <f>COUNTIF($J$9:$J$113,"DA+9")</f>
        <v>5</v>
      </c>
    </row>
    <row r="122" spans="1:29">
      <c r="E122" s="46" t="s">
        <v>119</v>
      </c>
      <c r="F122" s="46" t="s">
        <v>1002</v>
      </c>
      <c r="G122" s="46">
        <f>COUNTIF($C$9:$C$113,"DB+0")</f>
        <v>1</v>
      </c>
      <c r="J122" s="46" t="s">
        <v>119</v>
      </c>
      <c r="K122" s="46" t="s">
        <v>1002</v>
      </c>
      <c r="L122" s="46">
        <f>COUNTIF($J$9:$J$113,"DB+0")</f>
        <v>1</v>
      </c>
    </row>
    <row r="123" spans="1:29">
      <c r="E123" s="46" t="s">
        <v>188</v>
      </c>
      <c r="F123" s="46" t="s">
        <v>1002</v>
      </c>
      <c r="G123" s="46">
        <f>COUNTIF($C$9:$C$113,"DB+3")</f>
        <v>2</v>
      </c>
      <c r="J123" s="46" t="s">
        <v>188</v>
      </c>
      <c r="K123" s="46" t="s">
        <v>1002</v>
      </c>
      <c r="L123" s="46">
        <f>COUNTIF($J$9:$J$113,"DB+3")</f>
        <v>2</v>
      </c>
    </row>
    <row r="124" spans="1:29">
      <c r="E124" s="46" t="s">
        <v>167</v>
      </c>
      <c r="F124" s="46" t="s">
        <v>1002</v>
      </c>
      <c r="G124" s="46">
        <f>COUNTIF($C$9:$C$113,"DB+6")</f>
        <v>0</v>
      </c>
      <c r="J124" s="46" t="s">
        <v>167</v>
      </c>
      <c r="K124" s="46" t="s">
        <v>1002</v>
      </c>
      <c r="L124" s="46">
        <f>COUNTIF($J$9:$J$113,"DB+6")</f>
        <v>0</v>
      </c>
    </row>
    <row r="125" spans="1:29">
      <c r="E125" s="46" t="s">
        <v>132</v>
      </c>
      <c r="F125" s="46" t="s">
        <v>1002</v>
      </c>
      <c r="G125" s="46">
        <f>COUNTIF($C$9:$C$113,"DB+9")</f>
        <v>1</v>
      </c>
      <c r="J125" s="46" t="s">
        <v>132</v>
      </c>
      <c r="K125" s="46" t="s">
        <v>1002</v>
      </c>
      <c r="L125" s="46">
        <f>COUNTIF($J$9:$J$113,"DB+9")</f>
        <v>1</v>
      </c>
    </row>
    <row r="126" spans="1:29">
      <c r="E126" s="46" t="s">
        <v>115</v>
      </c>
      <c r="F126" s="46" t="s">
        <v>1002</v>
      </c>
      <c r="G126" s="46">
        <f>COUNTIF($C$9:$C$113,"DC+0")</f>
        <v>10</v>
      </c>
      <c r="J126" s="46" t="s">
        <v>115</v>
      </c>
      <c r="K126" s="46" t="s">
        <v>1002</v>
      </c>
      <c r="L126" s="46">
        <f>COUNTIF($J$9:$J$113,"DC+0")</f>
        <v>10</v>
      </c>
    </row>
    <row r="127" spans="1:29">
      <c r="E127" s="46" t="s">
        <v>137</v>
      </c>
      <c r="F127" s="46" t="s">
        <v>1002</v>
      </c>
      <c r="G127" s="46">
        <f>COUNTIF($C$9:$C$113,"DC+3")</f>
        <v>0</v>
      </c>
      <c r="J127" s="46" t="s">
        <v>137</v>
      </c>
      <c r="K127" s="46" t="s">
        <v>1002</v>
      </c>
      <c r="L127" s="46">
        <f>COUNTIF($J$9:$J$113,"DC+3")</f>
        <v>0</v>
      </c>
    </row>
    <row r="128" spans="1:29">
      <c r="E128" s="46" t="s">
        <v>128</v>
      </c>
      <c r="F128" s="46" t="s">
        <v>1002</v>
      </c>
      <c r="G128" s="46">
        <f>COUNTIF($C$9:$C$113,"DC+6")</f>
        <v>1</v>
      </c>
      <c r="J128" s="46" t="s">
        <v>128</v>
      </c>
      <c r="K128" s="46" t="s">
        <v>1002</v>
      </c>
      <c r="L128" s="46">
        <f>COUNTIF($J$9:$J$113,"DC+6")</f>
        <v>1</v>
      </c>
    </row>
    <row r="129" spans="1:29">
      <c r="E129" s="46" t="s">
        <v>123</v>
      </c>
      <c r="F129" s="46" t="s">
        <v>1002</v>
      </c>
      <c r="G129" s="46">
        <f>COUNTIF($C$9:$C$113,"DC+9")</f>
        <v>0</v>
      </c>
      <c r="J129" s="46" t="s">
        <v>123</v>
      </c>
      <c r="K129" s="46" t="s">
        <v>1002</v>
      </c>
      <c r="L129" s="46">
        <f>COUNTIF($J$9:$J$113,"DC+9")</f>
        <v>0</v>
      </c>
    </row>
    <row r="130" spans="1:29">
      <c r="E130" s="46" t="s">
        <v>125</v>
      </c>
      <c r="F130" s="46" t="s">
        <v>1002</v>
      </c>
      <c r="G130" s="46">
        <f>COUNTIF($C$9:$C$113,"DD+0")</f>
        <v>3</v>
      </c>
      <c r="J130" s="46" t="s">
        <v>125</v>
      </c>
      <c r="K130" s="46" t="s">
        <v>1002</v>
      </c>
      <c r="L130" s="46">
        <f>COUNTIF($J$9:$J$113,"DD+0")</f>
        <v>3</v>
      </c>
    </row>
    <row r="131" spans="1:29">
      <c r="E131" s="46" t="s">
        <v>143</v>
      </c>
      <c r="F131" s="46" t="s">
        <v>1002</v>
      </c>
      <c r="G131" s="46">
        <f>COUNTIF($C$9:$C$113,"DD+3")</f>
        <v>0</v>
      </c>
      <c r="J131" s="46" t="s">
        <v>143</v>
      </c>
      <c r="K131" s="46" t="s">
        <v>1002</v>
      </c>
      <c r="L131" s="46">
        <f>COUNTIF($J$9:$J$113,"DD+3")</f>
        <v>0</v>
      </c>
    </row>
    <row r="132" spans="1:29">
      <c r="E132" s="46" t="s">
        <v>192</v>
      </c>
      <c r="F132" s="46" t="s">
        <v>1002</v>
      </c>
      <c r="G132" s="46">
        <f>COUNTIF($C$9:$C$113,"DD+6")</f>
        <v>0</v>
      </c>
      <c r="J132" s="46" t="s">
        <v>192</v>
      </c>
      <c r="K132" s="46" t="s">
        <v>1002</v>
      </c>
      <c r="L132" s="46">
        <f>COUNTIF($J$9:$J$113,"DD+6")</f>
        <v>0</v>
      </c>
    </row>
    <row r="133" spans="1:29">
      <c r="E133" s="46" t="s">
        <v>147</v>
      </c>
      <c r="F133" s="46" t="s">
        <v>1002</v>
      </c>
      <c r="G133" s="46">
        <f>COUNTIF($C$9:$C$113,"DD+9")</f>
        <v>0</v>
      </c>
      <c r="J133" s="46" t="s">
        <v>147</v>
      </c>
      <c r="K133" s="46" t="s">
        <v>1002</v>
      </c>
      <c r="L133" s="46">
        <f>COUNTIF($J$9:$J$113,"DD+9")</f>
        <v>0</v>
      </c>
    </row>
    <row r="134" spans="1:29">
      <c r="E134" s="46" t="s">
        <v>117</v>
      </c>
      <c r="F134" s="46" t="s">
        <v>1002</v>
      </c>
      <c r="G134" s="46">
        <f>COUNTIF($C$9:$C$113,"DD+18")</f>
        <v>0</v>
      </c>
      <c r="J134" s="46" t="s">
        <v>117</v>
      </c>
      <c r="K134" s="46" t="s">
        <v>1002</v>
      </c>
      <c r="L134" s="46">
        <f>COUNTIF($J$9:$J$113,"DD+18")</f>
        <v>0</v>
      </c>
    </row>
    <row r="135" spans="1:29">
      <c r="E135" s="46" t="s">
        <v>113</v>
      </c>
      <c r="F135" s="46" t="s">
        <v>1002</v>
      </c>
      <c r="G135" s="46">
        <f>COUNTIF($C$9:$C$113,"DD+25")</f>
        <v>0</v>
      </c>
      <c r="J135" s="46" t="s">
        <v>113</v>
      </c>
      <c r="K135" s="46" t="s">
        <v>1002</v>
      </c>
      <c r="L135" s="46">
        <f>COUNTIF($J$9:$J$113,"DD+25")</f>
        <v>0</v>
      </c>
    </row>
    <row r="136" spans="1:29">
      <c r="E136" s="46" t="s">
        <v>201</v>
      </c>
      <c r="F136" s="46" t="s">
        <v>1002</v>
      </c>
      <c r="G136" s="46">
        <f>COUNTIF($C$9:$C$113,"DD+30")</f>
        <v>0</v>
      </c>
      <c r="J136" s="46" t="s">
        <v>201</v>
      </c>
      <c r="K136" s="46" t="s">
        <v>1002</v>
      </c>
      <c r="L136" s="46">
        <f>COUNTIF($J$9:$J$113,"DD+30")</f>
        <v>0</v>
      </c>
    </row>
    <row r="137" spans="1:29">
      <c r="E137" s="114" t="s">
        <v>481</v>
      </c>
      <c r="F137" s="114" t="s">
        <v>1002</v>
      </c>
      <c r="G137" s="114">
        <f>SUM(G118:G136)</f>
        <v>53</v>
      </c>
      <c r="H137" s="114"/>
      <c r="I137" s="114"/>
      <c r="J137" s="114" t="s">
        <v>481</v>
      </c>
      <c r="K137" s="114" t="s">
        <v>1002</v>
      </c>
      <c r="L137" s="114">
        <f>SUM(L118:L136)</f>
        <v>53</v>
      </c>
    </row>
    <row r="138" spans="1:29" ht="33.75" customHeight="1">
      <c r="A138" s="1690" t="s">
        <v>1003</v>
      </c>
      <c r="B138" s="1691"/>
      <c r="C138" s="1691"/>
      <c r="D138" s="1691"/>
      <c r="E138" s="1691"/>
      <c r="F138" s="1691"/>
      <c r="G138" s="1691"/>
      <c r="H138" s="1691"/>
      <c r="I138" s="1691"/>
      <c r="J138" s="1691"/>
      <c r="K138" s="1691"/>
      <c r="L138" s="1691"/>
      <c r="M138" s="1691"/>
      <c r="N138" s="1691"/>
      <c r="O138" s="1692" t="s">
        <v>1004</v>
      </c>
      <c r="P138" s="1692"/>
      <c r="Q138" s="1692"/>
      <c r="R138" s="1692"/>
      <c r="S138" s="1692"/>
      <c r="T138" s="1692"/>
      <c r="U138" s="1692"/>
      <c r="V138" s="1692"/>
      <c r="W138" s="1692"/>
      <c r="X138" s="1692"/>
      <c r="Y138" s="1692"/>
      <c r="Z138" s="1692"/>
      <c r="AA138" s="1692"/>
      <c r="AB138" s="1692"/>
      <c r="AC138" s="1693"/>
    </row>
    <row r="139" spans="1:29" ht="12.75" customHeight="1">
      <c r="A139" s="1687" t="s">
        <v>1005</v>
      </c>
      <c r="B139" s="1687"/>
      <c r="C139" s="1687"/>
      <c r="D139" s="1687"/>
      <c r="E139" s="1687"/>
      <c r="F139" s="1686" t="s">
        <v>1006</v>
      </c>
      <c r="G139" s="1686"/>
      <c r="H139" s="1686"/>
      <c r="I139" s="1686"/>
      <c r="J139" s="1687" t="s">
        <v>1007</v>
      </c>
      <c r="K139" s="1687"/>
      <c r="L139" s="1687"/>
      <c r="M139" s="1687"/>
      <c r="N139" s="1687"/>
      <c r="O139" s="1686" t="s">
        <v>1006</v>
      </c>
      <c r="P139" s="1686"/>
      <c r="Q139" s="1686"/>
      <c r="R139" s="1686"/>
      <c r="S139" s="1686"/>
      <c r="T139" s="1687" t="s">
        <v>1008</v>
      </c>
      <c r="U139" s="1687"/>
      <c r="V139" s="1687"/>
      <c r="W139" s="1687"/>
      <c r="X139" s="1687"/>
      <c r="Y139" s="1687"/>
      <c r="Z139" s="1687" t="s">
        <v>1009</v>
      </c>
      <c r="AA139" s="1687"/>
      <c r="AB139" s="1687"/>
      <c r="AC139" s="1687"/>
    </row>
    <row r="140" spans="1:29" ht="12.75" customHeight="1">
      <c r="A140" s="1687"/>
      <c r="B140" s="1687"/>
      <c r="C140" s="1687"/>
      <c r="D140" s="1687"/>
      <c r="E140" s="1687"/>
      <c r="F140" s="1686"/>
      <c r="G140" s="1686"/>
      <c r="H140" s="1686"/>
      <c r="I140" s="1686"/>
      <c r="J140" s="1687"/>
      <c r="K140" s="1687"/>
      <c r="L140" s="1687"/>
      <c r="M140" s="1687"/>
      <c r="N140" s="1687"/>
      <c r="O140" s="1686"/>
      <c r="P140" s="1686"/>
      <c r="Q140" s="1686"/>
      <c r="R140" s="1686"/>
      <c r="S140" s="1686"/>
      <c r="T140" s="1687"/>
      <c r="U140" s="1687"/>
      <c r="V140" s="1687"/>
      <c r="W140" s="1687"/>
      <c r="X140" s="1687"/>
      <c r="Y140" s="1687"/>
      <c r="Z140" s="1687"/>
      <c r="AA140" s="1687"/>
      <c r="AB140" s="1687"/>
      <c r="AC140" s="1687"/>
    </row>
    <row r="141" spans="1:29" ht="12.75" customHeight="1">
      <c r="A141" s="1687"/>
      <c r="B141" s="1687"/>
      <c r="C141" s="1687"/>
      <c r="D141" s="1687"/>
      <c r="E141" s="1687"/>
      <c r="F141" s="1686"/>
      <c r="G141" s="1686"/>
      <c r="H141" s="1686"/>
      <c r="I141" s="1686"/>
      <c r="J141" s="1687"/>
      <c r="K141" s="1687"/>
      <c r="L141" s="1687"/>
      <c r="M141" s="1687"/>
      <c r="N141" s="1687"/>
      <c r="O141" s="1686"/>
      <c r="P141" s="1686"/>
      <c r="Q141" s="1686"/>
      <c r="R141" s="1686"/>
      <c r="S141" s="1686"/>
      <c r="T141" s="1687"/>
      <c r="U141" s="1687"/>
      <c r="V141" s="1687"/>
      <c r="W141" s="1687"/>
      <c r="X141" s="1687"/>
      <c r="Y141" s="1687"/>
      <c r="Z141" s="1687"/>
      <c r="AA141" s="1687"/>
      <c r="AB141" s="1687"/>
      <c r="AC141" s="1687"/>
    </row>
    <row r="142" spans="1:29" ht="36.75" customHeight="1">
      <c r="A142" s="1687"/>
      <c r="B142" s="1687"/>
      <c r="C142" s="1687"/>
      <c r="D142" s="1687"/>
      <c r="E142" s="1687"/>
      <c r="F142" s="1686"/>
      <c r="G142" s="1686"/>
      <c r="H142" s="1686"/>
      <c r="I142" s="1686"/>
      <c r="J142" s="1687"/>
      <c r="K142" s="1687"/>
      <c r="L142" s="1687"/>
      <c r="M142" s="1687"/>
      <c r="N142" s="1687"/>
      <c r="O142" s="1686"/>
      <c r="P142" s="1686"/>
      <c r="Q142" s="1686"/>
      <c r="R142" s="1686"/>
      <c r="S142" s="1686"/>
      <c r="T142" s="1687"/>
      <c r="U142" s="1687"/>
      <c r="V142" s="1687"/>
      <c r="W142" s="1687"/>
      <c r="X142" s="1687"/>
      <c r="Y142" s="1687"/>
      <c r="Z142" s="1687"/>
      <c r="AA142" s="1687"/>
      <c r="AB142" s="1687"/>
      <c r="AC142" s="1687"/>
    </row>
  </sheetData>
  <mergeCells count="68">
    <mergeCell ref="A1:AC1"/>
    <mergeCell ref="A2:AC2"/>
    <mergeCell ref="A3:AC3"/>
    <mergeCell ref="A4:AC4"/>
    <mergeCell ref="A5:AC5"/>
    <mergeCell ref="A6:G6"/>
    <mergeCell ref="H6:AA6"/>
    <mergeCell ref="P7:R7"/>
    <mergeCell ref="T7:V7"/>
    <mergeCell ref="W7:Y7"/>
    <mergeCell ref="AA7:AC7"/>
    <mergeCell ref="H7:H8"/>
    <mergeCell ref="I7:I8"/>
    <mergeCell ref="J7:J8"/>
    <mergeCell ref="K7:K8"/>
    <mergeCell ref="L7:L8"/>
    <mergeCell ref="M7:M8"/>
    <mergeCell ref="N7:N8"/>
    <mergeCell ref="O7:O8"/>
    <mergeCell ref="S7:S8"/>
    <mergeCell ref="Z7:Z8"/>
    <mergeCell ref="E116:G116"/>
    <mergeCell ref="J116:L116"/>
    <mergeCell ref="A138:N138"/>
    <mergeCell ref="O138:AC138"/>
    <mergeCell ref="A7:A8"/>
    <mergeCell ref="B7:B8"/>
    <mergeCell ref="C7:C8"/>
    <mergeCell ref="D7:D8"/>
    <mergeCell ref="E7:E8"/>
    <mergeCell ref="F7:F8"/>
    <mergeCell ref="G7:G8"/>
    <mergeCell ref="G10:G24"/>
    <mergeCell ref="G26:G28"/>
    <mergeCell ref="G30:G40"/>
    <mergeCell ref="G42:G44"/>
    <mergeCell ref="G46:G50"/>
    <mergeCell ref="G52:G54"/>
    <mergeCell ref="G56:G66"/>
    <mergeCell ref="G68:G72"/>
    <mergeCell ref="G74:G76"/>
    <mergeCell ref="G80:G82"/>
    <mergeCell ref="G84:G88"/>
    <mergeCell ref="G90:G94"/>
    <mergeCell ref="G98:G100"/>
    <mergeCell ref="G102:G104"/>
    <mergeCell ref="G106:G112"/>
    <mergeCell ref="O10:O24"/>
    <mergeCell ref="O26:O28"/>
    <mergeCell ref="O30:O40"/>
    <mergeCell ref="O42:O44"/>
    <mergeCell ref="O46:O50"/>
    <mergeCell ref="O52:O54"/>
    <mergeCell ref="O56:O66"/>
    <mergeCell ref="O68:O72"/>
    <mergeCell ref="O74:O76"/>
    <mergeCell ref="O80:O82"/>
    <mergeCell ref="O84:O88"/>
    <mergeCell ref="O90:O94"/>
    <mergeCell ref="O98:O100"/>
    <mergeCell ref="O102:O104"/>
    <mergeCell ref="O106:O112"/>
    <mergeCell ref="F139:I142"/>
    <mergeCell ref="Z139:AC142"/>
    <mergeCell ref="A139:E142"/>
    <mergeCell ref="J139:N142"/>
    <mergeCell ref="O139:S142"/>
    <mergeCell ref="T139:Y142"/>
  </mergeCell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CAC9A-524D-454B-9653-BB52208FDBA4}">
  <dimension ref="A1:AF380"/>
  <sheetViews>
    <sheetView zoomScale="47" zoomScaleNormal="47" workbookViewId="0">
      <selection activeCell="E11" sqref="E11:E12"/>
    </sheetView>
  </sheetViews>
  <sheetFormatPr defaultColWidth="8.81640625" defaultRowHeight="21"/>
  <cols>
    <col min="1" max="1" width="18.453125" style="1236" bestFit="1" customWidth="1"/>
    <col min="2" max="2" width="10.90625" style="1236" customWidth="1"/>
    <col min="3" max="3" width="14.90625" style="1236" customWidth="1"/>
    <col min="4" max="4" width="15.1796875" style="1236" bestFit="1" customWidth="1"/>
    <col min="5" max="5" width="17.453125" style="1236" customWidth="1"/>
    <col min="6" max="6" width="15.08984375" style="1236" customWidth="1"/>
    <col min="7" max="7" width="16.1796875" style="1236" customWidth="1"/>
    <col min="8" max="8" width="12.81640625" style="1236" customWidth="1"/>
    <col min="9" max="9" width="18.54296875" style="1236" bestFit="1" customWidth="1"/>
    <col min="10" max="10" width="9.08984375" style="1236" bestFit="1" customWidth="1"/>
    <col min="11" max="11" width="13.81640625" style="1236" customWidth="1"/>
    <col min="12" max="12" width="9.08984375" style="1236" bestFit="1" customWidth="1"/>
    <col min="13" max="13" width="14.81640625" style="1236" customWidth="1"/>
    <col min="14" max="14" width="11.36328125" style="1236" customWidth="1"/>
    <col min="15" max="15" width="15.1796875" style="1236" customWidth="1"/>
    <col min="16" max="16" width="9.36328125" style="1236" customWidth="1"/>
    <col min="17" max="17" width="16.6328125" style="1236" customWidth="1"/>
    <col min="18" max="18" width="9.08984375" style="1236" bestFit="1" customWidth="1"/>
    <col min="19" max="19" width="14.54296875" style="1236" customWidth="1"/>
    <col min="20" max="20" width="9.08984375" style="1236" bestFit="1" customWidth="1"/>
    <col min="21" max="21" width="15.36328125" style="1236" customWidth="1"/>
    <col min="22" max="22" width="13.1796875" style="1236" customWidth="1"/>
    <col min="23" max="23" width="14.81640625" style="1236" customWidth="1"/>
    <col min="24" max="24" width="11.90625" style="1236" customWidth="1"/>
    <col min="25" max="16384" width="8.81640625" style="1236"/>
  </cols>
  <sheetData>
    <row r="1" spans="1:24" ht="18.649999999999999" customHeight="1">
      <c r="A1" s="1737" t="s">
        <v>27</v>
      </c>
      <c r="B1" s="1737"/>
      <c r="C1" s="1737" t="s">
        <v>1018</v>
      </c>
      <c r="D1" s="1737" t="s">
        <v>1158</v>
      </c>
      <c r="E1" s="1737" t="s">
        <v>103</v>
      </c>
      <c r="F1" s="1737" t="s">
        <v>857</v>
      </c>
      <c r="G1" s="1235"/>
      <c r="U1" s="1733" t="s">
        <v>1817</v>
      </c>
      <c r="V1" s="1726">
        <f ca="1">NOW()-1</f>
        <v>45972.461192939816</v>
      </c>
      <c r="W1" s="1727"/>
      <c r="X1" s="1728"/>
    </row>
    <row r="2" spans="1:24" ht="19" customHeight="1">
      <c r="A2" s="1737"/>
      <c r="B2" s="1737"/>
      <c r="C2" s="1737"/>
      <c r="D2" s="1737"/>
      <c r="E2" s="1737"/>
      <c r="F2" s="1737"/>
      <c r="G2" s="1235"/>
      <c r="I2" s="1238"/>
      <c r="J2" s="1239"/>
      <c r="U2" s="1733"/>
      <c r="V2" s="1729"/>
      <c r="W2" s="1730"/>
      <c r="X2" s="1731"/>
    </row>
    <row r="3" spans="1:24" ht="28" customHeight="1">
      <c r="A3" s="1732" t="s">
        <v>1818</v>
      </c>
      <c r="B3" s="1732"/>
      <c r="C3" s="1234" t="s">
        <v>1819</v>
      </c>
      <c r="D3" s="1240">
        <v>188.44399999999999</v>
      </c>
      <c r="E3" s="1240">
        <v>188.44399999999999</v>
      </c>
      <c r="F3" s="1240">
        <v>0</v>
      </c>
      <c r="G3" s="1235"/>
      <c r="H3" s="1239" t="s">
        <v>278</v>
      </c>
    </row>
    <row r="4" spans="1:24" ht="28" customHeight="1">
      <c r="A4" s="1732" t="s">
        <v>1377</v>
      </c>
      <c r="B4" s="1732"/>
      <c r="C4" s="1234" t="s">
        <v>1819</v>
      </c>
      <c r="D4" s="1240">
        <v>188.44399999999999</v>
      </c>
      <c r="E4" s="1240">
        <v>178.07499999999999</v>
      </c>
      <c r="F4" s="1240">
        <v>10.369</v>
      </c>
      <c r="G4" s="1239"/>
      <c r="H4" s="1239"/>
      <c r="I4" s="1239" t="s">
        <v>1820</v>
      </c>
      <c r="K4" s="1239" t="s">
        <v>1821</v>
      </c>
      <c r="L4" s="1239"/>
    </row>
    <row r="5" spans="1:24" ht="16" customHeight="1">
      <c r="A5" s="1732" t="s">
        <v>1180</v>
      </c>
      <c r="B5" s="1732"/>
      <c r="C5" s="1733" t="s">
        <v>860</v>
      </c>
      <c r="D5" s="1733">
        <v>512</v>
      </c>
      <c r="E5" s="1734">
        <v>226</v>
      </c>
      <c r="F5" s="1734">
        <f>D5-E5</f>
        <v>286</v>
      </c>
      <c r="G5" s="1241"/>
      <c r="N5" s="1242" t="s">
        <v>1822</v>
      </c>
    </row>
    <row r="6" spans="1:24" ht="16" customHeight="1">
      <c r="A6" s="1732"/>
      <c r="B6" s="1732"/>
      <c r="C6" s="1733"/>
      <c r="D6" s="1733"/>
      <c r="E6" s="1735"/>
      <c r="F6" s="1736"/>
      <c r="G6" s="1241"/>
    </row>
    <row r="7" spans="1:24" ht="16" customHeight="1">
      <c r="A7" s="1732" t="s">
        <v>1823</v>
      </c>
      <c r="B7" s="1732"/>
      <c r="C7" s="1733" t="s">
        <v>860</v>
      </c>
      <c r="D7" s="1733">
        <v>512</v>
      </c>
      <c r="E7" s="1734">
        <v>219</v>
      </c>
      <c r="F7" s="1734">
        <f t="shared" ref="F7" si="0">D7-E7</f>
        <v>293</v>
      </c>
      <c r="G7" s="1241"/>
      <c r="H7" s="1244"/>
      <c r="I7" s="1244"/>
      <c r="J7" s="1244"/>
      <c r="K7" s="1244"/>
      <c r="L7" s="1244"/>
      <c r="M7" s="1244"/>
      <c r="N7" s="1242" t="s">
        <v>1824</v>
      </c>
      <c r="P7" s="1242"/>
      <c r="Q7" s="1242"/>
      <c r="R7" s="1245" t="s">
        <v>1825</v>
      </c>
      <c r="S7" s="1246"/>
      <c r="T7" s="1244"/>
      <c r="U7" s="1246"/>
      <c r="V7" s="1246"/>
      <c r="W7" s="1246"/>
    </row>
    <row r="8" spans="1:24" ht="16" customHeight="1">
      <c r="A8" s="1732"/>
      <c r="B8" s="1732"/>
      <c r="C8" s="1733"/>
      <c r="D8" s="1733"/>
      <c r="E8" s="1735"/>
      <c r="F8" s="1736"/>
      <c r="G8" s="1241"/>
      <c r="H8" s="1247"/>
      <c r="I8" s="1244"/>
      <c r="J8" s="1247"/>
      <c r="K8" s="1244"/>
      <c r="L8" s="1246"/>
      <c r="M8" s="1244"/>
      <c r="N8" s="1242"/>
      <c r="P8" s="1242"/>
      <c r="Q8" s="1242"/>
      <c r="R8" s="1242"/>
      <c r="S8" s="1246"/>
      <c r="T8" s="1244"/>
      <c r="U8" s="1246"/>
      <c r="V8" s="1246"/>
      <c r="W8" s="1246"/>
    </row>
    <row r="9" spans="1:24" ht="16" customHeight="1">
      <c r="A9" s="1732" t="s">
        <v>305</v>
      </c>
      <c r="B9" s="1732"/>
      <c r="C9" s="1733" t="s">
        <v>860</v>
      </c>
      <c r="D9" s="1733">
        <v>512</v>
      </c>
      <c r="E9" s="1740">
        <v>193</v>
      </c>
      <c r="F9" s="1734">
        <f t="shared" ref="F9" si="1">D9-E9</f>
        <v>319</v>
      </c>
      <c r="G9" s="1248"/>
      <c r="H9" s="1247"/>
      <c r="I9" s="1244"/>
      <c r="J9" s="1247"/>
      <c r="K9" s="1244"/>
      <c r="L9" s="1244"/>
      <c r="M9" s="1244"/>
      <c r="N9" s="1738" t="s">
        <v>1826</v>
      </c>
      <c r="O9" s="1738"/>
      <c r="P9" s="1738"/>
      <c r="Q9" s="1738"/>
      <c r="R9" s="1242"/>
      <c r="S9" s="1242"/>
      <c r="T9" s="1242"/>
      <c r="U9" s="1239" t="s">
        <v>1827</v>
      </c>
      <c r="V9" s="1246"/>
      <c r="W9" s="1246"/>
    </row>
    <row r="10" spans="1:24" ht="16" customHeight="1">
      <c r="A10" s="1732"/>
      <c r="B10" s="1732"/>
      <c r="C10" s="1733"/>
      <c r="D10" s="1733"/>
      <c r="E10" s="1736"/>
      <c r="F10" s="1736"/>
      <c r="G10" s="1248"/>
      <c r="H10" s="1247"/>
      <c r="I10" s="1244"/>
      <c r="J10" s="1247"/>
      <c r="K10" s="1244"/>
      <c r="L10" s="1246"/>
      <c r="M10" s="1244"/>
      <c r="N10" s="1739"/>
      <c r="O10" s="1739"/>
      <c r="P10" s="1739"/>
      <c r="Q10" s="1242"/>
      <c r="R10" s="1242"/>
      <c r="S10" s="1246"/>
      <c r="T10" s="1249"/>
      <c r="U10" s="1246"/>
      <c r="V10" s="1246"/>
      <c r="W10" s="1246"/>
    </row>
    <row r="11" spans="1:24" ht="16" customHeight="1">
      <c r="A11" s="1732" t="s">
        <v>1178</v>
      </c>
      <c r="B11" s="1732"/>
      <c r="C11" s="1733" t="s">
        <v>860</v>
      </c>
      <c r="D11" s="1733">
        <v>512</v>
      </c>
      <c r="E11" s="1740">
        <v>115</v>
      </c>
      <c r="F11" s="1734">
        <f t="shared" ref="F11" si="2">D11-E11</f>
        <v>397</v>
      </c>
      <c r="G11" s="1248"/>
      <c r="H11" s="1741"/>
      <c r="I11" s="1244"/>
      <c r="J11" s="1744"/>
      <c r="K11" s="1244"/>
      <c r="L11" s="1244"/>
      <c r="M11" s="1244"/>
      <c r="N11" s="1739"/>
      <c r="O11" s="1739"/>
      <c r="P11" s="1739"/>
      <c r="Q11" s="1242"/>
      <c r="R11" s="1242"/>
      <c r="S11" s="1246"/>
      <c r="T11" s="1246"/>
      <c r="U11" s="1246"/>
      <c r="V11" s="1246"/>
      <c r="W11" s="1246"/>
    </row>
    <row r="12" spans="1:24" ht="16" customHeight="1">
      <c r="A12" s="1732"/>
      <c r="B12" s="1732"/>
      <c r="C12" s="1733"/>
      <c r="D12" s="1733"/>
      <c r="E12" s="1736"/>
      <c r="F12" s="1736"/>
      <c r="G12" s="1248"/>
      <c r="H12" s="1742"/>
      <c r="I12" s="1244"/>
      <c r="J12" s="1745"/>
      <c r="K12" s="1244"/>
      <c r="L12" s="1244"/>
      <c r="M12" s="1244"/>
      <c r="N12" s="1739" t="s">
        <v>1828</v>
      </c>
      <c r="O12" s="1739"/>
      <c r="P12" s="1739"/>
      <c r="Q12" s="1250" t="s">
        <v>1829</v>
      </c>
      <c r="R12" s="1242"/>
      <c r="S12" s="1242"/>
      <c r="T12" s="1239"/>
      <c r="U12" s="1239"/>
      <c r="W12" s="1239"/>
    </row>
    <row r="13" spans="1:24" ht="16" customHeight="1">
      <c r="A13" s="1732" t="s">
        <v>1830</v>
      </c>
      <c r="B13" s="1732"/>
      <c r="C13" s="1733" t="s">
        <v>1819</v>
      </c>
      <c r="D13" s="1747">
        <v>188.44399999999999</v>
      </c>
      <c r="E13" s="1748"/>
      <c r="F13" s="1748">
        <v>188.44399999999999</v>
      </c>
      <c r="G13" s="1251"/>
      <c r="H13" s="1743"/>
      <c r="I13" s="1244"/>
      <c r="J13" s="1746"/>
      <c r="K13" s="1244"/>
      <c r="L13" s="1244"/>
      <c r="M13" s="1244"/>
      <c r="N13" s="1252"/>
      <c r="P13" s="1252"/>
      <c r="Q13" s="1252"/>
      <c r="R13" s="1252"/>
      <c r="S13" s="1246"/>
      <c r="U13" s="1246"/>
      <c r="V13" s="1246"/>
      <c r="W13" s="1246"/>
    </row>
    <row r="14" spans="1:24" ht="16" customHeight="1">
      <c r="A14" s="1732"/>
      <c r="B14" s="1732"/>
      <c r="C14" s="1733"/>
      <c r="D14" s="1747"/>
      <c r="E14" s="1749"/>
      <c r="F14" s="1749"/>
      <c r="G14" s="1251"/>
      <c r="N14" s="1739" t="s">
        <v>1831</v>
      </c>
      <c r="O14" s="1739"/>
      <c r="T14" s="1739" t="s">
        <v>509</v>
      </c>
      <c r="U14" s="1739"/>
      <c r="V14" s="1739"/>
    </row>
    <row r="15" spans="1:24" ht="16" customHeight="1">
      <c r="A15" s="1732" t="s">
        <v>1832</v>
      </c>
      <c r="B15" s="1732"/>
      <c r="C15" s="1733" t="s">
        <v>1819</v>
      </c>
      <c r="D15" s="1747">
        <v>188.44399999999999</v>
      </c>
      <c r="E15" s="1747"/>
      <c r="F15" s="1748">
        <v>188.44399999999999</v>
      </c>
      <c r="G15" s="1239"/>
      <c r="H15" s="1239"/>
      <c r="I15" s="1239"/>
      <c r="J15" s="1239"/>
      <c r="K15" s="1239"/>
      <c r="L15" s="1239"/>
      <c r="M15" s="1239"/>
      <c r="N15" s="1239"/>
      <c r="O15" s="1239"/>
      <c r="P15" s="1239"/>
      <c r="Q15" s="1239"/>
      <c r="R15" s="1239"/>
      <c r="S15" s="1239"/>
      <c r="T15" s="1739"/>
      <c r="U15" s="1739"/>
      <c r="V15" s="1739"/>
      <c r="W15" s="1239"/>
      <c r="X15" s="1239"/>
    </row>
    <row r="16" spans="1:24" ht="16" customHeight="1">
      <c r="A16" s="1732"/>
      <c r="B16" s="1732"/>
      <c r="C16" s="1733"/>
      <c r="D16" s="1747"/>
      <c r="E16" s="1747"/>
      <c r="F16" s="1749"/>
      <c r="G16" s="1239"/>
      <c r="H16" s="1239"/>
      <c r="I16" s="1239"/>
      <c r="J16" s="1239"/>
      <c r="K16" s="1239"/>
      <c r="L16" s="1239"/>
      <c r="M16" s="1239"/>
      <c r="N16" s="1239"/>
      <c r="O16" s="1239"/>
      <c r="P16" s="1239"/>
      <c r="Q16" s="1239"/>
      <c r="R16" s="1239"/>
      <c r="S16" s="1239"/>
      <c r="T16" s="1239"/>
      <c r="U16" s="1239"/>
      <c r="V16" s="1239"/>
      <c r="W16" s="1239"/>
      <c r="X16" s="1239"/>
    </row>
    <row r="17" spans="1:24">
      <c r="A17" s="1253" t="s">
        <v>1515</v>
      </c>
      <c r="B17" s="1239"/>
      <c r="C17" s="1239" t="s">
        <v>520</v>
      </c>
      <c r="D17" s="1239"/>
      <c r="E17" s="1239" t="s">
        <v>1185</v>
      </c>
      <c r="F17" s="1239"/>
      <c r="G17" s="1239" t="s">
        <v>521</v>
      </c>
      <c r="H17" s="1254" t="s">
        <v>1833</v>
      </c>
      <c r="I17" s="1239" t="s">
        <v>522</v>
      </c>
      <c r="J17" s="1239"/>
      <c r="K17" s="1239" t="s">
        <v>1186</v>
      </c>
      <c r="L17" s="1239"/>
      <c r="M17" s="1239" t="s">
        <v>524</v>
      </c>
      <c r="N17" s="1239"/>
      <c r="O17" s="1239" t="s">
        <v>525</v>
      </c>
      <c r="P17" s="1239"/>
      <c r="Q17" s="1239" t="s">
        <v>532</v>
      </c>
      <c r="R17" s="1255" t="s">
        <v>1513</v>
      </c>
      <c r="S17" s="1256" t="s">
        <v>533</v>
      </c>
      <c r="T17" s="1239"/>
      <c r="U17" s="1239" t="s">
        <v>1187</v>
      </c>
      <c r="V17" s="1239"/>
      <c r="W17" s="1256" t="s">
        <v>1188</v>
      </c>
      <c r="X17" s="1257"/>
    </row>
    <row r="18" spans="1:24" ht="15.65" customHeight="1">
      <c r="A18" s="1258"/>
      <c r="C18" s="1247"/>
      <c r="E18" s="1247"/>
      <c r="F18" s="1247"/>
      <c r="G18" s="1247"/>
      <c r="I18" s="1247"/>
      <c r="K18" s="1247"/>
      <c r="M18" s="1247"/>
      <c r="N18" s="1247"/>
      <c r="O18" s="1247"/>
      <c r="Q18" s="1247"/>
      <c r="S18" s="1247"/>
      <c r="U18" s="1247"/>
      <c r="W18" s="1247"/>
      <c r="X18" s="1257"/>
    </row>
    <row r="19" spans="1:24">
      <c r="A19" s="1258"/>
      <c r="B19" s="1239">
        <v>97</v>
      </c>
      <c r="C19" s="1259"/>
      <c r="D19" s="1239">
        <v>114</v>
      </c>
      <c r="E19" s="1259"/>
      <c r="F19" s="1259">
        <v>291</v>
      </c>
      <c r="G19" s="1259"/>
      <c r="H19" s="1239">
        <v>214</v>
      </c>
      <c r="I19" s="1259"/>
      <c r="J19" s="1239">
        <v>452</v>
      </c>
      <c r="K19" s="1259"/>
      <c r="L19" s="1239">
        <v>419</v>
      </c>
      <c r="M19" s="1259"/>
      <c r="N19" s="1259">
        <v>420</v>
      </c>
      <c r="O19" s="1259"/>
      <c r="P19" s="1239">
        <v>417</v>
      </c>
      <c r="Q19" s="1259"/>
      <c r="R19" s="1239">
        <v>356</v>
      </c>
      <c r="S19" s="1259"/>
      <c r="T19" s="1239">
        <v>343</v>
      </c>
      <c r="U19" s="1259"/>
      <c r="V19" s="1239">
        <v>381</v>
      </c>
      <c r="W19" s="1259"/>
      <c r="X19" s="1260">
        <v>373</v>
      </c>
    </row>
    <row r="20" spans="1:24" ht="16.5" customHeight="1">
      <c r="A20" s="1258"/>
      <c r="B20" s="1239"/>
      <c r="C20" s="1259"/>
      <c r="D20" s="1239"/>
      <c r="E20" s="1259"/>
      <c r="F20" s="1259"/>
      <c r="G20" s="1259"/>
      <c r="H20" s="1239"/>
      <c r="I20" s="1259"/>
      <c r="J20" s="1239"/>
      <c r="K20" s="1259"/>
      <c r="L20" s="1239"/>
      <c r="M20" s="1259"/>
      <c r="N20" s="1259"/>
      <c r="O20" s="1259"/>
      <c r="P20" s="1239"/>
      <c r="Q20" s="1259"/>
      <c r="R20" s="1239"/>
      <c r="S20" s="1259"/>
      <c r="T20" s="1239"/>
      <c r="U20" s="1259"/>
      <c r="V20" s="1239"/>
      <c r="W20" s="1259"/>
      <c r="X20" s="1260"/>
    </row>
    <row r="21" spans="1:24" ht="40" customHeight="1">
      <c r="A21" s="1258"/>
      <c r="C21" s="1261"/>
      <c r="E21" s="1261"/>
      <c r="F21" s="1262"/>
      <c r="G21" s="1261"/>
      <c r="I21" s="1261"/>
      <c r="K21" s="1261"/>
      <c r="M21" s="1261"/>
      <c r="N21" s="1262"/>
      <c r="O21" s="1261"/>
      <c r="Q21" s="1261"/>
      <c r="S21" s="1263"/>
      <c r="U21" s="1261"/>
      <c r="W21" s="1261"/>
      <c r="X21" s="1257"/>
    </row>
    <row r="22" spans="1:24">
      <c r="A22" s="1754" t="s">
        <v>1515</v>
      </c>
      <c r="B22" s="1755"/>
      <c r="C22" s="1264" t="s">
        <v>125</v>
      </c>
      <c r="D22" s="1265"/>
      <c r="E22" s="1264" t="s">
        <v>143</v>
      </c>
      <c r="F22" s="1265"/>
      <c r="G22" s="1264" t="s">
        <v>113</v>
      </c>
      <c r="H22" s="1266"/>
      <c r="I22" s="1264" t="s">
        <v>113</v>
      </c>
      <c r="J22" s="1266"/>
      <c r="K22" s="1264" t="s">
        <v>167</v>
      </c>
      <c r="L22" s="1267"/>
      <c r="M22" s="1267" t="s">
        <v>182</v>
      </c>
      <c r="N22" s="1267"/>
      <c r="O22" s="1267" t="s">
        <v>248</v>
      </c>
      <c r="P22" s="1267"/>
      <c r="Q22" s="1264" t="s">
        <v>115</v>
      </c>
      <c r="R22" s="1267"/>
      <c r="S22" s="1267" t="s">
        <v>182</v>
      </c>
      <c r="T22" s="1267"/>
      <c r="U22" s="1267" t="s">
        <v>182</v>
      </c>
      <c r="V22" s="1267"/>
      <c r="W22" s="1267" t="s">
        <v>242</v>
      </c>
      <c r="X22" s="1257"/>
    </row>
    <row r="23" spans="1:24" ht="21.5" thickBot="1">
      <c r="A23" s="1268"/>
      <c r="B23" s="1269"/>
      <c r="C23" s="1269"/>
      <c r="D23" s="1269"/>
      <c r="E23" s="1269"/>
      <c r="F23" s="1269"/>
      <c r="G23" s="1269"/>
      <c r="H23" s="1269"/>
      <c r="I23" s="1269"/>
      <c r="J23" s="1269"/>
      <c r="K23" s="1269"/>
      <c r="L23" s="1269"/>
      <c r="M23" s="1269"/>
      <c r="N23" s="1269"/>
      <c r="O23" s="1269"/>
      <c r="P23" s="1269"/>
      <c r="Q23" s="1269"/>
      <c r="R23" s="1269"/>
      <c r="S23" s="1269"/>
      <c r="T23" s="1269"/>
      <c r="U23" s="1269"/>
      <c r="V23" s="1269"/>
      <c r="W23" s="1269"/>
      <c r="X23" s="1270"/>
    </row>
    <row r="24" spans="1:24">
      <c r="A24" s="1271"/>
      <c r="B24" s="1272"/>
      <c r="C24" s="1272"/>
      <c r="D24" s="1272"/>
      <c r="E24" s="1272"/>
      <c r="F24" s="1272"/>
      <c r="G24" s="1272"/>
      <c r="H24" s="1272"/>
      <c r="I24" s="1272"/>
      <c r="J24" s="1272"/>
      <c r="K24" s="1272"/>
      <c r="L24" s="1272"/>
      <c r="M24" s="1272"/>
      <c r="N24" s="1272"/>
      <c r="O24" s="1272"/>
      <c r="P24" s="1272"/>
      <c r="Q24" s="1272"/>
      <c r="R24" s="1272"/>
      <c r="S24" s="1272"/>
      <c r="T24" s="1272"/>
      <c r="U24" s="1272"/>
      <c r="V24" s="1272"/>
      <c r="W24" s="1272"/>
      <c r="X24" s="1273"/>
    </row>
    <row r="25" spans="1:24">
      <c r="A25" s="1253" t="s">
        <v>1189</v>
      </c>
      <c r="B25" s="1239"/>
      <c r="C25" s="1239" t="s">
        <v>1190</v>
      </c>
      <c r="D25" s="1239"/>
      <c r="E25" s="1239" t="s">
        <v>1195</v>
      </c>
      <c r="F25" s="1239"/>
      <c r="G25" s="1239" t="s">
        <v>1196</v>
      </c>
      <c r="H25" s="1239"/>
      <c r="I25" s="1239" t="s">
        <v>1197</v>
      </c>
      <c r="J25" s="1239"/>
      <c r="K25" s="1239" t="s">
        <v>1198</v>
      </c>
      <c r="L25" s="1239"/>
      <c r="M25" s="1239" t="s">
        <v>534</v>
      </c>
      <c r="N25" s="1254" t="s">
        <v>1834</v>
      </c>
      <c r="O25" s="1239" t="s">
        <v>537</v>
      </c>
      <c r="P25" s="1239"/>
      <c r="Q25" s="1239" t="s">
        <v>1199</v>
      </c>
      <c r="R25" s="1239"/>
      <c r="S25" s="1239" t="s">
        <v>1200</v>
      </c>
      <c r="T25" s="1239"/>
      <c r="U25" s="1239" t="s">
        <v>1201</v>
      </c>
      <c r="V25" s="1239"/>
      <c r="W25" s="1239" t="s">
        <v>1202</v>
      </c>
      <c r="X25" s="1260"/>
    </row>
    <row r="26" spans="1:24">
      <c r="A26" s="1274"/>
      <c r="B26" s="1239"/>
      <c r="C26" s="1259"/>
      <c r="D26" s="1239"/>
      <c r="E26" s="1259"/>
      <c r="F26" s="1259"/>
      <c r="G26" s="1259"/>
      <c r="H26" s="1239"/>
      <c r="I26" s="1259"/>
      <c r="J26" s="1239"/>
      <c r="K26" s="1259"/>
      <c r="L26" s="1239"/>
      <c r="M26" s="1259"/>
      <c r="N26" s="1259"/>
      <c r="O26" s="1259"/>
      <c r="P26" s="1239"/>
      <c r="Q26" s="1259"/>
      <c r="R26" s="1239"/>
      <c r="S26" s="1259"/>
      <c r="T26" s="1239"/>
      <c r="U26" s="1259"/>
      <c r="V26" s="1239"/>
      <c r="W26" s="1259"/>
      <c r="X26" s="1260"/>
    </row>
    <row r="27" spans="1:24">
      <c r="A27" s="1274"/>
      <c r="B27" s="1239">
        <v>246</v>
      </c>
      <c r="C27" s="1259"/>
      <c r="D27" s="1239">
        <v>249</v>
      </c>
      <c r="E27" s="1259"/>
      <c r="F27" s="1259">
        <v>400</v>
      </c>
      <c r="G27" s="1259"/>
      <c r="H27" s="1239">
        <v>439</v>
      </c>
      <c r="I27" s="1259"/>
      <c r="J27" s="1239">
        <v>401</v>
      </c>
      <c r="K27" s="1259"/>
      <c r="L27" s="1239">
        <v>439</v>
      </c>
      <c r="M27" s="1259"/>
      <c r="N27" s="1259">
        <v>226</v>
      </c>
      <c r="O27" s="1259"/>
      <c r="P27" s="1239">
        <v>443</v>
      </c>
      <c r="Q27" s="1259"/>
      <c r="R27" s="1239">
        <v>389</v>
      </c>
      <c r="S27" s="1259"/>
      <c r="T27" s="1239">
        <v>359</v>
      </c>
      <c r="U27" s="1259"/>
      <c r="V27" s="1239">
        <v>405</v>
      </c>
      <c r="W27" s="1259"/>
      <c r="X27" s="1260">
        <v>427</v>
      </c>
    </row>
    <row r="28" spans="1:24" ht="13.5" customHeight="1">
      <c r="A28" s="1275"/>
      <c r="C28" s="1247"/>
      <c r="E28" s="1247"/>
      <c r="F28" s="1247"/>
      <c r="G28" s="1247"/>
      <c r="I28" s="1247"/>
      <c r="K28" s="1247"/>
      <c r="M28" s="1247"/>
      <c r="N28" s="1247"/>
      <c r="O28" s="1247"/>
      <c r="Q28" s="1247"/>
      <c r="S28" s="1247"/>
      <c r="U28" s="1247"/>
      <c r="W28" s="1247"/>
      <c r="X28" s="1257"/>
    </row>
    <row r="29" spans="1:24" ht="57.5" customHeight="1">
      <c r="A29" s="1261"/>
      <c r="B29" s="1276"/>
      <c r="C29" s="1261"/>
      <c r="D29" s="1276"/>
      <c r="E29" s="1261"/>
      <c r="F29" s="1261"/>
      <c r="G29" s="1261"/>
      <c r="H29" s="1276"/>
      <c r="I29" s="1261"/>
      <c r="J29" s="1276"/>
      <c r="K29" s="1261"/>
      <c r="L29" s="1276"/>
      <c r="M29" s="1261"/>
      <c r="N29" s="1261"/>
      <c r="O29" s="1261"/>
      <c r="P29" s="1276"/>
      <c r="Q29" s="1261"/>
      <c r="R29" s="1276"/>
      <c r="S29" s="1263"/>
      <c r="T29" s="1276"/>
      <c r="U29" s="1261"/>
      <c r="V29" s="1276"/>
      <c r="W29" s="1261"/>
      <c r="X29" s="1257"/>
    </row>
    <row r="30" spans="1:24" ht="21.5" thickBot="1">
      <c r="A30" s="1277" t="s">
        <v>185</v>
      </c>
      <c r="B30" s="1267"/>
      <c r="C30" s="1264" t="s">
        <v>119</v>
      </c>
      <c r="E30" s="1267" t="s">
        <v>182</v>
      </c>
      <c r="F30" s="1267"/>
      <c r="G30" s="1267" t="s">
        <v>242</v>
      </c>
      <c r="H30" s="1267"/>
      <c r="I30" s="1267" t="s">
        <v>242</v>
      </c>
      <c r="J30" s="1267"/>
      <c r="K30" s="1267" t="s">
        <v>185</v>
      </c>
      <c r="L30" s="1267"/>
      <c r="M30" s="1264" t="s">
        <v>117</v>
      </c>
      <c r="N30" s="1267"/>
      <c r="O30" s="1264" t="s">
        <v>117</v>
      </c>
      <c r="P30" s="1267"/>
      <c r="Q30" s="1267" t="s">
        <v>185</v>
      </c>
      <c r="R30" s="1267"/>
      <c r="S30" s="1267" t="s">
        <v>182</v>
      </c>
      <c r="T30" s="1267"/>
      <c r="U30" s="1267" t="s">
        <v>182</v>
      </c>
      <c r="V30" s="1267"/>
      <c r="W30" s="1267" t="s">
        <v>182</v>
      </c>
      <c r="X30" s="1257"/>
    </row>
    <row r="31" spans="1:24" ht="17.5" customHeight="1">
      <c r="A31" s="1271"/>
      <c r="B31" s="1272"/>
      <c r="C31" s="1272"/>
      <c r="D31" s="1272"/>
      <c r="E31" s="1272"/>
      <c r="F31" s="1272"/>
      <c r="G31" s="1272"/>
      <c r="H31" s="1272"/>
      <c r="I31" s="1272"/>
      <c r="J31" s="1272"/>
      <c r="K31" s="1272"/>
      <c r="L31" s="1272"/>
      <c r="M31" s="1272"/>
      <c r="N31" s="1272"/>
      <c r="O31" s="1272"/>
      <c r="P31" s="1272"/>
      <c r="Q31" s="1272"/>
      <c r="R31" s="1272"/>
      <c r="S31" s="1272"/>
      <c r="T31" s="1272"/>
      <c r="U31" s="1272"/>
      <c r="V31" s="1272"/>
      <c r="W31" s="1272"/>
      <c r="X31" s="1273"/>
    </row>
    <row r="32" spans="1:24">
      <c r="A32" s="1253" t="s">
        <v>1203</v>
      </c>
      <c r="B32" s="1239"/>
      <c r="C32" s="1239" t="s">
        <v>1204</v>
      </c>
      <c r="D32" s="1239"/>
      <c r="E32" s="1239" t="s">
        <v>1205</v>
      </c>
      <c r="F32" s="1239"/>
      <c r="G32" s="1239" t="s">
        <v>538</v>
      </c>
      <c r="H32" s="1239"/>
      <c r="I32" s="1239" t="s">
        <v>539</v>
      </c>
      <c r="J32" s="1239"/>
      <c r="K32" s="1239" t="s">
        <v>542</v>
      </c>
      <c r="L32" s="1239"/>
      <c r="M32" s="1239" t="s">
        <v>543</v>
      </c>
      <c r="N32" s="1239"/>
      <c r="O32" s="1239" t="s">
        <v>544</v>
      </c>
      <c r="P32" s="1239"/>
      <c r="Q32" s="1239" t="s">
        <v>545</v>
      </c>
      <c r="R32" s="1239"/>
      <c r="S32" s="1239" t="s">
        <v>546</v>
      </c>
      <c r="T32" s="1239"/>
      <c r="U32" s="1239" t="s">
        <v>1206</v>
      </c>
      <c r="V32" s="1239"/>
      <c r="W32" s="1239" t="s">
        <v>1207</v>
      </c>
      <c r="X32" s="1260"/>
    </row>
    <row r="33" spans="1:24">
      <c r="A33" s="1274"/>
      <c r="B33" s="1239"/>
      <c r="C33" s="1259"/>
      <c r="D33" s="1239"/>
      <c r="E33" s="1259"/>
      <c r="F33" s="1259"/>
      <c r="G33" s="1259"/>
      <c r="H33" s="1239"/>
      <c r="I33" s="1259"/>
      <c r="J33" s="1239"/>
      <c r="K33" s="1259"/>
      <c r="L33" s="1239"/>
      <c r="M33" s="1259"/>
      <c r="N33" s="1259"/>
      <c r="O33" s="1259"/>
      <c r="P33" s="1239"/>
      <c r="Q33" s="1259"/>
      <c r="R33" s="1239"/>
      <c r="S33" s="1259"/>
      <c r="T33" s="1239"/>
      <c r="U33" s="1259"/>
      <c r="V33" s="1239"/>
      <c r="W33" s="1259"/>
      <c r="X33" s="1260"/>
    </row>
    <row r="34" spans="1:24">
      <c r="A34" s="1274"/>
      <c r="B34" s="1239">
        <v>356</v>
      </c>
      <c r="C34" s="1259"/>
      <c r="D34" s="1239">
        <v>369</v>
      </c>
      <c r="E34" s="1259"/>
      <c r="F34" s="1259">
        <v>375</v>
      </c>
      <c r="G34" s="1259"/>
      <c r="H34" s="1239">
        <v>384</v>
      </c>
      <c r="I34" s="1259"/>
      <c r="J34" s="1239">
        <v>396</v>
      </c>
      <c r="K34" s="1259"/>
      <c r="L34" s="1239">
        <v>393</v>
      </c>
      <c r="M34" s="1259"/>
      <c r="N34" s="1259">
        <v>332</v>
      </c>
      <c r="O34" s="1259"/>
      <c r="P34" s="1239">
        <v>352</v>
      </c>
      <c r="Q34" s="1259"/>
      <c r="R34" s="1239">
        <v>389</v>
      </c>
      <c r="S34" s="1259"/>
      <c r="T34" s="1239">
        <v>374</v>
      </c>
      <c r="U34" s="1259"/>
      <c r="V34" s="1239">
        <v>420</v>
      </c>
      <c r="W34" s="1259"/>
      <c r="X34" s="1260">
        <v>388</v>
      </c>
    </row>
    <row r="35" spans="1:24" ht="15" customHeight="1" thickBot="1">
      <c r="A35" s="1275"/>
      <c r="C35" s="1247"/>
      <c r="E35" s="1247"/>
      <c r="F35" s="1247"/>
      <c r="G35" s="1247"/>
      <c r="I35" s="1247"/>
      <c r="K35" s="1247"/>
      <c r="M35" s="1247"/>
      <c r="N35" s="1247"/>
      <c r="O35" s="1247"/>
      <c r="Q35" s="1247"/>
      <c r="S35" s="1247"/>
      <c r="U35" s="1247"/>
      <c r="W35" s="1247"/>
      <c r="X35" s="1257"/>
    </row>
    <row r="36" spans="1:24" ht="55" customHeight="1" thickBot="1">
      <c r="A36" s="1278"/>
      <c r="C36" s="1261"/>
      <c r="E36" s="1261"/>
      <c r="F36" s="1262"/>
      <c r="G36" s="1261"/>
      <c r="I36" s="1279"/>
      <c r="K36" s="1261"/>
      <c r="M36" s="1261"/>
      <c r="N36" s="1262"/>
      <c r="O36" s="1261"/>
      <c r="Q36" s="1261"/>
      <c r="S36" s="1263"/>
      <c r="U36" s="1261"/>
      <c r="W36" s="1261"/>
      <c r="X36" s="1257"/>
    </row>
    <row r="37" spans="1:24" ht="19.5" customHeight="1">
      <c r="A37" s="1267" t="s">
        <v>182</v>
      </c>
      <c r="B37" s="1267"/>
      <c r="C37" s="1267" t="s">
        <v>182</v>
      </c>
      <c r="D37" s="1267"/>
      <c r="E37" s="1267" t="s">
        <v>182</v>
      </c>
      <c r="F37" s="1267"/>
      <c r="G37" s="1264" t="s">
        <v>119</v>
      </c>
      <c r="H37" s="1239"/>
      <c r="I37" s="1280" t="s">
        <v>182</v>
      </c>
      <c r="J37" s="1267"/>
      <c r="K37" s="1280" t="s">
        <v>182</v>
      </c>
      <c r="L37" s="1267"/>
      <c r="M37" s="1280" t="s">
        <v>182</v>
      </c>
      <c r="N37" s="1267"/>
      <c r="O37" s="1280" t="s">
        <v>182</v>
      </c>
      <c r="P37" s="1267"/>
      <c r="Q37" s="1280" t="s">
        <v>182</v>
      </c>
      <c r="R37" s="1267"/>
      <c r="S37" s="1280" t="s">
        <v>182</v>
      </c>
      <c r="T37" s="1267"/>
      <c r="U37" s="1280" t="s">
        <v>182</v>
      </c>
      <c r="V37" s="1267"/>
      <c r="W37" s="1280" t="s">
        <v>185</v>
      </c>
      <c r="X37" s="1267"/>
    </row>
    <row r="38" spans="1:24" ht="19" customHeight="1">
      <c r="A38" s="1258"/>
      <c r="X38" s="1257"/>
    </row>
    <row r="39" spans="1:24">
      <c r="A39" s="1253" t="s">
        <v>1208</v>
      </c>
      <c r="B39" s="1239"/>
      <c r="C39" s="1239" t="s">
        <v>1209</v>
      </c>
      <c r="D39" s="1239"/>
      <c r="E39" s="1239" t="s">
        <v>548</v>
      </c>
      <c r="F39" s="1239"/>
      <c r="G39" s="1239" t="s">
        <v>1210</v>
      </c>
      <c r="H39" s="1239"/>
      <c r="I39" s="1239" t="s">
        <v>1211</v>
      </c>
      <c r="J39" s="1239"/>
      <c r="K39" s="1239" t="s">
        <v>1212</v>
      </c>
      <c r="L39" s="1239"/>
      <c r="M39" s="1239" t="s">
        <v>1213</v>
      </c>
      <c r="N39" s="1239"/>
      <c r="O39" s="1239" t="s">
        <v>556</v>
      </c>
      <c r="P39" s="1239"/>
      <c r="Q39" s="1239" t="s">
        <v>1214</v>
      </c>
      <c r="R39" s="1239"/>
      <c r="S39" s="1239" t="s">
        <v>1215</v>
      </c>
      <c r="T39" s="1239"/>
      <c r="U39" s="1239" t="s">
        <v>1216</v>
      </c>
      <c r="V39" s="1239"/>
      <c r="W39" s="1239" t="s">
        <v>1217</v>
      </c>
      <c r="X39" s="1260"/>
    </row>
    <row r="40" spans="1:24">
      <c r="A40" s="1275"/>
      <c r="C40" s="1247"/>
      <c r="E40" s="1247"/>
      <c r="F40" s="1247"/>
      <c r="G40" s="1247"/>
      <c r="I40" s="1247"/>
      <c r="K40" s="1247"/>
      <c r="M40" s="1247"/>
      <c r="N40" s="1247"/>
      <c r="O40" s="1247"/>
      <c r="Q40" s="1247"/>
      <c r="S40" s="1247"/>
      <c r="U40" s="1247"/>
      <c r="W40" s="1247"/>
      <c r="X40" s="1257"/>
    </row>
    <row r="41" spans="1:24">
      <c r="A41" s="1275"/>
      <c r="B41" s="1239">
        <v>408</v>
      </c>
      <c r="C41" s="1259"/>
      <c r="D41" s="1239">
        <v>402</v>
      </c>
      <c r="E41" s="1259"/>
      <c r="F41" s="1259">
        <v>372</v>
      </c>
      <c r="G41" s="1259"/>
      <c r="H41" s="1239">
        <v>411</v>
      </c>
      <c r="I41" s="1259"/>
      <c r="J41" s="1239">
        <v>379</v>
      </c>
      <c r="K41" s="1259"/>
      <c r="L41" s="1239">
        <v>413</v>
      </c>
      <c r="M41" s="1259"/>
      <c r="N41" s="1259">
        <v>340</v>
      </c>
      <c r="O41" s="1259"/>
      <c r="P41" s="1239">
        <v>411</v>
      </c>
      <c r="Q41" s="1259"/>
      <c r="R41" s="1239">
        <v>428</v>
      </c>
      <c r="S41" s="1259"/>
      <c r="T41" s="1239">
        <v>404</v>
      </c>
      <c r="U41" s="1259"/>
      <c r="V41" s="1239">
        <v>398</v>
      </c>
      <c r="W41" s="1259"/>
      <c r="X41" s="1260">
        <v>432</v>
      </c>
    </row>
    <row r="42" spans="1:24" ht="16" customHeight="1">
      <c r="A42" s="1275"/>
      <c r="B42" s="1239"/>
      <c r="C42" s="1259"/>
      <c r="D42" s="1239"/>
      <c r="E42" s="1259"/>
      <c r="F42" s="1259"/>
      <c r="G42" s="1259"/>
      <c r="H42" s="1239"/>
      <c r="I42" s="1259"/>
      <c r="J42" s="1239"/>
      <c r="K42" s="1259"/>
      <c r="L42" s="1239"/>
      <c r="M42" s="1259"/>
      <c r="N42" s="1259"/>
      <c r="O42" s="1259"/>
      <c r="P42" s="1239"/>
      <c r="Q42" s="1259"/>
      <c r="R42" s="1239"/>
      <c r="S42" s="1259"/>
      <c r="T42" s="1239"/>
      <c r="U42" s="1259"/>
      <c r="V42" s="1239"/>
      <c r="W42" s="1259"/>
      <c r="X42" s="1260"/>
    </row>
    <row r="43" spans="1:24" ht="40" customHeight="1">
      <c r="A43" s="1261"/>
      <c r="C43" s="1261"/>
      <c r="E43" s="1261"/>
      <c r="F43" s="1262"/>
      <c r="G43" s="1261"/>
      <c r="I43" s="1261"/>
      <c r="K43" s="1261"/>
      <c r="M43" s="1261"/>
      <c r="N43" s="1262"/>
      <c r="O43" s="1261"/>
      <c r="Q43" s="1261"/>
      <c r="S43" s="1263"/>
      <c r="U43" s="1261"/>
      <c r="W43" s="1261"/>
      <c r="X43" s="1257"/>
    </row>
    <row r="44" spans="1:24" ht="21.5" thickBot="1">
      <c r="A44" s="1756" t="s">
        <v>1873</v>
      </c>
      <c r="B44" s="1756"/>
      <c r="C44" s="1280" t="s">
        <v>185</v>
      </c>
      <c r="D44" s="1267"/>
      <c r="E44" s="1264" t="s">
        <v>119</v>
      </c>
      <c r="F44" s="1267"/>
      <c r="G44" s="1280" t="s">
        <v>182</v>
      </c>
      <c r="H44" s="1267"/>
      <c r="I44" s="1280" t="s">
        <v>182</v>
      </c>
      <c r="J44" s="1239"/>
      <c r="K44" s="1267" t="s">
        <v>182</v>
      </c>
      <c r="L44" s="1267"/>
      <c r="M44" s="1267" t="s">
        <v>185</v>
      </c>
      <c r="N44" s="1267"/>
      <c r="O44" s="1264" t="s">
        <v>119</v>
      </c>
      <c r="P44" s="1267"/>
      <c r="Q44" s="1267" t="s">
        <v>185</v>
      </c>
      <c r="R44" s="1267"/>
      <c r="S44" s="1267" t="s">
        <v>242</v>
      </c>
      <c r="T44" s="1267"/>
      <c r="U44" s="1267" t="s">
        <v>182</v>
      </c>
      <c r="V44" s="1267"/>
      <c r="W44" s="1267" t="s">
        <v>185</v>
      </c>
      <c r="X44" s="1260"/>
    </row>
    <row r="45" spans="1:24" ht="17.5" customHeight="1">
      <c r="A45" s="1271"/>
      <c r="B45" s="1272"/>
      <c r="C45" s="1272"/>
      <c r="D45" s="1272"/>
      <c r="E45" s="1272"/>
      <c r="F45" s="1272"/>
      <c r="G45" s="1272"/>
      <c r="H45" s="1272"/>
      <c r="I45" s="1272"/>
      <c r="J45" s="1272"/>
      <c r="K45" s="1272"/>
      <c r="L45" s="1272"/>
      <c r="M45" s="1272"/>
      <c r="N45" s="1272"/>
      <c r="O45" s="1272"/>
      <c r="P45" s="1272"/>
      <c r="Q45" s="1272"/>
      <c r="R45" s="1272"/>
      <c r="S45" s="1272"/>
      <c r="T45" s="1272"/>
      <c r="U45" s="1272"/>
      <c r="V45" s="1272"/>
      <c r="W45" s="1272"/>
      <c r="X45" s="1273"/>
    </row>
    <row r="46" spans="1:24">
      <c r="A46" s="1253" t="s">
        <v>1218</v>
      </c>
      <c r="B46" s="1239"/>
      <c r="C46" s="1239" t="s">
        <v>563</v>
      </c>
      <c r="D46" s="1239"/>
      <c r="E46" s="1239" t="s">
        <v>1219</v>
      </c>
      <c r="F46" s="1239"/>
      <c r="G46" s="1239" t="s">
        <v>1220</v>
      </c>
      <c r="H46" s="1239"/>
      <c r="I46" s="1239" t="s">
        <v>1221</v>
      </c>
      <c r="J46" s="1239"/>
      <c r="K46" s="1239" t="s">
        <v>1222</v>
      </c>
      <c r="L46" s="1239"/>
      <c r="M46" s="1239" t="s">
        <v>1223</v>
      </c>
      <c r="N46" s="1239"/>
      <c r="O46" s="1239" t="s">
        <v>1224</v>
      </c>
      <c r="P46" s="1239"/>
      <c r="Q46" s="1239" t="s">
        <v>1225</v>
      </c>
      <c r="R46" s="1239"/>
      <c r="S46" s="1239" t="s">
        <v>1226</v>
      </c>
      <c r="T46" s="1239"/>
      <c r="U46" s="1239" t="s">
        <v>1227</v>
      </c>
      <c r="V46" s="1239"/>
      <c r="W46" s="1239" t="s">
        <v>1228</v>
      </c>
      <c r="X46" s="1260"/>
    </row>
    <row r="47" spans="1:24">
      <c r="A47" s="1275"/>
      <c r="C47" s="1247"/>
      <c r="E47" s="1247"/>
      <c r="F47" s="1247"/>
      <c r="G47" s="1247"/>
      <c r="I47" s="1247"/>
      <c r="K47" s="1247"/>
      <c r="M47" s="1247"/>
      <c r="N47" s="1247"/>
      <c r="O47" s="1247"/>
      <c r="Q47" s="1247"/>
      <c r="S47" s="1247"/>
      <c r="U47" s="1247"/>
      <c r="W47" s="1247"/>
      <c r="X47" s="1257"/>
    </row>
    <row r="48" spans="1:24">
      <c r="A48" s="1275"/>
      <c r="B48" s="1239">
        <v>486</v>
      </c>
      <c r="C48" s="1259"/>
      <c r="D48" s="1239">
        <v>370</v>
      </c>
      <c r="E48" s="1259"/>
      <c r="F48" s="1259">
        <v>389</v>
      </c>
      <c r="G48" s="1259"/>
      <c r="H48" s="1239">
        <v>396</v>
      </c>
      <c r="I48" s="1259"/>
      <c r="J48" s="1239">
        <v>372</v>
      </c>
      <c r="K48" s="1259"/>
      <c r="L48" s="1239">
        <v>432</v>
      </c>
      <c r="M48" s="1259"/>
      <c r="N48" s="1259">
        <v>371</v>
      </c>
      <c r="O48" s="1259"/>
      <c r="P48" s="1239">
        <v>345</v>
      </c>
      <c r="Q48" s="1259"/>
      <c r="R48" s="1239">
        <v>382</v>
      </c>
      <c r="S48" s="1259"/>
      <c r="T48" s="1239">
        <v>367</v>
      </c>
      <c r="U48" s="1259"/>
      <c r="V48" s="1239">
        <v>424</v>
      </c>
      <c r="W48" s="1259"/>
      <c r="X48" s="1260">
        <v>400</v>
      </c>
    </row>
    <row r="49" spans="1:24" ht="16" customHeight="1">
      <c r="A49" s="1275"/>
      <c r="B49" s="1239"/>
      <c r="C49" s="1259"/>
      <c r="D49" s="1239"/>
      <c r="E49" s="1259"/>
      <c r="F49" s="1259"/>
      <c r="G49" s="1259"/>
      <c r="H49" s="1239"/>
      <c r="I49" s="1259"/>
      <c r="J49" s="1239"/>
      <c r="K49" s="1259"/>
      <c r="L49" s="1239"/>
      <c r="M49" s="1259"/>
      <c r="N49" s="1259"/>
      <c r="O49" s="1259"/>
      <c r="P49" s="1239"/>
      <c r="Q49" s="1259"/>
      <c r="R49" s="1239"/>
      <c r="S49" s="1259"/>
      <c r="T49" s="1239"/>
      <c r="U49" s="1259"/>
      <c r="V49" s="1239"/>
      <c r="W49" s="1259"/>
      <c r="X49" s="1260"/>
    </row>
    <row r="50" spans="1:24" ht="40" customHeight="1">
      <c r="A50" s="1278"/>
      <c r="C50" s="1261"/>
      <c r="E50" s="1261"/>
      <c r="F50" s="1262"/>
      <c r="G50" s="1261"/>
      <c r="I50" s="1261"/>
      <c r="K50" s="1261"/>
      <c r="M50" s="1261"/>
      <c r="N50" s="1262"/>
      <c r="O50" s="1261"/>
      <c r="Q50" s="1261"/>
      <c r="S50" s="1263"/>
      <c r="U50" s="1261"/>
      <c r="W50" s="1261"/>
      <c r="X50" s="1257"/>
    </row>
    <row r="51" spans="1:24">
      <c r="A51" s="1264" t="s">
        <v>132</v>
      </c>
      <c r="B51" s="1267"/>
      <c r="C51" s="1264" t="s">
        <v>137</v>
      </c>
      <c r="D51" s="1267"/>
      <c r="E51" s="1267" t="s">
        <v>185</v>
      </c>
      <c r="F51" s="1267"/>
      <c r="G51" s="1267" t="s">
        <v>182</v>
      </c>
      <c r="H51" s="1267"/>
      <c r="I51" s="1267" t="s">
        <v>185</v>
      </c>
      <c r="J51" s="1267"/>
      <c r="K51" s="1267" t="s">
        <v>242</v>
      </c>
      <c r="L51" s="1267"/>
      <c r="M51" s="1267" t="s">
        <v>182</v>
      </c>
      <c r="O51" s="1267" t="s">
        <v>182</v>
      </c>
      <c r="P51" s="1267"/>
      <c r="Q51" s="1267" t="s">
        <v>182</v>
      </c>
      <c r="R51" s="1267"/>
      <c r="S51" s="1267" t="s">
        <v>182</v>
      </c>
      <c r="T51" s="1267"/>
      <c r="U51" s="1264" t="s">
        <v>119</v>
      </c>
      <c r="V51" s="1267"/>
      <c r="W51" s="1267" t="s">
        <v>182</v>
      </c>
      <c r="X51" s="1257"/>
    </row>
    <row r="52" spans="1:24" ht="21.5" thickBot="1">
      <c r="A52" s="1258"/>
      <c r="Q52" s="1281" t="s">
        <v>1620</v>
      </c>
      <c r="W52" s="1281" t="s">
        <v>1620</v>
      </c>
      <c r="X52" s="1257"/>
    </row>
    <row r="53" spans="1:24" ht="17.5" customHeight="1">
      <c r="A53" s="1271"/>
      <c r="B53" s="1272"/>
      <c r="C53" s="1272"/>
      <c r="D53" s="1272"/>
      <c r="E53" s="1272"/>
      <c r="F53" s="1272"/>
      <c r="G53" s="1272"/>
      <c r="H53" s="1272"/>
      <c r="I53" s="1272"/>
      <c r="J53" s="1272"/>
      <c r="K53" s="1272"/>
      <c r="L53" s="1272"/>
      <c r="M53" s="1272"/>
      <c r="N53" s="1272"/>
      <c r="O53" s="1272"/>
      <c r="P53" s="1272"/>
      <c r="Q53" s="1272"/>
      <c r="R53" s="1272"/>
      <c r="S53" s="1272"/>
      <c r="T53" s="1272"/>
      <c r="U53" s="1272"/>
      <c r="V53" s="1272"/>
      <c r="W53" s="1272"/>
      <c r="X53" s="1273"/>
    </row>
    <row r="54" spans="1:24">
      <c r="A54" s="1253" t="s">
        <v>1229</v>
      </c>
      <c r="B54" s="1239"/>
      <c r="C54" s="1239" t="s">
        <v>1230</v>
      </c>
      <c r="D54" s="1239"/>
      <c r="E54" s="1239" t="s">
        <v>1231</v>
      </c>
      <c r="F54" s="1239"/>
      <c r="G54" s="1239" t="s">
        <v>1232</v>
      </c>
      <c r="H54" s="1239"/>
      <c r="I54" s="1239" t="s">
        <v>1233</v>
      </c>
      <c r="J54" s="1239"/>
      <c r="K54" s="1239" t="s">
        <v>573</v>
      </c>
      <c r="L54" s="1239"/>
      <c r="M54" s="1239" t="s">
        <v>1234</v>
      </c>
      <c r="N54" s="1239"/>
      <c r="O54" s="1239" t="s">
        <v>1235</v>
      </c>
      <c r="P54" s="1239"/>
      <c r="Q54" s="1239" t="s">
        <v>1236</v>
      </c>
      <c r="R54" s="1239"/>
      <c r="S54" s="1239" t="s">
        <v>1237</v>
      </c>
      <c r="T54" s="1239"/>
      <c r="U54" s="1239" t="s">
        <v>1238</v>
      </c>
      <c r="V54" s="1239"/>
      <c r="W54" s="1239" t="s">
        <v>1239</v>
      </c>
      <c r="X54" s="1257"/>
    </row>
    <row r="55" spans="1:24">
      <c r="A55" s="1258"/>
      <c r="X55" s="1257"/>
    </row>
    <row r="56" spans="1:24">
      <c r="A56" s="1275"/>
      <c r="C56" s="1247"/>
      <c r="E56" s="1247"/>
      <c r="F56" s="1247"/>
      <c r="G56" s="1247"/>
      <c r="I56" s="1247"/>
      <c r="K56" s="1247"/>
      <c r="M56" s="1247"/>
      <c r="N56" s="1247"/>
      <c r="O56" s="1247"/>
      <c r="Q56" s="1247"/>
      <c r="S56" s="1247"/>
      <c r="U56" s="1247"/>
      <c r="W56" s="1247"/>
      <c r="X56" s="1257"/>
    </row>
    <row r="57" spans="1:24">
      <c r="A57" s="1275"/>
      <c r="B57" s="1236">
        <v>404</v>
      </c>
      <c r="C57" s="1247"/>
      <c r="D57" s="1236">
        <v>438</v>
      </c>
      <c r="E57" s="1247"/>
      <c r="F57" s="1247">
        <v>400</v>
      </c>
      <c r="G57" s="1247"/>
      <c r="H57" s="1236">
        <v>438</v>
      </c>
      <c r="I57" s="1247"/>
      <c r="J57" s="1236">
        <v>378</v>
      </c>
      <c r="K57" s="1247"/>
      <c r="L57" s="1236">
        <v>420</v>
      </c>
      <c r="M57" s="1247"/>
      <c r="N57" s="1247">
        <v>385</v>
      </c>
      <c r="O57" s="1247"/>
      <c r="P57" s="1236">
        <v>324</v>
      </c>
      <c r="Q57" s="1247"/>
      <c r="R57" s="1236">
        <v>384</v>
      </c>
      <c r="S57" s="1247"/>
      <c r="T57" s="1236">
        <v>381</v>
      </c>
      <c r="U57" s="1247"/>
      <c r="V57" s="1236">
        <v>336</v>
      </c>
      <c r="W57" s="1247"/>
      <c r="X57" s="1257">
        <v>439</v>
      </c>
    </row>
    <row r="58" spans="1:24" ht="16.5" customHeight="1">
      <c r="A58" s="1275"/>
      <c r="C58" s="1247"/>
      <c r="E58" s="1247"/>
      <c r="F58" s="1247"/>
      <c r="G58" s="1247"/>
      <c r="I58" s="1247"/>
      <c r="K58" s="1247"/>
      <c r="M58" s="1247"/>
      <c r="N58" s="1247"/>
      <c r="O58" s="1247"/>
      <c r="Q58" s="1247"/>
      <c r="S58" s="1247"/>
      <c r="U58" s="1247"/>
      <c r="W58" s="1247"/>
      <c r="X58" s="1257"/>
    </row>
    <row r="59" spans="1:24" ht="49" customHeight="1">
      <c r="A59" s="1278"/>
      <c r="C59" s="1261"/>
      <c r="E59" s="1261"/>
      <c r="F59" s="1262"/>
      <c r="G59" s="1261"/>
      <c r="I59" s="1261"/>
      <c r="K59" s="1261"/>
      <c r="M59" s="1261"/>
      <c r="N59" s="1262"/>
      <c r="O59" s="1261"/>
      <c r="Q59" s="1261"/>
      <c r="S59" s="1263"/>
      <c r="U59" s="1261"/>
      <c r="W59" s="1261"/>
      <c r="X59" s="1257"/>
    </row>
    <row r="60" spans="1:24" ht="21.5" thickBot="1">
      <c r="A60" s="1267" t="s">
        <v>185</v>
      </c>
      <c r="C60" s="1267" t="s">
        <v>185</v>
      </c>
      <c r="D60" s="1267"/>
      <c r="E60" s="1267" t="s">
        <v>185</v>
      </c>
      <c r="F60" s="1267"/>
      <c r="G60" s="1267" t="s">
        <v>182</v>
      </c>
      <c r="H60" s="1267"/>
      <c r="I60" s="1267" t="s">
        <v>242</v>
      </c>
      <c r="J60" s="1267"/>
      <c r="K60" s="1264" t="s">
        <v>119</v>
      </c>
      <c r="L60" s="1267"/>
      <c r="M60" s="1267" t="s">
        <v>185</v>
      </c>
      <c r="N60" s="1267"/>
      <c r="O60" s="1267" t="s">
        <v>182</v>
      </c>
      <c r="P60" s="1267"/>
      <c r="Q60" s="1267" t="s">
        <v>182</v>
      </c>
      <c r="S60" s="1267" t="s">
        <v>182</v>
      </c>
      <c r="T60" s="1267"/>
      <c r="U60" s="1267" t="s">
        <v>182</v>
      </c>
      <c r="V60" s="1267"/>
      <c r="W60" s="1267" t="s">
        <v>182</v>
      </c>
      <c r="X60" s="1257"/>
    </row>
    <row r="61" spans="1:24" ht="17.5" customHeight="1">
      <c r="A61" s="1271"/>
      <c r="B61" s="1272"/>
      <c r="C61" s="1272"/>
      <c r="D61" s="1272"/>
      <c r="E61" s="1272"/>
      <c r="F61" s="1272"/>
      <c r="G61" s="1272"/>
      <c r="H61" s="1272"/>
      <c r="I61" s="1272"/>
      <c r="J61" s="1272"/>
      <c r="K61" s="1272"/>
      <c r="L61" s="1272"/>
      <c r="M61" s="1272"/>
      <c r="N61" s="1272"/>
      <c r="O61" s="1272"/>
      <c r="P61" s="1272"/>
      <c r="Q61" s="1272"/>
      <c r="R61" s="1272"/>
      <c r="S61" s="1272"/>
      <c r="T61" s="1272"/>
      <c r="U61" s="1272"/>
      <c r="V61" s="1272"/>
      <c r="W61" s="1272"/>
      <c r="X61" s="1273"/>
    </row>
    <row r="62" spans="1:24">
      <c r="A62" s="1253" t="s">
        <v>575</v>
      </c>
      <c r="B62" s="1239"/>
      <c r="C62" s="1239" t="s">
        <v>1240</v>
      </c>
      <c r="D62" s="1239"/>
      <c r="E62" s="1239" t="s">
        <v>1241</v>
      </c>
      <c r="F62" s="1239"/>
      <c r="G62" s="1239" t="s">
        <v>584</v>
      </c>
      <c r="H62" s="1239"/>
      <c r="I62" s="1239" t="s">
        <v>1242</v>
      </c>
      <c r="J62" s="1239"/>
      <c r="K62" s="1239" t="s">
        <v>1243</v>
      </c>
      <c r="L62" s="1239"/>
      <c r="M62" s="1239" t="s">
        <v>1244</v>
      </c>
      <c r="N62" s="1239"/>
      <c r="O62" s="1239" t="s">
        <v>589</v>
      </c>
      <c r="P62" s="1239"/>
      <c r="Q62" s="1239" t="s">
        <v>1245</v>
      </c>
      <c r="R62" s="1239"/>
      <c r="S62" s="1239" t="s">
        <v>590</v>
      </c>
      <c r="T62" s="1239"/>
      <c r="U62" s="1239" t="s">
        <v>1246</v>
      </c>
      <c r="V62" s="1239"/>
      <c r="W62" s="1239" t="s">
        <v>595</v>
      </c>
      <c r="X62" s="1260"/>
    </row>
    <row r="63" spans="1:24">
      <c r="A63" s="1253"/>
      <c r="B63" s="1239"/>
      <c r="C63" s="1239"/>
      <c r="D63" s="1239"/>
      <c r="E63" s="1239"/>
      <c r="F63" s="1239"/>
      <c r="G63" s="1239"/>
      <c r="H63" s="1239"/>
      <c r="I63" s="1239"/>
      <c r="J63" s="1239"/>
      <c r="K63" s="1239"/>
      <c r="L63" s="1239"/>
      <c r="M63" s="1239"/>
      <c r="N63" s="1239"/>
      <c r="O63" s="1239"/>
      <c r="P63" s="1239"/>
      <c r="Q63" s="1239"/>
      <c r="R63" s="1239"/>
      <c r="S63" s="1239"/>
      <c r="T63" s="1239"/>
      <c r="U63" s="1239"/>
      <c r="V63" s="1239"/>
      <c r="W63" s="1239"/>
      <c r="X63" s="1260"/>
    </row>
    <row r="64" spans="1:24">
      <c r="A64" s="1274"/>
      <c r="B64" s="1239"/>
      <c r="C64" s="1259"/>
      <c r="D64" s="1239"/>
      <c r="E64" s="1259"/>
      <c r="F64" s="1259"/>
      <c r="G64" s="1259"/>
      <c r="H64" s="1239"/>
      <c r="I64" s="1259"/>
      <c r="J64" s="1239"/>
      <c r="K64" s="1259"/>
      <c r="L64" s="1239"/>
      <c r="M64" s="1259"/>
      <c r="N64" s="1259"/>
      <c r="O64" s="1259"/>
      <c r="P64" s="1239"/>
      <c r="Q64" s="1259"/>
      <c r="R64" s="1239"/>
      <c r="S64" s="1259"/>
      <c r="T64" s="1239"/>
      <c r="U64" s="1259"/>
      <c r="V64" s="1239"/>
      <c r="W64" s="1259"/>
      <c r="X64" s="1260"/>
    </row>
    <row r="65" spans="1:24">
      <c r="A65" s="1274"/>
      <c r="B65" s="1239">
        <v>395</v>
      </c>
      <c r="C65" s="1259"/>
      <c r="D65" s="1239">
        <v>388</v>
      </c>
      <c r="E65" s="1259"/>
      <c r="F65" s="1259">
        <v>364</v>
      </c>
      <c r="G65" s="1259"/>
      <c r="H65" s="1239">
        <v>405</v>
      </c>
      <c r="I65" s="1259"/>
      <c r="J65" s="1239">
        <v>432</v>
      </c>
      <c r="K65" s="1259"/>
      <c r="L65" s="1239">
        <v>404</v>
      </c>
      <c r="M65" s="1259"/>
      <c r="N65" s="1259">
        <v>417</v>
      </c>
      <c r="O65" s="1259"/>
      <c r="P65" s="1239">
        <v>468</v>
      </c>
      <c r="Q65" s="1259"/>
      <c r="R65" s="1239">
        <v>432</v>
      </c>
      <c r="S65" s="1259"/>
      <c r="T65" s="1239">
        <v>465</v>
      </c>
      <c r="U65" s="1259"/>
      <c r="V65" s="1239">
        <v>370</v>
      </c>
      <c r="W65" s="1259"/>
      <c r="X65" s="1260">
        <v>284</v>
      </c>
    </row>
    <row r="66" spans="1:24" ht="15" customHeight="1">
      <c r="A66" s="1274"/>
      <c r="B66" s="1239"/>
      <c r="C66" s="1259"/>
      <c r="D66" s="1239"/>
      <c r="E66" s="1259"/>
      <c r="F66" s="1259"/>
      <c r="G66" s="1259"/>
      <c r="H66" s="1239"/>
      <c r="I66" s="1259"/>
      <c r="J66" s="1239"/>
      <c r="K66" s="1259"/>
      <c r="L66" s="1239"/>
      <c r="M66" s="1259"/>
      <c r="N66" s="1259"/>
      <c r="O66" s="1259"/>
      <c r="P66" s="1239"/>
      <c r="Q66" s="1259"/>
      <c r="R66" s="1239"/>
      <c r="S66" s="1259"/>
      <c r="T66" s="1239"/>
      <c r="U66" s="1259"/>
      <c r="V66" s="1239"/>
      <c r="W66" s="1259"/>
      <c r="X66" s="1260"/>
    </row>
    <row r="67" spans="1:24" ht="40" customHeight="1">
      <c r="A67" s="1282"/>
      <c r="B67" s="1239"/>
      <c r="C67" s="1283"/>
      <c r="D67" s="1239"/>
      <c r="E67" s="1283"/>
      <c r="F67" s="1284"/>
      <c r="G67" s="1283"/>
      <c r="H67" s="1239"/>
      <c r="I67" s="1283"/>
      <c r="J67" s="1239"/>
      <c r="K67" s="1283"/>
      <c r="L67" s="1239"/>
      <c r="M67" s="1283"/>
      <c r="N67" s="1284"/>
      <c r="O67" s="1283"/>
      <c r="P67" s="1239"/>
      <c r="Q67" s="1283"/>
      <c r="R67" s="1239"/>
      <c r="S67" s="1285"/>
      <c r="T67" s="1239"/>
      <c r="U67" s="1283"/>
      <c r="V67" s="1239"/>
      <c r="W67" s="1283"/>
      <c r="X67" s="1260"/>
    </row>
    <row r="68" spans="1:24">
      <c r="A68" s="1253"/>
      <c r="B68" s="1239"/>
      <c r="C68" s="1239"/>
      <c r="D68" s="1239"/>
      <c r="E68" s="1239"/>
      <c r="F68" s="1239"/>
      <c r="G68" s="1239"/>
      <c r="H68" s="1239"/>
      <c r="I68" s="1239"/>
      <c r="J68" s="1239"/>
      <c r="K68" s="1239"/>
      <c r="L68" s="1239"/>
      <c r="M68" s="1239"/>
      <c r="N68" s="1239"/>
      <c r="O68" s="1239"/>
      <c r="P68" s="1239"/>
      <c r="Q68" s="1239"/>
      <c r="R68" s="1239"/>
      <c r="S68" s="1239"/>
      <c r="T68" s="1239"/>
      <c r="U68" s="1239"/>
      <c r="V68" s="1239"/>
      <c r="W68" s="1239"/>
      <c r="X68" s="1260"/>
    </row>
    <row r="69" spans="1:24">
      <c r="A69" s="1264" t="s">
        <v>119</v>
      </c>
      <c r="B69" s="1267"/>
      <c r="C69" s="1267" t="s">
        <v>182</v>
      </c>
      <c r="D69" s="1267"/>
      <c r="E69" s="1267" t="s">
        <v>185</v>
      </c>
      <c r="F69" s="1267"/>
      <c r="G69" s="1264" t="s">
        <v>115</v>
      </c>
      <c r="H69" s="1267"/>
      <c r="I69" s="1267" t="s">
        <v>248</v>
      </c>
      <c r="J69" s="1267"/>
      <c r="K69" s="1267" t="s">
        <v>242</v>
      </c>
      <c r="L69" s="1267"/>
      <c r="M69" s="1267" t="s">
        <v>185</v>
      </c>
      <c r="N69" s="1267"/>
      <c r="O69" s="1264" t="s">
        <v>119</v>
      </c>
      <c r="P69" s="1267"/>
      <c r="Q69" s="1264" t="s">
        <v>132</v>
      </c>
      <c r="R69" s="1267"/>
      <c r="S69" s="1264" t="s">
        <v>123</v>
      </c>
      <c r="T69" s="1267"/>
      <c r="U69" s="1267" t="s">
        <v>242</v>
      </c>
      <c r="V69" s="1239"/>
      <c r="W69" s="1264" t="s">
        <v>125</v>
      </c>
      <c r="X69" s="1260"/>
    </row>
    <row r="70" spans="1:24" ht="24" customHeight="1" thickBot="1">
      <c r="A70" s="1258"/>
      <c r="B70" s="1757" t="s">
        <v>1835</v>
      </c>
      <c r="C70" s="1757"/>
      <c r="D70" s="1757"/>
      <c r="E70" s="1758" t="s">
        <v>1836</v>
      </c>
      <c r="F70" s="1758"/>
      <c r="N70" s="1759" t="s">
        <v>1685</v>
      </c>
      <c r="O70" s="1759"/>
      <c r="P70" s="1759"/>
      <c r="X70" s="1257"/>
    </row>
    <row r="71" spans="1:24" ht="17.5" customHeight="1">
      <c r="A71" s="1271"/>
      <c r="B71" s="1272"/>
      <c r="C71" s="1272"/>
      <c r="D71" s="1272"/>
      <c r="E71" s="1272"/>
      <c r="F71" s="1272"/>
      <c r="G71" s="1272"/>
      <c r="H71" s="1272"/>
      <c r="I71" s="1272"/>
      <c r="J71" s="1272"/>
      <c r="K71" s="1272"/>
      <c r="L71" s="1272"/>
      <c r="M71" s="1272"/>
      <c r="N71" s="1272"/>
      <c r="O71" s="1272"/>
      <c r="P71" s="1272"/>
      <c r="Q71" s="1272"/>
      <c r="R71" s="1272"/>
      <c r="S71" s="1272"/>
      <c r="T71" s="1272"/>
      <c r="U71" s="1272"/>
      <c r="V71" s="1272"/>
      <c r="W71" s="1272"/>
      <c r="X71" s="1273"/>
    </row>
    <row r="72" spans="1:24">
      <c r="A72" s="1253" t="s">
        <v>1247</v>
      </c>
      <c r="B72" s="1239"/>
      <c r="C72" s="1239" t="s">
        <v>604</v>
      </c>
      <c r="D72" s="1239"/>
      <c r="E72" s="1239" t="s">
        <v>1248</v>
      </c>
      <c r="F72" s="1239"/>
      <c r="G72" s="1239" t="s">
        <v>608</v>
      </c>
      <c r="H72" s="1239"/>
      <c r="I72" s="1239" t="s">
        <v>1249</v>
      </c>
      <c r="J72" s="1239"/>
      <c r="K72" s="1239" t="s">
        <v>609</v>
      </c>
      <c r="L72" s="1239"/>
      <c r="M72" s="1239" t="s">
        <v>1250</v>
      </c>
      <c r="N72" s="1239"/>
      <c r="O72" s="1239" t="s">
        <v>1251</v>
      </c>
      <c r="P72" s="1239"/>
      <c r="Q72" s="1239" t="s">
        <v>1252</v>
      </c>
      <c r="R72" s="1239"/>
      <c r="S72" s="1239" t="s">
        <v>610</v>
      </c>
      <c r="T72" s="1239"/>
      <c r="U72" s="1239" t="s">
        <v>1253</v>
      </c>
      <c r="V72" s="1239"/>
      <c r="W72" s="1239" t="s">
        <v>1254</v>
      </c>
      <c r="X72" s="1260"/>
    </row>
    <row r="73" spans="1:24">
      <c r="A73" s="1253"/>
      <c r="B73" s="1239"/>
      <c r="C73" s="1239"/>
      <c r="D73" s="1239"/>
      <c r="E73" s="1239"/>
      <c r="F73" s="1239"/>
      <c r="G73" s="1239"/>
      <c r="H73" s="1239"/>
      <c r="I73" s="1239"/>
      <c r="J73" s="1239"/>
      <c r="K73" s="1239"/>
      <c r="L73" s="1239"/>
      <c r="M73" s="1239"/>
      <c r="N73" s="1239"/>
      <c r="O73" s="1239"/>
      <c r="P73" s="1239"/>
      <c r="Q73" s="1239"/>
      <c r="R73" s="1239"/>
      <c r="S73" s="1239"/>
      <c r="T73" s="1239"/>
      <c r="U73" s="1239"/>
      <c r="V73" s="1239"/>
      <c r="W73" s="1239"/>
      <c r="X73" s="1260"/>
    </row>
    <row r="74" spans="1:24">
      <c r="A74" s="1274"/>
      <c r="B74" s="1239"/>
      <c r="C74" s="1259"/>
      <c r="D74" s="1239"/>
      <c r="E74" s="1259"/>
      <c r="F74" s="1259"/>
      <c r="G74" s="1259"/>
      <c r="H74" s="1239"/>
      <c r="I74" s="1259"/>
      <c r="J74" s="1239"/>
      <c r="K74" s="1259"/>
      <c r="L74" s="1239"/>
      <c r="M74" s="1259"/>
      <c r="N74" s="1259"/>
      <c r="O74" s="1259"/>
      <c r="P74" s="1239"/>
      <c r="Q74" s="1259"/>
      <c r="R74" s="1239"/>
      <c r="S74" s="1259"/>
      <c r="T74" s="1239"/>
      <c r="U74" s="1259"/>
      <c r="V74" s="1239"/>
      <c r="W74" s="1259"/>
      <c r="X74" s="1260"/>
    </row>
    <row r="75" spans="1:24">
      <c r="A75" s="1274"/>
      <c r="B75" s="1239">
        <v>271</v>
      </c>
      <c r="C75" s="1259"/>
      <c r="D75" s="1239">
        <v>287</v>
      </c>
      <c r="E75" s="1259"/>
      <c r="F75" s="1259">
        <v>292</v>
      </c>
      <c r="G75" s="1259"/>
      <c r="H75" s="1239">
        <v>399</v>
      </c>
      <c r="I75" s="1259"/>
      <c r="J75" s="1239">
        <v>425</v>
      </c>
      <c r="K75" s="1259"/>
      <c r="L75" s="1239">
        <v>384</v>
      </c>
      <c r="M75" s="1259"/>
      <c r="N75" s="1259">
        <v>403</v>
      </c>
      <c r="O75" s="1259"/>
      <c r="P75" s="1239">
        <v>355</v>
      </c>
      <c r="Q75" s="1259"/>
      <c r="R75" s="1239">
        <v>400</v>
      </c>
      <c r="S75" s="1259"/>
      <c r="T75" s="1239">
        <v>287</v>
      </c>
      <c r="U75" s="1259"/>
      <c r="V75" s="1239">
        <v>391</v>
      </c>
      <c r="W75" s="1259"/>
      <c r="X75" s="1260">
        <v>364</v>
      </c>
    </row>
    <row r="76" spans="1:24" ht="16.5" customHeight="1">
      <c r="A76" s="1275"/>
      <c r="C76" s="1247"/>
      <c r="E76" s="1247"/>
      <c r="F76" s="1247"/>
      <c r="G76" s="1247"/>
      <c r="I76" s="1247"/>
      <c r="K76" s="1247"/>
      <c r="M76" s="1247"/>
      <c r="N76" s="1247"/>
      <c r="O76" s="1247"/>
      <c r="Q76" s="1247"/>
      <c r="S76" s="1247"/>
      <c r="U76" s="1247"/>
      <c r="W76" s="1247"/>
      <c r="X76" s="1257"/>
    </row>
    <row r="77" spans="1:24" ht="48" customHeight="1">
      <c r="A77" s="1278"/>
      <c r="C77" s="1261"/>
      <c r="E77" s="1261"/>
      <c r="F77" s="1262"/>
      <c r="G77" s="1261"/>
      <c r="I77" s="1261"/>
      <c r="K77" s="1261"/>
      <c r="M77" s="1261"/>
      <c r="N77" s="1262"/>
      <c r="O77" s="1261"/>
      <c r="Q77" s="1261"/>
      <c r="S77" s="1263"/>
      <c r="U77" s="1261"/>
      <c r="W77" s="1261"/>
      <c r="X77" s="1257"/>
    </row>
    <row r="78" spans="1:24">
      <c r="A78" s="1267" t="s">
        <v>182</v>
      </c>
      <c r="B78" s="1267"/>
      <c r="C78" s="1264" t="s">
        <v>119</v>
      </c>
      <c r="D78" s="1267"/>
      <c r="E78" s="1267" t="s">
        <v>182</v>
      </c>
      <c r="F78" s="1267"/>
      <c r="G78" s="1264" t="s">
        <v>115</v>
      </c>
      <c r="H78" s="1267"/>
      <c r="I78" s="1267" t="s">
        <v>242</v>
      </c>
      <c r="J78" s="1267"/>
      <c r="K78" s="1264" t="s">
        <v>125</v>
      </c>
      <c r="L78" s="1267"/>
      <c r="M78" s="1267" t="s">
        <v>185</v>
      </c>
      <c r="N78" s="1267"/>
      <c r="O78" s="1267" t="s">
        <v>182</v>
      </c>
      <c r="P78" s="1267"/>
      <c r="Q78" s="1267" t="s">
        <v>185</v>
      </c>
      <c r="R78" s="1267"/>
      <c r="S78" s="1264" t="s">
        <v>115</v>
      </c>
      <c r="T78" s="1267"/>
      <c r="U78" s="1267" t="s">
        <v>182</v>
      </c>
      <c r="V78" s="1267"/>
      <c r="W78" s="1267" t="s">
        <v>182</v>
      </c>
      <c r="X78" s="1257"/>
    </row>
    <row r="79" spans="1:24" ht="21.5" thickBot="1">
      <c r="A79" s="1258"/>
      <c r="K79" s="1750" t="s">
        <v>1521</v>
      </c>
      <c r="L79" s="1750"/>
      <c r="U79" s="1750" t="s">
        <v>1522</v>
      </c>
      <c r="V79" s="1750"/>
      <c r="X79" s="1257"/>
    </row>
    <row r="80" spans="1:24" ht="17.5" customHeight="1">
      <c r="A80" s="1271"/>
      <c r="B80" s="1272"/>
      <c r="C80" s="1272"/>
      <c r="D80" s="1272"/>
      <c r="E80" s="1272"/>
      <c r="F80" s="1272"/>
      <c r="G80" s="1272"/>
      <c r="H80" s="1272"/>
      <c r="I80" s="1272"/>
      <c r="J80" s="1272"/>
      <c r="K80" s="1272"/>
      <c r="L80" s="1272"/>
      <c r="M80" s="1272"/>
      <c r="N80" s="1272"/>
      <c r="O80" s="1272"/>
      <c r="P80" s="1272"/>
      <c r="Q80" s="1272"/>
      <c r="R80" s="1272"/>
      <c r="S80" s="1272"/>
      <c r="T80" s="1272"/>
      <c r="U80" s="1272"/>
      <c r="V80" s="1272"/>
      <c r="W80" s="1272"/>
      <c r="X80" s="1273"/>
    </row>
    <row r="81" spans="1:24">
      <c r="A81" s="1253" t="s">
        <v>1255</v>
      </c>
      <c r="B81" s="1239"/>
      <c r="C81" s="1239" t="s">
        <v>1256</v>
      </c>
      <c r="D81" s="1239"/>
      <c r="E81" s="1239" t="s">
        <v>1257</v>
      </c>
      <c r="F81" s="1239"/>
      <c r="G81" s="1239" t="s">
        <v>1258</v>
      </c>
      <c r="H81" s="1239"/>
      <c r="I81" s="1239" t="s">
        <v>616</v>
      </c>
      <c r="J81" s="1239"/>
      <c r="K81" s="1239" t="s">
        <v>1259</v>
      </c>
      <c r="L81" s="1239"/>
      <c r="M81" s="1239" t="s">
        <v>1260</v>
      </c>
      <c r="N81" s="1239"/>
      <c r="O81" s="1239" t="s">
        <v>620</v>
      </c>
      <c r="P81" s="1239"/>
      <c r="Q81" s="1239" t="s">
        <v>623</v>
      </c>
      <c r="R81" s="1239"/>
      <c r="S81" s="1239" t="s">
        <v>1261</v>
      </c>
      <c r="T81" s="1239"/>
      <c r="U81" s="1239" t="s">
        <v>1262</v>
      </c>
      <c r="V81" s="1239"/>
      <c r="W81" s="1239" t="s">
        <v>1263</v>
      </c>
      <c r="X81" s="1260"/>
    </row>
    <row r="82" spans="1:24">
      <c r="A82" s="1253"/>
      <c r="B82" s="1239"/>
      <c r="C82" s="1239"/>
      <c r="D82" s="1239"/>
      <c r="E82" s="1239"/>
      <c r="F82" s="1239"/>
      <c r="G82" s="1239"/>
      <c r="H82" s="1239"/>
      <c r="I82" s="1239"/>
      <c r="J82" s="1239"/>
      <c r="K82" s="1239"/>
      <c r="L82" s="1239"/>
      <c r="M82" s="1239"/>
      <c r="N82" s="1239"/>
      <c r="O82" s="1239"/>
      <c r="P82" s="1239"/>
      <c r="Q82" s="1239"/>
      <c r="R82" s="1239"/>
      <c r="S82" s="1239"/>
      <c r="T82" s="1239"/>
      <c r="U82" s="1239"/>
      <c r="V82" s="1239"/>
      <c r="W82" s="1239"/>
      <c r="X82" s="1260"/>
    </row>
    <row r="83" spans="1:24">
      <c r="A83" s="1274"/>
      <c r="B83" s="1239"/>
      <c r="C83" s="1259"/>
      <c r="D83" s="1239"/>
      <c r="E83" s="1259"/>
      <c r="F83" s="1259"/>
      <c r="G83" s="1259"/>
      <c r="H83" s="1239"/>
      <c r="I83" s="1259"/>
      <c r="J83" s="1239"/>
      <c r="K83" s="1259"/>
      <c r="L83" s="1239"/>
      <c r="M83" s="1259"/>
      <c r="N83" s="1259"/>
      <c r="O83" s="1259"/>
      <c r="P83" s="1239"/>
      <c r="Q83" s="1259"/>
      <c r="R83" s="1239"/>
      <c r="S83" s="1259"/>
      <c r="T83" s="1239"/>
      <c r="U83" s="1259"/>
      <c r="V83" s="1239"/>
      <c r="W83" s="1259"/>
      <c r="X83" s="1260"/>
    </row>
    <row r="84" spans="1:24">
      <c r="A84" s="1274"/>
      <c r="B84" s="1239">
        <v>338</v>
      </c>
      <c r="C84" s="1259"/>
      <c r="D84" s="1239">
        <v>348</v>
      </c>
      <c r="E84" s="1259"/>
      <c r="F84" s="1259">
        <v>419</v>
      </c>
      <c r="G84" s="1259"/>
      <c r="H84" s="1239">
        <v>409</v>
      </c>
      <c r="I84" s="1259"/>
      <c r="J84" s="1239">
        <v>365</v>
      </c>
      <c r="K84" s="1259"/>
      <c r="L84" s="1239">
        <v>437</v>
      </c>
      <c r="M84" s="1259"/>
      <c r="N84" s="1259">
        <v>363</v>
      </c>
      <c r="O84" s="1259"/>
      <c r="P84" s="1239">
        <v>160</v>
      </c>
      <c r="Q84" s="1259"/>
      <c r="R84" s="1239">
        <v>300</v>
      </c>
      <c r="S84" s="1259"/>
      <c r="T84" s="1239">
        <v>293</v>
      </c>
      <c r="U84" s="1259"/>
      <c r="V84" s="1239">
        <v>357</v>
      </c>
      <c r="W84" s="1259"/>
      <c r="X84" s="1260">
        <v>341</v>
      </c>
    </row>
    <row r="85" spans="1:24" ht="16" customHeight="1">
      <c r="A85" s="1275"/>
      <c r="C85" s="1247"/>
      <c r="E85" s="1247"/>
      <c r="F85" s="1247"/>
      <c r="G85" s="1247"/>
      <c r="I85" s="1247"/>
      <c r="K85" s="1247"/>
      <c r="M85" s="1247"/>
      <c r="N85" s="1247"/>
      <c r="O85" s="1247"/>
      <c r="Q85" s="1247"/>
      <c r="S85" s="1247"/>
      <c r="U85" s="1247"/>
      <c r="W85" s="1247"/>
      <c r="X85" s="1257"/>
    </row>
    <row r="86" spans="1:24" ht="53.5" customHeight="1">
      <c r="A86" s="1276"/>
      <c r="B86" s="1276"/>
      <c r="C86" s="1276"/>
      <c r="D86" s="1276"/>
      <c r="E86" s="1276"/>
      <c r="F86" s="1276"/>
      <c r="G86" s="1276"/>
      <c r="H86" s="1276"/>
      <c r="I86" s="1276"/>
      <c r="J86" s="1276"/>
      <c r="K86" s="1276"/>
      <c r="L86" s="1276"/>
      <c r="M86" s="1276"/>
      <c r="O86" s="1276"/>
      <c r="P86" s="1276"/>
      <c r="Q86" s="1276"/>
      <c r="R86" s="1276"/>
      <c r="S86" s="1276"/>
      <c r="T86" s="1276"/>
      <c r="U86" s="1276"/>
      <c r="V86" s="1276"/>
      <c r="W86" s="1276"/>
    </row>
    <row r="87" spans="1:24">
      <c r="A87" s="1267" t="s">
        <v>182</v>
      </c>
      <c r="C87" s="1267" t="s">
        <v>182</v>
      </c>
      <c r="D87" s="1267"/>
      <c r="E87" s="1267" t="s">
        <v>185</v>
      </c>
      <c r="F87" s="1267"/>
      <c r="G87" s="1267" t="s">
        <v>248</v>
      </c>
      <c r="H87" s="1267"/>
      <c r="I87" s="1264" t="s">
        <v>143</v>
      </c>
      <c r="J87" s="1267"/>
      <c r="K87" s="1267" t="s">
        <v>182</v>
      </c>
      <c r="L87" s="1267"/>
      <c r="M87" s="1267" t="s">
        <v>242</v>
      </c>
      <c r="N87" s="1267"/>
      <c r="O87" s="1264" t="s">
        <v>188</v>
      </c>
      <c r="P87" s="1267"/>
      <c r="Q87" s="1264" t="s">
        <v>125</v>
      </c>
      <c r="R87" s="1267"/>
      <c r="S87" s="1264" t="s">
        <v>188</v>
      </c>
      <c r="T87" s="1267"/>
      <c r="U87" s="1267" t="s">
        <v>182</v>
      </c>
      <c r="V87" s="1267"/>
      <c r="W87" s="1267" t="s">
        <v>182</v>
      </c>
      <c r="X87" s="1257"/>
    </row>
    <row r="88" spans="1:24" ht="21.5" thickBot="1">
      <c r="A88" s="1258"/>
      <c r="G88" s="1286" t="s">
        <v>1621</v>
      </c>
      <c r="X88" s="1257"/>
    </row>
    <row r="89" spans="1:24" ht="18.5" customHeight="1">
      <c r="A89" s="1271"/>
      <c r="B89" s="1272"/>
      <c r="C89" s="1272"/>
      <c r="D89" s="1272"/>
      <c r="E89" s="1272"/>
      <c r="F89" s="1272"/>
      <c r="G89" s="1272"/>
      <c r="H89" s="1272"/>
      <c r="I89" s="1272"/>
      <c r="J89" s="1272"/>
      <c r="K89" s="1272"/>
      <c r="L89" s="1272"/>
      <c r="M89" s="1272"/>
      <c r="N89" s="1272"/>
      <c r="O89" s="1272"/>
      <c r="P89" s="1272"/>
      <c r="Q89" s="1272"/>
      <c r="R89" s="1272"/>
      <c r="S89" s="1272"/>
      <c r="T89" s="1272"/>
      <c r="U89" s="1272"/>
      <c r="V89" s="1272"/>
      <c r="W89" s="1272"/>
      <c r="X89" s="1273"/>
    </row>
    <row r="90" spans="1:24">
      <c r="A90" s="1253" t="s">
        <v>624</v>
      </c>
      <c r="B90" s="1239"/>
      <c r="C90" s="1239" t="s">
        <v>1264</v>
      </c>
      <c r="D90" s="1239"/>
      <c r="E90" s="1239" t="s">
        <v>625</v>
      </c>
      <c r="F90" s="1239"/>
      <c r="G90" s="1239" t="s">
        <v>627</v>
      </c>
      <c r="H90" s="1239"/>
      <c r="I90" s="1239" t="s">
        <v>634</v>
      </c>
      <c r="J90" s="1239"/>
      <c r="K90" s="1239" t="s">
        <v>1265</v>
      </c>
      <c r="L90" s="1239"/>
      <c r="M90" s="1239" t="s">
        <v>1266</v>
      </c>
      <c r="N90" s="1239"/>
      <c r="O90" s="1239" t="s">
        <v>1267</v>
      </c>
      <c r="P90" s="1239"/>
      <c r="Q90" s="1239" t="s">
        <v>1837</v>
      </c>
      <c r="R90" s="1239"/>
      <c r="S90" s="1239" t="s">
        <v>1270</v>
      </c>
      <c r="T90" s="1239"/>
      <c r="U90" s="1239" t="s">
        <v>1271</v>
      </c>
      <c r="V90" s="1239"/>
      <c r="W90" s="1239" t="s">
        <v>1272</v>
      </c>
      <c r="X90" s="1260"/>
    </row>
    <row r="91" spans="1:24">
      <c r="A91" s="1253"/>
      <c r="B91" s="1239"/>
      <c r="C91" s="1239"/>
      <c r="D91" s="1239"/>
      <c r="E91" s="1239"/>
      <c r="F91" s="1239"/>
      <c r="G91" s="1239"/>
      <c r="H91" s="1239"/>
      <c r="I91" s="1239"/>
      <c r="J91" s="1239"/>
      <c r="K91" s="1239"/>
      <c r="L91" s="1239"/>
      <c r="M91" s="1239"/>
      <c r="N91" s="1239"/>
      <c r="O91" s="1239"/>
      <c r="P91" s="1239"/>
      <c r="Q91" s="1239"/>
      <c r="R91" s="1239"/>
      <c r="S91" s="1239"/>
      <c r="T91" s="1239"/>
      <c r="U91" s="1239"/>
      <c r="V91" s="1239"/>
      <c r="W91" s="1239"/>
      <c r="X91" s="1260"/>
    </row>
    <row r="92" spans="1:24">
      <c r="A92" s="1274"/>
      <c r="B92" s="1239"/>
      <c r="C92" s="1259"/>
      <c r="D92" s="1239"/>
      <c r="E92" s="1259"/>
      <c r="F92" s="1259"/>
      <c r="G92" s="1259"/>
      <c r="H92" s="1239"/>
      <c r="I92" s="1259"/>
      <c r="J92" s="1239"/>
      <c r="K92" s="1259"/>
      <c r="L92" s="1239"/>
      <c r="M92" s="1259"/>
      <c r="N92" s="1259"/>
      <c r="O92" s="1259"/>
      <c r="P92" s="1239"/>
      <c r="Q92" s="1259"/>
      <c r="R92" s="1239"/>
      <c r="S92" s="1259"/>
      <c r="T92" s="1239"/>
      <c r="U92" s="1259"/>
      <c r="V92" s="1239"/>
      <c r="W92" s="1259"/>
      <c r="X92" s="1260"/>
    </row>
    <row r="93" spans="1:24">
      <c r="A93" s="1274"/>
      <c r="B93" s="1239">
        <v>363</v>
      </c>
      <c r="C93" s="1259"/>
      <c r="D93" s="1239">
        <v>421</v>
      </c>
      <c r="E93" s="1259"/>
      <c r="F93" s="1259">
        <v>216</v>
      </c>
      <c r="G93" s="1259"/>
      <c r="H93" s="1239">
        <v>440</v>
      </c>
      <c r="I93" s="1259"/>
      <c r="J93" s="1239">
        <v>243</v>
      </c>
      <c r="K93" s="1259"/>
      <c r="L93" s="1239">
        <v>333</v>
      </c>
      <c r="M93" s="1259"/>
      <c r="N93" s="1259">
        <v>358</v>
      </c>
      <c r="O93" s="1259"/>
      <c r="P93" s="1239">
        <v>365</v>
      </c>
      <c r="Q93" s="1259"/>
      <c r="R93" s="1239">
        <v>411</v>
      </c>
      <c r="S93" s="1259"/>
      <c r="T93" s="1239">
        <v>418</v>
      </c>
      <c r="U93" s="1259"/>
      <c r="V93" s="1239">
        <v>418</v>
      </c>
      <c r="W93" s="1259"/>
      <c r="X93" s="1260">
        <v>373</v>
      </c>
    </row>
    <row r="94" spans="1:24" ht="13.5" customHeight="1">
      <c r="A94" s="1275"/>
      <c r="C94" s="1247"/>
      <c r="E94" s="1247"/>
      <c r="F94" s="1247"/>
      <c r="G94" s="1247"/>
      <c r="I94" s="1247"/>
      <c r="K94" s="1247"/>
      <c r="M94" s="1247"/>
      <c r="N94" s="1247"/>
      <c r="O94" s="1247"/>
      <c r="Q94" s="1247"/>
      <c r="S94" s="1247"/>
      <c r="U94" s="1247"/>
      <c r="W94" s="1247"/>
      <c r="X94" s="1257"/>
    </row>
    <row r="95" spans="1:24" ht="54" customHeight="1">
      <c r="A95" s="1278"/>
      <c r="C95" s="1261"/>
      <c r="E95" s="1261"/>
      <c r="F95" s="1262"/>
      <c r="G95" s="1261"/>
      <c r="I95" s="1261"/>
      <c r="K95" s="1261"/>
      <c r="M95" s="1261"/>
      <c r="N95" s="1262"/>
      <c r="O95" s="1261"/>
      <c r="Q95" s="1261"/>
      <c r="S95" s="1263"/>
      <c r="U95" s="1261"/>
      <c r="W95" s="1261"/>
      <c r="X95" s="1257"/>
    </row>
    <row r="96" spans="1:24">
      <c r="A96" s="1258"/>
      <c r="E96" s="1287"/>
      <c r="F96" s="1254" t="s">
        <v>1833</v>
      </c>
      <c r="G96" s="1287"/>
      <c r="H96" s="1288"/>
      <c r="I96" s="1287"/>
      <c r="J96" s="1254" t="s">
        <v>1838</v>
      </c>
      <c r="K96" s="1289"/>
      <c r="X96" s="1257"/>
    </row>
    <row r="97" spans="1:24" ht="21.5" thickBot="1">
      <c r="A97" s="1264" t="s">
        <v>123</v>
      </c>
      <c r="B97" s="1267"/>
      <c r="C97" s="1267" t="s">
        <v>248</v>
      </c>
      <c r="D97" s="1267"/>
      <c r="E97" s="1264" t="s">
        <v>192</v>
      </c>
      <c r="G97" s="1264" t="s">
        <v>119</v>
      </c>
      <c r="H97" s="1267"/>
      <c r="I97" s="1264" t="s">
        <v>123</v>
      </c>
      <c r="J97" s="1267"/>
      <c r="K97" s="1264" t="s">
        <v>147</v>
      </c>
      <c r="L97" s="1267"/>
      <c r="M97" s="1267" t="s">
        <v>182</v>
      </c>
      <c r="N97" s="1267"/>
      <c r="O97" s="1267" t="s">
        <v>242</v>
      </c>
      <c r="P97" s="1267"/>
      <c r="Q97" s="1264" t="s">
        <v>115</v>
      </c>
      <c r="R97" s="1267"/>
      <c r="S97" s="1267" t="s">
        <v>242</v>
      </c>
      <c r="T97" s="1267"/>
      <c r="U97" s="1267" t="s">
        <v>182</v>
      </c>
      <c r="V97" s="1267"/>
      <c r="W97" s="1267" t="s">
        <v>248</v>
      </c>
      <c r="X97" s="1257"/>
    </row>
    <row r="98" spans="1:24" ht="18.5" customHeight="1">
      <c r="A98" s="1271"/>
      <c r="B98" s="1272"/>
      <c r="C98" s="1272"/>
      <c r="D98" s="1272"/>
      <c r="E98" s="1272"/>
      <c r="F98" s="1272"/>
      <c r="G98" s="1272"/>
      <c r="H98" s="1272"/>
      <c r="I98" s="1272"/>
      <c r="J98" s="1272"/>
      <c r="K98" s="1272"/>
      <c r="L98" s="1272"/>
      <c r="M98" s="1272"/>
      <c r="N98" s="1272"/>
      <c r="O98" s="1272"/>
      <c r="P98" s="1272"/>
      <c r="Q98" s="1272"/>
      <c r="R98" s="1272"/>
      <c r="S98" s="1272"/>
      <c r="T98" s="1272"/>
      <c r="U98" s="1272"/>
      <c r="V98" s="1272"/>
      <c r="W98" s="1272"/>
      <c r="X98" s="1273"/>
    </row>
    <row r="99" spans="1:24">
      <c r="A99" s="1253" t="s">
        <v>1839</v>
      </c>
      <c r="B99" s="1239"/>
      <c r="C99" s="1290" t="s">
        <v>1840</v>
      </c>
      <c r="D99" s="1239"/>
      <c r="E99" s="1239" t="s">
        <v>138</v>
      </c>
      <c r="F99" s="1239"/>
      <c r="G99" s="1290" t="s">
        <v>1841</v>
      </c>
      <c r="H99" s="1239"/>
      <c r="I99" s="1239" t="s">
        <v>644</v>
      </c>
      <c r="J99" s="1239"/>
      <c r="K99" s="1290" t="s">
        <v>1842</v>
      </c>
      <c r="L99" s="1239"/>
      <c r="M99" s="1239" t="s">
        <v>1843</v>
      </c>
      <c r="N99" s="1239"/>
      <c r="O99" s="1290" t="s">
        <v>1844</v>
      </c>
      <c r="P99" s="1239"/>
      <c r="Q99" s="1239" t="s">
        <v>647</v>
      </c>
      <c r="R99" s="1239"/>
      <c r="S99" s="1290" t="s">
        <v>1845</v>
      </c>
      <c r="T99" s="1239"/>
      <c r="U99" s="1239" t="s">
        <v>139</v>
      </c>
      <c r="V99" s="1239"/>
      <c r="W99" s="1239" t="s">
        <v>1846</v>
      </c>
      <c r="X99" s="1260"/>
    </row>
    <row r="100" spans="1:24">
      <c r="A100" s="1253"/>
      <c r="B100" s="1239"/>
      <c r="C100" s="1239"/>
      <c r="D100" s="1239"/>
      <c r="E100" s="1239"/>
      <c r="F100" s="1239"/>
      <c r="G100" s="1239"/>
      <c r="H100" s="1239"/>
      <c r="I100" s="1239"/>
      <c r="J100" s="1239"/>
      <c r="K100" s="1239"/>
      <c r="L100" s="1239"/>
      <c r="M100" s="1239"/>
      <c r="N100" s="1239"/>
      <c r="O100" s="1239"/>
      <c r="P100" s="1239"/>
      <c r="Q100" s="1239"/>
      <c r="R100" s="1239"/>
      <c r="S100" s="1239"/>
      <c r="T100" s="1239"/>
      <c r="U100" s="1239"/>
      <c r="V100" s="1239"/>
      <c r="W100" s="1239"/>
      <c r="X100" s="1260"/>
    </row>
    <row r="101" spans="1:24">
      <c r="A101" s="1274"/>
      <c r="B101" s="1239"/>
      <c r="C101" s="1259"/>
      <c r="D101" s="1239"/>
      <c r="E101" s="1259"/>
      <c r="F101" s="1259"/>
      <c r="G101" s="1259"/>
      <c r="H101" s="1239"/>
      <c r="I101" s="1259"/>
      <c r="J101" s="1239"/>
      <c r="K101" s="1259"/>
      <c r="L101" s="1239"/>
      <c r="M101" s="1259"/>
      <c r="N101" s="1259"/>
      <c r="O101" s="1259"/>
      <c r="P101" s="1239"/>
      <c r="Q101" s="1259"/>
      <c r="R101" s="1239"/>
      <c r="S101" s="1259"/>
      <c r="T101" s="1239"/>
      <c r="U101" s="1259"/>
      <c r="V101" s="1239"/>
      <c r="W101" s="1259"/>
      <c r="X101" s="1260"/>
    </row>
    <row r="102" spans="1:24">
      <c r="A102" s="1274"/>
      <c r="B102" s="1239">
        <v>400</v>
      </c>
      <c r="C102" s="1259"/>
      <c r="D102" s="1239">
        <v>408</v>
      </c>
      <c r="E102" s="1259"/>
      <c r="F102" s="1259">
        <v>424</v>
      </c>
      <c r="G102" s="1259"/>
      <c r="H102" s="1239">
        <v>416</v>
      </c>
      <c r="I102" s="1259"/>
      <c r="J102" s="1239">
        <v>380</v>
      </c>
      <c r="K102" s="1259"/>
      <c r="L102" s="1239">
        <v>485</v>
      </c>
      <c r="M102" s="1259"/>
      <c r="N102" s="1259">
        <v>288</v>
      </c>
      <c r="O102" s="1259"/>
      <c r="P102" s="1239">
        <v>337</v>
      </c>
      <c r="Q102" s="1259"/>
      <c r="R102" s="1239">
        <v>325</v>
      </c>
      <c r="S102" s="1259"/>
      <c r="T102" s="1239">
        <v>214</v>
      </c>
      <c r="U102" s="1259"/>
      <c r="V102" s="1239">
        <v>456</v>
      </c>
      <c r="W102" s="1259"/>
      <c r="X102" s="1260">
        <v>421</v>
      </c>
    </row>
    <row r="103" spans="1:24" ht="15.5" customHeight="1">
      <c r="A103" s="1275"/>
      <c r="C103" s="1247"/>
      <c r="E103" s="1247"/>
      <c r="F103" s="1247"/>
      <c r="G103" s="1247"/>
      <c r="I103" s="1247"/>
      <c r="K103" s="1247"/>
      <c r="M103" s="1247"/>
      <c r="N103" s="1247"/>
      <c r="O103" s="1247"/>
      <c r="Q103" s="1247"/>
      <c r="S103" s="1247"/>
      <c r="U103" s="1247"/>
      <c r="W103" s="1247"/>
      <c r="X103" s="1257"/>
    </row>
    <row r="104" spans="1:24" ht="40" customHeight="1">
      <c r="A104" s="1278"/>
      <c r="C104" s="1261"/>
      <c r="E104" s="1261"/>
      <c r="F104" s="1262"/>
      <c r="G104" s="1261"/>
      <c r="I104" s="1261"/>
      <c r="K104" s="1261"/>
      <c r="M104" s="1261"/>
      <c r="N104" s="1262"/>
      <c r="O104" s="1261"/>
      <c r="Q104" s="1261"/>
      <c r="S104" s="1263"/>
      <c r="U104" s="1261"/>
      <c r="W104" s="1261"/>
      <c r="X104" s="1257"/>
    </row>
    <row r="105" spans="1:24">
      <c r="A105" s="1258"/>
      <c r="E105" s="1291"/>
      <c r="F105" s="1254" t="s">
        <v>1847</v>
      </c>
      <c r="G105" s="1289"/>
      <c r="H105" s="1289"/>
      <c r="I105" s="1289"/>
      <c r="K105" s="1292" t="s">
        <v>466</v>
      </c>
      <c r="X105" s="1257"/>
    </row>
    <row r="106" spans="1:24" ht="21.5" thickBot="1">
      <c r="A106" s="1264" t="s">
        <v>188</v>
      </c>
      <c r="B106" s="1267"/>
      <c r="C106" s="1267" t="s">
        <v>185</v>
      </c>
      <c r="D106" s="1267"/>
      <c r="E106" s="1264" t="s">
        <v>132</v>
      </c>
      <c r="G106" s="1267" t="s">
        <v>242</v>
      </c>
      <c r="H106" s="1267"/>
      <c r="I106" s="1267" t="s">
        <v>248</v>
      </c>
      <c r="J106" s="1267"/>
      <c r="K106" s="1267" t="s">
        <v>132</v>
      </c>
      <c r="L106" s="1267"/>
      <c r="M106" s="1264" t="s">
        <v>115</v>
      </c>
      <c r="N106" s="1267"/>
      <c r="O106" s="1267" t="s">
        <v>182</v>
      </c>
      <c r="P106" s="1267"/>
      <c r="Q106" s="1267" t="s">
        <v>182</v>
      </c>
      <c r="R106" s="1267"/>
      <c r="S106" s="1267" t="s">
        <v>182</v>
      </c>
      <c r="T106" s="1267"/>
      <c r="U106" s="1264" t="s">
        <v>123</v>
      </c>
      <c r="V106" s="1265"/>
      <c r="W106" s="1264" t="s">
        <v>123</v>
      </c>
      <c r="X106" s="1257"/>
    </row>
    <row r="107" spans="1:24" ht="19.5" customHeight="1">
      <c r="A107" s="1271"/>
      <c r="B107" s="1272"/>
      <c r="C107" s="1272"/>
      <c r="D107" s="1272"/>
      <c r="E107" s="1272"/>
      <c r="F107" s="1272"/>
      <c r="G107" s="1272"/>
      <c r="H107" s="1272"/>
      <c r="I107" s="1272"/>
      <c r="J107" s="1272"/>
      <c r="K107" s="1272"/>
      <c r="L107" s="1272"/>
      <c r="M107" s="1272"/>
      <c r="N107" s="1272"/>
      <c r="O107" s="1272"/>
      <c r="P107" s="1272"/>
      <c r="Q107" s="1272"/>
      <c r="R107" s="1272"/>
      <c r="S107" s="1272"/>
      <c r="T107" s="1272"/>
      <c r="U107" s="1272"/>
      <c r="V107" s="1272"/>
      <c r="W107" s="1272"/>
      <c r="X107" s="1273"/>
    </row>
    <row r="108" spans="1:24">
      <c r="A108" s="1253" t="s">
        <v>651</v>
      </c>
      <c r="B108" s="1239"/>
      <c r="C108" s="1239" t="s">
        <v>652</v>
      </c>
      <c r="D108" s="1239"/>
      <c r="E108" s="1239" t="s">
        <v>653</v>
      </c>
      <c r="F108" s="1239"/>
      <c r="G108" s="1239" t="s">
        <v>1848</v>
      </c>
      <c r="H108" s="1239"/>
      <c r="I108" s="1239" t="s">
        <v>1849</v>
      </c>
      <c r="J108" s="1239"/>
      <c r="K108" s="1239" t="s">
        <v>656</v>
      </c>
      <c r="L108" s="1239"/>
      <c r="M108" s="1239" t="s">
        <v>1850</v>
      </c>
      <c r="N108" s="1239"/>
      <c r="O108" s="1239" t="s">
        <v>658</v>
      </c>
      <c r="P108" s="1239"/>
      <c r="Q108" s="1239" t="s">
        <v>1851</v>
      </c>
      <c r="R108" s="1239"/>
      <c r="S108" s="1239" t="s">
        <v>660</v>
      </c>
      <c r="T108" s="1239"/>
      <c r="U108" s="1239" t="s">
        <v>661</v>
      </c>
      <c r="V108" s="1239"/>
      <c r="W108" s="1239" t="s">
        <v>1852</v>
      </c>
      <c r="X108" s="1260"/>
    </row>
    <row r="109" spans="1:24">
      <c r="A109" s="1253"/>
      <c r="B109" s="1239"/>
      <c r="C109" s="1239"/>
      <c r="D109" s="1239"/>
      <c r="E109" s="1239"/>
      <c r="F109" s="1239"/>
      <c r="G109" s="1239"/>
      <c r="H109" s="1239"/>
      <c r="I109" s="1239"/>
      <c r="J109" s="1239"/>
      <c r="K109" s="1239"/>
      <c r="L109" s="1239"/>
      <c r="M109" s="1239"/>
      <c r="N109" s="1239"/>
      <c r="O109" s="1239"/>
      <c r="P109" s="1239"/>
      <c r="Q109" s="1239"/>
      <c r="R109" s="1239"/>
      <c r="S109" s="1239"/>
      <c r="T109" s="1239"/>
      <c r="U109" s="1239"/>
      <c r="V109" s="1239"/>
      <c r="W109" s="1239"/>
      <c r="X109" s="1260"/>
    </row>
    <row r="110" spans="1:24">
      <c r="A110" s="1274"/>
      <c r="B110" s="1239"/>
      <c r="C110" s="1259"/>
      <c r="D110" s="1239"/>
      <c r="E110" s="1259"/>
      <c r="F110" s="1259"/>
      <c r="G110" s="1259"/>
      <c r="H110" s="1239"/>
      <c r="I110" s="1259"/>
      <c r="J110" s="1239"/>
      <c r="K110" s="1259"/>
      <c r="L110" s="1239"/>
      <c r="M110" s="1259"/>
      <c r="N110" s="1259"/>
      <c r="O110" s="1259"/>
      <c r="P110" s="1239"/>
      <c r="Q110" s="1259"/>
      <c r="R110" s="1239"/>
      <c r="S110" s="1259"/>
      <c r="T110" s="1239"/>
      <c r="U110" s="1259"/>
      <c r="V110" s="1239"/>
      <c r="W110" s="1259"/>
      <c r="X110" s="1260"/>
    </row>
    <row r="111" spans="1:24">
      <c r="A111" s="1274"/>
      <c r="B111" s="1239">
        <v>419</v>
      </c>
      <c r="C111" s="1259"/>
      <c r="D111" s="1239">
        <v>408</v>
      </c>
      <c r="E111" s="1259"/>
      <c r="F111" s="1259">
        <v>410</v>
      </c>
      <c r="G111" s="1259"/>
      <c r="H111" s="1239">
        <v>324</v>
      </c>
      <c r="I111" s="1259"/>
      <c r="J111" s="1239">
        <v>367</v>
      </c>
      <c r="K111" s="1259"/>
      <c r="L111" s="1239">
        <v>473</v>
      </c>
      <c r="M111" s="1259"/>
      <c r="N111" s="1259">
        <v>358</v>
      </c>
      <c r="O111" s="1259"/>
      <c r="P111" s="1239">
        <v>478</v>
      </c>
      <c r="Q111" s="1259"/>
      <c r="R111" s="1239">
        <v>360</v>
      </c>
      <c r="S111" s="1259"/>
      <c r="T111" s="1239">
        <v>383</v>
      </c>
      <c r="U111" s="1259"/>
      <c r="V111" s="1239">
        <v>281</v>
      </c>
      <c r="W111" s="1259"/>
      <c r="X111" s="1260">
        <v>396</v>
      </c>
    </row>
    <row r="112" spans="1:24" ht="12.5" customHeight="1">
      <c r="A112" s="1275"/>
      <c r="C112" s="1247"/>
      <c r="E112" s="1247"/>
      <c r="F112" s="1247"/>
      <c r="G112" s="1247"/>
      <c r="I112" s="1247"/>
      <c r="K112" s="1247"/>
      <c r="M112" s="1247"/>
      <c r="N112" s="1247"/>
      <c r="O112" s="1247"/>
      <c r="Q112" s="1247"/>
      <c r="S112" s="1247"/>
      <c r="U112" s="1247"/>
      <c r="W112" s="1247"/>
      <c r="X112" s="1257"/>
    </row>
    <row r="113" spans="1:24" ht="52" customHeight="1">
      <c r="A113" s="1278"/>
      <c r="C113" s="1261"/>
      <c r="E113" s="1261"/>
      <c r="F113" s="1262"/>
      <c r="G113" s="1261"/>
      <c r="I113" s="1261"/>
      <c r="K113" s="1261"/>
      <c r="M113" s="1261"/>
      <c r="N113" s="1262"/>
      <c r="O113" s="1261"/>
      <c r="Q113" s="1261"/>
      <c r="S113" s="1263"/>
      <c r="U113" s="1261"/>
      <c r="W113" s="1261"/>
      <c r="X113" s="1257"/>
    </row>
    <row r="114" spans="1:24" ht="49.5" customHeight="1" thickBot="1">
      <c r="A114" s="1267" t="s">
        <v>185</v>
      </c>
      <c r="B114" s="1267"/>
      <c r="C114" s="1267" t="s">
        <v>185</v>
      </c>
      <c r="D114" s="1267"/>
      <c r="E114" s="1267" t="s">
        <v>248</v>
      </c>
      <c r="F114" s="1267"/>
      <c r="G114" s="1264" t="s">
        <v>119</v>
      </c>
      <c r="H114" s="1265"/>
      <c r="I114" s="1264" t="s">
        <v>128</v>
      </c>
      <c r="J114" s="1267"/>
      <c r="K114" s="1267" t="s">
        <v>248</v>
      </c>
      <c r="M114" s="1264" t="s">
        <v>123</v>
      </c>
      <c r="N114" s="1267"/>
      <c r="O114" s="1267" t="s">
        <v>248</v>
      </c>
      <c r="P114" s="1267"/>
      <c r="Q114" s="1264" t="s">
        <v>128</v>
      </c>
      <c r="R114" s="1267"/>
      <c r="S114" s="1267" t="s">
        <v>248</v>
      </c>
      <c r="T114" s="1267"/>
      <c r="U114" s="1267" t="s">
        <v>182</v>
      </c>
      <c r="V114" s="1267"/>
      <c r="W114" s="1267" t="s">
        <v>125</v>
      </c>
      <c r="X114" s="1293" t="s">
        <v>1847</v>
      </c>
    </row>
    <row r="115" spans="1:24">
      <c r="A115" s="1271"/>
      <c r="B115" s="1272"/>
      <c r="C115" s="1272"/>
      <c r="D115" s="1272"/>
      <c r="E115" s="1272"/>
      <c r="F115" s="1272"/>
      <c r="G115" s="1272"/>
      <c r="H115" s="1272"/>
      <c r="I115" s="1272"/>
      <c r="J115" s="1272"/>
      <c r="K115" s="1272"/>
      <c r="L115" s="1272"/>
      <c r="M115" s="1272"/>
      <c r="N115" s="1272"/>
      <c r="O115" s="1272"/>
      <c r="P115" s="1272"/>
      <c r="Q115" s="1272"/>
      <c r="R115" s="1272"/>
      <c r="S115" s="1272"/>
      <c r="T115" s="1272"/>
      <c r="U115" s="1272"/>
      <c r="V115" s="1272"/>
      <c r="W115" s="1272"/>
      <c r="X115" s="1273"/>
    </row>
    <row r="116" spans="1:24">
      <c r="A116" s="1253" t="s">
        <v>1853</v>
      </c>
      <c r="B116" s="1239"/>
      <c r="C116" s="1239" t="s">
        <v>141</v>
      </c>
      <c r="D116" s="1239"/>
      <c r="E116" s="1239" t="s">
        <v>665</v>
      </c>
      <c r="F116" s="1239"/>
      <c r="G116" s="1239" t="s">
        <v>666</v>
      </c>
      <c r="H116" s="1239"/>
      <c r="I116" s="1239" t="s">
        <v>667</v>
      </c>
      <c r="J116" s="1239"/>
      <c r="K116" s="1239" t="s">
        <v>1643</v>
      </c>
      <c r="L116" s="1239"/>
      <c r="M116" s="1239" t="s">
        <v>1644</v>
      </c>
      <c r="N116" s="1239"/>
      <c r="O116" s="1239" t="s">
        <v>1854</v>
      </c>
      <c r="P116" s="1239"/>
      <c r="Q116" s="1239" t="s">
        <v>669</v>
      </c>
      <c r="R116" s="1239"/>
      <c r="S116" s="1239" t="s">
        <v>670</v>
      </c>
      <c r="T116" s="1239"/>
      <c r="U116" s="1239" t="s">
        <v>671</v>
      </c>
      <c r="V116" s="1239"/>
      <c r="W116" s="1239" t="s">
        <v>672</v>
      </c>
      <c r="X116" s="1260"/>
    </row>
    <row r="117" spans="1:24">
      <c r="A117" s="1253"/>
      <c r="B117" s="1239"/>
      <c r="C117" s="1239"/>
      <c r="D117" s="1239"/>
      <c r="E117" s="1239"/>
      <c r="F117" s="1239"/>
      <c r="G117" s="1239"/>
      <c r="H117" s="1239"/>
      <c r="I117" s="1239"/>
      <c r="J117" s="1239"/>
      <c r="K117" s="1239"/>
      <c r="L117" s="1239"/>
      <c r="M117" s="1239"/>
      <c r="N117" s="1239"/>
      <c r="O117" s="1239"/>
      <c r="P117" s="1239"/>
      <c r="Q117" s="1239"/>
      <c r="R117" s="1239"/>
      <c r="S117" s="1239"/>
      <c r="T117" s="1239"/>
      <c r="U117" s="1239"/>
      <c r="V117" s="1239"/>
      <c r="W117" s="1239"/>
      <c r="X117" s="1260"/>
    </row>
    <row r="118" spans="1:24">
      <c r="A118" s="1274"/>
      <c r="B118" s="1239"/>
      <c r="C118" s="1259"/>
      <c r="D118" s="1239"/>
      <c r="E118" s="1259"/>
      <c r="F118" s="1259"/>
      <c r="G118" s="1259"/>
      <c r="H118" s="1239"/>
      <c r="I118" s="1259"/>
      <c r="J118" s="1239"/>
      <c r="K118" s="1259"/>
      <c r="L118" s="1239"/>
      <c r="M118" s="1259"/>
      <c r="N118" s="1259"/>
      <c r="O118" s="1259"/>
      <c r="P118" s="1239"/>
      <c r="Q118" s="1259"/>
      <c r="R118" s="1239"/>
      <c r="S118" s="1259"/>
      <c r="T118" s="1239"/>
      <c r="U118" s="1259"/>
      <c r="V118" s="1239"/>
      <c r="W118" s="1259"/>
      <c r="X118" s="1260"/>
    </row>
    <row r="119" spans="1:24">
      <c r="A119" s="1274"/>
      <c r="B119" s="1239">
        <v>307</v>
      </c>
      <c r="C119" s="1259"/>
      <c r="D119" s="1239">
        <v>449</v>
      </c>
      <c r="E119" s="1259"/>
      <c r="F119" s="1259">
        <v>449</v>
      </c>
      <c r="G119" s="1259"/>
      <c r="H119" s="1239">
        <v>415</v>
      </c>
      <c r="I119" s="1259"/>
      <c r="J119" s="1239">
        <v>404</v>
      </c>
      <c r="K119" s="1259"/>
      <c r="L119" s="1239">
        <v>424</v>
      </c>
      <c r="M119" s="1259"/>
      <c r="N119" s="1259">
        <v>412</v>
      </c>
      <c r="O119" s="1259"/>
      <c r="P119" s="1239">
        <v>327</v>
      </c>
      <c r="Q119" s="1259"/>
      <c r="R119" s="1239">
        <v>301</v>
      </c>
      <c r="S119" s="1259"/>
      <c r="T119" s="1239">
        <v>354</v>
      </c>
      <c r="U119" s="1259"/>
      <c r="V119" s="1239">
        <v>426</v>
      </c>
      <c r="W119" s="1259"/>
      <c r="X119" s="1260">
        <v>395</v>
      </c>
    </row>
    <row r="120" spans="1:24" ht="14.5" customHeight="1">
      <c r="A120" s="1275"/>
      <c r="C120" s="1247"/>
      <c r="E120" s="1247"/>
      <c r="F120" s="1247"/>
      <c r="G120" s="1247"/>
      <c r="I120" s="1247"/>
      <c r="K120" s="1247"/>
      <c r="M120" s="1247"/>
      <c r="N120" s="1247"/>
      <c r="O120" s="1247"/>
      <c r="Q120" s="1247"/>
      <c r="S120" s="1247"/>
      <c r="U120" s="1247"/>
      <c r="W120" s="1247"/>
      <c r="X120" s="1257"/>
    </row>
    <row r="121" spans="1:24" ht="51" customHeight="1">
      <c r="A121" s="1278"/>
      <c r="C121" s="1261"/>
      <c r="E121" s="1261"/>
      <c r="F121" s="1262"/>
      <c r="G121" s="1261"/>
      <c r="I121" s="1261"/>
      <c r="K121" s="1261"/>
      <c r="M121" s="1261"/>
      <c r="N121" s="1262"/>
      <c r="O121" s="1261"/>
      <c r="Q121" s="1261"/>
      <c r="S121" s="1263"/>
      <c r="U121" s="1261"/>
      <c r="W121" s="1261"/>
      <c r="X121" s="1257"/>
    </row>
    <row r="122" spans="1:24" ht="21.5" thickBot="1">
      <c r="A122" s="1264" t="s">
        <v>125</v>
      </c>
      <c r="B122" s="1267"/>
      <c r="C122" s="1264" t="s">
        <v>119</v>
      </c>
      <c r="D122" s="1267"/>
      <c r="E122" s="1267" t="s">
        <v>167</v>
      </c>
      <c r="F122" s="1267"/>
      <c r="G122" s="1267" t="s">
        <v>185</v>
      </c>
      <c r="H122" s="1267"/>
      <c r="I122" s="1267" t="s">
        <v>248</v>
      </c>
      <c r="J122" s="1267"/>
      <c r="K122" s="1267" t="s">
        <v>182</v>
      </c>
      <c r="L122" s="1267"/>
      <c r="M122" s="1267" t="s">
        <v>248</v>
      </c>
      <c r="N122" s="1267"/>
      <c r="O122" s="1264" t="s">
        <v>188</v>
      </c>
      <c r="P122" s="1267"/>
      <c r="Q122" s="1267" t="s">
        <v>242</v>
      </c>
      <c r="R122" s="1267"/>
      <c r="S122" s="1267" t="s">
        <v>182</v>
      </c>
      <c r="T122" s="1289"/>
      <c r="U122" s="1267" t="s">
        <v>182</v>
      </c>
      <c r="V122" s="1267"/>
      <c r="W122" s="1267" t="s">
        <v>242</v>
      </c>
      <c r="X122" s="1257"/>
    </row>
    <row r="123" spans="1:24" ht="17.5" customHeight="1">
      <c r="A123" s="1271"/>
      <c r="B123" s="1272"/>
      <c r="C123" s="1272"/>
      <c r="D123" s="1272"/>
      <c r="E123" s="1272"/>
      <c r="F123" s="1272"/>
      <c r="G123" s="1272"/>
      <c r="H123" s="1272"/>
      <c r="I123" s="1272"/>
      <c r="J123" s="1272"/>
      <c r="K123" s="1272"/>
      <c r="L123" s="1272"/>
      <c r="M123" s="1272"/>
      <c r="N123" s="1272"/>
      <c r="O123" s="1272"/>
      <c r="P123" s="1272"/>
      <c r="Q123" s="1272"/>
      <c r="R123" s="1272"/>
      <c r="S123" s="1272"/>
      <c r="T123" s="1272"/>
      <c r="U123" s="1272"/>
      <c r="V123" s="1272"/>
      <c r="W123" s="1272"/>
      <c r="X123" s="1273"/>
    </row>
    <row r="124" spans="1:24">
      <c r="A124" s="1253" t="s">
        <v>142</v>
      </c>
      <c r="B124" s="1239"/>
      <c r="C124" s="1239" t="s">
        <v>675</v>
      </c>
      <c r="D124" s="1239"/>
      <c r="E124" s="1239" t="s">
        <v>676</v>
      </c>
      <c r="F124" s="1239"/>
      <c r="G124" s="1239" t="s">
        <v>677</v>
      </c>
      <c r="H124" s="1239"/>
      <c r="I124" s="1239" t="s">
        <v>678</v>
      </c>
      <c r="J124" s="1239"/>
      <c r="K124" s="1239" t="s">
        <v>679</v>
      </c>
      <c r="L124" s="1239"/>
      <c r="M124" s="1239" t="s">
        <v>680</v>
      </c>
      <c r="N124" s="1239"/>
      <c r="O124" s="1239" t="s">
        <v>681</v>
      </c>
      <c r="P124" s="1239"/>
      <c r="Q124" s="1239" t="s">
        <v>682</v>
      </c>
      <c r="R124" s="1239"/>
      <c r="S124" s="1255" t="s">
        <v>683</v>
      </c>
      <c r="T124" s="1239"/>
      <c r="U124" s="1239" t="s">
        <v>684</v>
      </c>
      <c r="V124" s="1239"/>
      <c r="W124" s="1239" t="s">
        <v>685</v>
      </c>
      <c r="X124" s="1260"/>
    </row>
    <row r="125" spans="1:24">
      <c r="A125" s="1253"/>
      <c r="B125" s="1239"/>
      <c r="C125" s="1239"/>
      <c r="D125" s="1239"/>
      <c r="E125" s="1239"/>
      <c r="F125" s="1239"/>
      <c r="G125" s="1239"/>
      <c r="H125" s="1239"/>
      <c r="I125" s="1239"/>
      <c r="J125" s="1239"/>
      <c r="K125" s="1239"/>
      <c r="L125" s="1239"/>
      <c r="M125" s="1239"/>
      <c r="N125" s="1239"/>
      <c r="O125" s="1239"/>
      <c r="P125" s="1239"/>
      <c r="Q125" s="1239"/>
      <c r="R125" s="1239"/>
      <c r="S125" s="1239"/>
      <c r="T125" s="1239"/>
      <c r="U125" s="1239"/>
      <c r="V125" s="1239"/>
      <c r="W125" s="1239"/>
      <c r="X125" s="1260"/>
    </row>
    <row r="126" spans="1:24">
      <c r="A126" s="1274"/>
      <c r="B126" s="1239"/>
      <c r="C126" s="1259"/>
      <c r="D126" s="1239"/>
      <c r="E126" s="1259"/>
      <c r="F126" s="1259"/>
      <c r="G126" s="1259"/>
      <c r="H126" s="1239"/>
      <c r="I126" s="1259"/>
      <c r="J126" s="1239"/>
      <c r="L126" s="1239"/>
      <c r="M126" s="1259"/>
      <c r="N126" s="1259"/>
      <c r="O126" s="1259"/>
      <c r="P126" s="1239"/>
      <c r="Q126" s="1259"/>
      <c r="R126" s="1239"/>
      <c r="S126" s="1259"/>
      <c r="T126" s="1239"/>
      <c r="U126" s="1259"/>
      <c r="V126" s="1239"/>
      <c r="W126" s="1259"/>
      <c r="X126" s="1260"/>
    </row>
    <row r="127" spans="1:24">
      <c r="A127" s="1274"/>
      <c r="B127" s="1239">
        <v>370</v>
      </c>
      <c r="C127" s="1259"/>
      <c r="D127" s="1239">
        <v>437</v>
      </c>
      <c r="E127" s="1259"/>
      <c r="F127" s="1259">
        <v>398</v>
      </c>
      <c r="G127" s="1259"/>
      <c r="H127" s="1239">
        <v>413</v>
      </c>
      <c r="I127" s="1259"/>
      <c r="J127" s="1239">
        <v>424</v>
      </c>
      <c r="K127" s="1259"/>
      <c r="L127" s="1239">
        <v>416</v>
      </c>
      <c r="M127" s="1259"/>
      <c r="N127" s="1259">
        <v>415</v>
      </c>
      <c r="O127" s="1259"/>
      <c r="P127" s="1239">
        <v>395</v>
      </c>
      <c r="Q127" s="1259"/>
      <c r="R127" s="1239">
        <v>430</v>
      </c>
      <c r="S127" s="1259"/>
      <c r="T127" s="1239">
        <v>382</v>
      </c>
      <c r="U127" s="1259"/>
      <c r="V127" s="1239">
        <v>405</v>
      </c>
      <c r="W127" s="1259"/>
      <c r="X127" s="1260">
        <v>338</v>
      </c>
    </row>
    <row r="128" spans="1:24" ht="13.5" customHeight="1">
      <c r="A128" s="1275"/>
      <c r="C128" s="1247"/>
      <c r="E128" s="1247"/>
      <c r="F128" s="1247"/>
      <c r="G128" s="1247"/>
      <c r="I128" s="1247"/>
      <c r="K128" s="1247"/>
      <c r="M128" s="1247"/>
      <c r="N128" s="1247"/>
      <c r="O128" s="1247"/>
      <c r="Q128" s="1247"/>
      <c r="S128" s="1247"/>
      <c r="U128" s="1247"/>
      <c r="W128" s="1247"/>
      <c r="X128" s="1257"/>
    </row>
    <row r="129" spans="1:24" ht="53" customHeight="1">
      <c r="A129" s="1261"/>
      <c r="B129" s="1276"/>
      <c r="C129" s="1261"/>
      <c r="D129" s="1276"/>
      <c r="E129" s="1261"/>
      <c r="F129" s="1261"/>
      <c r="G129" s="1261"/>
      <c r="I129" s="1261"/>
      <c r="K129" s="1261"/>
      <c r="M129" s="1261"/>
      <c r="N129" s="1262"/>
      <c r="O129" s="1261"/>
      <c r="Q129" s="1294" t="s">
        <v>390</v>
      </c>
      <c r="S129" s="1263"/>
      <c r="U129" s="1261"/>
      <c r="W129" s="1261"/>
      <c r="X129" s="1257"/>
    </row>
    <row r="130" spans="1:24">
      <c r="A130" s="1295" t="s">
        <v>143</v>
      </c>
      <c r="B130" s="1239"/>
      <c r="C130" s="1295" t="s">
        <v>167</v>
      </c>
      <c r="D130" s="1239"/>
      <c r="E130" s="1295" t="s">
        <v>242</v>
      </c>
      <c r="F130" s="1239"/>
      <c r="G130" s="1295" t="s">
        <v>119</v>
      </c>
      <c r="I130" s="1267" t="s">
        <v>248</v>
      </c>
      <c r="J130" s="1267"/>
      <c r="K130" s="1267" t="s">
        <v>182</v>
      </c>
      <c r="L130" s="1267"/>
      <c r="M130" s="1267" t="s">
        <v>248</v>
      </c>
      <c r="N130" s="1267"/>
      <c r="O130" s="1264" t="s">
        <v>137</v>
      </c>
      <c r="P130" s="1267"/>
      <c r="Q130" s="1267" t="s">
        <v>248</v>
      </c>
      <c r="R130" s="1267"/>
      <c r="S130" s="1296" t="s">
        <v>1273</v>
      </c>
      <c r="T130" s="1267"/>
      <c r="U130" s="1267" t="s">
        <v>248</v>
      </c>
      <c r="W130" s="1267" t="s">
        <v>248</v>
      </c>
      <c r="X130" s="1257"/>
    </row>
    <row r="131" spans="1:24" ht="21.5" thickBot="1">
      <c r="A131" s="1258"/>
      <c r="U131" s="1292" t="s">
        <v>1621</v>
      </c>
      <c r="W131" s="1286" t="s">
        <v>1621</v>
      </c>
      <c r="X131" s="1257"/>
    </row>
    <row r="132" spans="1:24" ht="17.5" customHeight="1">
      <c r="A132" s="1271"/>
      <c r="B132" s="1272"/>
      <c r="C132" s="1272"/>
      <c r="D132" s="1272"/>
      <c r="E132" s="1272"/>
      <c r="F132" s="1272"/>
      <c r="G132" s="1272"/>
      <c r="H132" s="1272"/>
      <c r="I132" s="1272"/>
      <c r="J132" s="1272"/>
      <c r="K132" s="1272"/>
      <c r="L132" s="1272"/>
      <c r="M132" s="1272"/>
      <c r="N132" s="1272"/>
      <c r="O132" s="1272"/>
      <c r="P132" s="1272"/>
      <c r="Q132" s="1272"/>
      <c r="R132" s="1272"/>
      <c r="S132" s="1272"/>
      <c r="T132" s="1272"/>
      <c r="U132" s="1272"/>
      <c r="V132" s="1272"/>
      <c r="W132" s="1272"/>
      <c r="X132" s="1273"/>
    </row>
    <row r="133" spans="1:24">
      <c r="A133" s="1253" t="s">
        <v>686</v>
      </c>
      <c r="B133" s="1239"/>
      <c r="C133" s="1239" t="s">
        <v>687</v>
      </c>
      <c r="D133" s="1239"/>
      <c r="E133" s="1239" t="s">
        <v>688</v>
      </c>
      <c r="F133" s="1239"/>
      <c r="G133" s="1239" t="s">
        <v>689</v>
      </c>
      <c r="H133" s="1292"/>
      <c r="I133" s="1239" t="s">
        <v>690</v>
      </c>
      <c r="J133" s="1239"/>
      <c r="K133" s="1239" t="s">
        <v>691</v>
      </c>
      <c r="L133" s="1239"/>
      <c r="M133" s="1239" t="s">
        <v>692</v>
      </c>
      <c r="N133" s="1239"/>
      <c r="O133" s="1239" t="s">
        <v>693</v>
      </c>
      <c r="P133" s="1239"/>
      <c r="Q133" s="1239" t="s">
        <v>694</v>
      </c>
      <c r="R133" s="1239"/>
      <c r="S133" s="1239" t="s">
        <v>695</v>
      </c>
      <c r="T133" s="1239"/>
      <c r="U133" s="1239" t="s">
        <v>696</v>
      </c>
      <c r="V133" s="1239"/>
      <c r="W133" s="1239" t="s">
        <v>697</v>
      </c>
      <c r="X133" s="1260"/>
    </row>
    <row r="134" spans="1:24">
      <c r="A134" s="1253"/>
      <c r="B134" s="1239"/>
      <c r="C134" s="1239"/>
      <c r="D134" s="1239"/>
      <c r="E134" s="1239"/>
      <c r="F134" s="1239"/>
      <c r="G134" s="1239"/>
      <c r="H134" s="1239"/>
      <c r="I134" s="1239"/>
      <c r="J134" s="1239"/>
      <c r="K134" s="1239"/>
      <c r="L134" s="1239"/>
      <c r="M134" s="1239"/>
      <c r="N134" s="1239"/>
      <c r="O134" s="1239"/>
      <c r="P134" s="1239"/>
      <c r="Q134" s="1239"/>
      <c r="R134" s="1239"/>
      <c r="S134" s="1239"/>
      <c r="T134" s="1239"/>
      <c r="U134" s="1239"/>
      <c r="V134" s="1239"/>
      <c r="W134" s="1239"/>
      <c r="X134" s="1260"/>
    </row>
    <row r="135" spans="1:24">
      <c r="A135" s="1274"/>
      <c r="B135" s="1239"/>
      <c r="C135" s="1259"/>
      <c r="D135" s="1239"/>
      <c r="E135" s="1259"/>
      <c r="F135" s="1259"/>
      <c r="G135" s="1259"/>
      <c r="H135" s="1239"/>
      <c r="I135" s="1259"/>
      <c r="J135" s="1239"/>
      <c r="K135" s="1259"/>
      <c r="L135" s="1239"/>
      <c r="M135" s="1259"/>
      <c r="N135" s="1259"/>
      <c r="O135" s="1259"/>
      <c r="P135" s="1239"/>
      <c r="Q135" s="1259"/>
      <c r="R135" s="1239"/>
      <c r="S135" s="1259"/>
      <c r="T135" s="1239"/>
      <c r="U135" s="1259"/>
      <c r="V135" s="1239"/>
      <c r="W135" s="1259"/>
      <c r="X135" s="1260"/>
    </row>
    <row r="136" spans="1:24">
      <c r="A136" s="1274"/>
      <c r="B136" s="1239">
        <v>288</v>
      </c>
      <c r="C136" s="1259"/>
      <c r="D136" s="1239">
        <v>297</v>
      </c>
      <c r="E136" s="1259"/>
      <c r="F136" s="1259">
        <v>196</v>
      </c>
      <c r="G136" s="1259"/>
      <c r="H136" s="1239">
        <v>250</v>
      </c>
      <c r="I136" s="1259"/>
      <c r="J136" s="1239">
        <v>374</v>
      </c>
      <c r="K136" s="1259"/>
      <c r="L136" s="1239">
        <v>432</v>
      </c>
      <c r="M136" s="1259"/>
      <c r="N136" s="1259">
        <v>415</v>
      </c>
      <c r="O136" s="1259"/>
      <c r="P136" s="1239">
        <v>341</v>
      </c>
      <c r="Q136" s="1259"/>
      <c r="R136" s="1239">
        <v>305</v>
      </c>
      <c r="S136" s="1259"/>
      <c r="T136" s="1239">
        <v>320</v>
      </c>
      <c r="U136" s="1259"/>
      <c r="V136" s="1239">
        <v>346</v>
      </c>
      <c r="W136" s="1259"/>
      <c r="X136" s="1260">
        <v>223</v>
      </c>
    </row>
    <row r="137" spans="1:24" ht="17" customHeight="1">
      <c r="A137" s="1275"/>
      <c r="C137" s="1247"/>
      <c r="E137" s="1247"/>
      <c r="F137" s="1247"/>
      <c r="G137" s="1247"/>
      <c r="I137" s="1247"/>
      <c r="K137" s="1247"/>
      <c r="M137" s="1247"/>
      <c r="N137" s="1247"/>
      <c r="O137" s="1247"/>
      <c r="Q137" s="1247"/>
      <c r="S137" s="1247"/>
      <c r="U137" s="1247"/>
      <c r="W137" s="1247"/>
      <c r="X137" s="1257"/>
    </row>
    <row r="138" spans="1:24" ht="52" customHeight="1">
      <c r="A138" s="1278"/>
      <c r="C138" s="1261"/>
      <c r="E138" s="1261"/>
      <c r="F138" s="1262"/>
      <c r="G138" s="1261"/>
      <c r="I138" s="1261"/>
      <c r="K138" s="1261"/>
      <c r="M138" s="1261"/>
      <c r="N138" s="1262"/>
      <c r="O138" s="1261"/>
      <c r="Q138" s="1261"/>
      <c r="S138" s="1263"/>
      <c r="U138" s="1261"/>
      <c r="W138" s="1261"/>
      <c r="X138" s="1257"/>
    </row>
    <row r="139" spans="1:24" ht="21.5" thickBot="1">
      <c r="A139" s="1258"/>
      <c r="G139" s="1297"/>
      <c r="H139" s="1298" t="s">
        <v>1512</v>
      </c>
      <c r="I139" s="1297"/>
      <c r="W139" s="1299" t="s">
        <v>1855</v>
      </c>
      <c r="X139" s="1300"/>
    </row>
    <row r="140" spans="1:24">
      <c r="A140" s="1267" t="s">
        <v>182</v>
      </c>
      <c r="B140" s="1267"/>
      <c r="C140" s="1267" t="s">
        <v>185</v>
      </c>
      <c r="D140" s="1267"/>
      <c r="E140" s="1267" t="s">
        <v>182</v>
      </c>
      <c r="F140" s="1267"/>
      <c r="G140" s="1264" t="s">
        <v>128</v>
      </c>
      <c r="H140" s="1267"/>
      <c r="I140" s="1264" t="s">
        <v>132</v>
      </c>
      <c r="J140" s="1267"/>
      <c r="K140" s="1267" t="s">
        <v>248</v>
      </c>
      <c r="L140" s="1267"/>
      <c r="M140" s="1264" t="s">
        <v>147</v>
      </c>
      <c r="N140" s="1267"/>
      <c r="O140" s="1267" t="s">
        <v>182</v>
      </c>
      <c r="P140" s="1267"/>
      <c r="Q140" s="1267" t="s">
        <v>185</v>
      </c>
      <c r="R140" s="1267"/>
      <c r="S140" s="1267" t="s">
        <v>182</v>
      </c>
      <c r="T140" s="1267"/>
      <c r="U140" s="1267" t="s">
        <v>242</v>
      </c>
      <c r="V140" s="1267"/>
      <c r="W140" s="1264" t="s">
        <v>143</v>
      </c>
      <c r="X140" s="1257"/>
    </row>
    <row r="141" spans="1:24" ht="21.5" thickBot="1">
      <c r="A141" s="1286" t="s">
        <v>366</v>
      </c>
      <c r="B141" s="1301"/>
      <c r="C141" s="1286" t="s">
        <v>1623</v>
      </c>
      <c r="D141" s="1301"/>
      <c r="E141" s="1286" t="s">
        <v>366</v>
      </c>
      <c r="F141" s="1301"/>
      <c r="G141" s="1302"/>
      <c r="H141" s="1301"/>
      <c r="I141" s="1286" t="s">
        <v>1524</v>
      </c>
      <c r="J141" s="1301"/>
      <c r="K141" s="1286" t="s">
        <v>1524</v>
      </c>
      <c r="X141" s="1257"/>
    </row>
    <row r="142" spans="1:24" ht="16.5" customHeight="1">
      <c r="A142" s="1271"/>
      <c r="B142" s="1272"/>
      <c r="C142" s="1272"/>
      <c r="D142" s="1272"/>
      <c r="E142" s="1272"/>
      <c r="F142" s="1272"/>
      <c r="G142" s="1272"/>
      <c r="H142" s="1272"/>
      <c r="I142" s="1272"/>
      <c r="J142" s="1272"/>
      <c r="K142" s="1272"/>
      <c r="L142" s="1272"/>
      <c r="M142" s="1272"/>
      <c r="N142" s="1272"/>
      <c r="O142" s="1272"/>
      <c r="P142" s="1272"/>
      <c r="Q142" s="1272"/>
      <c r="R142" s="1272"/>
      <c r="S142" s="1272"/>
      <c r="T142" s="1272"/>
      <c r="U142" s="1272"/>
      <c r="V142" s="1272"/>
      <c r="W142" s="1272"/>
      <c r="X142" s="1273"/>
    </row>
    <row r="143" spans="1:24" s="1239" customFormat="1">
      <c r="A143" s="1253" t="s">
        <v>698</v>
      </c>
      <c r="C143" s="1239" t="s">
        <v>699</v>
      </c>
      <c r="E143" s="1239" t="s">
        <v>700</v>
      </c>
      <c r="G143" s="1239" t="s">
        <v>701</v>
      </c>
      <c r="I143" s="1239" t="s">
        <v>702</v>
      </c>
      <c r="K143" s="1239" t="s">
        <v>1275</v>
      </c>
      <c r="M143" s="1239" t="s">
        <v>310</v>
      </c>
      <c r="O143" s="1239" t="s">
        <v>272</v>
      </c>
      <c r="Q143" s="1239" t="s">
        <v>273</v>
      </c>
      <c r="S143" s="1239" t="s">
        <v>311</v>
      </c>
      <c r="U143" s="1239" t="s">
        <v>312</v>
      </c>
      <c r="W143" s="1239" t="s">
        <v>313</v>
      </c>
      <c r="X143" s="1260"/>
    </row>
    <row r="144" spans="1:24" s="1239" customFormat="1">
      <c r="A144" s="1253"/>
      <c r="X144" s="1260"/>
    </row>
    <row r="145" spans="1:24" s="1239" customFormat="1">
      <c r="A145" s="1274"/>
      <c r="C145" s="1259"/>
      <c r="E145" s="1259"/>
      <c r="F145" s="1259"/>
      <c r="G145" s="1259"/>
      <c r="I145" s="1259"/>
      <c r="K145" s="1259"/>
      <c r="M145" s="1259"/>
      <c r="N145" s="1259"/>
      <c r="O145" s="1259"/>
      <c r="Q145" s="1259"/>
      <c r="S145" s="1259"/>
      <c r="U145" s="1259"/>
      <c r="W145" s="1259"/>
      <c r="X145" s="1260"/>
    </row>
    <row r="146" spans="1:24" s="1239" customFormat="1">
      <c r="A146" s="1274"/>
      <c r="B146" s="1239">
        <v>394</v>
      </c>
      <c r="C146" s="1259"/>
      <c r="D146" s="1239">
        <v>435</v>
      </c>
      <c r="E146" s="1259"/>
      <c r="F146" s="1259">
        <v>403</v>
      </c>
      <c r="G146" s="1259"/>
      <c r="H146" s="1239">
        <v>423</v>
      </c>
      <c r="I146" s="1259"/>
      <c r="J146" s="1239">
        <v>353</v>
      </c>
      <c r="K146" s="1259"/>
      <c r="L146" s="1239">
        <v>275</v>
      </c>
      <c r="M146" s="1259"/>
      <c r="N146" s="1259">
        <v>465</v>
      </c>
      <c r="O146" s="1259"/>
      <c r="P146" s="1239">
        <v>374</v>
      </c>
      <c r="Q146" s="1259"/>
      <c r="R146" s="1239">
        <v>417</v>
      </c>
      <c r="S146" s="1259"/>
      <c r="T146" s="1239">
        <v>381</v>
      </c>
      <c r="U146" s="1259"/>
      <c r="V146" s="1239">
        <v>392</v>
      </c>
      <c r="W146" s="1259"/>
      <c r="X146" s="1260">
        <v>375</v>
      </c>
    </row>
    <row r="147" spans="1:24" s="1239" customFormat="1" ht="14.5" customHeight="1">
      <c r="A147" s="1274"/>
      <c r="C147" s="1259"/>
      <c r="E147" s="1259"/>
      <c r="F147" s="1259"/>
      <c r="G147" s="1259"/>
      <c r="I147" s="1259"/>
      <c r="K147" s="1259"/>
      <c r="M147" s="1259"/>
      <c r="N147" s="1259"/>
      <c r="O147" s="1259"/>
      <c r="Q147" s="1259"/>
      <c r="S147" s="1259"/>
      <c r="U147" s="1259"/>
      <c r="W147" s="1259"/>
      <c r="X147" s="1260"/>
    </row>
    <row r="148" spans="1:24" s="1239" customFormat="1" ht="45.5" customHeight="1">
      <c r="A148" s="1282"/>
      <c r="C148" s="1283"/>
      <c r="E148" s="1303" t="s">
        <v>390</v>
      </c>
      <c r="F148" s="1284"/>
      <c r="G148" s="1304"/>
      <c r="I148" s="1283"/>
      <c r="K148" s="1283"/>
      <c r="M148" s="1283"/>
      <c r="N148" s="1284"/>
      <c r="O148" s="1283"/>
      <c r="Q148" s="1305"/>
      <c r="S148" s="1306"/>
      <c r="U148" s="1283"/>
      <c r="W148" s="1283"/>
      <c r="X148" s="1260"/>
    </row>
    <row r="149" spans="1:24" s="1239" customFormat="1">
      <c r="A149" s="1307"/>
      <c r="B149" s="1308"/>
      <c r="K149" s="1286" t="s">
        <v>1524</v>
      </c>
      <c r="X149" s="1260"/>
    </row>
    <row r="150" spans="1:24" s="1239" customFormat="1">
      <c r="A150" s="1264" t="s">
        <v>147</v>
      </c>
      <c r="C150" s="1280" t="s">
        <v>248</v>
      </c>
      <c r="D150" s="1267"/>
      <c r="E150" s="1280" t="s">
        <v>248</v>
      </c>
      <c r="F150" s="1267"/>
      <c r="G150" s="1264" t="s">
        <v>143</v>
      </c>
      <c r="H150" s="1267"/>
      <c r="I150" s="1264" t="s">
        <v>143</v>
      </c>
      <c r="J150" s="1267"/>
      <c r="K150" s="1264" t="s">
        <v>147</v>
      </c>
      <c r="L150" s="1267"/>
      <c r="M150" s="1264" t="s">
        <v>117</v>
      </c>
      <c r="N150" s="1267"/>
      <c r="O150" s="1280" t="s">
        <v>185</v>
      </c>
      <c r="P150" s="1267"/>
      <c r="Q150" s="1280" t="s">
        <v>182</v>
      </c>
      <c r="R150" s="1267"/>
      <c r="S150" s="1280" t="s">
        <v>185</v>
      </c>
      <c r="T150" s="1267"/>
      <c r="U150" s="1264" t="s">
        <v>119</v>
      </c>
      <c r="V150" s="1267"/>
      <c r="W150" s="1280" t="s">
        <v>242</v>
      </c>
      <c r="X150" s="1260"/>
    </row>
    <row r="151" spans="1:24" ht="21.5" thickBot="1">
      <c r="A151" s="1258"/>
      <c r="K151" s="1309"/>
      <c r="L151" s="1310" t="s">
        <v>1838</v>
      </c>
      <c r="M151" s="1309"/>
      <c r="N151" s="1289"/>
      <c r="O151" s="1289"/>
      <c r="P151" s="1289"/>
      <c r="Q151" s="1289"/>
      <c r="R151" s="1289"/>
      <c r="S151" s="1289"/>
      <c r="T151" s="1289"/>
      <c r="U151" s="1281" t="s">
        <v>1687</v>
      </c>
      <c r="V151" s="1267"/>
      <c r="W151" s="1281" t="s">
        <v>1624</v>
      </c>
      <c r="X151" s="1311"/>
    </row>
    <row r="152" spans="1:24">
      <c r="A152" s="1271"/>
      <c r="B152" s="1272"/>
      <c r="C152" s="1272"/>
      <c r="D152" s="1272"/>
      <c r="E152" s="1272"/>
      <c r="F152" s="1272"/>
      <c r="G152" s="1272"/>
      <c r="H152" s="1272"/>
      <c r="I152" s="1272"/>
      <c r="J152" s="1272"/>
      <c r="K152" s="1272"/>
      <c r="L152" s="1272"/>
      <c r="M152" s="1272"/>
      <c r="N152" s="1272"/>
      <c r="O152" s="1272"/>
      <c r="P152" s="1272"/>
      <c r="Q152" s="1272"/>
      <c r="R152" s="1272"/>
      <c r="S152" s="1272"/>
      <c r="T152" s="1272"/>
      <c r="U152" s="1272"/>
      <c r="V152" s="1272"/>
      <c r="W152" s="1272"/>
      <c r="X152" s="1273"/>
    </row>
    <row r="153" spans="1:24">
      <c r="A153" s="1253" t="s">
        <v>314</v>
      </c>
      <c r="C153" s="1239" t="s">
        <v>315</v>
      </c>
      <c r="E153" s="1239" t="s">
        <v>316</v>
      </c>
      <c r="G153" s="1239" t="s">
        <v>320</v>
      </c>
      <c r="I153" s="1239" t="s">
        <v>321</v>
      </c>
      <c r="K153" s="1239" t="s">
        <v>322</v>
      </c>
      <c r="M153" s="1239" t="s">
        <v>323</v>
      </c>
      <c r="O153" s="1239" t="s">
        <v>324</v>
      </c>
      <c r="Q153" s="1239" t="s">
        <v>325</v>
      </c>
      <c r="S153" s="1239" t="s">
        <v>326</v>
      </c>
      <c r="U153" s="1239" t="s">
        <v>327</v>
      </c>
      <c r="W153" s="1239" t="s">
        <v>328</v>
      </c>
      <c r="X153" s="1257"/>
    </row>
    <row r="154" spans="1:24" s="1239" customFormat="1">
      <c r="A154" s="1253"/>
      <c r="X154" s="1260"/>
    </row>
    <row r="155" spans="1:24" s="1239" customFormat="1">
      <c r="A155" s="1274"/>
      <c r="C155" s="1259"/>
      <c r="E155" s="1259"/>
      <c r="F155" s="1259"/>
      <c r="G155" s="1259"/>
      <c r="I155" s="1259"/>
      <c r="K155" s="1259"/>
      <c r="M155" s="1259"/>
      <c r="N155" s="1259"/>
      <c r="O155" s="1259"/>
      <c r="Q155" s="1259"/>
      <c r="S155" s="1259"/>
      <c r="U155" s="1259"/>
      <c r="W155" s="1259"/>
      <c r="X155" s="1260"/>
    </row>
    <row r="156" spans="1:24" s="1239" customFormat="1">
      <c r="A156" s="1274"/>
      <c r="B156" s="1239">
        <v>249</v>
      </c>
      <c r="C156" s="1259"/>
      <c r="D156" s="1239">
        <v>384</v>
      </c>
      <c r="E156" s="1259"/>
      <c r="F156" s="1259">
        <v>331</v>
      </c>
      <c r="G156" s="1259"/>
      <c r="H156" s="1239">
        <v>285</v>
      </c>
      <c r="I156" s="1259"/>
      <c r="J156" s="1239">
        <v>355</v>
      </c>
      <c r="K156" s="1259"/>
      <c r="L156" s="1239">
        <v>421</v>
      </c>
      <c r="M156" s="1259"/>
      <c r="N156" s="1259">
        <v>341</v>
      </c>
      <c r="O156" s="1259"/>
      <c r="P156" s="1239">
        <v>337</v>
      </c>
      <c r="Q156" s="1259"/>
      <c r="R156" s="1239">
        <v>376</v>
      </c>
      <c r="S156" s="1259"/>
      <c r="T156" s="1239">
        <v>308</v>
      </c>
      <c r="U156" s="1259"/>
      <c r="V156" s="1239">
        <v>445</v>
      </c>
      <c r="W156" s="1259"/>
      <c r="X156" s="1260">
        <v>392</v>
      </c>
    </row>
    <row r="157" spans="1:24" s="1239" customFormat="1" ht="14.5" customHeight="1">
      <c r="A157" s="1274"/>
      <c r="C157" s="1259"/>
      <c r="E157" s="1259"/>
      <c r="F157" s="1259"/>
      <c r="G157" s="1259"/>
      <c r="I157" s="1259"/>
      <c r="K157" s="1259"/>
      <c r="M157" s="1259"/>
      <c r="N157" s="1259"/>
      <c r="O157" s="1259"/>
      <c r="Q157" s="1259"/>
      <c r="S157" s="1259"/>
      <c r="U157" s="1259"/>
      <c r="W157" s="1259"/>
      <c r="X157" s="1260"/>
    </row>
    <row r="158" spans="1:24" s="1239" customFormat="1" ht="40" customHeight="1">
      <c r="A158" s="1282"/>
      <c r="C158" s="1283"/>
      <c r="E158" s="1283"/>
      <c r="F158" s="1284"/>
      <c r="G158" s="1283" t="s">
        <v>71</v>
      </c>
      <c r="I158" s="1283"/>
      <c r="K158" s="1283"/>
      <c r="M158" s="1283"/>
      <c r="N158" s="1284"/>
      <c r="O158" s="1305"/>
      <c r="Q158" s="1305"/>
      <c r="S158" s="1285"/>
      <c r="U158" s="1305"/>
      <c r="W158" s="1305"/>
      <c r="X158" s="1260"/>
    </row>
    <row r="159" spans="1:24" ht="21.5" thickBot="1">
      <c r="A159" s="1258"/>
      <c r="B159" s="1255" t="s">
        <v>1856</v>
      </c>
      <c r="G159" s="1312"/>
      <c r="H159" s="1267"/>
      <c r="I159" s="1281" t="s">
        <v>1625</v>
      </c>
      <c r="J159" s="1267"/>
      <c r="K159" s="1281" t="s">
        <v>1626</v>
      </c>
      <c r="L159" s="1267"/>
      <c r="M159" s="1281" t="s">
        <v>1688</v>
      </c>
      <c r="W159" s="1286" t="s">
        <v>1689</v>
      </c>
      <c r="X159" s="1257"/>
    </row>
    <row r="160" spans="1:24" s="1239" customFormat="1" ht="18.5" customHeight="1">
      <c r="A160" s="1313"/>
      <c r="B160" s="1314"/>
      <c r="C160" s="1314"/>
      <c r="D160" s="1314"/>
      <c r="E160" s="1314"/>
      <c r="F160" s="1314"/>
      <c r="G160" s="1314"/>
      <c r="H160" s="1314"/>
      <c r="I160" s="1314"/>
      <c r="J160" s="1314"/>
      <c r="K160" s="1314"/>
      <c r="L160" s="1314"/>
      <c r="M160" s="1314"/>
      <c r="N160" s="1314"/>
      <c r="O160" s="1314"/>
      <c r="P160" s="1314"/>
      <c r="Q160" s="1314"/>
      <c r="R160" s="1314"/>
      <c r="S160" s="1314"/>
      <c r="T160" s="1314"/>
      <c r="U160" s="1314"/>
      <c r="V160" s="1314"/>
      <c r="W160" s="1314"/>
      <c r="X160" s="1315"/>
    </row>
    <row r="161" spans="1:24" s="1239" customFormat="1">
      <c r="A161" s="1253" t="s">
        <v>329</v>
      </c>
      <c r="C161" s="1239" t="s">
        <v>333</v>
      </c>
      <c r="E161" s="1239" t="s">
        <v>334</v>
      </c>
      <c r="G161" s="1239" t="s">
        <v>335</v>
      </c>
      <c r="I161" s="1239" t="s">
        <v>336</v>
      </c>
      <c r="K161" s="1239" t="s">
        <v>337</v>
      </c>
      <c r="M161" s="1239" t="s">
        <v>338</v>
      </c>
      <c r="O161" s="1239" t="s">
        <v>339</v>
      </c>
      <c r="Q161" s="1239" t="s">
        <v>340</v>
      </c>
      <c r="S161" s="1239" t="s">
        <v>281</v>
      </c>
      <c r="U161" s="1239" t="s">
        <v>341</v>
      </c>
      <c r="W161" s="1239" t="s">
        <v>346</v>
      </c>
      <c r="X161" s="1260"/>
    </row>
    <row r="162" spans="1:24" s="1239" customFormat="1" ht="19.5" customHeight="1">
      <c r="A162" s="1253"/>
      <c r="X162" s="1260"/>
    </row>
    <row r="163" spans="1:24" s="1239" customFormat="1">
      <c r="A163" s="1274"/>
      <c r="C163" s="1259"/>
      <c r="E163" s="1259"/>
      <c r="F163" s="1259"/>
      <c r="G163" s="1259"/>
      <c r="I163" s="1259"/>
      <c r="K163" s="1259"/>
      <c r="M163" s="1259"/>
      <c r="N163" s="1259"/>
      <c r="O163" s="1259"/>
      <c r="Q163" s="1259"/>
      <c r="S163" s="1259"/>
      <c r="U163" s="1259"/>
      <c r="W163" s="1259"/>
      <c r="X163" s="1260"/>
    </row>
    <row r="164" spans="1:24" s="1239" customFormat="1">
      <c r="A164" s="1274"/>
      <c r="B164" s="1239">
        <v>408</v>
      </c>
      <c r="C164" s="1259"/>
      <c r="D164" s="1239">
        <v>206</v>
      </c>
      <c r="E164" s="1259"/>
      <c r="F164" s="1259">
        <v>417</v>
      </c>
      <c r="G164" s="1259"/>
      <c r="H164" s="1239">
        <v>305</v>
      </c>
      <c r="I164" s="1259"/>
      <c r="J164" s="1239">
        <v>396</v>
      </c>
      <c r="K164" s="1259"/>
      <c r="L164" s="1239">
        <v>431</v>
      </c>
      <c r="M164" s="1259"/>
      <c r="N164" s="1259">
        <v>403</v>
      </c>
      <c r="O164" s="1259"/>
      <c r="P164" s="1239">
        <v>420</v>
      </c>
      <c r="Q164" s="1259"/>
      <c r="R164" s="1239">
        <v>446</v>
      </c>
      <c r="S164" s="1259"/>
      <c r="T164" s="1239">
        <v>298</v>
      </c>
      <c r="U164" s="1259"/>
      <c r="V164" s="1239">
        <v>280</v>
      </c>
      <c r="W164" s="1259"/>
      <c r="X164" s="1260">
        <v>273</v>
      </c>
    </row>
    <row r="165" spans="1:24" s="1239" customFormat="1" ht="17" customHeight="1">
      <c r="A165" s="1274"/>
      <c r="C165" s="1259"/>
      <c r="E165" s="1259"/>
      <c r="F165" s="1259"/>
      <c r="G165" s="1259"/>
      <c r="I165" s="1259"/>
      <c r="K165" s="1259"/>
      <c r="M165" s="1259"/>
      <c r="N165" s="1259"/>
      <c r="O165" s="1259"/>
      <c r="Q165" s="1259"/>
      <c r="S165" s="1259"/>
      <c r="U165" s="1259"/>
      <c r="W165" s="1259"/>
      <c r="X165" s="1260"/>
    </row>
    <row r="166" spans="1:24" s="1239" customFormat="1" ht="40" customHeight="1">
      <c r="A166" s="1305"/>
      <c r="C166" s="1305"/>
      <c r="E166" s="1305"/>
      <c r="F166" s="1284"/>
      <c r="G166" s="1283"/>
      <c r="I166" s="1283"/>
      <c r="K166" s="1283"/>
      <c r="M166" s="1316"/>
      <c r="N166" s="1284"/>
      <c r="O166" s="1283"/>
      <c r="Q166" s="1283"/>
      <c r="S166" s="1285"/>
      <c r="U166" s="1283"/>
      <c r="W166" s="1283"/>
      <c r="X166" s="1260"/>
    </row>
    <row r="167" spans="1:24" s="1239" customFormat="1">
      <c r="A167" s="1253"/>
      <c r="X167" s="1260"/>
    </row>
    <row r="168" spans="1:24" s="1239" customFormat="1">
      <c r="A168" s="1264" t="s">
        <v>132</v>
      </c>
      <c r="B168" s="1267"/>
      <c r="C168" s="1264" t="s">
        <v>132</v>
      </c>
      <c r="D168" s="1267"/>
      <c r="E168" s="1264" t="s">
        <v>123</v>
      </c>
      <c r="F168" s="1267"/>
      <c r="G168" s="1317" t="s">
        <v>182</v>
      </c>
      <c r="H168" s="1267"/>
      <c r="I168" s="1264" t="s">
        <v>125</v>
      </c>
      <c r="K168" s="1280" t="s">
        <v>248</v>
      </c>
      <c r="L168" s="1267"/>
      <c r="M168" s="1280" t="s">
        <v>185</v>
      </c>
      <c r="N168" s="1267"/>
      <c r="O168" s="1280" t="s">
        <v>248</v>
      </c>
      <c r="P168" s="1267"/>
      <c r="Q168" s="1264" t="s">
        <v>115</v>
      </c>
      <c r="R168" s="1267"/>
      <c r="S168" s="1280" t="s">
        <v>248</v>
      </c>
      <c r="T168" s="1267"/>
      <c r="U168" s="1264" t="s">
        <v>119</v>
      </c>
      <c r="V168" s="1267"/>
      <c r="W168" s="1280" t="s">
        <v>182</v>
      </c>
      <c r="X168" s="1260"/>
    </row>
    <row r="169" spans="1:24" s="1239" customFormat="1" ht="21.5" thickBot="1">
      <c r="A169" s="1751" t="s">
        <v>1857</v>
      </c>
      <c r="B169" s="1752"/>
      <c r="D169" s="1254" t="s">
        <v>1834</v>
      </c>
      <c r="G169" s="1286" t="s">
        <v>366</v>
      </c>
      <c r="K169" s="1286" t="s">
        <v>1627</v>
      </c>
      <c r="L169" s="1267"/>
      <c r="M169" s="1280"/>
      <c r="N169" s="1267"/>
      <c r="O169" s="1280"/>
      <c r="P169" s="1267"/>
      <c r="Q169" s="1280"/>
      <c r="R169" s="1267"/>
      <c r="S169" s="1286" t="s">
        <v>1628</v>
      </c>
      <c r="U169" s="1280"/>
      <c r="V169" s="1267"/>
      <c r="W169" s="1286" t="s">
        <v>1628</v>
      </c>
      <c r="X169" s="1260"/>
    </row>
    <row r="170" spans="1:24" s="1239" customFormat="1" ht="17.5" customHeight="1">
      <c r="A170" s="1313"/>
      <c r="B170" s="1314"/>
      <c r="C170" s="1314"/>
      <c r="D170" s="1314"/>
      <c r="E170" s="1314"/>
      <c r="F170" s="1314"/>
      <c r="G170" s="1314"/>
      <c r="H170" s="1314"/>
      <c r="I170" s="1314"/>
      <c r="J170" s="1314"/>
      <c r="K170" s="1314"/>
      <c r="L170" s="1314"/>
      <c r="M170" s="1314"/>
      <c r="N170" s="1314"/>
      <c r="O170" s="1314"/>
      <c r="P170" s="1314"/>
      <c r="Q170" s="1314"/>
      <c r="R170" s="1314"/>
      <c r="S170" s="1314"/>
      <c r="T170" s="1314"/>
      <c r="U170" s="1314"/>
      <c r="V170" s="1314"/>
      <c r="W170" s="1314"/>
      <c r="X170" s="1315"/>
    </row>
    <row r="171" spans="1:24" s="1239" customFormat="1">
      <c r="A171" s="1253" t="s">
        <v>347</v>
      </c>
      <c r="C171" s="1239" t="s">
        <v>348</v>
      </c>
      <c r="E171" s="1239" t="s">
        <v>282</v>
      </c>
      <c r="G171" s="1239" t="s">
        <v>283</v>
      </c>
      <c r="I171" s="1239" t="s">
        <v>349</v>
      </c>
      <c r="K171" s="1239" t="s">
        <v>350</v>
      </c>
      <c r="M171" s="1239" t="s">
        <v>351</v>
      </c>
      <c r="O171" s="1239" t="s">
        <v>352</v>
      </c>
      <c r="Q171" s="1239" t="s">
        <v>353</v>
      </c>
      <c r="S171" s="1239" t="s">
        <v>274</v>
      </c>
      <c r="U171" s="1239" t="s">
        <v>275</v>
      </c>
      <c r="W171" s="1239" t="s">
        <v>355</v>
      </c>
      <c r="X171" s="1260"/>
    </row>
    <row r="172" spans="1:24" s="1239" customFormat="1">
      <c r="A172" s="1253"/>
      <c r="X172" s="1260"/>
    </row>
    <row r="173" spans="1:24" s="1239" customFormat="1">
      <c r="A173" s="1274"/>
      <c r="C173" s="1259"/>
      <c r="E173" s="1259"/>
      <c r="F173" s="1259"/>
      <c r="G173" s="1259"/>
      <c r="I173" s="1259"/>
      <c r="K173" s="1259"/>
      <c r="M173" s="1259"/>
      <c r="N173" s="1259"/>
      <c r="O173" s="1259"/>
      <c r="Q173" s="1259"/>
      <c r="S173" s="1259"/>
      <c r="U173" s="1259"/>
      <c r="W173" s="1259"/>
      <c r="X173" s="1260"/>
    </row>
    <row r="174" spans="1:24" s="1239" customFormat="1">
      <c r="A174" s="1274"/>
      <c r="B174" s="1239">
        <v>348</v>
      </c>
      <c r="C174" s="1259"/>
      <c r="D174" s="1239">
        <v>379</v>
      </c>
      <c r="E174" s="1259"/>
      <c r="F174" s="1259">
        <v>399</v>
      </c>
      <c r="G174" s="1259"/>
      <c r="H174" s="1239">
        <v>439</v>
      </c>
      <c r="I174" s="1259"/>
      <c r="J174" s="1239">
        <v>360</v>
      </c>
      <c r="K174" s="1259"/>
      <c r="L174" s="1239">
        <v>380</v>
      </c>
      <c r="M174" s="1259"/>
      <c r="N174" s="1259">
        <v>384</v>
      </c>
      <c r="O174" s="1259"/>
      <c r="P174" s="1239">
        <v>442</v>
      </c>
      <c r="Q174" s="1259"/>
      <c r="R174" s="1239">
        <v>397</v>
      </c>
      <c r="S174" s="1259"/>
      <c r="T174" s="1239">
        <v>395</v>
      </c>
      <c r="U174" s="1259"/>
      <c r="V174" s="1239">
        <v>432</v>
      </c>
      <c r="W174" s="1259"/>
      <c r="X174" s="1260">
        <v>408</v>
      </c>
    </row>
    <row r="175" spans="1:24" s="1239" customFormat="1" ht="14.5" customHeight="1">
      <c r="A175" s="1274"/>
      <c r="C175" s="1259"/>
      <c r="E175" s="1259"/>
      <c r="F175" s="1259"/>
      <c r="G175" s="1259"/>
      <c r="I175" s="1259"/>
      <c r="K175" s="1259"/>
      <c r="M175" s="1259"/>
      <c r="N175" s="1259"/>
      <c r="O175" s="1259"/>
      <c r="Q175" s="1259"/>
      <c r="S175" s="1259"/>
      <c r="U175" s="1259"/>
      <c r="W175" s="1259"/>
      <c r="X175" s="1260"/>
    </row>
    <row r="176" spans="1:24" s="1239" customFormat="1" ht="52" customHeight="1">
      <c r="A176" s="1282"/>
      <c r="C176" s="1283"/>
      <c r="E176" s="1305"/>
      <c r="F176" s="1284"/>
      <c r="G176" s="1306"/>
      <c r="I176" s="1283" t="s">
        <v>1703</v>
      </c>
      <c r="K176" s="1306"/>
      <c r="M176" s="1306"/>
      <c r="N176" s="1284"/>
      <c r="O176" s="1283" t="s">
        <v>1703</v>
      </c>
      <c r="Q176" s="1283" t="s">
        <v>1703</v>
      </c>
      <c r="S176" s="1305"/>
      <c r="U176" s="1305"/>
      <c r="W176" s="1305"/>
      <c r="X176" s="1260"/>
    </row>
    <row r="177" spans="1:24" s="1239" customFormat="1">
      <c r="A177" s="1280" t="s">
        <v>182</v>
      </c>
      <c r="B177" s="1267"/>
      <c r="C177" s="1280" t="s">
        <v>248</v>
      </c>
      <c r="D177" s="1267"/>
      <c r="E177" s="1280" t="s">
        <v>242</v>
      </c>
      <c r="F177" s="1267"/>
      <c r="G177" s="1280" t="s">
        <v>242</v>
      </c>
      <c r="H177" s="1267"/>
      <c r="I177" s="1264" t="s">
        <v>115</v>
      </c>
      <c r="J177" s="1267"/>
      <c r="K177" s="1280" t="s">
        <v>182</v>
      </c>
      <c r="L177" s="1267"/>
      <c r="M177" s="1264" t="s">
        <v>123</v>
      </c>
      <c r="O177" s="1267" t="s">
        <v>248</v>
      </c>
      <c r="P177" s="1267"/>
      <c r="Q177" s="1267" t="s">
        <v>248</v>
      </c>
      <c r="R177" s="1267"/>
      <c r="S177" s="1267" t="s">
        <v>248</v>
      </c>
      <c r="T177" s="1267"/>
      <c r="U177" s="1267" t="s">
        <v>248</v>
      </c>
      <c r="V177" s="1267"/>
      <c r="W177" s="1267" t="s">
        <v>248</v>
      </c>
      <c r="X177" s="1260"/>
    </row>
    <row r="178" spans="1:24" s="1239" customFormat="1">
      <c r="B178" s="1753" t="s">
        <v>1628</v>
      </c>
      <c r="C178" s="1753"/>
      <c r="D178" s="1753"/>
      <c r="I178" s="1265"/>
      <c r="M178" s="1318"/>
      <c r="O178" s="1286" t="s">
        <v>1626</v>
      </c>
      <c r="P178" s="1267"/>
      <c r="Q178" s="1286" t="s">
        <v>1629</v>
      </c>
    </row>
    <row r="179" spans="1:24" s="1239" customFormat="1" ht="17.5" customHeight="1">
      <c r="A179" s="1253"/>
      <c r="X179" s="1260"/>
    </row>
    <row r="180" spans="1:24" s="1239" customFormat="1">
      <c r="A180" s="1253" t="s">
        <v>284</v>
      </c>
      <c r="C180" s="1239" t="s">
        <v>285</v>
      </c>
      <c r="E180" s="1239" t="s">
        <v>705</v>
      </c>
      <c r="G180" s="1239" t="s">
        <v>357</v>
      </c>
      <c r="I180" s="1239" t="s">
        <v>706</v>
      </c>
      <c r="K180" s="1239" t="s">
        <v>247</v>
      </c>
      <c r="M180" s="1239" t="s">
        <v>260</v>
      </c>
      <c r="O180" s="1239" t="s">
        <v>261</v>
      </c>
      <c r="Q180" s="1239" t="s">
        <v>286</v>
      </c>
      <c r="S180" s="1239" t="s">
        <v>707</v>
      </c>
      <c r="U180" s="1239" t="s">
        <v>359</v>
      </c>
      <c r="W180" s="1239" t="s">
        <v>360</v>
      </c>
      <c r="X180" s="1260"/>
    </row>
    <row r="181" spans="1:24" s="1239" customFormat="1">
      <c r="A181" s="1253"/>
      <c r="X181" s="1260"/>
    </row>
    <row r="182" spans="1:24" s="1239" customFormat="1">
      <c r="A182" s="1274"/>
      <c r="C182" s="1259"/>
      <c r="E182" s="1259"/>
      <c r="F182" s="1259"/>
      <c r="G182" s="1259"/>
      <c r="I182" s="1259"/>
      <c r="K182" s="1259"/>
      <c r="M182" s="1259"/>
      <c r="N182" s="1259"/>
      <c r="O182" s="1259"/>
      <c r="Q182" s="1259"/>
      <c r="S182" s="1259"/>
      <c r="U182" s="1259"/>
      <c r="W182" s="1259"/>
      <c r="X182" s="1260"/>
    </row>
    <row r="183" spans="1:24" s="1239" customFormat="1">
      <c r="A183" s="1274"/>
      <c r="B183" s="1239">
        <v>426</v>
      </c>
      <c r="C183" s="1259"/>
      <c r="D183" s="1239">
        <v>393</v>
      </c>
      <c r="E183" s="1259"/>
      <c r="F183" s="1259">
        <v>432</v>
      </c>
      <c r="G183" s="1259"/>
      <c r="H183" s="1239">
        <v>426</v>
      </c>
      <c r="I183" s="1259"/>
      <c r="J183" s="1239">
        <v>401</v>
      </c>
      <c r="K183" s="1259"/>
      <c r="L183" s="1239">
        <v>437</v>
      </c>
      <c r="M183" s="1259"/>
      <c r="N183" s="1259">
        <v>402</v>
      </c>
      <c r="O183" s="1259"/>
      <c r="P183" s="1239">
        <v>436</v>
      </c>
      <c r="Q183" s="1259"/>
      <c r="R183" s="1239">
        <v>392</v>
      </c>
      <c r="S183" s="1259"/>
      <c r="T183" s="1239">
        <v>403</v>
      </c>
      <c r="U183" s="1259"/>
      <c r="V183" s="1239">
        <v>412</v>
      </c>
      <c r="W183" s="1259"/>
      <c r="X183" s="1260">
        <v>438</v>
      </c>
    </row>
    <row r="184" spans="1:24" s="1239" customFormat="1" ht="15" customHeight="1">
      <c r="A184" s="1274"/>
      <c r="C184" s="1259"/>
      <c r="E184" s="1259"/>
      <c r="F184" s="1259"/>
      <c r="G184" s="1259"/>
      <c r="I184" s="1259"/>
      <c r="K184" s="1259"/>
      <c r="M184" s="1259"/>
      <c r="N184" s="1259"/>
      <c r="O184" s="1259"/>
      <c r="Q184" s="1259"/>
      <c r="S184" s="1259"/>
      <c r="U184" s="1259"/>
      <c r="W184" s="1259"/>
      <c r="X184" s="1260"/>
    </row>
    <row r="185" spans="1:24" s="1239" customFormat="1" ht="56" customHeight="1">
      <c r="A185" s="1319"/>
      <c r="C185" s="1305"/>
      <c r="E185" s="1283"/>
      <c r="F185" s="1284"/>
      <c r="G185" s="1283"/>
      <c r="I185" s="1283"/>
      <c r="K185" s="1305"/>
      <c r="M185" s="1305"/>
      <c r="N185" s="1284"/>
      <c r="O185" s="1305"/>
      <c r="Q185" s="1283"/>
      <c r="S185" s="1285"/>
      <c r="U185" s="1283"/>
      <c r="W185" s="1283"/>
      <c r="X185" s="1260"/>
    </row>
    <row r="186" spans="1:24" s="1239" customFormat="1">
      <c r="A186" s="1253"/>
      <c r="X186" s="1260"/>
    </row>
    <row r="187" spans="1:24" s="1239" customFormat="1">
      <c r="A187" s="1267" t="s">
        <v>185</v>
      </c>
      <c r="B187" s="1267"/>
      <c r="C187" s="1267" t="s">
        <v>185</v>
      </c>
      <c r="D187" s="1267"/>
      <c r="E187" s="1264" t="s">
        <v>125</v>
      </c>
      <c r="F187" s="1267"/>
      <c r="G187" s="1264" t="s">
        <v>132</v>
      </c>
      <c r="H187" s="1267"/>
      <c r="I187" s="1264" t="s">
        <v>125</v>
      </c>
      <c r="J187" s="1267"/>
      <c r="K187" s="1267" t="s">
        <v>248</v>
      </c>
      <c r="L187" s="1267"/>
      <c r="M187" s="1267" t="s">
        <v>182</v>
      </c>
      <c r="N187" s="1267"/>
      <c r="O187" s="1267" t="s">
        <v>185</v>
      </c>
      <c r="P187" s="1267"/>
      <c r="Q187" s="1267" t="s">
        <v>248</v>
      </c>
      <c r="S187" s="1264" t="s">
        <v>128</v>
      </c>
      <c r="T187" s="1267"/>
      <c r="U187" s="1267" t="s">
        <v>242</v>
      </c>
      <c r="V187" s="1267"/>
      <c r="W187" s="1264" t="s">
        <v>119</v>
      </c>
      <c r="X187" s="1260"/>
    </row>
    <row r="188" spans="1:24" s="1239" customFormat="1">
      <c r="A188" s="1253"/>
      <c r="I188" s="1286" t="s">
        <v>1629</v>
      </c>
      <c r="S188" s="1286" t="s">
        <v>1629</v>
      </c>
      <c r="X188" s="1260"/>
    </row>
    <row r="189" spans="1:24" s="1239" customFormat="1" ht="18.5" customHeight="1">
      <c r="A189" s="1253" t="s">
        <v>361</v>
      </c>
      <c r="C189" s="1239" t="s">
        <v>362</v>
      </c>
      <c r="E189" s="1239" t="s">
        <v>363</v>
      </c>
      <c r="G189" s="1239" t="s">
        <v>364</v>
      </c>
      <c r="I189" s="1239" t="s">
        <v>365</v>
      </c>
      <c r="K189" s="1239" t="s">
        <v>711</v>
      </c>
      <c r="M189" s="1239" t="s">
        <v>367</v>
      </c>
      <c r="O189" s="1239" t="s">
        <v>287</v>
      </c>
      <c r="Q189" s="1239" t="s">
        <v>368</v>
      </c>
      <c r="S189" s="1239" t="s">
        <v>369</v>
      </c>
      <c r="U189" s="1239" t="s">
        <v>370</v>
      </c>
      <c r="W189" s="1239" t="s">
        <v>371</v>
      </c>
      <c r="X189" s="1260"/>
    </row>
    <row r="190" spans="1:24" s="1239" customFormat="1">
      <c r="A190" s="1253"/>
      <c r="X190" s="1260"/>
    </row>
    <row r="191" spans="1:24" s="1239" customFormat="1">
      <c r="A191" s="1274"/>
      <c r="C191" s="1259"/>
      <c r="E191" s="1259"/>
      <c r="F191" s="1259"/>
      <c r="G191" s="1259"/>
      <c r="I191" s="1259"/>
      <c r="K191" s="1259"/>
      <c r="M191" s="1259"/>
      <c r="N191" s="1259"/>
      <c r="O191" s="1259"/>
      <c r="Q191" s="1259"/>
      <c r="S191" s="1259"/>
      <c r="U191" s="1259"/>
      <c r="W191" s="1259"/>
      <c r="X191" s="1260"/>
    </row>
    <row r="192" spans="1:24" s="1239" customFormat="1">
      <c r="A192" s="1274"/>
      <c r="B192" s="1239">
        <v>410</v>
      </c>
      <c r="C192" s="1259"/>
      <c r="D192" s="1239">
        <v>380</v>
      </c>
      <c r="E192" s="1259"/>
      <c r="F192" s="1259">
        <v>397</v>
      </c>
      <c r="G192" s="1259"/>
      <c r="H192" s="1239">
        <v>415</v>
      </c>
      <c r="I192" s="1259"/>
      <c r="J192" s="1239">
        <v>353</v>
      </c>
      <c r="K192" s="1259"/>
      <c r="L192" s="1239">
        <v>389</v>
      </c>
      <c r="M192" s="1259"/>
      <c r="N192" s="1259">
        <v>238</v>
      </c>
      <c r="O192" s="1259"/>
      <c r="P192" s="1239">
        <v>291</v>
      </c>
      <c r="Q192" s="1259"/>
      <c r="R192" s="1239">
        <v>346</v>
      </c>
      <c r="S192" s="1259"/>
      <c r="T192" s="1239">
        <v>319</v>
      </c>
      <c r="U192" s="1259"/>
      <c r="V192" s="1239">
        <v>307</v>
      </c>
      <c r="W192" s="1259"/>
      <c r="X192" s="1260">
        <v>347</v>
      </c>
    </row>
    <row r="193" spans="1:24" s="1239" customFormat="1" ht="13.5" customHeight="1">
      <c r="A193" s="1274"/>
      <c r="C193" s="1259"/>
      <c r="E193" s="1259"/>
      <c r="F193" s="1259"/>
      <c r="G193" s="1259"/>
      <c r="I193" s="1259"/>
      <c r="K193" s="1259"/>
      <c r="M193" s="1259"/>
      <c r="N193" s="1259"/>
      <c r="O193" s="1259"/>
      <c r="Q193" s="1259"/>
      <c r="S193" s="1259"/>
      <c r="U193" s="1259"/>
      <c r="W193" s="1259"/>
      <c r="X193" s="1260"/>
    </row>
    <row r="194" spans="1:24" s="1239" customFormat="1" ht="47" customHeight="1">
      <c r="A194" s="1282"/>
      <c r="C194" s="1283"/>
      <c r="E194" s="1283"/>
      <c r="F194" s="1284"/>
      <c r="G194" s="1283"/>
      <c r="I194" s="1283"/>
      <c r="K194" s="1283"/>
      <c r="M194" s="1283" t="s">
        <v>390</v>
      </c>
      <c r="N194" s="1284"/>
      <c r="O194" s="1305"/>
      <c r="Q194" s="1320"/>
      <c r="S194" s="1305"/>
      <c r="U194" s="1320" t="s">
        <v>390</v>
      </c>
      <c r="W194" s="1305"/>
      <c r="X194" s="1260"/>
    </row>
    <row r="195" spans="1:24" s="1239" customFormat="1">
      <c r="A195" s="1264" t="s">
        <v>132</v>
      </c>
      <c r="B195" s="1267"/>
      <c r="C195" s="1264" t="s">
        <v>143</v>
      </c>
      <c r="D195" s="1267"/>
      <c r="E195" s="1267" t="s">
        <v>242</v>
      </c>
      <c r="F195" s="1267"/>
      <c r="G195" s="1267" t="s">
        <v>182</v>
      </c>
      <c r="H195" s="1267"/>
      <c r="I195" s="1267" t="s">
        <v>182</v>
      </c>
      <c r="J195" s="1267"/>
      <c r="K195" s="1264" t="s">
        <v>125</v>
      </c>
      <c r="L195" s="1267"/>
      <c r="M195" s="1264" t="s">
        <v>119</v>
      </c>
      <c r="N195" s="1267"/>
      <c r="O195" s="1267" t="s">
        <v>248</v>
      </c>
      <c r="P195" s="1267"/>
      <c r="Q195" s="1267" t="s">
        <v>182</v>
      </c>
      <c r="R195" s="1267"/>
      <c r="S195" s="1267" t="s">
        <v>182</v>
      </c>
      <c r="T195" s="1267"/>
      <c r="U195" s="1264" t="s">
        <v>125</v>
      </c>
      <c r="W195" s="1267" t="s">
        <v>185</v>
      </c>
      <c r="X195" s="1260"/>
    </row>
    <row r="196" spans="1:24" s="1239" customFormat="1" ht="27" customHeight="1">
      <c r="A196" s="1253"/>
      <c r="I196" s="1292" t="s">
        <v>1277</v>
      </c>
      <c r="J196" s="1292"/>
      <c r="K196" s="1292"/>
      <c r="L196" s="1292"/>
      <c r="M196" s="1292"/>
      <c r="N196" s="1292"/>
      <c r="O196" s="1292"/>
      <c r="P196" s="1292"/>
      <c r="Q196" s="1292"/>
      <c r="R196" s="1292"/>
      <c r="S196" s="1292" t="s">
        <v>1277</v>
      </c>
      <c r="T196" s="1292"/>
      <c r="U196" s="1292" t="s">
        <v>1278</v>
      </c>
      <c r="V196" s="1292"/>
      <c r="W196" s="1292" t="s">
        <v>1278</v>
      </c>
      <c r="X196" s="1321"/>
    </row>
    <row r="197" spans="1:24" s="1239" customFormat="1" ht="18" customHeight="1">
      <c r="A197" s="1253"/>
      <c r="X197" s="1260"/>
    </row>
    <row r="198" spans="1:24">
      <c r="A198" s="1253" t="s">
        <v>372</v>
      </c>
      <c r="B198" s="1239"/>
      <c r="C198" s="1239" t="s">
        <v>373</v>
      </c>
      <c r="D198" s="1239"/>
      <c r="E198" s="1239" t="s">
        <v>288</v>
      </c>
      <c r="F198" s="1239"/>
      <c r="G198" s="1239" t="s">
        <v>259</v>
      </c>
      <c r="H198" s="1239"/>
      <c r="I198" s="1239" t="s">
        <v>251</v>
      </c>
      <c r="J198" s="1239"/>
      <c r="K198" s="1239" t="s">
        <v>377</v>
      </c>
      <c r="L198" s="1239"/>
      <c r="M198" s="1239" t="s">
        <v>297</v>
      </c>
      <c r="N198" s="1239"/>
      <c r="O198" s="1239" t="s">
        <v>378</v>
      </c>
      <c r="P198" s="1239"/>
      <c r="Q198" s="1239" t="s">
        <v>236</v>
      </c>
      <c r="R198" s="1239"/>
      <c r="S198" s="1239" t="s">
        <v>237</v>
      </c>
      <c r="T198" s="1239"/>
      <c r="U198" s="1239" t="s">
        <v>214</v>
      </c>
      <c r="V198" s="1239"/>
      <c r="W198" s="1239" t="s">
        <v>213</v>
      </c>
      <c r="X198" s="1260"/>
    </row>
    <row r="199" spans="1:24">
      <c r="A199" s="1253"/>
      <c r="B199" s="1239"/>
      <c r="C199" s="1239"/>
      <c r="D199" s="1239"/>
      <c r="E199" s="1239"/>
      <c r="F199" s="1239"/>
      <c r="G199" s="1239"/>
      <c r="H199" s="1239"/>
      <c r="I199" s="1239"/>
      <c r="J199" s="1239"/>
      <c r="K199" s="1239"/>
      <c r="L199" s="1239"/>
      <c r="M199" s="1239"/>
      <c r="N199" s="1239"/>
      <c r="O199" s="1239"/>
      <c r="P199" s="1239"/>
      <c r="Q199" s="1239"/>
      <c r="R199" s="1239"/>
      <c r="S199" s="1239"/>
      <c r="T199" s="1239"/>
      <c r="U199" s="1239"/>
      <c r="V199" s="1239"/>
      <c r="W199" s="1239"/>
      <c r="X199" s="1260"/>
    </row>
    <row r="200" spans="1:24">
      <c r="A200" s="1274"/>
      <c r="B200" s="1239"/>
      <c r="C200" s="1259"/>
      <c r="D200" s="1239"/>
      <c r="E200" s="1259"/>
      <c r="F200" s="1259"/>
      <c r="G200" s="1259"/>
      <c r="H200" s="1239"/>
      <c r="I200" s="1259"/>
      <c r="J200" s="1239"/>
      <c r="K200" s="1259"/>
      <c r="L200" s="1239"/>
      <c r="M200" s="1259"/>
      <c r="N200" s="1259"/>
      <c r="O200" s="1259"/>
      <c r="P200" s="1239"/>
      <c r="Q200" s="1259"/>
      <c r="R200" s="1239"/>
      <c r="S200" s="1259"/>
      <c r="T200" s="1239"/>
      <c r="U200" s="1259"/>
      <c r="V200" s="1239"/>
      <c r="W200" s="1259"/>
      <c r="X200" s="1260"/>
    </row>
    <row r="201" spans="1:24">
      <c r="A201" s="1274"/>
      <c r="B201" s="1239">
        <v>300</v>
      </c>
      <c r="C201" s="1259"/>
      <c r="D201" s="1239">
        <v>317</v>
      </c>
      <c r="E201" s="1259"/>
      <c r="F201" s="1259">
        <v>454</v>
      </c>
      <c r="G201" s="1259"/>
      <c r="H201" s="1239">
        <v>385</v>
      </c>
      <c r="I201" s="1259"/>
      <c r="J201" s="1239">
        <v>418</v>
      </c>
      <c r="K201" s="1259"/>
      <c r="L201" s="1239">
        <v>410</v>
      </c>
      <c r="M201" s="1259"/>
      <c r="N201" s="1259">
        <v>385</v>
      </c>
      <c r="O201" s="1259"/>
      <c r="P201" s="1239">
        <v>345</v>
      </c>
      <c r="Q201" s="1259"/>
      <c r="R201" s="1239">
        <v>332</v>
      </c>
      <c r="S201" s="1259"/>
      <c r="T201" s="1239">
        <v>394</v>
      </c>
      <c r="U201" s="1259"/>
      <c r="V201" s="1239">
        <v>388</v>
      </c>
      <c r="W201" s="1259"/>
      <c r="X201" s="1260">
        <v>340</v>
      </c>
    </row>
    <row r="202" spans="1:24" ht="16.5" customHeight="1">
      <c r="A202" s="1274"/>
      <c r="B202" s="1239"/>
      <c r="C202" s="1259"/>
      <c r="D202" s="1239"/>
      <c r="E202" s="1259"/>
      <c r="F202" s="1259"/>
      <c r="G202" s="1259"/>
      <c r="H202" s="1239"/>
      <c r="I202" s="1259"/>
      <c r="J202" s="1239"/>
      <c r="K202" s="1259"/>
      <c r="L202" s="1239"/>
      <c r="M202" s="1259"/>
      <c r="N202" s="1259"/>
      <c r="O202" s="1259"/>
      <c r="P202" s="1239"/>
      <c r="Q202" s="1259"/>
      <c r="R202" s="1239"/>
      <c r="S202" s="1259"/>
      <c r="T202" s="1239"/>
      <c r="U202" s="1259"/>
      <c r="V202" s="1239"/>
      <c r="W202" s="1259"/>
      <c r="X202" s="1260"/>
    </row>
    <row r="203" spans="1:24" ht="56" customHeight="1">
      <c r="A203" s="1305"/>
      <c r="B203" s="1239"/>
      <c r="C203" s="1305"/>
      <c r="D203" s="1239"/>
      <c r="E203" s="1322"/>
      <c r="F203" s="1284"/>
      <c r="G203" s="1305"/>
      <c r="H203" s="1239"/>
      <c r="I203" s="1305"/>
      <c r="J203" s="1239"/>
      <c r="K203" s="1305"/>
      <c r="L203" s="1239"/>
      <c r="M203" s="1305"/>
      <c r="N203" s="1284"/>
      <c r="O203" s="1305"/>
      <c r="P203" s="1239"/>
      <c r="Q203" s="1305"/>
      <c r="R203" s="1239"/>
      <c r="S203" s="1305"/>
      <c r="T203" s="1239"/>
      <c r="U203" s="1305"/>
      <c r="V203" s="1239"/>
      <c r="W203" s="1305"/>
      <c r="X203" s="1260"/>
    </row>
    <row r="204" spans="1:24" ht="19" customHeight="1">
      <c r="A204" s="1267" t="s">
        <v>185</v>
      </c>
      <c r="B204" s="1267"/>
      <c r="C204" s="1264" t="s">
        <v>119</v>
      </c>
      <c r="D204" s="1267"/>
      <c r="E204" s="1267" t="s">
        <v>182</v>
      </c>
      <c r="F204" s="1267"/>
      <c r="G204" s="1267" t="s">
        <v>248</v>
      </c>
      <c r="H204" s="1267"/>
      <c r="I204" s="1267" t="s">
        <v>248</v>
      </c>
      <c r="J204" s="1267"/>
      <c r="K204" s="1264" t="s">
        <v>132</v>
      </c>
      <c r="L204" s="1267"/>
      <c r="M204" s="1267" t="s">
        <v>182</v>
      </c>
      <c r="N204" s="1267"/>
      <c r="O204" s="1264" t="s">
        <v>115</v>
      </c>
      <c r="P204" s="1267"/>
      <c r="Q204" s="1267" t="s">
        <v>182</v>
      </c>
      <c r="R204" s="1267"/>
      <c r="S204" s="1267" t="s">
        <v>182</v>
      </c>
      <c r="T204" s="1267"/>
      <c r="U204" s="1267" t="s">
        <v>185</v>
      </c>
      <c r="V204" s="1267"/>
      <c r="W204" s="1267" t="s">
        <v>182</v>
      </c>
      <c r="X204" s="1267"/>
    </row>
    <row r="205" spans="1:24" ht="21.5" thickBot="1">
      <c r="A205" s="1253"/>
      <c r="B205" s="1239"/>
      <c r="C205" s="1239"/>
      <c r="D205" s="1239"/>
      <c r="E205" s="1292" t="s">
        <v>1569</v>
      </c>
      <c r="F205" s="1239"/>
      <c r="G205" s="1239"/>
      <c r="H205" s="1239"/>
      <c r="I205" s="1239"/>
      <c r="J205" s="1239"/>
      <c r="K205" s="1239"/>
      <c r="L205" s="1239"/>
      <c r="M205" s="1239"/>
      <c r="N205" s="1239"/>
      <c r="O205" s="1239"/>
      <c r="P205" s="1239"/>
      <c r="Q205" s="1239"/>
      <c r="R205" s="1239"/>
      <c r="S205" s="1239"/>
      <c r="T205" s="1239"/>
      <c r="U205" s="1239"/>
      <c r="V205" s="1239"/>
      <c r="W205" s="1239"/>
      <c r="X205" s="1260"/>
    </row>
    <row r="206" spans="1:24" s="1239" customFormat="1" ht="18.5" customHeight="1">
      <c r="A206" s="1313"/>
      <c r="B206" s="1314"/>
      <c r="C206" s="1314"/>
      <c r="D206" s="1314"/>
      <c r="E206" s="1314"/>
      <c r="F206" s="1314"/>
      <c r="G206" s="1314"/>
      <c r="H206" s="1314"/>
      <c r="I206" s="1314"/>
      <c r="J206" s="1314"/>
      <c r="K206" s="1314"/>
      <c r="L206" s="1314"/>
      <c r="M206" s="1314"/>
      <c r="N206" s="1314"/>
      <c r="O206" s="1314"/>
      <c r="P206" s="1314"/>
      <c r="Q206" s="1314"/>
      <c r="R206" s="1314"/>
      <c r="S206" s="1314"/>
      <c r="T206" s="1314"/>
      <c r="U206" s="1314"/>
      <c r="V206" s="1314"/>
      <c r="W206" s="1314"/>
      <c r="X206" s="1315"/>
    </row>
    <row r="207" spans="1:24" s="1239" customFormat="1">
      <c r="A207" s="1253" t="s">
        <v>212</v>
      </c>
      <c r="C207" s="1239" t="s">
        <v>209</v>
      </c>
      <c r="E207" s="1239" t="s">
        <v>231</v>
      </c>
      <c r="G207" s="1239" t="s">
        <v>379</v>
      </c>
      <c r="I207" s="1239" t="s">
        <v>263</v>
      </c>
      <c r="K207" s="1239" t="s">
        <v>1279</v>
      </c>
      <c r="M207" s="1239" t="s">
        <v>215</v>
      </c>
      <c r="O207" s="1239" t="s">
        <v>216</v>
      </c>
      <c r="Q207" s="1239" t="s">
        <v>239</v>
      </c>
      <c r="S207" s="1239" t="s">
        <v>240</v>
      </c>
      <c r="U207" s="1239" t="s">
        <v>241</v>
      </c>
      <c r="W207" s="1239" t="s">
        <v>381</v>
      </c>
      <c r="X207" s="1260"/>
    </row>
    <row r="208" spans="1:24" s="1239" customFormat="1">
      <c r="A208" s="1253"/>
      <c r="X208" s="1260"/>
    </row>
    <row r="209" spans="1:24" s="1239" customFormat="1">
      <c r="A209" s="1274"/>
      <c r="C209" s="1259"/>
      <c r="E209" s="1259"/>
      <c r="F209" s="1259"/>
      <c r="G209" s="1259"/>
      <c r="I209" s="1259"/>
      <c r="K209" s="1259"/>
      <c r="M209" s="1259"/>
      <c r="N209" s="1259"/>
      <c r="O209" s="1259"/>
      <c r="Q209" s="1259"/>
      <c r="S209" s="1259"/>
      <c r="U209" s="1259"/>
      <c r="W209" s="1259"/>
      <c r="X209" s="1260"/>
    </row>
    <row r="210" spans="1:24" s="1239" customFormat="1">
      <c r="A210" s="1274"/>
      <c r="B210" s="1239">
        <v>393</v>
      </c>
      <c r="C210" s="1259"/>
      <c r="D210" s="1239">
        <v>329</v>
      </c>
      <c r="E210" s="1259"/>
      <c r="F210" s="1259">
        <v>399</v>
      </c>
      <c r="G210" s="1259"/>
      <c r="H210" s="1239">
        <v>426</v>
      </c>
      <c r="I210" s="1259"/>
      <c r="J210" s="1239">
        <v>409</v>
      </c>
      <c r="K210" s="1259"/>
      <c r="L210" s="1239">
        <v>388</v>
      </c>
      <c r="M210" s="1259"/>
      <c r="N210" s="1259">
        <v>381</v>
      </c>
      <c r="O210" s="1259"/>
      <c r="P210" s="1239">
        <v>381</v>
      </c>
      <c r="Q210" s="1259"/>
      <c r="R210" s="1239">
        <v>345</v>
      </c>
      <c r="S210" s="1259"/>
      <c r="T210" s="1239">
        <v>396</v>
      </c>
      <c r="U210" s="1259"/>
      <c r="V210" s="1239">
        <v>415</v>
      </c>
      <c r="W210" s="1259"/>
      <c r="X210" s="1260">
        <v>402</v>
      </c>
    </row>
    <row r="211" spans="1:24" s="1239" customFormat="1" ht="16.5" customHeight="1">
      <c r="A211" s="1274"/>
      <c r="C211" s="1259"/>
      <c r="E211" s="1259"/>
      <c r="F211" s="1259"/>
      <c r="G211" s="1259"/>
      <c r="I211" s="1259"/>
      <c r="K211" s="1259"/>
      <c r="M211" s="1259"/>
      <c r="N211" s="1259"/>
      <c r="O211" s="1259"/>
      <c r="Q211" s="1259"/>
      <c r="S211" s="1259"/>
      <c r="U211" s="1259"/>
      <c r="W211" s="1259"/>
      <c r="X211" s="1260"/>
    </row>
    <row r="212" spans="1:24" s="1239" customFormat="1" ht="40" customHeight="1">
      <c r="A212" s="1319"/>
      <c r="C212" s="1305"/>
      <c r="E212" s="1305"/>
      <c r="F212" s="1284"/>
      <c r="G212" s="1305"/>
      <c r="I212" s="1305"/>
      <c r="K212" s="1305"/>
      <c r="M212" s="1305"/>
      <c r="N212" s="1284"/>
      <c r="O212" s="1305"/>
      <c r="Q212" s="1305"/>
      <c r="S212" s="1305"/>
      <c r="U212" s="1305"/>
      <c r="W212" s="1305"/>
      <c r="X212" s="1260"/>
    </row>
    <row r="213" spans="1:24" s="1239" customFormat="1">
      <c r="A213" s="1253"/>
      <c r="X213" s="1260"/>
    </row>
    <row r="214" spans="1:24" s="1239" customFormat="1" ht="21.5" thickBot="1">
      <c r="A214" s="1267" t="s">
        <v>182</v>
      </c>
      <c r="C214" s="1267" t="s">
        <v>182</v>
      </c>
      <c r="D214" s="1267"/>
      <c r="E214" s="1267" t="s">
        <v>182</v>
      </c>
      <c r="F214" s="1267"/>
      <c r="G214" s="1264" t="s">
        <v>115</v>
      </c>
      <c r="H214" s="1267"/>
      <c r="I214" s="1267" t="s">
        <v>242</v>
      </c>
      <c r="J214" s="1267"/>
      <c r="K214" s="1264" t="s">
        <v>119</v>
      </c>
      <c r="L214" s="1267"/>
      <c r="M214" s="1267" t="s">
        <v>182</v>
      </c>
      <c r="N214" s="1267"/>
      <c r="O214" s="1267" t="s">
        <v>185</v>
      </c>
      <c r="P214" s="1267"/>
      <c r="Q214" s="1267" t="s">
        <v>182</v>
      </c>
      <c r="R214" s="1267"/>
      <c r="S214" s="1267" t="s">
        <v>185</v>
      </c>
      <c r="T214" s="1267"/>
      <c r="U214" s="1267" t="s">
        <v>242</v>
      </c>
      <c r="V214" s="1267"/>
      <c r="W214" s="1264" t="s">
        <v>115</v>
      </c>
      <c r="X214" s="1260"/>
    </row>
    <row r="215" spans="1:24" s="1239" customFormat="1" ht="17.5" customHeight="1">
      <c r="A215" s="1313"/>
      <c r="B215" s="1314"/>
      <c r="C215" s="1314"/>
      <c r="D215" s="1314"/>
      <c r="E215" s="1314"/>
      <c r="F215" s="1314"/>
      <c r="G215" s="1314"/>
      <c r="H215" s="1314"/>
      <c r="I215" s="1314"/>
      <c r="J215" s="1314"/>
      <c r="K215" s="1314"/>
      <c r="L215" s="1314"/>
      <c r="M215" s="1314"/>
      <c r="N215" s="1314"/>
      <c r="O215" s="1314"/>
      <c r="P215" s="1314"/>
      <c r="Q215" s="1314"/>
      <c r="R215" s="1314"/>
      <c r="S215" s="1314"/>
      <c r="T215" s="1314"/>
      <c r="U215" s="1314"/>
      <c r="V215" s="1314"/>
      <c r="W215" s="1314"/>
      <c r="X215" s="1315"/>
    </row>
    <row r="216" spans="1:24" s="1239" customFormat="1" ht="17.5" customHeight="1">
      <c r="A216" s="1253" t="s">
        <v>383</v>
      </c>
      <c r="C216" s="1239" t="s">
        <v>384</v>
      </c>
      <c r="E216" s="1239" t="s">
        <v>253</v>
      </c>
      <c r="G216" s="1239" t="s">
        <v>385</v>
      </c>
      <c r="I216" s="1239" t="s">
        <v>386</v>
      </c>
      <c r="K216" s="1239" t="s">
        <v>257</v>
      </c>
      <c r="M216" s="1239" t="s">
        <v>387</v>
      </c>
      <c r="O216" s="1239" t="s">
        <v>267</v>
      </c>
      <c r="Q216" s="1239" t="s">
        <v>268</v>
      </c>
      <c r="S216" s="1239" t="s">
        <v>269</v>
      </c>
      <c r="U216" s="1239" t="s">
        <v>227</v>
      </c>
      <c r="W216" s="1239" t="s">
        <v>271</v>
      </c>
      <c r="X216" s="1260"/>
    </row>
    <row r="217" spans="1:24" s="1239" customFormat="1">
      <c r="A217" s="1253"/>
      <c r="X217" s="1260"/>
    </row>
    <row r="218" spans="1:24" s="1239" customFormat="1">
      <c r="A218" s="1274"/>
      <c r="C218" s="1259"/>
      <c r="E218" s="1259"/>
      <c r="F218" s="1259"/>
      <c r="G218" s="1259"/>
      <c r="I218" s="1259"/>
      <c r="K218" s="1259"/>
      <c r="M218" s="1259"/>
      <c r="N218" s="1259"/>
      <c r="O218" s="1259"/>
      <c r="Q218" s="1259"/>
      <c r="S218" s="1259"/>
      <c r="U218" s="1259"/>
      <c r="W218" s="1259"/>
      <c r="X218" s="1260"/>
    </row>
    <row r="219" spans="1:24" s="1239" customFormat="1">
      <c r="A219" s="1274"/>
      <c r="B219" s="1239">
        <v>355</v>
      </c>
      <c r="C219" s="1259"/>
      <c r="D219" s="1239">
        <v>425</v>
      </c>
      <c r="E219" s="1259"/>
      <c r="F219" s="1259">
        <v>414</v>
      </c>
      <c r="G219" s="1259"/>
      <c r="H219" s="1239">
        <v>353</v>
      </c>
      <c r="I219" s="1259"/>
      <c r="J219" s="1239">
        <v>441</v>
      </c>
      <c r="K219" s="1259"/>
      <c r="L219" s="1239">
        <v>388</v>
      </c>
      <c r="M219" s="1259"/>
      <c r="N219" s="1259">
        <v>373</v>
      </c>
      <c r="O219" s="1259"/>
      <c r="P219" s="1239">
        <v>415</v>
      </c>
      <c r="Q219" s="1259"/>
      <c r="R219" s="1239">
        <v>425</v>
      </c>
      <c r="S219" s="1259"/>
      <c r="T219" s="1239">
        <v>392</v>
      </c>
      <c r="U219" s="1259"/>
      <c r="V219" s="1239">
        <v>410</v>
      </c>
      <c r="W219" s="1259"/>
      <c r="X219" s="1260">
        <v>386</v>
      </c>
    </row>
    <row r="220" spans="1:24" s="1239" customFormat="1" ht="15.5" customHeight="1">
      <c r="A220" s="1274"/>
      <c r="C220" s="1259"/>
      <c r="E220" s="1259"/>
      <c r="F220" s="1259"/>
      <c r="G220" s="1259"/>
      <c r="I220" s="1259"/>
      <c r="K220" s="1259"/>
      <c r="M220" s="1259"/>
      <c r="N220" s="1259"/>
      <c r="O220" s="1259"/>
      <c r="Q220" s="1259"/>
      <c r="S220" s="1259"/>
      <c r="U220" s="1259"/>
      <c r="W220" s="1259"/>
      <c r="X220" s="1260"/>
    </row>
    <row r="221" spans="1:24" s="1239" customFormat="1" ht="40.5" customHeight="1">
      <c r="A221" s="1361"/>
      <c r="C221" s="1305"/>
      <c r="E221" s="1305"/>
      <c r="F221" s="1284"/>
      <c r="G221" s="1305"/>
      <c r="I221" s="1305"/>
      <c r="K221" s="1305"/>
      <c r="M221" s="1305"/>
      <c r="N221" s="1284"/>
      <c r="O221" s="1323" t="s">
        <v>390</v>
      </c>
      <c r="Q221" s="1305"/>
      <c r="S221" s="1306"/>
      <c r="U221" s="1305"/>
      <c r="W221" s="1305"/>
      <c r="X221" s="1260"/>
    </row>
    <row r="222" spans="1:24" s="1239" customFormat="1">
      <c r="A222" s="1267" t="s">
        <v>185</v>
      </c>
      <c r="B222" s="1267"/>
      <c r="C222" s="1264" t="s">
        <v>125</v>
      </c>
      <c r="D222" s="1267"/>
      <c r="E222" s="1267" t="s">
        <v>248</v>
      </c>
      <c r="G222" s="1267" t="s">
        <v>182</v>
      </c>
      <c r="H222" s="1267"/>
      <c r="I222" s="1264" t="s">
        <v>188</v>
      </c>
      <c r="J222" s="1267"/>
      <c r="K222" s="1267" t="s">
        <v>248</v>
      </c>
      <c r="L222" s="1267"/>
      <c r="M222" s="1264" t="s">
        <v>132</v>
      </c>
      <c r="N222" s="1267"/>
      <c r="O222" s="1267" t="s">
        <v>182</v>
      </c>
      <c r="P222" s="1267"/>
      <c r="Q222" s="1267" t="s">
        <v>185</v>
      </c>
      <c r="R222" s="1267"/>
      <c r="S222" s="1267" t="s">
        <v>182</v>
      </c>
      <c r="T222" s="1267"/>
      <c r="U222" s="1267" t="s">
        <v>182</v>
      </c>
      <c r="V222" s="1267"/>
      <c r="W222" s="1267" t="s">
        <v>242</v>
      </c>
      <c r="X222" s="1260"/>
    </row>
    <row r="223" spans="1:24" s="1239" customFormat="1" ht="21.5" thickBot="1">
      <c r="A223" s="1324" t="s">
        <v>1277</v>
      </c>
      <c r="B223" s="1292"/>
      <c r="C223" s="1292"/>
      <c r="D223" s="1292"/>
      <c r="E223" s="1292"/>
      <c r="F223" s="1292"/>
      <c r="G223" s="1292" t="s">
        <v>1277</v>
      </c>
      <c r="H223" s="1292"/>
      <c r="I223" s="1292"/>
      <c r="J223" s="1292"/>
      <c r="K223" s="1292"/>
      <c r="L223" s="1292"/>
      <c r="M223" s="1292"/>
      <c r="N223" s="1292"/>
      <c r="O223" s="1292" t="s">
        <v>1276</v>
      </c>
      <c r="X223" s="1260"/>
    </row>
    <row r="224" spans="1:24" s="1239" customFormat="1" ht="18.5" customHeight="1">
      <c r="A224" s="1313"/>
      <c r="B224" s="1314"/>
      <c r="C224" s="1314"/>
      <c r="D224" s="1314"/>
      <c r="E224" s="1314"/>
      <c r="F224" s="1314"/>
      <c r="G224" s="1314"/>
      <c r="H224" s="1314"/>
      <c r="I224" s="1314"/>
      <c r="J224" s="1314"/>
      <c r="K224" s="1314"/>
      <c r="L224" s="1314"/>
      <c r="M224" s="1314"/>
      <c r="N224" s="1314"/>
      <c r="O224" s="1314"/>
      <c r="P224" s="1314"/>
      <c r="Q224" s="1314"/>
      <c r="R224" s="1314"/>
      <c r="S224" s="1314"/>
      <c r="T224" s="1314"/>
      <c r="U224" s="1314"/>
      <c r="V224" s="1314"/>
      <c r="W224" s="1314"/>
      <c r="X224" s="1315"/>
    </row>
    <row r="225" spans="1:24" s="1239" customFormat="1">
      <c r="A225" s="1253" t="s">
        <v>391</v>
      </c>
      <c r="C225" s="1239" t="s">
        <v>392</v>
      </c>
      <c r="E225" s="1239" t="s">
        <v>393</v>
      </c>
      <c r="G225" s="1239" t="s">
        <v>394</v>
      </c>
      <c r="I225" s="1239" t="s">
        <v>225</v>
      </c>
      <c r="K225" s="1239" t="s">
        <v>395</v>
      </c>
      <c r="M225" s="1239" t="s">
        <v>396</v>
      </c>
      <c r="O225" s="1239" t="s">
        <v>258</v>
      </c>
      <c r="Q225" s="1239" t="s">
        <v>398</v>
      </c>
      <c r="S225" s="1239" t="s">
        <v>262</v>
      </c>
      <c r="U225" s="1239" t="s">
        <v>244</v>
      </c>
      <c r="W225" s="1239" t="s">
        <v>399</v>
      </c>
      <c r="X225" s="1260"/>
    </row>
    <row r="226" spans="1:24" s="1239" customFormat="1">
      <c r="A226" s="1253"/>
      <c r="X226" s="1260"/>
    </row>
    <row r="227" spans="1:24" s="1239" customFormat="1">
      <c r="A227" s="1274"/>
      <c r="C227" s="1259"/>
      <c r="E227" s="1259"/>
      <c r="F227" s="1259"/>
      <c r="G227" s="1259"/>
      <c r="I227" s="1259"/>
      <c r="K227" s="1259"/>
      <c r="M227" s="1259"/>
      <c r="N227" s="1259"/>
      <c r="O227" s="1259"/>
      <c r="Q227" s="1259"/>
      <c r="S227" s="1259"/>
      <c r="U227" s="1259"/>
      <c r="W227" s="1259"/>
      <c r="X227" s="1260"/>
    </row>
    <row r="228" spans="1:24" s="1239" customFormat="1">
      <c r="A228" s="1274"/>
      <c r="B228" s="1239">
        <v>418</v>
      </c>
      <c r="C228" s="1259"/>
      <c r="D228" s="1239">
        <v>421</v>
      </c>
      <c r="E228" s="1259"/>
      <c r="F228" s="1259">
        <v>402</v>
      </c>
      <c r="G228" s="1259"/>
      <c r="H228" s="1239">
        <v>429</v>
      </c>
      <c r="I228" s="1259"/>
      <c r="J228" s="1239">
        <v>404</v>
      </c>
      <c r="K228" s="1259"/>
      <c r="L228" s="1239">
        <v>385</v>
      </c>
      <c r="M228" s="1259"/>
      <c r="N228" s="1259">
        <v>381</v>
      </c>
      <c r="O228" s="1259"/>
      <c r="P228" s="1239">
        <v>355</v>
      </c>
      <c r="Q228" s="1259"/>
      <c r="R228" s="1239">
        <v>406</v>
      </c>
      <c r="S228" s="1259"/>
      <c r="T228" s="1239">
        <v>417</v>
      </c>
      <c r="U228" s="1259"/>
      <c r="V228" s="1239">
        <v>381</v>
      </c>
      <c r="W228" s="1259"/>
      <c r="X228" s="1260">
        <v>412</v>
      </c>
    </row>
    <row r="229" spans="1:24" s="1239" customFormat="1" ht="13.5" customHeight="1">
      <c r="A229" s="1274"/>
      <c r="C229" s="1259"/>
      <c r="E229" s="1259"/>
      <c r="F229" s="1259"/>
      <c r="G229" s="1259"/>
      <c r="I229" s="1259"/>
      <c r="K229" s="1259"/>
      <c r="M229" s="1259"/>
      <c r="N229" s="1259"/>
      <c r="O229" s="1259"/>
      <c r="Q229" s="1259"/>
      <c r="S229" s="1259"/>
      <c r="U229" s="1259"/>
      <c r="W229" s="1259"/>
      <c r="X229" s="1260"/>
    </row>
    <row r="230" spans="1:24" s="1239" customFormat="1" ht="40" customHeight="1">
      <c r="A230" s="1305"/>
      <c r="C230" s="1305"/>
      <c r="E230" s="1305"/>
      <c r="F230" s="1284"/>
      <c r="G230" s="1305"/>
      <c r="I230" s="1305"/>
      <c r="K230" s="1322"/>
      <c r="M230" s="1305"/>
      <c r="N230" s="1284"/>
      <c r="O230" s="1305"/>
      <c r="Q230" s="1305"/>
      <c r="S230" s="1305"/>
      <c r="U230" s="1305"/>
      <c r="W230" s="1305"/>
      <c r="X230" s="1260"/>
    </row>
    <row r="231" spans="1:24" s="1239" customFormat="1">
      <c r="A231" s="1253"/>
      <c r="M231" s="1253"/>
      <c r="W231" s="1253"/>
      <c r="X231" s="1260"/>
    </row>
    <row r="232" spans="1:24" s="1239" customFormat="1">
      <c r="A232" s="1264" t="s">
        <v>188</v>
      </c>
      <c r="B232" s="1267"/>
      <c r="C232" s="1267" t="s">
        <v>242</v>
      </c>
      <c r="D232" s="1267"/>
      <c r="E232" s="1267" t="s">
        <v>185</v>
      </c>
      <c r="F232" s="1267"/>
      <c r="G232" s="1264" t="s">
        <v>115</v>
      </c>
      <c r="H232" s="1267"/>
      <c r="I232" s="1267" t="s">
        <v>185</v>
      </c>
      <c r="K232" s="1264" t="s">
        <v>128</v>
      </c>
      <c r="L232" s="1267"/>
      <c r="M232" s="1264" t="s">
        <v>115</v>
      </c>
      <c r="N232" s="1267"/>
      <c r="O232" s="1267" t="s">
        <v>182</v>
      </c>
      <c r="P232" s="1267"/>
      <c r="Q232" s="1264" t="s">
        <v>125</v>
      </c>
      <c r="R232" s="1267"/>
      <c r="S232" s="1267" t="s">
        <v>242</v>
      </c>
      <c r="T232" s="1267"/>
      <c r="U232" s="1267" t="s">
        <v>182</v>
      </c>
      <c r="V232" s="1267"/>
      <c r="W232" s="1264" t="s">
        <v>115</v>
      </c>
      <c r="X232" s="1260"/>
    </row>
    <row r="233" spans="1:24" s="1239" customFormat="1">
      <c r="A233" s="1253"/>
      <c r="X233" s="1260"/>
    </row>
    <row r="234" spans="1:24" s="1239" customFormat="1" ht="21.5" thickBot="1">
      <c r="A234" s="1325"/>
      <c r="B234" s="1326"/>
      <c r="C234" s="1326"/>
      <c r="D234" s="1326"/>
      <c r="E234" s="1326"/>
      <c r="F234" s="1326"/>
      <c r="G234" s="1326"/>
      <c r="H234" s="1326"/>
      <c r="I234" s="1326"/>
      <c r="J234" s="1326"/>
      <c r="K234" s="1326"/>
      <c r="L234" s="1326"/>
      <c r="M234" s="1326"/>
      <c r="N234" s="1326"/>
      <c r="O234" s="1326"/>
      <c r="P234" s="1326"/>
      <c r="Q234" s="1326"/>
      <c r="R234" s="1326"/>
      <c r="S234" s="1326"/>
      <c r="T234" s="1326"/>
      <c r="U234" s="1326"/>
      <c r="V234" s="1326"/>
      <c r="W234" s="1326"/>
      <c r="X234" s="1327"/>
    </row>
    <row r="235" spans="1:24" s="1239" customFormat="1">
      <c r="A235" s="1253" t="s">
        <v>277</v>
      </c>
      <c r="C235" s="1239" t="s">
        <v>280</v>
      </c>
      <c r="E235" s="1239" t="s">
        <v>400</v>
      </c>
      <c r="G235" s="1239" t="s">
        <v>401</v>
      </c>
      <c r="I235" s="1239" t="s">
        <v>402</v>
      </c>
      <c r="K235" s="1239" t="s">
        <v>403</v>
      </c>
      <c r="M235" s="1239" t="s">
        <v>404</v>
      </c>
      <c r="O235" s="1239" t="s">
        <v>405</v>
      </c>
      <c r="Q235" s="1239" t="s">
        <v>406</v>
      </c>
      <c r="S235" s="1239" t="s">
        <v>290</v>
      </c>
      <c r="U235" s="1239" t="s">
        <v>407</v>
      </c>
      <c r="W235" s="1239" t="s">
        <v>408</v>
      </c>
      <c r="X235" s="1260"/>
    </row>
    <row r="236" spans="1:24" s="1239" customFormat="1">
      <c r="A236" s="1253"/>
      <c r="X236" s="1260"/>
    </row>
    <row r="237" spans="1:24" s="1239" customFormat="1">
      <c r="A237" s="1274"/>
      <c r="C237" s="1259"/>
      <c r="E237" s="1259"/>
      <c r="F237" s="1259"/>
      <c r="G237" s="1259"/>
      <c r="I237" s="1259"/>
      <c r="K237" s="1259"/>
      <c r="M237" s="1259"/>
      <c r="N237" s="1259"/>
      <c r="O237" s="1259"/>
      <c r="Q237" s="1259"/>
      <c r="S237" s="1259"/>
      <c r="U237" s="1259"/>
      <c r="W237" s="1259"/>
      <c r="X237" s="1260"/>
    </row>
    <row r="238" spans="1:24" s="1239" customFormat="1">
      <c r="A238" s="1274"/>
      <c r="B238" s="1239">
        <v>392</v>
      </c>
      <c r="C238" s="1259"/>
      <c r="D238" s="1239">
        <v>297</v>
      </c>
      <c r="E238" s="1259"/>
      <c r="F238" s="1259">
        <v>412</v>
      </c>
      <c r="G238" s="1259"/>
      <c r="H238" s="1239">
        <v>382</v>
      </c>
      <c r="I238" s="1259"/>
      <c r="J238" s="1239">
        <v>453</v>
      </c>
      <c r="K238" s="1259"/>
      <c r="L238" s="1239">
        <v>420</v>
      </c>
      <c r="M238" s="1259"/>
      <c r="N238" s="1259">
        <v>395</v>
      </c>
      <c r="O238" s="1259"/>
      <c r="P238" s="1239">
        <v>387</v>
      </c>
      <c r="Q238" s="1259"/>
      <c r="R238" s="1239">
        <v>379</v>
      </c>
      <c r="S238" s="1259"/>
      <c r="T238" s="1239">
        <v>350</v>
      </c>
      <c r="U238" s="1259"/>
      <c r="V238" s="1239">
        <v>358</v>
      </c>
      <c r="W238" s="1259"/>
      <c r="X238" s="1260">
        <v>237</v>
      </c>
    </row>
    <row r="239" spans="1:24" s="1239" customFormat="1" ht="17.5" customHeight="1">
      <c r="A239" s="1274"/>
      <c r="C239" s="1259"/>
      <c r="E239" s="1259"/>
      <c r="F239" s="1259"/>
      <c r="G239" s="1259"/>
      <c r="I239" s="1259"/>
      <c r="K239" s="1259"/>
      <c r="M239" s="1259"/>
      <c r="N239" s="1259"/>
      <c r="O239" s="1259"/>
      <c r="Q239" s="1259"/>
      <c r="S239" s="1259"/>
      <c r="U239" s="1259"/>
      <c r="W239" s="1259"/>
      <c r="X239" s="1260"/>
    </row>
    <row r="240" spans="1:24" s="1239" customFormat="1" ht="52" customHeight="1">
      <c r="A240" s="1319"/>
      <c r="C240" s="1305"/>
      <c r="E240" s="1283" t="s">
        <v>1703</v>
      </c>
      <c r="F240" s="1284"/>
      <c r="G240" s="1323" t="s">
        <v>390</v>
      </c>
      <c r="I240" s="1283" t="s">
        <v>1703</v>
      </c>
      <c r="K240" s="1283" t="s">
        <v>1703</v>
      </c>
      <c r="M240" s="1283" t="s">
        <v>1703</v>
      </c>
      <c r="N240" s="1284"/>
      <c r="O240" s="1283" t="s">
        <v>1703</v>
      </c>
      <c r="Q240" s="1305"/>
      <c r="S240" s="1305"/>
      <c r="U240" s="1283" t="s">
        <v>1703</v>
      </c>
      <c r="W240" s="1283" t="s">
        <v>1703</v>
      </c>
      <c r="X240" s="1260"/>
    </row>
    <row r="241" spans="1:24" s="1239" customFormat="1" ht="21.5" thickBot="1">
      <c r="A241" s="1267" t="s">
        <v>185</v>
      </c>
      <c r="B241" s="1267"/>
      <c r="C241" s="1267" t="s">
        <v>248</v>
      </c>
      <c r="D241" s="1267"/>
      <c r="E241" s="1264" t="s">
        <v>128</v>
      </c>
      <c r="F241" s="1267"/>
      <c r="G241" s="1264" t="s">
        <v>115</v>
      </c>
      <c r="H241" s="1267"/>
      <c r="I241" s="1267" t="s">
        <v>248</v>
      </c>
      <c r="J241" s="1267"/>
      <c r="K241" s="1264" t="s">
        <v>115</v>
      </c>
      <c r="L241" s="1267"/>
      <c r="M241" s="1267" t="s">
        <v>248</v>
      </c>
      <c r="O241" s="1264" t="s">
        <v>125</v>
      </c>
      <c r="P241" s="1267"/>
      <c r="Q241" s="1267" t="s">
        <v>182</v>
      </c>
      <c r="R241" s="1267"/>
      <c r="S241" s="1267" t="s">
        <v>182</v>
      </c>
      <c r="T241" s="1267"/>
      <c r="U241" s="1267" t="s">
        <v>182</v>
      </c>
      <c r="V241" s="1267"/>
      <c r="W241" s="1264" t="s">
        <v>115</v>
      </c>
      <c r="X241" s="1298" t="s">
        <v>1513</v>
      </c>
    </row>
    <row r="242" spans="1:24" s="1239" customFormat="1" ht="20.5" customHeight="1">
      <c r="A242" s="1313"/>
      <c r="B242" s="1314"/>
      <c r="C242" s="1314"/>
      <c r="D242" s="1314"/>
      <c r="E242" s="1314"/>
      <c r="F242" s="1314"/>
      <c r="G242" s="1314"/>
      <c r="H242" s="1314"/>
      <c r="I242" s="1314"/>
      <c r="J242" s="1314"/>
      <c r="K242" s="1314"/>
      <c r="L242" s="1314"/>
      <c r="M242" s="1314"/>
      <c r="N242" s="1314"/>
      <c r="O242" s="1314"/>
      <c r="P242" s="1314"/>
      <c r="Q242" s="1314"/>
      <c r="R242" s="1314"/>
      <c r="S242" s="1314"/>
      <c r="T242" s="1314"/>
      <c r="U242" s="1314"/>
      <c r="V242" s="1314"/>
      <c r="W242" s="1314"/>
      <c r="X242" s="1315"/>
    </row>
    <row r="243" spans="1:24" s="1239" customFormat="1" ht="21.5" customHeight="1">
      <c r="A243" s="1253" t="s">
        <v>409</v>
      </c>
      <c r="C243" s="1239" t="s">
        <v>410</v>
      </c>
      <c r="E243" s="1239" t="s">
        <v>411</v>
      </c>
      <c r="G243" s="1239" t="s">
        <v>412</v>
      </c>
      <c r="I243" s="1239" t="s">
        <v>414</v>
      </c>
      <c r="K243" s="1239" t="s">
        <v>1280</v>
      </c>
      <c r="M243" s="1239" t="s">
        <v>217</v>
      </c>
      <c r="O243" s="1239" t="s">
        <v>416</v>
      </c>
      <c r="Q243" s="1239" t="s">
        <v>294</v>
      </c>
      <c r="S243" s="1239" t="s">
        <v>276</v>
      </c>
      <c r="U243" s="1239" t="s">
        <v>417</v>
      </c>
      <c r="W243" s="1239" t="s">
        <v>418</v>
      </c>
      <c r="X243" s="1260"/>
    </row>
    <row r="244" spans="1:24" s="1239" customFormat="1">
      <c r="A244" s="1253"/>
      <c r="X244" s="1260"/>
    </row>
    <row r="245" spans="1:24" s="1239" customFormat="1">
      <c r="A245" s="1274"/>
      <c r="C245" s="1259"/>
      <c r="E245" s="1259"/>
      <c r="F245" s="1259"/>
      <c r="G245" s="1259"/>
      <c r="I245" s="1259"/>
      <c r="K245" s="1259"/>
      <c r="M245" s="1259"/>
      <c r="N245" s="1259"/>
      <c r="O245" s="1259"/>
      <c r="Q245" s="1259"/>
      <c r="S245" s="1259"/>
      <c r="U245" s="1259"/>
      <c r="W245" s="1259"/>
      <c r="X245" s="1260"/>
    </row>
    <row r="246" spans="1:24" s="1239" customFormat="1">
      <c r="A246" s="1274"/>
      <c r="B246" s="1239">
        <v>440</v>
      </c>
      <c r="C246" s="1259"/>
      <c r="D246" s="1239">
        <v>504</v>
      </c>
      <c r="E246" s="1259"/>
      <c r="F246" s="1259">
        <v>437</v>
      </c>
      <c r="G246" s="1259"/>
      <c r="H246" s="1239">
        <v>430</v>
      </c>
      <c r="I246" s="1259"/>
      <c r="J246" s="1239">
        <v>409</v>
      </c>
      <c r="K246" s="1259"/>
      <c r="L246" s="1239">
        <v>312</v>
      </c>
      <c r="M246" s="1259"/>
      <c r="N246" s="1259">
        <v>314</v>
      </c>
      <c r="O246" s="1259"/>
      <c r="P246" s="1239">
        <v>362</v>
      </c>
      <c r="Q246" s="1259"/>
      <c r="R246" s="1239">
        <v>329</v>
      </c>
      <c r="S246" s="1259"/>
      <c r="T246" s="1239">
        <v>371</v>
      </c>
      <c r="U246" s="1259"/>
      <c r="V246" s="1239">
        <v>418</v>
      </c>
      <c r="W246" s="1259"/>
      <c r="X246" s="1260">
        <v>377</v>
      </c>
    </row>
    <row r="247" spans="1:24" s="1239" customFormat="1" ht="12.5" customHeight="1">
      <c r="A247" s="1274"/>
      <c r="C247" s="1259"/>
      <c r="E247" s="1259"/>
      <c r="F247" s="1259"/>
      <c r="G247" s="1259"/>
      <c r="I247" s="1259"/>
      <c r="K247" s="1259"/>
      <c r="M247" s="1259"/>
      <c r="N247" s="1259"/>
      <c r="O247" s="1259"/>
      <c r="Q247" s="1259"/>
      <c r="S247" s="1259"/>
      <c r="U247" s="1259"/>
      <c r="W247" s="1259"/>
      <c r="X247" s="1260"/>
    </row>
    <row r="248" spans="1:24" s="1239" customFormat="1" ht="42.5" customHeight="1">
      <c r="A248" s="1328" t="s">
        <v>1703</v>
      </c>
      <c r="C248" s="1329"/>
      <c r="E248" s="1329"/>
      <c r="F248" s="1284"/>
      <c r="G248" s="1329"/>
      <c r="I248" s="1329"/>
      <c r="K248" s="1329"/>
      <c r="M248" s="1329"/>
      <c r="N248" s="1284"/>
      <c r="O248" s="1329"/>
      <c r="Q248" s="1329"/>
      <c r="S248" s="1329"/>
      <c r="U248" s="1329"/>
      <c r="W248" s="1329"/>
      <c r="X248" s="1260"/>
    </row>
    <row r="249" spans="1:24" s="1239" customFormat="1" ht="21.5" thickBot="1">
      <c r="A249" s="1264" t="s">
        <v>115</v>
      </c>
      <c r="B249" s="1267"/>
      <c r="C249" s="1264" t="s">
        <v>167</v>
      </c>
      <c r="D249" s="1267"/>
      <c r="E249" s="1264" t="s">
        <v>132</v>
      </c>
      <c r="F249" s="1267"/>
      <c r="G249" s="1264" t="s">
        <v>119</v>
      </c>
      <c r="H249" s="1267"/>
      <c r="I249" s="1267" t="s">
        <v>248</v>
      </c>
      <c r="J249" s="1267"/>
      <c r="K249" s="1264" t="s">
        <v>119</v>
      </c>
      <c r="L249" s="1267"/>
      <c r="M249" s="1267" t="s">
        <v>182</v>
      </c>
      <c r="N249" s="1267"/>
      <c r="O249" s="1264" t="s">
        <v>115</v>
      </c>
      <c r="P249" s="1267"/>
      <c r="Q249" s="1267" t="s">
        <v>182</v>
      </c>
      <c r="S249" s="1267" t="s">
        <v>182</v>
      </c>
      <c r="T249" s="1267"/>
      <c r="U249" s="1264" t="s">
        <v>115</v>
      </c>
      <c r="V249" s="1267"/>
      <c r="W249" s="1267" t="s">
        <v>185</v>
      </c>
      <c r="X249" s="1260"/>
    </row>
    <row r="250" spans="1:24" s="1239" customFormat="1" ht="19.5" customHeight="1">
      <c r="A250" s="1313"/>
      <c r="B250" s="1314"/>
      <c r="C250" s="1314"/>
      <c r="D250" s="1314"/>
      <c r="E250" s="1314"/>
      <c r="F250" s="1314"/>
      <c r="G250" s="1314"/>
      <c r="H250" s="1314"/>
      <c r="I250" s="1314"/>
      <c r="J250" s="1314"/>
      <c r="K250" s="1314"/>
      <c r="L250" s="1314"/>
      <c r="M250" s="1314"/>
      <c r="N250" s="1314"/>
      <c r="O250" s="1314"/>
      <c r="P250" s="1314"/>
      <c r="Q250" s="1314"/>
      <c r="R250" s="1314"/>
      <c r="S250" s="1314"/>
      <c r="T250" s="1314"/>
      <c r="U250" s="1314"/>
      <c r="V250" s="1314"/>
      <c r="W250" s="1314"/>
      <c r="X250" s="1315"/>
    </row>
    <row r="251" spans="1:24" s="1239" customFormat="1">
      <c r="A251" s="1253" t="s">
        <v>419</v>
      </c>
      <c r="C251" s="1239" t="s">
        <v>169</v>
      </c>
      <c r="E251" s="1239" t="s">
        <v>1281</v>
      </c>
      <c r="G251" s="1239" t="s">
        <v>289</v>
      </c>
      <c r="I251" s="1239" t="s">
        <v>1282</v>
      </c>
      <c r="K251" s="1239" t="s">
        <v>423</v>
      </c>
      <c r="M251" s="1330" t="s">
        <v>424</v>
      </c>
      <c r="O251" s="1239" t="s">
        <v>718</v>
      </c>
      <c r="Q251" s="1239" t="s">
        <v>279</v>
      </c>
      <c r="S251" s="1239" t="s">
        <v>426</v>
      </c>
      <c r="U251" s="1239" t="s">
        <v>427</v>
      </c>
      <c r="W251" s="1239" t="s">
        <v>428</v>
      </c>
      <c r="X251" s="1260"/>
    </row>
    <row r="252" spans="1:24" s="1239" customFormat="1">
      <c r="A252" s="1253"/>
      <c r="M252" s="1330"/>
      <c r="X252" s="1260"/>
    </row>
    <row r="253" spans="1:24" s="1239" customFormat="1">
      <c r="A253" s="1274"/>
      <c r="C253" s="1259"/>
      <c r="E253" s="1259"/>
      <c r="F253" s="1259"/>
      <c r="G253" s="1259"/>
      <c r="I253" s="1259"/>
      <c r="K253" s="1259"/>
      <c r="M253" s="1259"/>
      <c r="N253" s="1259"/>
      <c r="O253" s="1259"/>
      <c r="Q253" s="1259"/>
      <c r="S253" s="1259"/>
      <c r="U253" s="1259"/>
      <c r="W253" s="1259"/>
      <c r="X253" s="1260"/>
    </row>
    <row r="254" spans="1:24" s="1239" customFormat="1">
      <c r="A254" s="1274"/>
      <c r="B254" s="1239">
        <v>344</v>
      </c>
      <c r="C254" s="1259"/>
      <c r="D254" s="1239">
        <v>319</v>
      </c>
      <c r="E254" s="1259"/>
      <c r="F254" s="1259">
        <v>308</v>
      </c>
      <c r="G254" s="1259"/>
      <c r="H254" s="1239">
        <v>325</v>
      </c>
      <c r="I254" s="1259"/>
      <c r="J254" s="1239">
        <v>358</v>
      </c>
      <c r="K254" s="1259"/>
      <c r="L254" s="1239">
        <v>266</v>
      </c>
      <c r="M254" s="1259"/>
      <c r="N254" s="1259">
        <v>344</v>
      </c>
      <c r="O254" s="1259"/>
      <c r="P254" s="1239">
        <v>418</v>
      </c>
      <c r="Q254" s="1259"/>
      <c r="R254" s="1239">
        <v>424</v>
      </c>
      <c r="S254" s="1259"/>
      <c r="T254" s="1239">
        <v>411</v>
      </c>
      <c r="U254" s="1259"/>
      <c r="V254" s="1239">
        <v>434</v>
      </c>
      <c r="W254" s="1259"/>
      <c r="X254" s="1260">
        <v>410</v>
      </c>
    </row>
    <row r="255" spans="1:24" s="1239" customFormat="1" ht="13.5" customHeight="1">
      <c r="A255" s="1274"/>
      <c r="C255" s="1259"/>
      <c r="E255" s="1259"/>
      <c r="F255" s="1259"/>
      <c r="G255" s="1259"/>
      <c r="I255" s="1259"/>
      <c r="K255" s="1259"/>
      <c r="M255" s="1259"/>
      <c r="N255" s="1259"/>
      <c r="O255" s="1259"/>
      <c r="Q255" s="1259"/>
      <c r="S255" s="1259"/>
      <c r="U255" s="1259"/>
      <c r="W255" s="1259"/>
      <c r="X255" s="1260"/>
    </row>
    <row r="256" spans="1:24" s="1239" customFormat="1" ht="40" customHeight="1">
      <c r="A256" s="1305"/>
      <c r="C256" s="1305"/>
      <c r="E256" s="1305"/>
      <c r="F256" s="1284"/>
      <c r="G256" s="1305"/>
      <c r="I256" s="1305"/>
      <c r="K256" s="1283" t="s">
        <v>1703</v>
      </c>
      <c r="M256" s="1283" t="s">
        <v>1703</v>
      </c>
      <c r="N256" s="1284"/>
      <c r="O256" s="1305"/>
      <c r="Q256" s="1305"/>
      <c r="S256" s="1306"/>
      <c r="U256" s="1306"/>
      <c r="W256" s="1306"/>
      <c r="X256" s="1260"/>
    </row>
    <row r="257" spans="1:24" s="1239" customFormat="1">
      <c r="A257" s="1264" t="s">
        <v>115</v>
      </c>
      <c r="B257" s="1267"/>
      <c r="C257" s="1267" t="s">
        <v>182</v>
      </c>
      <c r="D257" s="1267"/>
      <c r="E257" s="1264" t="s">
        <v>115</v>
      </c>
      <c r="F257" s="1267"/>
      <c r="G257" s="1267" t="s">
        <v>182</v>
      </c>
      <c r="H257" s="1267"/>
      <c r="I257" s="1264" t="s">
        <v>125</v>
      </c>
      <c r="J257" s="1267"/>
      <c r="K257" s="1267" t="s">
        <v>182</v>
      </c>
      <c r="L257" s="1267"/>
      <c r="M257" s="1296" t="s">
        <v>170</v>
      </c>
      <c r="N257" s="1267"/>
      <c r="O257" s="1264" t="s">
        <v>115</v>
      </c>
      <c r="P257" s="1267"/>
      <c r="Q257" s="1267" t="s">
        <v>242</v>
      </c>
      <c r="R257" s="1267"/>
      <c r="S257" s="1267" t="s">
        <v>182</v>
      </c>
      <c r="T257" s="1267"/>
      <c r="U257" s="1267" t="s">
        <v>185</v>
      </c>
      <c r="W257" s="1267" t="s">
        <v>185</v>
      </c>
      <c r="X257" s="1260"/>
    </row>
    <row r="258" spans="1:24" s="1239" customFormat="1" ht="21.5" thickBot="1">
      <c r="A258" s="1253"/>
      <c r="K258" s="1292" t="s">
        <v>1277</v>
      </c>
      <c r="L258" s="1297"/>
      <c r="M258" s="1297"/>
      <c r="N258" s="1297"/>
      <c r="U258" s="1330"/>
      <c r="X258" s="1260"/>
    </row>
    <row r="259" spans="1:24" ht="16.5" customHeight="1">
      <c r="A259" s="1271"/>
      <c r="B259" s="1272"/>
      <c r="C259" s="1272"/>
      <c r="D259" s="1272"/>
      <c r="E259" s="1272"/>
      <c r="F259" s="1272"/>
      <c r="G259" s="1272"/>
      <c r="H259" s="1272"/>
      <c r="I259" s="1272"/>
      <c r="J259" s="1272"/>
      <c r="K259" s="1272"/>
      <c r="L259" s="1272"/>
      <c r="M259" s="1272"/>
      <c r="N259" s="1272"/>
      <c r="O259" s="1272"/>
      <c r="P259" s="1272"/>
      <c r="Q259" s="1272"/>
      <c r="R259" s="1272"/>
      <c r="S259" s="1272"/>
      <c r="T259" s="1272"/>
      <c r="U259" s="1272"/>
      <c r="V259" s="1272"/>
      <c r="W259" s="1272"/>
      <c r="X259" s="1273"/>
    </row>
    <row r="260" spans="1:24" s="1239" customFormat="1">
      <c r="A260" s="1253" t="s">
        <v>171</v>
      </c>
      <c r="C260" s="1239" t="s">
        <v>1328</v>
      </c>
      <c r="E260" s="1239" t="s">
        <v>1528</v>
      </c>
      <c r="G260" s="1239" t="s">
        <v>1330</v>
      </c>
      <c r="I260" s="1239" t="s">
        <v>1331</v>
      </c>
      <c r="K260" s="1239" t="s">
        <v>434</v>
      </c>
      <c r="M260" s="1239" t="s">
        <v>435</v>
      </c>
      <c r="O260" s="1239" t="s">
        <v>436</v>
      </c>
      <c r="Q260" s="1239" t="s">
        <v>437</v>
      </c>
      <c r="S260" s="1239" t="s">
        <v>438</v>
      </c>
      <c r="U260" s="1239" t="s">
        <v>439</v>
      </c>
      <c r="W260" s="1239" t="s">
        <v>440</v>
      </c>
      <c r="X260" s="1260"/>
    </row>
    <row r="261" spans="1:24" s="1239" customFormat="1">
      <c r="A261" s="1253"/>
      <c r="X261" s="1260"/>
    </row>
    <row r="262" spans="1:24" s="1239" customFormat="1">
      <c r="A262" s="1274"/>
      <c r="C262" s="1259"/>
      <c r="E262" s="1259"/>
      <c r="F262" s="1259"/>
      <c r="G262" s="1259"/>
      <c r="I262" s="1259"/>
      <c r="K262" s="1259"/>
      <c r="M262" s="1259"/>
      <c r="N262" s="1259"/>
      <c r="O262" s="1259"/>
      <c r="Q262" s="1259"/>
      <c r="S262" s="1259"/>
      <c r="U262" s="1259"/>
      <c r="W262" s="1259"/>
      <c r="X262" s="1260"/>
    </row>
    <row r="263" spans="1:24" s="1239" customFormat="1">
      <c r="A263" s="1274"/>
      <c r="B263" s="1239">
        <v>423</v>
      </c>
      <c r="C263" s="1259"/>
      <c r="D263" s="1239">
        <v>286</v>
      </c>
      <c r="E263" s="1259"/>
      <c r="F263" s="1259">
        <v>424</v>
      </c>
      <c r="G263" s="1259"/>
      <c r="H263" s="1239">
        <v>420</v>
      </c>
      <c r="I263" s="1259"/>
      <c r="J263" s="1239">
        <v>424</v>
      </c>
      <c r="K263" s="1259"/>
      <c r="L263" s="1239">
        <v>387</v>
      </c>
      <c r="M263" s="1259"/>
      <c r="N263" s="1259">
        <v>453</v>
      </c>
      <c r="O263" s="1259"/>
      <c r="P263" s="1239">
        <v>387</v>
      </c>
      <c r="Q263" s="1259"/>
      <c r="R263" s="1239">
        <v>382</v>
      </c>
      <c r="S263" s="1259"/>
      <c r="T263" s="1239">
        <v>336</v>
      </c>
      <c r="U263" s="1259"/>
      <c r="V263" s="1239">
        <v>389</v>
      </c>
      <c r="W263" s="1259"/>
      <c r="X263" s="1260">
        <v>335</v>
      </c>
    </row>
    <row r="264" spans="1:24" s="1239" customFormat="1" ht="17" customHeight="1">
      <c r="A264" s="1274"/>
      <c r="C264" s="1259"/>
      <c r="E264" s="1259"/>
      <c r="F264" s="1259"/>
      <c r="G264" s="1259"/>
      <c r="I264" s="1259"/>
      <c r="K264" s="1259"/>
      <c r="M264" s="1259"/>
      <c r="N264" s="1259"/>
      <c r="O264" s="1259"/>
      <c r="Q264" s="1259"/>
      <c r="S264" s="1259"/>
      <c r="U264" s="1259"/>
      <c r="W264" s="1259"/>
      <c r="X264" s="1260"/>
    </row>
    <row r="265" spans="1:24" s="1239" customFormat="1" ht="50" customHeight="1">
      <c r="A265" s="1305"/>
      <c r="C265" s="1283" t="s">
        <v>1703</v>
      </c>
      <c r="E265" s="1283" t="s">
        <v>1703</v>
      </c>
      <c r="F265" s="1284"/>
      <c r="G265" s="1283" t="s">
        <v>1703</v>
      </c>
      <c r="I265" s="1305"/>
      <c r="K265" s="1283" t="s">
        <v>1703</v>
      </c>
      <c r="M265" s="1305"/>
      <c r="N265" s="1284"/>
      <c r="O265" s="1283" t="s">
        <v>1703</v>
      </c>
      <c r="Q265" s="1283" t="s">
        <v>1703</v>
      </c>
      <c r="S265" s="1305"/>
      <c r="U265" s="1305"/>
      <c r="W265" s="1331" t="s">
        <v>1858</v>
      </c>
      <c r="X265" s="1260"/>
    </row>
    <row r="266" spans="1:24" s="1239" customFormat="1" ht="21.5" thickBot="1">
      <c r="A266" s="1267" t="s">
        <v>167</v>
      </c>
      <c r="B266" s="1267"/>
      <c r="C266" s="1267" t="s">
        <v>125</v>
      </c>
      <c r="D266" s="1254" t="s">
        <v>1847</v>
      </c>
      <c r="E266" s="1264" t="s">
        <v>125</v>
      </c>
      <c r="F266" s="1267"/>
      <c r="G266" s="1267" t="s">
        <v>242</v>
      </c>
      <c r="H266" s="1267"/>
      <c r="I266" s="1267" t="s">
        <v>185</v>
      </c>
      <c r="J266" s="1267"/>
      <c r="K266" s="1264" t="s">
        <v>115</v>
      </c>
      <c r="L266" s="1301"/>
      <c r="M266" s="1267" t="s">
        <v>242</v>
      </c>
      <c r="N266" s="1302"/>
      <c r="O266" s="1264" t="s">
        <v>125</v>
      </c>
      <c r="P266" s="1302"/>
      <c r="Q266" s="1264" t="s">
        <v>143</v>
      </c>
      <c r="R266" s="1302"/>
      <c r="S266" s="1267" t="s">
        <v>182</v>
      </c>
      <c r="T266" s="1302"/>
      <c r="U266" s="1267" t="s">
        <v>182</v>
      </c>
      <c r="V266" s="1302"/>
      <c r="W266" s="1264" t="s">
        <v>115</v>
      </c>
      <c r="X266" s="1302"/>
    </row>
    <row r="267" spans="1:24" s="1239" customFormat="1" ht="15.5" customHeight="1">
      <c r="A267" s="1313"/>
      <c r="B267" s="1314"/>
      <c r="C267" s="1314"/>
      <c r="D267" s="1314"/>
      <c r="E267" s="1314"/>
      <c r="F267" s="1314"/>
      <c r="G267" s="1314"/>
      <c r="H267" s="1314"/>
      <c r="I267" s="1314"/>
      <c r="J267" s="1314"/>
      <c r="K267" s="1314"/>
      <c r="L267" s="1314"/>
      <c r="M267" s="1314"/>
      <c r="N267" s="1314"/>
      <c r="O267" s="1314"/>
      <c r="P267" s="1314"/>
      <c r="Q267" s="1314"/>
      <c r="R267" s="1314"/>
      <c r="S267" s="1314"/>
      <c r="T267" s="1314"/>
      <c r="U267" s="1314"/>
      <c r="V267" s="1314"/>
      <c r="W267" s="1314"/>
      <c r="X267" s="1315"/>
    </row>
    <row r="268" spans="1:24" s="1239" customFormat="1">
      <c r="A268" s="1253" t="s">
        <v>441</v>
      </c>
      <c r="C268" s="1239" t="s">
        <v>443</v>
      </c>
      <c r="E268" s="1239" t="s">
        <v>444</v>
      </c>
      <c r="G268" s="1239" t="s">
        <v>445</v>
      </c>
      <c r="I268" s="1239" t="s">
        <v>446</v>
      </c>
      <c r="K268" s="1239" t="s">
        <v>447</v>
      </c>
      <c r="M268" s="1239" t="s">
        <v>448</v>
      </c>
      <c r="O268" s="1239" t="s">
        <v>449</v>
      </c>
      <c r="Q268" s="1239" t="s">
        <v>450</v>
      </c>
      <c r="S268" s="1239" t="s">
        <v>451</v>
      </c>
      <c r="U268" s="1239" t="s">
        <v>452</v>
      </c>
      <c r="W268" s="1239" t="s">
        <v>728</v>
      </c>
      <c r="X268" s="1260"/>
    </row>
    <row r="269" spans="1:24" s="1239" customFormat="1">
      <c r="A269" s="1253"/>
      <c r="X269" s="1260"/>
    </row>
    <row r="270" spans="1:24" s="1239" customFormat="1">
      <c r="A270" s="1274"/>
      <c r="C270" s="1259"/>
      <c r="E270" s="1259"/>
      <c r="F270" s="1259"/>
      <c r="G270" s="1259"/>
      <c r="I270" s="1259"/>
      <c r="K270" s="1259"/>
      <c r="M270" s="1259"/>
      <c r="N270" s="1259"/>
      <c r="O270" s="1259"/>
      <c r="Q270" s="1259"/>
      <c r="S270" s="1259"/>
      <c r="U270" s="1259"/>
      <c r="W270" s="1259"/>
      <c r="X270" s="1260"/>
    </row>
    <row r="271" spans="1:24" s="1239" customFormat="1">
      <c r="A271" s="1274"/>
      <c r="B271" s="1239">
        <v>396</v>
      </c>
      <c r="C271" s="1259"/>
      <c r="D271" s="1239">
        <v>233</v>
      </c>
      <c r="E271" s="1259"/>
      <c r="F271" s="1259">
        <v>467</v>
      </c>
      <c r="G271" s="1259"/>
      <c r="H271" s="1239">
        <v>423</v>
      </c>
      <c r="I271" s="1259"/>
      <c r="J271" s="1239">
        <v>249</v>
      </c>
      <c r="K271" s="1259"/>
      <c r="L271" s="1239">
        <v>282</v>
      </c>
      <c r="M271" s="1259"/>
      <c r="N271" s="1259">
        <v>398</v>
      </c>
      <c r="O271" s="1259"/>
      <c r="P271" s="1239">
        <v>370</v>
      </c>
      <c r="Q271" s="1259"/>
      <c r="R271" s="1239">
        <v>437</v>
      </c>
      <c r="S271" s="1259"/>
      <c r="T271" s="1239">
        <v>435</v>
      </c>
      <c r="U271" s="1259"/>
      <c r="V271" s="1239">
        <v>407</v>
      </c>
      <c r="W271" s="1259"/>
      <c r="X271" s="1260">
        <v>388</v>
      </c>
    </row>
    <row r="272" spans="1:24" s="1239" customFormat="1" ht="14" customHeight="1">
      <c r="A272" s="1274"/>
      <c r="C272" s="1259"/>
      <c r="E272" s="1259"/>
      <c r="F272" s="1259"/>
      <c r="G272" s="1259"/>
      <c r="I272" s="1259"/>
      <c r="K272" s="1259"/>
      <c r="M272" s="1259"/>
      <c r="N272" s="1259"/>
      <c r="O272" s="1259"/>
      <c r="Q272" s="1259"/>
      <c r="S272" s="1259"/>
      <c r="U272" s="1259"/>
      <c r="W272" s="1259"/>
      <c r="X272" s="1260"/>
    </row>
    <row r="273" spans="1:32" s="1239" customFormat="1" ht="50" customHeight="1">
      <c r="A273" s="1331" t="s">
        <v>1858</v>
      </c>
      <c r="C273" s="1283"/>
      <c r="E273" s="1283"/>
      <c r="F273" s="1284"/>
      <c r="G273" s="1331" t="s">
        <v>1858</v>
      </c>
      <c r="I273" s="1305"/>
      <c r="K273" s="1305"/>
      <c r="M273" s="1305"/>
      <c r="N273" s="1284"/>
      <c r="O273" s="1305"/>
      <c r="Q273" s="1305"/>
      <c r="S273" s="1285"/>
      <c r="U273" s="1331" t="s">
        <v>1858</v>
      </c>
      <c r="W273" s="1283"/>
      <c r="X273" s="1260"/>
    </row>
    <row r="274" spans="1:32" s="1239" customFormat="1" ht="21.5" thickBot="1">
      <c r="A274" s="1267" t="s">
        <v>242</v>
      </c>
      <c r="C274" s="1264" t="s">
        <v>125</v>
      </c>
      <c r="D274" s="1267"/>
      <c r="E274" s="1264" t="s">
        <v>123</v>
      </c>
      <c r="F274" s="1267"/>
      <c r="G274" s="1264" t="s">
        <v>132</v>
      </c>
      <c r="H274" s="1267"/>
      <c r="I274" s="1267" t="s">
        <v>182</v>
      </c>
      <c r="J274" s="1267"/>
      <c r="K274" s="1267" t="s">
        <v>182</v>
      </c>
      <c r="L274" s="1267"/>
      <c r="M274" s="1264" t="s">
        <v>125</v>
      </c>
      <c r="N274" s="1267"/>
      <c r="O274" s="1267" t="s">
        <v>185</v>
      </c>
      <c r="P274" s="1301"/>
      <c r="Q274" s="1264" t="s">
        <v>128</v>
      </c>
      <c r="R274" s="1302"/>
      <c r="S274" s="1264" t="s">
        <v>143</v>
      </c>
      <c r="T274" s="1302"/>
      <c r="U274" s="1267" t="s">
        <v>248</v>
      </c>
      <c r="V274" s="1302"/>
      <c r="W274" s="1264" t="s">
        <v>115</v>
      </c>
      <c r="X274" s="1260"/>
    </row>
    <row r="275" spans="1:32" s="1239" customFormat="1" ht="16.5" customHeight="1">
      <c r="A275" s="1313"/>
      <c r="B275" s="1314"/>
      <c r="C275" s="1314"/>
      <c r="D275" s="1314"/>
      <c r="E275" s="1314"/>
      <c r="F275" s="1314"/>
      <c r="G275" s="1314"/>
      <c r="H275" s="1314"/>
      <c r="I275" s="1314"/>
      <c r="J275" s="1314"/>
      <c r="K275" s="1314"/>
      <c r="L275" s="1314"/>
      <c r="M275" s="1314"/>
      <c r="N275" s="1314"/>
      <c r="O275" s="1314"/>
      <c r="P275" s="1314"/>
      <c r="Q275" s="1314"/>
      <c r="R275" s="1314"/>
      <c r="S275" s="1314"/>
      <c r="T275" s="1314"/>
      <c r="U275" s="1314"/>
      <c r="V275" s="1314"/>
      <c r="W275" s="1314"/>
      <c r="X275" s="1315"/>
    </row>
    <row r="276" spans="1:32" s="1239" customFormat="1">
      <c r="A276" s="1253" t="s">
        <v>455</v>
      </c>
      <c r="C276" s="1239" t="s">
        <v>456</v>
      </c>
      <c r="E276" s="1239" t="s">
        <v>457</v>
      </c>
      <c r="G276" s="1239" t="s">
        <v>458</v>
      </c>
      <c r="I276" s="1239" t="s">
        <v>459</v>
      </c>
      <c r="K276" s="1239" t="s">
        <v>460</v>
      </c>
      <c r="M276" s="1239" t="s">
        <v>461</v>
      </c>
      <c r="O276" s="1239" t="s">
        <v>462</v>
      </c>
      <c r="Q276" s="1239" t="s">
        <v>463</v>
      </c>
      <c r="S276" s="1239" t="s">
        <v>464</v>
      </c>
      <c r="U276" s="1239" t="s">
        <v>465</v>
      </c>
      <c r="W276" s="1239" t="s">
        <v>467</v>
      </c>
      <c r="X276" s="1260"/>
    </row>
    <row r="277" spans="1:32" s="1239" customFormat="1">
      <c r="A277" s="1253"/>
      <c r="X277" s="1260"/>
    </row>
    <row r="278" spans="1:32" s="1239" customFormat="1">
      <c r="A278" s="1274"/>
      <c r="C278" s="1259"/>
      <c r="E278" s="1259"/>
      <c r="F278" s="1259"/>
      <c r="G278" s="1259"/>
      <c r="I278" s="1259"/>
      <c r="K278" s="1259"/>
      <c r="M278" s="1259"/>
      <c r="N278" s="1259"/>
      <c r="O278" s="1259"/>
      <c r="Q278" s="1259"/>
      <c r="S278" s="1259"/>
      <c r="U278" s="1259"/>
      <c r="W278" s="1259"/>
      <c r="X278" s="1260"/>
    </row>
    <row r="279" spans="1:32" s="1239" customFormat="1">
      <c r="A279" s="1274"/>
      <c r="B279" s="1239">
        <v>441</v>
      </c>
      <c r="C279" s="1259"/>
      <c r="D279" s="1239">
        <v>410</v>
      </c>
      <c r="E279" s="1259"/>
      <c r="F279" s="1259">
        <v>444</v>
      </c>
      <c r="G279" s="1259"/>
      <c r="H279" s="1239">
        <v>190</v>
      </c>
      <c r="I279" s="1259"/>
      <c r="J279" s="1239">
        <v>158</v>
      </c>
      <c r="K279" s="1259"/>
      <c r="L279" s="1239">
        <v>201</v>
      </c>
      <c r="M279" s="1259"/>
      <c r="N279" s="1259">
        <v>165</v>
      </c>
      <c r="O279" s="1259"/>
      <c r="P279" s="1239">
        <v>404</v>
      </c>
      <c r="Q279" s="1259"/>
      <c r="R279" s="1239">
        <v>435</v>
      </c>
      <c r="S279" s="1259"/>
      <c r="T279" s="1239">
        <v>425</v>
      </c>
      <c r="U279" s="1259"/>
      <c r="V279" s="1239">
        <v>441</v>
      </c>
      <c r="W279" s="1259"/>
      <c r="X279" s="1260">
        <v>358</v>
      </c>
    </row>
    <row r="280" spans="1:32" s="1239" customFormat="1" ht="12.5" customHeight="1">
      <c r="A280" s="1274"/>
      <c r="C280" s="1259"/>
      <c r="E280" s="1259"/>
      <c r="F280" s="1259"/>
      <c r="G280" s="1259"/>
      <c r="I280" s="1259"/>
      <c r="K280" s="1259"/>
      <c r="M280" s="1259"/>
      <c r="N280" s="1259"/>
      <c r="O280" s="1259"/>
      <c r="Q280" s="1259"/>
      <c r="S280" s="1259"/>
      <c r="U280" s="1259"/>
      <c r="W280" s="1259"/>
      <c r="X280" s="1260"/>
    </row>
    <row r="281" spans="1:32" s="1239" customFormat="1" ht="49" customHeight="1">
      <c r="A281" s="1331" t="s">
        <v>1858</v>
      </c>
      <c r="C281" s="1332"/>
      <c r="D281" s="1237"/>
      <c r="E281" s="1333"/>
      <c r="G281" s="1332"/>
      <c r="H281" s="1237"/>
      <c r="I281" s="1332"/>
      <c r="J281" s="1237"/>
      <c r="K281" s="1334" t="s">
        <v>390</v>
      </c>
      <c r="L281" s="1237"/>
      <c r="M281" s="1332"/>
      <c r="N281" s="1237"/>
      <c r="O281" s="1332"/>
      <c r="P281" s="1237"/>
      <c r="Q281" s="1332"/>
      <c r="R281" s="1237"/>
      <c r="S281" s="1332"/>
      <c r="T281" s="1237"/>
      <c r="U281" s="1332"/>
      <c r="V281" s="1237"/>
      <c r="W281" s="1332"/>
      <c r="X281" s="1260"/>
    </row>
    <row r="282" spans="1:32" s="1239" customFormat="1" ht="21.5" thickBot="1">
      <c r="A282" s="1264" t="s">
        <v>137</v>
      </c>
      <c r="B282" s="1302"/>
      <c r="C282" s="1264" t="s">
        <v>167</v>
      </c>
      <c r="E282" s="1264" t="s">
        <v>115</v>
      </c>
      <c r="G282" s="1264" t="s">
        <v>132</v>
      </c>
      <c r="H282" s="1254" t="s">
        <v>1859</v>
      </c>
      <c r="I282" s="1264" t="s">
        <v>123</v>
      </c>
      <c r="J282" s="1267"/>
      <c r="K282" s="1264" t="s">
        <v>125</v>
      </c>
      <c r="L282" s="1267"/>
      <c r="M282" s="1264" t="s">
        <v>115</v>
      </c>
      <c r="N282" s="1267"/>
      <c r="O282" s="1264" t="s">
        <v>115</v>
      </c>
      <c r="P282" s="1267"/>
      <c r="Q282" s="1267" t="s">
        <v>248</v>
      </c>
      <c r="R282" s="1267"/>
      <c r="S282" s="1264" t="s">
        <v>115</v>
      </c>
      <c r="T282" s="1301"/>
      <c r="U282" s="1264" t="s">
        <v>132</v>
      </c>
      <c r="V282" s="1302"/>
      <c r="W282" s="1264" t="s">
        <v>125</v>
      </c>
      <c r="X282" s="1260"/>
    </row>
    <row r="283" spans="1:32" s="1239" customFormat="1">
      <c r="A283" s="1313"/>
      <c r="B283" s="1314"/>
      <c r="C283" s="1314"/>
      <c r="D283" s="1314"/>
      <c r="E283" s="1314"/>
      <c r="F283" s="1314"/>
      <c r="G283" s="1314"/>
      <c r="H283" s="1314"/>
      <c r="I283" s="1314"/>
      <c r="J283" s="1314"/>
      <c r="K283" s="1314"/>
      <c r="L283" s="1314"/>
      <c r="M283" s="1314"/>
      <c r="N283" s="1314"/>
      <c r="O283" s="1314"/>
      <c r="P283" s="1314"/>
      <c r="Q283" s="1314"/>
      <c r="R283" s="1314"/>
      <c r="S283" s="1314"/>
      <c r="T283" s="1314"/>
      <c r="U283" s="1314"/>
      <c r="V283" s="1314"/>
      <c r="W283" s="1314"/>
      <c r="X283" s="1315"/>
    </row>
    <row r="284" spans="1:32" s="1239" customFormat="1">
      <c r="A284" s="1253" t="s">
        <v>468</v>
      </c>
      <c r="C284" s="1239" t="s">
        <v>469</v>
      </c>
      <c r="E284" s="1239" t="s">
        <v>470</v>
      </c>
      <c r="G284" s="1239" t="s">
        <v>471</v>
      </c>
      <c r="I284" s="1239" t="s">
        <v>472</v>
      </c>
      <c r="K284" s="1239" t="s">
        <v>473</v>
      </c>
      <c r="M284" s="1239" t="s">
        <v>474</v>
      </c>
      <c r="O284" s="1239" t="s">
        <v>475</v>
      </c>
      <c r="Q284" s="1239" t="s">
        <v>476</v>
      </c>
      <c r="S284" s="1239" t="s">
        <v>477</v>
      </c>
      <c r="U284" s="1239" t="s">
        <v>478</v>
      </c>
      <c r="W284" s="1239" t="s">
        <v>733</v>
      </c>
      <c r="X284" s="1260"/>
    </row>
    <row r="285" spans="1:32" s="1239" customFormat="1">
      <c r="A285" s="1253"/>
      <c r="X285" s="1260"/>
      <c r="AF285" s="1335"/>
    </row>
    <row r="286" spans="1:32" s="1239" customFormat="1">
      <c r="A286" s="1274"/>
      <c r="C286" s="1259"/>
      <c r="E286" s="1259"/>
      <c r="F286" s="1259"/>
      <c r="G286" s="1259"/>
      <c r="I286" s="1259"/>
      <c r="K286" s="1259"/>
      <c r="M286" s="1259"/>
      <c r="N286" s="1259"/>
      <c r="O286" s="1259"/>
      <c r="Q286" s="1259"/>
      <c r="S286" s="1259"/>
      <c r="U286" s="1259"/>
      <c r="W286" s="1259"/>
      <c r="X286" s="1260"/>
    </row>
    <row r="287" spans="1:32" s="1239" customFormat="1">
      <c r="A287" s="1274"/>
      <c r="B287" s="1239">
        <v>438</v>
      </c>
      <c r="C287" s="1259"/>
      <c r="D287" s="1239">
        <v>430</v>
      </c>
      <c r="E287" s="1259"/>
      <c r="F287" s="1259">
        <v>410</v>
      </c>
      <c r="G287" s="1259"/>
      <c r="H287" s="1239">
        <v>440</v>
      </c>
      <c r="I287" s="1259"/>
      <c r="J287" s="1239">
        <v>424</v>
      </c>
      <c r="K287" s="1259"/>
      <c r="L287" s="1239">
        <v>439</v>
      </c>
      <c r="M287" s="1259"/>
      <c r="N287" s="1259">
        <v>395</v>
      </c>
      <c r="O287" s="1259"/>
      <c r="P287" s="1239">
        <v>401</v>
      </c>
      <c r="Q287" s="1259"/>
      <c r="R287" s="1239">
        <v>413</v>
      </c>
      <c r="S287" s="1259"/>
      <c r="T287" s="1239">
        <v>402</v>
      </c>
      <c r="U287" s="1259"/>
      <c r="V287" s="1239">
        <v>251</v>
      </c>
      <c r="W287" s="1259"/>
      <c r="X287" s="1260">
        <v>426</v>
      </c>
    </row>
    <row r="288" spans="1:32" s="1239" customFormat="1" ht="16" customHeight="1">
      <c r="A288" s="1274"/>
      <c r="C288" s="1259"/>
      <c r="E288" s="1259"/>
      <c r="F288" s="1259"/>
      <c r="G288" s="1259"/>
      <c r="I288" s="1259"/>
      <c r="K288" s="1259"/>
      <c r="M288" s="1259"/>
      <c r="N288" s="1259"/>
      <c r="O288" s="1259"/>
      <c r="Q288" s="1259"/>
      <c r="S288" s="1259"/>
      <c r="U288" s="1259"/>
      <c r="W288" s="1259"/>
      <c r="X288" s="1260"/>
    </row>
    <row r="289" spans="1:24" s="1239" customFormat="1" ht="60" customHeight="1">
      <c r="A289" s="1305"/>
      <c r="B289" s="1237"/>
      <c r="C289" s="1331" t="s">
        <v>1858</v>
      </c>
      <c r="D289" s="1243"/>
      <c r="E289" s="1283"/>
      <c r="F289" s="1336"/>
      <c r="G289" s="1283"/>
      <c r="H289" s="1243"/>
      <c r="I289" s="1331" t="s">
        <v>1858</v>
      </c>
      <c r="J289" s="1243"/>
      <c r="K289" s="1305"/>
      <c r="M289" s="1305"/>
      <c r="N289" s="1336"/>
      <c r="O289" s="1305"/>
      <c r="P289" s="1237"/>
      <c r="Q289" s="1283" t="s">
        <v>1703</v>
      </c>
      <c r="R289" s="1237"/>
      <c r="S289" s="1306"/>
      <c r="T289" s="1237"/>
      <c r="U289" s="1283"/>
      <c r="W289" s="1283"/>
      <c r="X289" s="1260"/>
    </row>
    <row r="290" spans="1:24" s="1239" customFormat="1" ht="19.5" customHeight="1">
      <c r="A290" s="1253"/>
      <c r="X290" s="1260"/>
    </row>
    <row r="291" spans="1:24" s="1239" customFormat="1">
      <c r="A291" s="1267" t="s">
        <v>182</v>
      </c>
      <c r="B291" s="1302"/>
      <c r="C291" s="1264" t="s">
        <v>125</v>
      </c>
      <c r="D291" s="1302"/>
      <c r="E291" s="1267" t="s">
        <v>185</v>
      </c>
      <c r="F291" s="1302"/>
      <c r="G291" s="1264" t="s">
        <v>132</v>
      </c>
      <c r="H291" s="1302"/>
      <c r="I291" s="1264" t="s">
        <v>137</v>
      </c>
      <c r="K291" s="1264" t="s">
        <v>143</v>
      </c>
      <c r="L291" s="1267"/>
      <c r="M291" s="1267" t="s">
        <v>185</v>
      </c>
      <c r="N291" s="1267"/>
      <c r="O291" s="1267" t="s">
        <v>185</v>
      </c>
      <c r="P291" s="1267"/>
      <c r="Q291" s="1264" t="s">
        <v>115</v>
      </c>
      <c r="R291" s="1267"/>
      <c r="S291" s="1267" t="s">
        <v>242</v>
      </c>
      <c r="T291" s="1267"/>
      <c r="U291" s="1264" t="s">
        <v>125</v>
      </c>
      <c r="V291" s="1254" t="s">
        <v>1860</v>
      </c>
      <c r="W291" s="1264" t="s">
        <v>128</v>
      </c>
      <c r="X291" s="1260"/>
    </row>
    <row r="292" spans="1:24" s="1239" customFormat="1" ht="17.5" customHeight="1">
      <c r="A292" s="1253"/>
      <c r="U292" s="1291"/>
      <c r="X292" s="1260"/>
    </row>
    <row r="293" spans="1:24" s="1239" customFormat="1">
      <c r="A293" s="1253" t="s">
        <v>734</v>
      </c>
      <c r="C293" s="1239" t="s">
        <v>735</v>
      </c>
      <c r="E293" s="1239" t="s">
        <v>736</v>
      </c>
      <c r="G293" s="1239" t="s">
        <v>737</v>
      </c>
      <c r="I293" s="1239" t="s">
        <v>738</v>
      </c>
      <c r="K293" s="1239" t="s">
        <v>739</v>
      </c>
      <c r="M293" s="1239" t="s">
        <v>740</v>
      </c>
      <c r="O293" s="1239" t="s">
        <v>741</v>
      </c>
      <c r="Q293" s="1239" t="s">
        <v>742</v>
      </c>
      <c r="S293" s="1239" t="s">
        <v>743</v>
      </c>
      <c r="U293" s="1239" t="s">
        <v>744</v>
      </c>
      <c r="W293" s="1239" t="s">
        <v>745</v>
      </c>
      <c r="X293" s="1260"/>
    </row>
    <row r="294" spans="1:24" s="1239" customFormat="1">
      <c r="A294" s="1253"/>
      <c r="X294" s="1260"/>
    </row>
    <row r="295" spans="1:24" s="1239" customFormat="1">
      <c r="A295" s="1274"/>
      <c r="C295" s="1259"/>
      <c r="E295" s="1259"/>
      <c r="F295" s="1259"/>
      <c r="G295" s="1259"/>
      <c r="I295" s="1259"/>
      <c r="K295" s="1259"/>
      <c r="M295" s="1259"/>
      <c r="N295" s="1259"/>
      <c r="O295" s="1259"/>
      <c r="Q295" s="1259"/>
      <c r="S295" s="1259"/>
      <c r="U295" s="1259"/>
      <c r="W295" s="1259"/>
      <c r="X295" s="1260"/>
    </row>
    <row r="296" spans="1:24" s="1239" customFormat="1">
      <c r="A296" s="1274"/>
      <c r="B296" s="1239">
        <v>382</v>
      </c>
      <c r="C296" s="1259"/>
      <c r="D296" s="1239">
        <v>352</v>
      </c>
      <c r="E296" s="1259"/>
      <c r="F296" s="1259">
        <v>419</v>
      </c>
      <c r="G296" s="1259"/>
      <c r="H296" s="1239">
        <v>422</v>
      </c>
      <c r="I296" s="1259"/>
      <c r="J296" s="1239">
        <v>403</v>
      </c>
      <c r="K296" s="1259"/>
      <c r="L296" s="1239">
        <v>355</v>
      </c>
      <c r="M296" s="1259"/>
      <c r="N296" s="1259">
        <v>355</v>
      </c>
      <c r="O296" s="1259"/>
      <c r="P296" s="1239">
        <v>344</v>
      </c>
      <c r="Q296" s="1259"/>
      <c r="R296" s="1239">
        <v>390</v>
      </c>
      <c r="S296" s="1259"/>
      <c r="T296" s="1239">
        <v>421</v>
      </c>
      <c r="U296" s="1259"/>
      <c r="V296" s="1239">
        <v>343</v>
      </c>
      <c r="W296" s="1259"/>
      <c r="X296" s="1260">
        <v>388</v>
      </c>
    </row>
    <row r="297" spans="1:24" s="1239" customFormat="1" ht="15" customHeight="1">
      <c r="A297" s="1274"/>
      <c r="C297" s="1259"/>
      <c r="E297" s="1259"/>
      <c r="F297" s="1259"/>
      <c r="G297" s="1259"/>
      <c r="I297" s="1259"/>
      <c r="K297" s="1259"/>
      <c r="M297" s="1259"/>
      <c r="N297" s="1259"/>
      <c r="O297" s="1259"/>
      <c r="Q297" s="1259"/>
      <c r="S297" s="1259"/>
      <c r="U297" s="1259"/>
      <c r="W297" s="1259"/>
      <c r="X297" s="1260"/>
    </row>
    <row r="298" spans="1:24" s="1239" customFormat="1" ht="54" customHeight="1">
      <c r="A298" s="1337" t="s">
        <v>1858</v>
      </c>
      <c r="B298" s="1237"/>
      <c r="C298" s="1337" t="s">
        <v>1858</v>
      </c>
      <c r="D298" s="1237"/>
      <c r="E298" s="1304"/>
      <c r="F298" s="1283"/>
      <c r="G298" s="1337" t="s">
        <v>1858</v>
      </c>
      <c r="H298" s="1237"/>
      <c r="I298" s="1305"/>
      <c r="J298" s="1237"/>
      <c r="K298" s="1305"/>
      <c r="L298" s="1237"/>
      <c r="M298" s="1305"/>
      <c r="N298" s="1283"/>
      <c r="O298" s="1305"/>
      <c r="P298" s="1237"/>
      <c r="Q298" s="1305"/>
      <c r="R298" s="1237"/>
      <c r="S298" s="1305"/>
      <c r="T298" s="1237"/>
      <c r="U298" s="1305"/>
      <c r="V298" s="1237"/>
      <c r="W298" s="1283" t="s">
        <v>1703</v>
      </c>
      <c r="X298" s="1260"/>
    </row>
    <row r="299" spans="1:24" s="1239" customFormat="1">
      <c r="A299" s="1267" t="s">
        <v>185</v>
      </c>
      <c r="B299" s="1302"/>
      <c r="C299" s="1267" t="s">
        <v>185</v>
      </c>
      <c r="D299" s="1302"/>
      <c r="E299" s="1264" t="s">
        <v>115</v>
      </c>
      <c r="F299" s="1302"/>
      <c r="G299" s="1264" t="s">
        <v>137</v>
      </c>
      <c r="H299" s="1302"/>
      <c r="I299" s="1264" t="s">
        <v>137</v>
      </c>
      <c r="J299" s="1302"/>
      <c r="K299" s="1267" t="s">
        <v>182</v>
      </c>
      <c r="L299" s="1302"/>
      <c r="M299" s="1267" t="s">
        <v>182</v>
      </c>
      <c r="O299" s="1267" t="s">
        <v>182</v>
      </c>
      <c r="P299" s="1267"/>
      <c r="Q299" s="1264" t="s">
        <v>128</v>
      </c>
      <c r="R299" s="1267"/>
      <c r="S299" s="1267" t="s">
        <v>242</v>
      </c>
      <c r="T299" s="1267"/>
      <c r="U299" s="1267" t="s">
        <v>185</v>
      </c>
      <c r="V299" s="1267"/>
      <c r="W299" s="1267" t="s">
        <v>242</v>
      </c>
      <c r="X299" s="1260"/>
    </row>
    <row r="300" spans="1:24" s="1239" customFormat="1" ht="16.5" customHeight="1">
      <c r="A300" s="1253"/>
      <c r="X300" s="1260"/>
    </row>
    <row r="301" spans="1:24" s="1239" customFormat="1">
      <c r="A301" s="1253" t="s">
        <v>746</v>
      </c>
      <c r="C301" s="1239" t="s">
        <v>747</v>
      </c>
      <c r="E301" s="1239" t="s">
        <v>748</v>
      </c>
      <c r="G301" s="1239" t="s">
        <v>749</v>
      </c>
      <c r="I301" s="1239" t="s">
        <v>750</v>
      </c>
      <c r="K301" s="1239" t="s">
        <v>751</v>
      </c>
      <c r="M301" s="1239" t="s">
        <v>752</v>
      </c>
      <c r="O301" s="1239" t="s">
        <v>753</v>
      </c>
      <c r="Q301" s="1239" t="s">
        <v>754</v>
      </c>
      <c r="S301" s="1239" t="s">
        <v>1283</v>
      </c>
      <c r="U301" s="1239" t="s">
        <v>755</v>
      </c>
      <c r="W301" s="1239" t="s">
        <v>756</v>
      </c>
      <c r="X301" s="1260"/>
    </row>
    <row r="302" spans="1:24" s="1239" customFormat="1">
      <c r="A302" s="1253"/>
      <c r="X302" s="1260"/>
    </row>
    <row r="303" spans="1:24" s="1239" customFormat="1">
      <c r="A303" s="1274"/>
      <c r="C303" s="1259"/>
      <c r="E303" s="1259"/>
      <c r="F303" s="1259"/>
      <c r="G303" s="1259"/>
      <c r="I303" s="1259"/>
      <c r="K303" s="1259"/>
      <c r="M303" s="1259"/>
      <c r="N303" s="1259"/>
      <c r="O303" s="1259"/>
      <c r="Q303" s="1259"/>
      <c r="S303" s="1259"/>
      <c r="U303" s="1259"/>
      <c r="W303" s="1259"/>
      <c r="X303" s="1260"/>
    </row>
    <row r="304" spans="1:24" s="1239" customFormat="1">
      <c r="A304" s="1274"/>
      <c r="B304" s="1239">
        <v>398</v>
      </c>
      <c r="C304" s="1259"/>
      <c r="D304" s="1239">
        <v>443</v>
      </c>
      <c r="E304" s="1259"/>
      <c r="F304" s="1259">
        <v>415</v>
      </c>
      <c r="G304" s="1259"/>
      <c r="H304" s="1239">
        <v>418</v>
      </c>
      <c r="I304" s="1259"/>
      <c r="J304" s="1239">
        <v>424</v>
      </c>
      <c r="K304" s="1259"/>
      <c r="L304" s="1239">
        <v>415</v>
      </c>
      <c r="M304" s="1259"/>
      <c r="N304" s="1259">
        <v>412</v>
      </c>
      <c r="O304" s="1259"/>
      <c r="P304" s="1239">
        <v>278</v>
      </c>
      <c r="Q304" s="1259"/>
      <c r="R304" s="1239">
        <v>249</v>
      </c>
      <c r="S304" s="1259"/>
      <c r="T304" s="1239">
        <v>395</v>
      </c>
      <c r="U304" s="1259"/>
      <c r="V304" s="1239">
        <v>408</v>
      </c>
      <c r="W304" s="1259"/>
      <c r="X304" s="1260">
        <v>352</v>
      </c>
    </row>
    <row r="305" spans="1:24" s="1239" customFormat="1" ht="14.5" customHeight="1">
      <c r="A305" s="1274"/>
      <c r="C305" s="1259"/>
      <c r="E305" s="1259"/>
      <c r="F305" s="1259"/>
      <c r="G305" s="1259"/>
      <c r="I305" s="1259"/>
      <c r="K305" s="1259"/>
      <c r="M305" s="1259"/>
      <c r="N305" s="1259"/>
      <c r="O305" s="1259"/>
      <c r="Q305" s="1259"/>
      <c r="S305" s="1259"/>
      <c r="U305" s="1259"/>
      <c r="W305" s="1259"/>
      <c r="X305" s="1260"/>
    </row>
    <row r="306" spans="1:24" s="1239" customFormat="1" ht="49" customHeight="1">
      <c r="A306" s="1237" t="s">
        <v>1703</v>
      </c>
      <c r="B306" s="1237"/>
      <c r="C306" s="1337" t="s">
        <v>1874</v>
      </c>
      <c r="D306" s="1237"/>
      <c r="E306" s="1332"/>
      <c r="F306" s="1237"/>
      <c r="G306" s="1337" t="s">
        <v>1858</v>
      </c>
      <c r="H306" s="1237"/>
      <c r="I306" s="1332"/>
      <c r="J306" s="1237"/>
      <c r="K306" s="1332"/>
      <c r="L306" s="1237"/>
      <c r="M306" s="1332"/>
      <c r="N306" s="1237"/>
      <c r="O306" s="1332"/>
      <c r="P306" s="1237"/>
      <c r="Q306" s="1337" t="s">
        <v>1858</v>
      </c>
      <c r="R306" s="1237"/>
      <c r="S306" s="1332"/>
      <c r="T306" s="1237"/>
      <c r="U306" s="1332"/>
      <c r="W306" s="1332"/>
      <c r="X306" s="1260"/>
    </row>
    <row r="307" spans="1:24" s="1239" customFormat="1">
      <c r="A307" s="1264" t="s">
        <v>192</v>
      </c>
      <c r="B307" s="1267"/>
      <c r="C307" s="1267" t="s">
        <v>248</v>
      </c>
      <c r="D307" s="1301"/>
      <c r="E307" s="1264" t="s">
        <v>137</v>
      </c>
      <c r="F307" s="1267"/>
      <c r="G307" s="1267" t="s">
        <v>242</v>
      </c>
      <c r="H307" s="1302"/>
      <c r="I307" s="1264" t="s">
        <v>115</v>
      </c>
      <c r="J307" s="1302"/>
      <c r="K307" s="1267" t="s">
        <v>185</v>
      </c>
      <c r="L307" s="1302"/>
      <c r="M307" s="1280" t="s">
        <v>248</v>
      </c>
      <c r="N307" s="1302"/>
      <c r="O307" s="1264" t="s">
        <v>128</v>
      </c>
      <c r="P307" s="1302"/>
      <c r="Q307" s="1280" t="s">
        <v>182</v>
      </c>
      <c r="S307" s="1264" t="s">
        <v>125</v>
      </c>
      <c r="T307" s="1267"/>
      <c r="U307" s="1267" t="s">
        <v>185</v>
      </c>
      <c r="V307" s="1267"/>
      <c r="W307" s="1267" t="s">
        <v>185</v>
      </c>
      <c r="X307" s="1260"/>
    </row>
    <row r="308" spans="1:24" s="1239" customFormat="1" ht="21.5" thickBot="1">
      <c r="A308" s="1253"/>
      <c r="M308" s="1291" t="s">
        <v>1276</v>
      </c>
      <c r="R308" s="1255" t="s">
        <v>1861</v>
      </c>
      <c r="X308" s="1260"/>
    </row>
    <row r="309" spans="1:24" s="1239" customFormat="1" ht="17.5" customHeight="1">
      <c r="A309" s="1313"/>
      <c r="B309" s="1314"/>
      <c r="C309" s="1314"/>
      <c r="D309" s="1314"/>
      <c r="E309" s="1314"/>
      <c r="F309" s="1314"/>
      <c r="G309" s="1314"/>
      <c r="H309" s="1314"/>
      <c r="I309" s="1314"/>
      <c r="J309" s="1314"/>
      <c r="K309" s="1314"/>
      <c r="L309" s="1314"/>
      <c r="M309" s="1314"/>
      <c r="N309" s="1314"/>
      <c r="O309" s="1314"/>
      <c r="P309" s="1314"/>
      <c r="Q309" s="1314"/>
      <c r="R309" s="1314"/>
      <c r="S309" s="1314"/>
      <c r="T309" s="1314"/>
      <c r="U309" s="1314"/>
      <c r="V309" s="1314"/>
      <c r="W309" s="1314"/>
      <c r="X309" s="1315"/>
    </row>
    <row r="310" spans="1:24" s="1239" customFormat="1">
      <c r="A310" s="1253" t="s">
        <v>1284</v>
      </c>
      <c r="C310" s="1239" t="s">
        <v>758</v>
      </c>
      <c r="E310" s="1239" t="s">
        <v>759</v>
      </c>
      <c r="G310" s="1239" t="s">
        <v>760</v>
      </c>
      <c r="I310" s="1239" t="s">
        <v>761</v>
      </c>
      <c r="K310" s="1239" t="s">
        <v>762</v>
      </c>
      <c r="M310" s="1239" t="s">
        <v>180</v>
      </c>
      <c r="O310" s="1239" t="s">
        <v>181</v>
      </c>
      <c r="Q310" s="1239" t="s">
        <v>183</v>
      </c>
      <c r="S310" s="1239" t="s">
        <v>763</v>
      </c>
      <c r="U310" s="1239" t="s">
        <v>764</v>
      </c>
      <c r="W310" s="1239" t="s">
        <v>765</v>
      </c>
      <c r="X310" s="1260"/>
    </row>
    <row r="311" spans="1:24" s="1239" customFormat="1">
      <c r="A311" s="1253"/>
      <c r="X311" s="1260"/>
    </row>
    <row r="312" spans="1:24" s="1239" customFormat="1">
      <c r="A312" s="1274"/>
      <c r="C312" s="1259"/>
      <c r="E312" s="1259"/>
      <c r="F312" s="1259"/>
      <c r="G312" s="1259"/>
      <c r="I312" s="1259"/>
      <c r="K312" s="1259"/>
      <c r="M312" s="1259"/>
      <c r="N312" s="1259"/>
      <c r="O312" s="1259"/>
      <c r="Q312" s="1259"/>
      <c r="S312" s="1259"/>
      <c r="U312" s="1259"/>
      <c r="W312" s="1259"/>
      <c r="X312" s="1260"/>
    </row>
    <row r="313" spans="1:24" s="1239" customFormat="1">
      <c r="A313" s="1274"/>
      <c r="B313" s="1239">
        <v>374</v>
      </c>
      <c r="C313" s="1259"/>
      <c r="D313" s="1239">
        <v>367</v>
      </c>
      <c r="E313" s="1259"/>
      <c r="F313" s="1259">
        <v>384</v>
      </c>
      <c r="G313" s="1259"/>
      <c r="H313" s="1239">
        <v>385</v>
      </c>
      <c r="I313" s="1259"/>
      <c r="J313" s="1239">
        <v>419</v>
      </c>
      <c r="K313" s="1259"/>
      <c r="L313" s="1239">
        <v>343</v>
      </c>
      <c r="M313" s="1259"/>
      <c r="N313" s="1247">
        <v>392</v>
      </c>
      <c r="O313" s="1259"/>
      <c r="P313" s="1239">
        <v>390</v>
      </c>
      <c r="Q313" s="1259"/>
      <c r="R313" s="1239">
        <v>372</v>
      </c>
      <c r="S313" s="1259"/>
      <c r="T313" s="1239">
        <v>388</v>
      </c>
      <c r="U313" s="1259"/>
      <c r="V313" s="1239">
        <v>414</v>
      </c>
      <c r="W313" s="1259"/>
      <c r="X313" s="1260">
        <v>410</v>
      </c>
    </row>
    <row r="314" spans="1:24" s="1239" customFormat="1" ht="13.5" customHeight="1">
      <c r="A314" s="1274"/>
      <c r="C314" s="1259"/>
      <c r="E314" s="1259"/>
      <c r="F314" s="1259"/>
      <c r="G314" s="1259"/>
      <c r="I314" s="1259"/>
      <c r="K314" s="1259"/>
      <c r="M314" s="1259"/>
      <c r="N314" s="1259"/>
      <c r="O314" s="1259"/>
      <c r="Q314" s="1259"/>
      <c r="S314" s="1259"/>
      <c r="U314" s="1259"/>
      <c r="W314" s="1259"/>
      <c r="X314" s="1260"/>
    </row>
    <row r="315" spans="1:24" s="1239" customFormat="1" ht="58" customHeight="1">
      <c r="A315" s="1282"/>
      <c r="C315" s="1305"/>
      <c r="E315" s="1283"/>
      <c r="F315" s="1284"/>
      <c r="G315" s="1305"/>
      <c r="I315" s="1304"/>
      <c r="K315" s="1304"/>
      <c r="M315" s="1305"/>
      <c r="N315" s="1284"/>
      <c r="O315" s="1305"/>
      <c r="Q315" s="1305"/>
      <c r="S315" s="1305"/>
      <c r="U315" s="1305"/>
      <c r="W315" s="1305"/>
      <c r="X315" s="1260"/>
    </row>
    <row r="316" spans="1:24" s="1239" customFormat="1">
      <c r="A316" s="1253"/>
      <c r="X316" s="1260"/>
    </row>
    <row r="317" spans="1:24" s="1239" customFormat="1">
      <c r="A317" s="1264" t="s">
        <v>125</v>
      </c>
      <c r="B317" s="1267"/>
      <c r="C317" s="1267" t="s">
        <v>182</v>
      </c>
      <c r="D317" s="1267"/>
      <c r="E317" s="1267" t="s">
        <v>182</v>
      </c>
      <c r="F317" s="1267"/>
      <c r="G317" s="1267" t="s">
        <v>182</v>
      </c>
      <c r="H317" s="1301"/>
      <c r="I317" s="1267" t="s">
        <v>182</v>
      </c>
      <c r="J317" s="1302"/>
      <c r="K317" s="1264" t="s">
        <v>115</v>
      </c>
      <c r="L317" s="1302"/>
      <c r="M317" s="1280" t="s">
        <v>182</v>
      </c>
      <c r="N317" s="1302"/>
      <c r="O317" s="1280" t="s">
        <v>182</v>
      </c>
      <c r="P317" s="1302"/>
      <c r="Q317" s="1280" t="s">
        <v>182</v>
      </c>
      <c r="R317" s="1302"/>
      <c r="S317" s="1280" t="s">
        <v>182</v>
      </c>
      <c r="T317" s="1302"/>
      <c r="U317" s="1280" t="s">
        <v>182</v>
      </c>
      <c r="W317" s="1267" t="s">
        <v>185</v>
      </c>
      <c r="X317" s="1260"/>
    </row>
    <row r="318" spans="1:24" s="1239" customFormat="1" ht="21.5" thickBot="1">
      <c r="A318" s="1253"/>
      <c r="O318" s="1239" t="s">
        <v>1277</v>
      </c>
      <c r="X318" s="1260"/>
    </row>
    <row r="319" spans="1:24" s="1239" customFormat="1">
      <c r="A319" s="1313"/>
      <c r="B319" s="1314"/>
      <c r="C319" s="1314"/>
      <c r="D319" s="1314"/>
      <c r="E319" s="1314"/>
      <c r="F319" s="1314"/>
      <c r="G319" s="1314"/>
      <c r="H319" s="1314"/>
      <c r="I319" s="1314"/>
      <c r="J319" s="1314"/>
      <c r="K319" s="1314"/>
      <c r="L319" s="1314"/>
      <c r="M319" s="1314"/>
      <c r="N319" s="1314"/>
      <c r="O319" s="1314"/>
      <c r="P319" s="1314"/>
      <c r="Q319" s="1314"/>
      <c r="R319" s="1314"/>
      <c r="S319" s="1314"/>
      <c r="T319" s="1314"/>
      <c r="U319" s="1314"/>
      <c r="V319" s="1314"/>
      <c r="W319" s="1314"/>
      <c r="X319" s="1315"/>
    </row>
    <row r="320" spans="1:24" s="1239" customFormat="1">
      <c r="A320" s="1253" t="s">
        <v>766</v>
      </c>
      <c r="C320" s="1239" t="s">
        <v>767</v>
      </c>
      <c r="E320" s="1239" t="s">
        <v>769</v>
      </c>
      <c r="G320" s="1239" t="s">
        <v>1862</v>
      </c>
      <c r="I320" s="1239" t="s">
        <v>1357</v>
      </c>
      <c r="K320" s="1239" t="s">
        <v>1358</v>
      </c>
      <c r="M320" s="1239" t="s">
        <v>1359</v>
      </c>
      <c r="O320" s="1239" t="s">
        <v>1362</v>
      </c>
      <c r="Q320" s="1239" t="s">
        <v>773</v>
      </c>
      <c r="S320" s="1239" t="s">
        <v>774</v>
      </c>
      <c r="U320" s="1239" t="s">
        <v>775</v>
      </c>
      <c r="W320" s="1239" t="s">
        <v>776</v>
      </c>
      <c r="X320" s="1260"/>
    </row>
    <row r="321" spans="1:30" s="1239" customFormat="1">
      <c r="A321" s="1253"/>
      <c r="X321" s="1260"/>
    </row>
    <row r="322" spans="1:30" s="1239" customFormat="1">
      <c r="A322" s="1274"/>
      <c r="C322" s="1259"/>
      <c r="E322" s="1259"/>
      <c r="F322" s="1259"/>
      <c r="G322" s="1259"/>
      <c r="I322" s="1259"/>
      <c r="K322" s="1259"/>
      <c r="M322" s="1259"/>
      <c r="N322" s="1259"/>
      <c r="O322" s="1259"/>
      <c r="Q322" s="1259"/>
      <c r="S322" s="1259"/>
      <c r="U322" s="1259"/>
      <c r="W322" s="1259"/>
      <c r="X322" s="1260"/>
    </row>
    <row r="323" spans="1:30" s="1239" customFormat="1">
      <c r="A323" s="1274"/>
      <c r="B323" s="1247">
        <v>415</v>
      </c>
      <c r="C323" s="1259"/>
      <c r="D323" s="1239">
        <v>360</v>
      </c>
      <c r="E323" s="1259"/>
      <c r="F323" s="1259">
        <v>226</v>
      </c>
      <c r="G323" s="1259"/>
      <c r="H323" s="1239">
        <v>438</v>
      </c>
      <c r="I323" s="1259"/>
      <c r="J323" s="1239">
        <v>402</v>
      </c>
      <c r="K323" s="1259"/>
      <c r="L323" s="1239">
        <v>433</v>
      </c>
      <c r="M323" s="1259"/>
      <c r="N323" s="1259">
        <v>409</v>
      </c>
      <c r="O323" s="1259"/>
      <c r="P323" s="1239">
        <v>437</v>
      </c>
      <c r="Q323" s="1259"/>
      <c r="R323" s="1239">
        <v>394</v>
      </c>
      <c r="S323" s="1259"/>
      <c r="T323" s="1239">
        <v>403</v>
      </c>
      <c r="U323" s="1259"/>
      <c r="V323" s="1239">
        <v>416</v>
      </c>
      <c r="W323" s="1259"/>
      <c r="X323" s="1260">
        <v>422</v>
      </c>
    </row>
    <row r="324" spans="1:30" s="1239" customFormat="1" ht="16.5" customHeight="1">
      <c r="A324" s="1274"/>
      <c r="C324" s="1259"/>
      <c r="E324" s="1259"/>
      <c r="F324" s="1259"/>
      <c r="G324" s="1259"/>
      <c r="I324" s="1259"/>
      <c r="K324" s="1259"/>
      <c r="M324" s="1259"/>
      <c r="N324" s="1259"/>
      <c r="O324" s="1259"/>
      <c r="Q324" s="1259"/>
      <c r="S324" s="1259"/>
      <c r="U324" s="1259"/>
      <c r="W324" s="1259"/>
      <c r="X324" s="1260"/>
    </row>
    <row r="325" spans="1:30" s="1239" customFormat="1" ht="62" customHeight="1">
      <c r="A325" s="1305"/>
      <c r="C325" s="1305"/>
      <c r="E325" s="1305"/>
      <c r="F325" s="1284"/>
      <c r="G325" s="1305"/>
      <c r="I325" s="1305"/>
      <c r="K325" s="1305"/>
      <c r="M325" s="1304"/>
      <c r="N325" s="1284"/>
      <c r="O325" s="1305"/>
      <c r="Q325" s="1305"/>
      <c r="S325" s="1305"/>
      <c r="U325" s="1322"/>
      <c r="W325" s="1338"/>
      <c r="X325" s="1260"/>
    </row>
    <row r="326" spans="1:30" s="1239" customFormat="1">
      <c r="A326" s="1253"/>
      <c r="E326" s="1330"/>
      <c r="F326" s="1339" t="s">
        <v>1847</v>
      </c>
      <c r="G326" s="1330"/>
      <c r="K326" s="1239" t="s">
        <v>1276</v>
      </c>
      <c r="X326" s="1260"/>
    </row>
    <row r="327" spans="1:30" s="1239" customFormat="1" ht="21.5" thickBot="1">
      <c r="A327" s="1267" t="s">
        <v>182</v>
      </c>
      <c r="B327" s="1267"/>
      <c r="C327" s="1267" t="s">
        <v>242</v>
      </c>
      <c r="D327" s="1267"/>
      <c r="E327" s="1264" t="s">
        <v>125</v>
      </c>
      <c r="F327" s="1267"/>
      <c r="G327" s="1264" t="s">
        <v>125</v>
      </c>
      <c r="H327" s="1267"/>
      <c r="I327" s="1267" t="s">
        <v>248</v>
      </c>
      <c r="J327" s="1267"/>
      <c r="K327" s="1267" t="s">
        <v>185</v>
      </c>
      <c r="L327" s="1301"/>
      <c r="M327" s="1267" t="s">
        <v>242</v>
      </c>
      <c r="N327" s="1302"/>
      <c r="O327" s="1267" t="s">
        <v>248</v>
      </c>
      <c r="P327" s="1302"/>
      <c r="Q327" s="1264" t="s">
        <v>115</v>
      </c>
      <c r="R327" s="1302"/>
      <c r="S327" s="1280" t="s">
        <v>182</v>
      </c>
      <c r="T327" s="1302"/>
      <c r="U327" s="1280" t="s">
        <v>182</v>
      </c>
      <c r="V327" s="1302"/>
      <c r="W327" s="1280" t="s">
        <v>185</v>
      </c>
      <c r="X327" s="1260"/>
    </row>
    <row r="328" spans="1:30" s="1239" customFormat="1" ht="18.5" customHeight="1">
      <c r="A328" s="1313"/>
      <c r="B328" s="1314"/>
      <c r="C328" s="1314"/>
      <c r="D328" s="1314"/>
      <c r="E328" s="1314"/>
      <c r="F328" s="1314"/>
      <c r="G328" s="1314"/>
      <c r="H328" s="1314"/>
      <c r="I328" s="1314"/>
      <c r="J328" s="1314"/>
      <c r="K328" s="1314"/>
      <c r="L328" s="1314"/>
      <c r="M328" s="1314"/>
      <c r="N328" s="1314"/>
      <c r="O328" s="1314"/>
      <c r="P328" s="1314"/>
      <c r="Q328" s="1314"/>
      <c r="R328" s="1314"/>
      <c r="S328" s="1314"/>
      <c r="T328" s="1314"/>
      <c r="U328" s="1314"/>
      <c r="V328" s="1314"/>
      <c r="W328" s="1314"/>
      <c r="X328" s="1315"/>
    </row>
    <row r="329" spans="1:30" s="1239" customFormat="1">
      <c r="A329" s="1253" t="s">
        <v>777</v>
      </c>
      <c r="C329" s="1239" t="s">
        <v>778</v>
      </c>
      <c r="E329" s="1239" t="s">
        <v>779</v>
      </c>
      <c r="G329" s="1239" t="s">
        <v>780</v>
      </c>
      <c r="I329" s="1239" t="s">
        <v>781</v>
      </c>
      <c r="K329" s="1239" t="s">
        <v>782</v>
      </c>
      <c r="M329" s="1239" t="s">
        <v>783</v>
      </c>
      <c r="O329" s="1239" t="s">
        <v>784</v>
      </c>
      <c r="Q329" s="1239" t="s">
        <v>785</v>
      </c>
      <c r="S329" s="1239" t="s">
        <v>786</v>
      </c>
      <c r="U329" s="1239" t="s">
        <v>787</v>
      </c>
      <c r="W329" s="1239" t="s">
        <v>788</v>
      </c>
      <c r="X329" s="1260"/>
    </row>
    <row r="330" spans="1:30" s="1239" customFormat="1">
      <c r="A330" s="1253"/>
      <c r="X330" s="1260"/>
    </row>
    <row r="331" spans="1:30" s="1239" customFormat="1">
      <c r="A331" s="1274"/>
      <c r="C331" s="1259"/>
      <c r="E331" s="1259"/>
      <c r="F331" s="1259"/>
      <c r="G331" s="1259"/>
      <c r="I331" s="1259"/>
      <c r="K331" s="1259"/>
      <c r="M331" s="1259"/>
      <c r="N331" s="1259"/>
      <c r="O331" s="1259"/>
      <c r="Q331" s="1259"/>
      <c r="S331" s="1259"/>
      <c r="U331" s="1259"/>
      <c r="W331" s="1259"/>
      <c r="X331" s="1260"/>
    </row>
    <row r="332" spans="1:30" s="1239" customFormat="1">
      <c r="A332" s="1274"/>
      <c r="B332" s="1239">
        <v>356</v>
      </c>
      <c r="C332" s="1259"/>
      <c r="D332" s="1239">
        <v>427</v>
      </c>
      <c r="E332" s="1259"/>
      <c r="F332" s="1259">
        <v>381</v>
      </c>
      <c r="G332" s="1259"/>
      <c r="H332" s="1239">
        <v>334</v>
      </c>
      <c r="I332" s="1259"/>
      <c r="J332" s="1239">
        <v>347</v>
      </c>
      <c r="K332" s="1259"/>
      <c r="L332" s="1239">
        <v>376</v>
      </c>
      <c r="M332" s="1259"/>
      <c r="N332" s="1259">
        <v>392</v>
      </c>
      <c r="O332" s="1259"/>
      <c r="P332" s="1239">
        <v>408</v>
      </c>
      <c r="Q332" s="1259"/>
      <c r="R332" s="1239">
        <v>392</v>
      </c>
      <c r="S332" s="1259"/>
      <c r="T332" s="1239">
        <v>405</v>
      </c>
      <c r="U332" s="1259"/>
      <c r="V332" s="1239">
        <v>435</v>
      </c>
      <c r="W332" s="1259"/>
      <c r="X332" s="1260">
        <v>378</v>
      </c>
    </row>
    <row r="333" spans="1:30" s="1239" customFormat="1" ht="17" customHeight="1">
      <c r="A333" s="1274"/>
      <c r="C333" s="1259"/>
      <c r="E333" s="1259"/>
      <c r="F333" s="1259"/>
      <c r="G333" s="1259"/>
      <c r="I333" s="1259"/>
      <c r="K333" s="1259"/>
      <c r="M333" s="1259"/>
      <c r="N333" s="1259"/>
      <c r="O333" s="1259"/>
      <c r="Q333" s="1259"/>
      <c r="S333" s="1259"/>
      <c r="U333" s="1259"/>
      <c r="W333" s="1259"/>
      <c r="X333" s="1260"/>
    </row>
    <row r="334" spans="1:30" s="1239" customFormat="1" ht="60" customHeight="1">
      <c r="A334" s="1306"/>
      <c r="C334" s="1306"/>
      <c r="E334" s="1306"/>
      <c r="F334" s="1284"/>
      <c r="G334" s="1306"/>
      <c r="I334" s="1306"/>
      <c r="K334" s="1306"/>
      <c r="M334" s="1306"/>
      <c r="N334" s="1284"/>
      <c r="O334" s="1283" t="s">
        <v>71</v>
      </c>
      <c r="Q334" s="1340" t="s">
        <v>71</v>
      </c>
      <c r="S334" s="1341" t="s">
        <v>390</v>
      </c>
      <c r="U334" s="1306"/>
      <c r="W334" s="1306"/>
      <c r="X334" s="1260"/>
      <c r="AD334" s="1239">
        <v>3</v>
      </c>
    </row>
    <row r="335" spans="1:30" s="1239" customFormat="1" ht="21.5" thickBot="1">
      <c r="A335" s="1264" t="s">
        <v>125</v>
      </c>
      <c r="B335" s="1302"/>
      <c r="C335" s="1264" t="s">
        <v>188</v>
      </c>
      <c r="E335" s="1264" t="s">
        <v>188</v>
      </c>
      <c r="F335" s="1267"/>
      <c r="G335" s="1267" t="s">
        <v>182</v>
      </c>
      <c r="H335" s="1267"/>
      <c r="I335" s="1267" t="s">
        <v>182</v>
      </c>
      <c r="J335" s="1267"/>
      <c r="K335" s="1267" t="s">
        <v>182</v>
      </c>
      <c r="L335" s="1267"/>
      <c r="M335" s="1264" t="s">
        <v>137</v>
      </c>
      <c r="N335" s="1267"/>
      <c r="O335" s="1267" t="s">
        <v>248</v>
      </c>
      <c r="P335" s="1267"/>
      <c r="Q335" s="1264" t="s">
        <v>119</v>
      </c>
      <c r="R335" s="1301"/>
      <c r="S335" s="1267" t="s">
        <v>185</v>
      </c>
      <c r="T335" s="1302"/>
      <c r="U335" s="1280" t="s">
        <v>185</v>
      </c>
      <c r="V335" s="1302"/>
      <c r="W335" s="1280" t="s">
        <v>185</v>
      </c>
      <c r="X335" s="1260"/>
    </row>
    <row r="336" spans="1:30" s="1239" customFormat="1" ht="18.5" customHeight="1">
      <c r="A336" s="1313"/>
      <c r="B336" s="1314"/>
      <c r="C336" s="1314"/>
      <c r="D336" s="1314"/>
      <c r="E336" s="1314"/>
      <c r="F336" s="1314"/>
      <c r="G336" s="1314"/>
      <c r="H336" s="1314"/>
      <c r="I336" s="1314"/>
      <c r="J336" s="1314"/>
      <c r="K336" s="1314"/>
      <c r="L336" s="1314"/>
      <c r="M336" s="1314"/>
      <c r="N336" s="1314"/>
      <c r="O336" s="1314"/>
      <c r="P336" s="1314"/>
      <c r="Q336" s="1314"/>
      <c r="R336" s="1314"/>
      <c r="S336" s="1314"/>
      <c r="T336" s="1314"/>
      <c r="U336" s="1314"/>
      <c r="V336" s="1314"/>
      <c r="W336" s="1314"/>
      <c r="X336" s="1315"/>
    </row>
    <row r="337" spans="1:24" s="1239" customFormat="1">
      <c r="A337" s="1253" t="s">
        <v>789</v>
      </c>
      <c r="C337" s="1239" t="s">
        <v>790</v>
      </c>
      <c r="E337" s="1239" t="s">
        <v>791</v>
      </c>
      <c r="G337" s="1239" t="s">
        <v>792</v>
      </c>
      <c r="I337" s="1239" t="s">
        <v>793</v>
      </c>
      <c r="K337" s="1239" t="s">
        <v>794</v>
      </c>
      <c r="M337" s="1239" t="s">
        <v>795</v>
      </c>
      <c r="O337" s="1239" t="s">
        <v>796</v>
      </c>
      <c r="Q337" s="1239" t="s">
        <v>797</v>
      </c>
      <c r="S337" s="1239" t="s">
        <v>798</v>
      </c>
      <c r="U337" s="1239" t="s">
        <v>799</v>
      </c>
      <c r="W337" s="1239" t="s">
        <v>800</v>
      </c>
      <c r="X337" s="1260"/>
    </row>
    <row r="338" spans="1:24" s="1239" customFormat="1">
      <c r="A338" s="1253"/>
      <c r="X338" s="1260"/>
    </row>
    <row r="339" spans="1:24" s="1239" customFormat="1">
      <c r="A339" s="1274"/>
      <c r="C339" s="1259"/>
      <c r="E339" s="1259"/>
      <c r="F339" s="1259"/>
      <c r="G339" s="1259"/>
      <c r="I339" s="1259"/>
      <c r="K339" s="1259"/>
      <c r="M339" s="1259"/>
      <c r="N339" s="1259"/>
      <c r="O339" s="1259"/>
      <c r="Q339" s="1259"/>
      <c r="S339" s="1259"/>
      <c r="U339" s="1259"/>
      <c r="W339" s="1259"/>
      <c r="X339" s="1260"/>
    </row>
    <row r="340" spans="1:24" s="1239" customFormat="1">
      <c r="A340" s="1274"/>
      <c r="B340" s="1239">
        <v>386</v>
      </c>
      <c r="C340" s="1259"/>
      <c r="D340" s="1239">
        <v>391</v>
      </c>
      <c r="E340" s="1259"/>
      <c r="F340" s="1259">
        <v>400</v>
      </c>
      <c r="G340" s="1259"/>
      <c r="H340" s="1239">
        <v>437</v>
      </c>
      <c r="I340" s="1259"/>
      <c r="J340" s="1239">
        <v>402</v>
      </c>
      <c r="K340" s="1259"/>
      <c r="L340" s="1239">
        <v>416</v>
      </c>
      <c r="M340" s="1259"/>
      <c r="N340" s="1259">
        <v>417</v>
      </c>
      <c r="O340" s="1259"/>
      <c r="P340" s="1239">
        <v>399</v>
      </c>
      <c r="Q340" s="1259"/>
      <c r="R340" s="1239">
        <v>420</v>
      </c>
      <c r="S340" s="1259"/>
      <c r="T340" s="1239">
        <v>409</v>
      </c>
      <c r="U340" s="1259"/>
      <c r="V340" s="1239">
        <v>412</v>
      </c>
      <c r="W340" s="1259"/>
      <c r="X340" s="1260">
        <v>400</v>
      </c>
    </row>
    <row r="341" spans="1:24" s="1239" customFormat="1" ht="15.5" customHeight="1">
      <c r="A341" s="1274"/>
      <c r="C341" s="1259"/>
      <c r="E341" s="1259"/>
      <c r="F341" s="1259"/>
      <c r="G341" s="1259"/>
      <c r="I341" s="1259"/>
      <c r="K341" s="1259"/>
      <c r="M341" s="1259"/>
      <c r="N341" s="1259"/>
      <c r="O341" s="1259"/>
      <c r="Q341" s="1259"/>
      <c r="S341" s="1259"/>
      <c r="U341" s="1259"/>
      <c r="W341" s="1259"/>
      <c r="X341" s="1260"/>
    </row>
    <row r="342" spans="1:24" s="1239" customFormat="1" ht="55" customHeight="1">
      <c r="A342" s="1306"/>
      <c r="C342" s="1306"/>
      <c r="E342" s="1306"/>
      <c r="F342" s="1284"/>
      <c r="G342" s="1306"/>
      <c r="I342" s="1306"/>
      <c r="K342" s="1306"/>
      <c r="M342" s="1306"/>
      <c r="N342" s="1284"/>
      <c r="O342" s="1306"/>
      <c r="Q342" s="1306"/>
      <c r="S342" s="1306"/>
      <c r="U342" s="1306"/>
      <c r="W342" s="1306"/>
      <c r="X342" s="1260"/>
    </row>
    <row r="343" spans="1:24" s="1239" customFormat="1" ht="21.5" thickBot="1">
      <c r="A343" s="1264" t="s">
        <v>115</v>
      </c>
      <c r="B343" s="1302"/>
      <c r="C343" s="1280" t="s">
        <v>182</v>
      </c>
      <c r="D343" s="1302"/>
      <c r="E343" s="1280" t="s">
        <v>242</v>
      </c>
      <c r="F343" s="1302"/>
      <c r="G343" s="1264" t="s">
        <v>137</v>
      </c>
      <c r="I343" s="1264" t="s">
        <v>137</v>
      </c>
      <c r="J343" s="1267"/>
      <c r="K343" s="1267" t="s">
        <v>242</v>
      </c>
      <c r="L343" s="1267"/>
      <c r="M343" s="1267" t="s">
        <v>182</v>
      </c>
      <c r="N343" s="1267"/>
      <c r="O343" s="1267" t="s">
        <v>185</v>
      </c>
      <c r="P343" s="1267"/>
      <c r="Q343" s="1267" t="s">
        <v>185</v>
      </c>
      <c r="R343" s="1267"/>
      <c r="S343" s="1267" t="s">
        <v>185</v>
      </c>
      <c r="T343" s="1267"/>
      <c r="U343" s="1267" t="s">
        <v>182</v>
      </c>
      <c r="V343" s="1301"/>
      <c r="W343" s="1267" t="s">
        <v>185</v>
      </c>
      <c r="X343" s="1260"/>
    </row>
    <row r="344" spans="1:24" s="1239" customFormat="1" ht="15.5" customHeight="1">
      <c r="A344" s="1313"/>
      <c r="B344" s="1314"/>
      <c r="C344" s="1314"/>
      <c r="D344" s="1314"/>
      <c r="E344" s="1314"/>
      <c r="F344" s="1314"/>
      <c r="G344" s="1314"/>
      <c r="H344" s="1314"/>
      <c r="I344" s="1314"/>
      <c r="J344" s="1314"/>
      <c r="K344" s="1314"/>
      <c r="L344" s="1314"/>
      <c r="M344" s="1314"/>
      <c r="N344" s="1314"/>
      <c r="O344" s="1314"/>
      <c r="P344" s="1314"/>
      <c r="Q344" s="1314"/>
      <c r="R344" s="1314"/>
      <c r="S344" s="1314"/>
      <c r="T344" s="1314"/>
      <c r="U344" s="1314"/>
      <c r="V344" s="1314"/>
      <c r="W344" s="1314"/>
      <c r="X344" s="1315"/>
    </row>
    <row r="345" spans="1:24" s="1239" customFormat="1">
      <c r="A345" s="1253" t="s">
        <v>801</v>
      </c>
      <c r="C345" s="1239" t="s">
        <v>802</v>
      </c>
      <c r="E345" s="1239" t="s">
        <v>803</v>
      </c>
      <c r="G345" s="1239" t="s">
        <v>804</v>
      </c>
      <c r="I345" s="1239" t="s">
        <v>805</v>
      </c>
      <c r="K345" s="1239" t="s">
        <v>806</v>
      </c>
      <c r="M345" s="1239" t="s">
        <v>807</v>
      </c>
      <c r="O345" s="1239" t="s">
        <v>808</v>
      </c>
      <c r="Q345" s="1239" t="s">
        <v>809</v>
      </c>
      <c r="S345" s="1239" t="s">
        <v>1285</v>
      </c>
      <c r="U345" s="1239" t="s">
        <v>810</v>
      </c>
      <c r="W345" s="1239" t="s">
        <v>811</v>
      </c>
      <c r="X345" s="1260"/>
    </row>
    <row r="346" spans="1:24" s="1239" customFormat="1">
      <c r="A346" s="1253"/>
      <c r="X346" s="1260"/>
    </row>
    <row r="347" spans="1:24" s="1239" customFormat="1">
      <c r="A347" s="1274"/>
      <c r="C347" s="1259"/>
      <c r="E347" s="1259"/>
      <c r="F347" s="1259"/>
      <c r="G347" s="1259"/>
      <c r="I347" s="1259"/>
      <c r="K347" s="1259"/>
      <c r="M347" s="1259"/>
      <c r="N347" s="1259"/>
      <c r="O347" s="1259"/>
      <c r="Q347" s="1259"/>
      <c r="S347" s="1259"/>
      <c r="U347" s="1259"/>
      <c r="W347" s="1259"/>
      <c r="X347" s="1260"/>
    </row>
    <row r="348" spans="1:24" s="1239" customFormat="1">
      <c r="A348" s="1274"/>
      <c r="B348" s="1239">
        <v>232</v>
      </c>
      <c r="C348" s="1259"/>
      <c r="D348" s="1239">
        <v>442</v>
      </c>
      <c r="E348" s="1259"/>
      <c r="F348" s="1259">
        <v>385</v>
      </c>
      <c r="G348" s="1259"/>
      <c r="H348" s="1239">
        <v>362</v>
      </c>
      <c r="I348" s="1259"/>
      <c r="J348" s="1239">
        <v>399</v>
      </c>
      <c r="K348" s="1259"/>
      <c r="L348" s="1239">
        <v>382</v>
      </c>
      <c r="M348" s="1259"/>
      <c r="N348" s="1259">
        <v>392</v>
      </c>
      <c r="O348" s="1259"/>
      <c r="P348" s="1239">
        <v>422</v>
      </c>
      <c r="Q348" s="1259"/>
      <c r="R348" s="1239">
        <v>409</v>
      </c>
      <c r="S348" s="1259"/>
      <c r="T348" s="1239">
        <v>374</v>
      </c>
      <c r="U348" s="1259"/>
      <c r="V348" s="1239">
        <v>382</v>
      </c>
      <c r="W348" s="1259"/>
      <c r="X348" s="1260">
        <v>382</v>
      </c>
    </row>
    <row r="349" spans="1:24" s="1239" customFormat="1" ht="12.5" customHeight="1">
      <c r="A349" s="1274"/>
      <c r="C349" s="1259"/>
      <c r="E349" s="1259"/>
      <c r="F349" s="1259"/>
      <c r="G349" s="1259"/>
      <c r="I349" s="1259"/>
      <c r="K349" s="1259"/>
      <c r="M349" s="1259"/>
      <c r="N349" s="1259"/>
      <c r="O349" s="1259"/>
      <c r="Q349" s="1259"/>
      <c r="S349" s="1259"/>
      <c r="U349" s="1259"/>
      <c r="W349" s="1259"/>
      <c r="X349" s="1260"/>
    </row>
    <row r="350" spans="1:24" s="1239" customFormat="1" ht="56" customHeight="1">
      <c r="A350" s="1306"/>
      <c r="C350" s="1306"/>
      <c r="E350" s="1306"/>
      <c r="F350" s="1284"/>
      <c r="G350" s="1306"/>
      <c r="I350" s="1306"/>
      <c r="K350" s="1306"/>
      <c r="M350" s="1306"/>
      <c r="N350" s="1284"/>
      <c r="O350" s="1306"/>
      <c r="Q350" s="1306"/>
      <c r="S350" s="1306"/>
      <c r="U350" s="1306"/>
      <c r="W350" s="1305"/>
      <c r="X350" s="1260"/>
    </row>
    <row r="351" spans="1:24" s="1239" customFormat="1" ht="21" customHeight="1">
      <c r="A351" s="1264" t="s">
        <v>192</v>
      </c>
      <c r="B351" s="1302"/>
      <c r="C351" s="1264" t="s">
        <v>192</v>
      </c>
      <c r="D351" s="1280"/>
      <c r="E351" s="1280" t="s">
        <v>185</v>
      </c>
      <c r="F351" s="1302"/>
      <c r="G351" s="1280" t="s">
        <v>182</v>
      </c>
      <c r="H351" s="1302"/>
      <c r="I351" s="1280" t="s">
        <v>182</v>
      </c>
      <c r="J351" s="1302"/>
      <c r="K351" s="1280" t="s">
        <v>185</v>
      </c>
      <c r="M351" s="1264" t="s">
        <v>115</v>
      </c>
      <c r="N351" s="1267"/>
      <c r="O351" s="1267" t="s">
        <v>185</v>
      </c>
      <c r="P351" s="1267"/>
      <c r="Q351" s="1267" t="s">
        <v>182</v>
      </c>
      <c r="R351" s="1267"/>
      <c r="S351" s="1264" t="s">
        <v>115</v>
      </c>
      <c r="T351" s="1267"/>
      <c r="U351" s="1267" t="s">
        <v>182</v>
      </c>
      <c r="V351" s="1267"/>
      <c r="W351" s="1267" t="s">
        <v>182</v>
      </c>
      <c r="X351" s="1260"/>
    </row>
    <row r="352" spans="1:24" s="1239" customFormat="1" ht="21.5" thickBot="1">
      <c r="A352" s="1342"/>
      <c r="B352" s="1343" t="s">
        <v>1834</v>
      </c>
      <c r="C352" s="1344"/>
      <c r="X352" s="1260"/>
    </row>
    <row r="353" spans="1:24" s="1239" customFormat="1" ht="17.5" customHeight="1">
      <c r="A353" s="1313"/>
      <c r="B353" s="1314"/>
      <c r="C353" s="1314"/>
      <c r="D353" s="1314"/>
      <c r="E353" s="1314"/>
      <c r="F353" s="1314"/>
      <c r="G353" s="1314"/>
      <c r="H353" s="1314"/>
      <c r="I353" s="1314"/>
      <c r="J353" s="1314"/>
      <c r="K353" s="1314"/>
      <c r="L353" s="1314"/>
      <c r="M353" s="1314"/>
      <c r="N353" s="1314"/>
      <c r="O353" s="1314"/>
      <c r="P353" s="1314"/>
      <c r="Q353" s="1314"/>
      <c r="S353" s="1314"/>
      <c r="T353" s="1314"/>
      <c r="U353" s="1314"/>
      <c r="V353" s="1314"/>
      <c r="W353" s="1314"/>
      <c r="X353" s="1315"/>
    </row>
    <row r="354" spans="1:24" s="1239" customFormat="1">
      <c r="A354" s="1253" t="s">
        <v>812</v>
      </c>
      <c r="C354" s="1239" t="s">
        <v>813</v>
      </c>
      <c r="E354" s="1239" t="s">
        <v>814</v>
      </c>
      <c r="G354" s="1239" t="s">
        <v>815</v>
      </c>
      <c r="I354" s="1239" t="s">
        <v>816</v>
      </c>
      <c r="K354" s="1239" t="s">
        <v>817</v>
      </c>
      <c r="M354" s="1239" t="s">
        <v>1286</v>
      </c>
      <c r="O354" s="1239" t="s">
        <v>1287</v>
      </c>
      <c r="Q354" s="1239" t="s">
        <v>818</v>
      </c>
      <c r="S354" s="1239" t="s">
        <v>819</v>
      </c>
      <c r="U354" s="1239" t="s">
        <v>820</v>
      </c>
      <c r="W354" s="1290" t="s">
        <v>821</v>
      </c>
      <c r="X354" s="1260"/>
    </row>
    <row r="355" spans="1:24" s="1239" customFormat="1">
      <c r="A355" s="1253"/>
      <c r="X355" s="1260"/>
    </row>
    <row r="356" spans="1:24" s="1239" customFormat="1">
      <c r="A356" s="1274"/>
      <c r="C356" s="1259"/>
      <c r="E356" s="1259"/>
      <c r="F356" s="1259"/>
      <c r="G356" s="1259"/>
      <c r="I356" s="1259"/>
      <c r="K356" s="1259"/>
      <c r="M356" s="1259"/>
      <c r="N356" s="1259"/>
      <c r="O356" s="1259"/>
      <c r="Q356" s="1259"/>
      <c r="S356" s="1259"/>
      <c r="U356" s="1259"/>
      <c r="W356" s="1259"/>
      <c r="X356" s="1260"/>
    </row>
    <row r="357" spans="1:24" s="1239" customFormat="1">
      <c r="A357" s="1274"/>
      <c r="B357" s="1239">
        <v>391</v>
      </c>
      <c r="C357" s="1259"/>
      <c r="D357" s="1239">
        <v>386</v>
      </c>
      <c r="E357" s="1259"/>
      <c r="F357" s="1259">
        <v>367</v>
      </c>
      <c r="G357" s="1259"/>
      <c r="H357" s="1239">
        <v>380</v>
      </c>
      <c r="I357" s="1259"/>
      <c r="J357" s="1239">
        <v>380</v>
      </c>
      <c r="K357" s="1259"/>
      <c r="L357" s="1239">
        <v>383</v>
      </c>
      <c r="M357" s="1259"/>
      <c r="N357" s="1259">
        <v>242</v>
      </c>
      <c r="O357" s="1259"/>
      <c r="P357" s="1239">
        <v>364</v>
      </c>
      <c r="Q357" s="1259"/>
      <c r="R357" s="1239">
        <v>359</v>
      </c>
      <c r="S357" s="1259"/>
      <c r="T357" s="1239">
        <v>384</v>
      </c>
      <c r="U357" s="1259"/>
      <c r="V357" s="1239">
        <v>381</v>
      </c>
      <c r="W357" s="1259"/>
      <c r="X357" s="1260">
        <v>397</v>
      </c>
    </row>
    <row r="358" spans="1:24" s="1239" customFormat="1" ht="14.5" customHeight="1">
      <c r="A358" s="1274"/>
      <c r="C358" s="1259"/>
      <c r="E358" s="1259"/>
      <c r="F358" s="1259"/>
      <c r="G358" s="1259"/>
      <c r="I358" s="1259"/>
      <c r="K358" s="1259"/>
      <c r="M358" s="1259"/>
      <c r="N358" s="1259"/>
      <c r="O358" s="1259"/>
      <c r="Q358" s="1259"/>
      <c r="S358" s="1259"/>
      <c r="U358" s="1259"/>
      <c r="W358" s="1259"/>
      <c r="X358" s="1260"/>
    </row>
    <row r="359" spans="1:24" s="1239" customFormat="1" ht="55" customHeight="1">
      <c r="A359" s="1305"/>
      <c r="C359" s="1305"/>
      <c r="E359" s="1305"/>
      <c r="F359" s="1284"/>
      <c r="G359" s="1305"/>
      <c r="I359" s="1305"/>
      <c r="K359" s="1305"/>
      <c r="M359" s="1305"/>
      <c r="N359" s="1284"/>
      <c r="O359" s="1322"/>
      <c r="Q359" s="1305"/>
      <c r="S359" s="1305"/>
      <c r="U359" s="1305"/>
      <c r="W359" s="1305"/>
      <c r="X359" s="1260"/>
    </row>
    <row r="360" spans="1:24" s="1239" customFormat="1" ht="21.5" thickBot="1">
      <c r="A360" s="1267" t="s">
        <v>182</v>
      </c>
      <c r="B360" s="1301"/>
      <c r="C360" s="1267" t="s">
        <v>182</v>
      </c>
      <c r="D360" s="1302"/>
      <c r="E360" s="1280" t="s">
        <v>182</v>
      </c>
      <c r="F360" s="1302"/>
      <c r="G360" s="1280" t="s">
        <v>182</v>
      </c>
      <c r="H360" s="1280"/>
      <c r="I360" s="1280" t="s">
        <v>182</v>
      </c>
      <c r="J360" s="1280"/>
      <c r="K360" s="1280" t="s">
        <v>182</v>
      </c>
      <c r="L360" s="1280"/>
      <c r="M360" s="1280" t="s">
        <v>182</v>
      </c>
      <c r="N360" s="1345" t="s">
        <v>1863</v>
      </c>
      <c r="O360" s="1264" t="s">
        <v>119</v>
      </c>
      <c r="Q360" s="1267" t="s">
        <v>182</v>
      </c>
      <c r="R360" s="1267"/>
      <c r="S360" s="1267" t="s">
        <v>182</v>
      </c>
      <c r="T360" s="1267"/>
      <c r="U360" s="1267" t="s">
        <v>182</v>
      </c>
      <c r="V360" s="1267"/>
      <c r="W360" s="1267" t="s">
        <v>182</v>
      </c>
      <c r="X360" s="1260"/>
    </row>
    <row r="361" spans="1:24" s="1239" customFormat="1" ht="15.5" customHeight="1">
      <c r="A361" s="1313"/>
      <c r="B361" s="1314"/>
      <c r="C361" s="1314"/>
      <c r="D361" s="1314"/>
      <c r="E361" s="1314"/>
      <c r="F361" s="1314"/>
      <c r="G361" s="1314"/>
      <c r="H361" s="1314"/>
      <c r="I361" s="1314"/>
      <c r="J361" s="1314"/>
      <c r="K361" s="1314"/>
      <c r="L361" s="1314"/>
      <c r="M361" s="1314"/>
      <c r="N361" s="1314"/>
      <c r="O361" s="1314"/>
      <c r="P361" s="1314"/>
      <c r="Q361" s="1314"/>
      <c r="R361" s="1314"/>
      <c r="S361" s="1314"/>
      <c r="T361" s="1314"/>
      <c r="U361" s="1314"/>
      <c r="V361" s="1314"/>
      <c r="W361" s="1314"/>
      <c r="X361" s="1315"/>
    </row>
    <row r="362" spans="1:24" s="1239" customFormat="1">
      <c r="A362" s="1253" t="s">
        <v>822</v>
      </c>
      <c r="C362" s="1239" t="s">
        <v>823</v>
      </c>
      <c r="E362" s="1239" t="s">
        <v>824</v>
      </c>
      <c r="G362" s="1239" t="s">
        <v>827</v>
      </c>
      <c r="I362" s="1239" t="s">
        <v>1864</v>
      </c>
      <c r="K362" s="1239" t="s">
        <v>1865</v>
      </c>
      <c r="M362" s="1239" t="s">
        <v>1866</v>
      </c>
      <c r="O362" s="1239" t="s">
        <v>1366</v>
      </c>
      <c r="Q362" s="1239" t="s">
        <v>1367</v>
      </c>
      <c r="S362" s="1239" t="s">
        <v>830</v>
      </c>
      <c r="U362" s="1239" t="s">
        <v>831</v>
      </c>
      <c r="W362" s="1290" t="s">
        <v>832</v>
      </c>
      <c r="X362" s="1260"/>
    </row>
    <row r="363" spans="1:24" s="1239" customFormat="1">
      <c r="A363" s="1253"/>
      <c r="X363" s="1260"/>
    </row>
    <row r="364" spans="1:24" s="1239" customFormat="1">
      <c r="A364" s="1274"/>
      <c r="C364" s="1259"/>
      <c r="E364" s="1259"/>
      <c r="F364" s="1259"/>
      <c r="G364" s="1259"/>
      <c r="I364" s="1259"/>
      <c r="K364" s="1259"/>
      <c r="M364" s="1259"/>
      <c r="N364" s="1259"/>
      <c r="O364" s="1259"/>
      <c r="Q364" s="1259"/>
      <c r="S364" s="1259"/>
      <c r="U364" s="1259"/>
      <c r="W364" s="1259"/>
      <c r="X364" s="1260"/>
    </row>
    <row r="365" spans="1:24" s="1239" customFormat="1">
      <c r="A365" s="1274"/>
      <c r="B365" s="1239">
        <v>387</v>
      </c>
      <c r="C365" s="1259"/>
      <c r="D365" s="1239">
        <v>392</v>
      </c>
      <c r="E365" s="1259"/>
      <c r="F365" s="1259">
        <v>365</v>
      </c>
      <c r="G365" s="1259"/>
      <c r="H365" s="1239">
        <v>188</v>
      </c>
      <c r="I365" s="1259"/>
      <c r="J365" s="1239">
        <v>396</v>
      </c>
      <c r="K365" s="1259"/>
      <c r="L365" s="1239">
        <v>425</v>
      </c>
      <c r="M365" s="1259"/>
      <c r="N365" s="1259">
        <v>407</v>
      </c>
      <c r="O365" s="1259"/>
      <c r="P365" s="1239">
        <v>433</v>
      </c>
      <c r="Q365" s="1259"/>
      <c r="R365" s="1239">
        <v>489</v>
      </c>
      <c r="S365" s="1259"/>
      <c r="T365" s="1239">
        <v>290</v>
      </c>
      <c r="U365" s="1259"/>
      <c r="V365" s="1239">
        <v>419</v>
      </c>
      <c r="W365" s="1259"/>
      <c r="X365" s="1260">
        <v>242</v>
      </c>
    </row>
    <row r="366" spans="1:24" s="1239" customFormat="1" ht="11.5" customHeight="1">
      <c r="A366" s="1274"/>
      <c r="C366" s="1259"/>
      <c r="E366" s="1259"/>
      <c r="F366" s="1259"/>
      <c r="G366" s="1259"/>
      <c r="I366" s="1259"/>
      <c r="K366" s="1259"/>
      <c r="M366" s="1259"/>
      <c r="N366" s="1259"/>
      <c r="O366" s="1259"/>
      <c r="Q366" s="1259"/>
      <c r="S366" s="1259"/>
      <c r="U366" s="1259"/>
      <c r="W366" s="1259"/>
      <c r="X366" s="1260"/>
    </row>
    <row r="367" spans="1:24" s="1239" customFormat="1" ht="52.5" customHeight="1">
      <c r="A367" s="1305"/>
      <c r="C367" s="1305"/>
      <c r="E367" s="1305"/>
      <c r="F367" s="1284"/>
      <c r="G367" s="1305"/>
      <c r="I367" s="1305"/>
      <c r="K367" s="1305"/>
      <c r="M367" s="1305"/>
      <c r="O367" s="1305"/>
      <c r="Q367" s="1304"/>
      <c r="S367" s="1346"/>
      <c r="U367" s="1347"/>
      <c r="W367" s="1305"/>
      <c r="X367" s="1260"/>
    </row>
    <row r="368" spans="1:24" s="1239" customFormat="1">
      <c r="A368" s="1253"/>
      <c r="G368" s="1289"/>
      <c r="H368" s="1254" t="s">
        <v>1847</v>
      </c>
      <c r="I368" s="1289"/>
      <c r="X368" s="1260"/>
    </row>
    <row r="369" spans="1:28" s="1239" customFormat="1" ht="26.5" customHeight="1">
      <c r="A369" s="1267" t="s">
        <v>182</v>
      </c>
      <c r="B369" s="1267"/>
      <c r="C369" s="1267" t="s">
        <v>182</v>
      </c>
      <c r="D369" s="1267"/>
      <c r="E369" s="1267" t="s">
        <v>182</v>
      </c>
      <c r="F369" s="1301"/>
      <c r="G369" s="1267" t="s">
        <v>125</v>
      </c>
      <c r="H369" s="1302"/>
      <c r="I369" s="1264" t="s">
        <v>125</v>
      </c>
      <c r="J369" s="1302"/>
      <c r="K369" s="1264" t="s">
        <v>188</v>
      </c>
      <c r="L369" s="1302"/>
      <c r="M369" s="1302" t="s">
        <v>185</v>
      </c>
      <c r="N369" s="1302"/>
      <c r="O369" s="1348" t="s">
        <v>182</v>
      </c>
      <c r="P369" s="1302"/>
      <c r="Q369" s="1264" t="s">
        <v>132</v>
      </c>
      <c r="R369" s="1302"/>
      <c r="S369" s="1264" t="s">
        <v>147</v>
      </c>
      <c r="U369" s="1264" t="s">
        <v>147</v>
      </c>
      <c r="W369" s="1264" t="s">
        <v>117</v>
      </c>
      <c r="X369" s="1260"/>
    </row>
    <row r="370" spans="1:28" s="1239" customFormat="1">
      <c r="A370" s="1349"/>
      <c r="B370" s="1350"/>
      <c r="C370" s="1350"/>
      <c r="D370" s="1350"/>
      <c r="E370" s="1350"/>
      <c r="F370" s="1350"/>
      <c r="G370" s="1350"/>
      <c r="H370" s="1350"/>
      <c r="I370" s="1350"/>
      <c r="J370" s="1350"/>
      <c r="K370" s="1350"/>
      <c r="L370" s="1350"/>
      <c r="M370" s="1350"/>
      <c r="N370" s="1350"/>
      <c r="O370" s="1350"/>
      <c r="P370" s="1350"/>
      <c r="Q370" s="1350"/>
      <c r="R370" s="1350"/>
      <c r="S370" s="1350"/>
      <c r="T370" s="1351" t="s">
        <v>1867</v>
      </c>
      <c r="U370" s="1350"/>
      <c r="V370" s="1352"/>
      <c r="W370" s="1352"/>
      <c r="X370" s="1353" t="s">
        <v>1838</v>
      </c>
    </row>
    <row r="371" spans="1:28" s="1239" customFormat="1" ht="21.5" thickBot="1">
      <c r="A371" s="1325"/>
      <c r="B371" s="1326"/>
      <c r="C371" s="1326"/>
      <c r="D371" s="1326"/>
      <c r="E371" s="1326"/>
      <c r="F371" s="1326"/>
      <c r="G371" s="1326"/>
      <c r="H371" s="1326"/>
      <c r="I371" s="1326"/>
      <c r="J371" s="1326"/>
      <c r="K371" s="1326"/>
      <c r="L371" s="1326"/>
      <c r="M371" s="1326"/>
      <c r="N371" s="1326"/>
      <c r="O371" s="1326"/>
      <c r="P371" s="1326"/>
      <c r="Q371" s="1326"/>
      <c r="R371" s="1326"/>
      <c r="S371" s="1326"/>
      <c r="T371" s="1326"/>
      <c r="U371" s="1326"/>
      <c r="V371" s="1326"/>
      <c r="W371" s="1326"/>
      <c r="X371" s="1327"/>
    </row>
    <row r="372" spans="1:28" s="1239" customFormat="1">
      <c r="A372" s="1253" t="s">
        <v>833</v>
      </c>
      <c r="C372" s="1239" t="s">
        <v>1288</v>
      </c>
      <c r="E372" s="1239" t="s">
        <v>835</v>
      </c>
      <c r="G372" s="1239" t="s">
        <v>1868</v>
      </c>
      <c r="I372" s="1239" t="s">
        <v>1869</v>
      </c>
      <c r="K372" s="1239" t="s">
        <v>836</v>
      </c>
      <c r="M372" s="1239" t="s">
        <v>837</v>
      </c>
      <c r="O372" s="1239" t="s">
        <v>838</v>
      </c>
      <c r="Q372" s="1239" t="s">
        <v>1515</v>
      </c>
      <c r="W372" s="1290"/>
      <c r="X372" s="1260"/>
    </row>
    <row r="373" spans="1:28" s="1239" customFormat="1">
      <c r="A373" s="1253"/>
      <c r="X373" s="1260"/>
    </row>
    <row r="374" spans="1:28" s="1239" customFormat="1">
      <c r="A374" s="1274"/>
      <c r="C374" s="1259"/>
      <c r="E374" s="1259"/>
      <c r="F374" s="1259"/>
      <c r="G374" s="1259"/>
      <c r="I374" s="1259"/>
      <c r="K374" s="1259"/>
      <c r="M374" s="1259"/>
      <c r="O374" s="1259"/>
      <c r="Q374" s="1259"/>
      <c r="S374" s="1259"/>
      <c r="U374" s="1259"/>
      <c r="W374" s="1259"/>
      <c r="X374" s="1260"/>
    </row>
    <row r="375" spans="1:28" s="1239" customFormat="1">
      <c r="A375" s="1274"/>
      <c r="B375" s="1239">
        <v>343</v>
      </c>
      <c r="C375" s="1259"/>
      <c r="D375" s="1239">
        <v>389</v>
      </c>
      <c r="E375" s="1259"/>
      <c r="F375" s="1259">
        <v>220</v>
      </c>
      <c r="G375" s="1259"/>
      <c r="H375" s="1239">
        <v>92</v>
      </c>
      <c r="I375" s="1259"/>
      <c r="J375" s="1239">
        <v>56</v>
      </c>
      <c r="K375" s="1259"/>
      <c r="L375" s="1239">
        <v>241</v>
      </c>
      <c r="M375" s="1259"/>
      <c r="N375" s="1239">
        <v>215</v>
      </c>
      <c r="O375" s="1259"/>
      <c r="P375" s="1239">
        <v>114</v>
      </c>
      <c r="Q375" s="1259"/>
      <c r="S375" s="1259"/>
      <c r="U375" s="1259"/>
      <c r="W375" s="1259"/>
      <c r="X375" s="1260"/>
    </row>
    <row r="376" spans="1:28" s="1239" customFormat="1" ht="13.5" customHeight="1">
      <c r="A376" s="1274"/>
      <c r="C376" s="1259"/>
      <c r="E376" s="1259"/>
      <c r="F376" s="1259"/>
      <c r="G376" s="1259"/>
      <c r="I376" s="1259"/>
      <c r="K376" s="1259"/>
      <c r="M376" s="1259"/>
      <c r="O376" s="1259"/>
      <c r="Q376" s="1259"/>
      <c r="S376" s="1259"/>
      <c r="U376" s="1259"/>
      <c r="W376" s="1259"/>
      <c r="X376" s="1260"/>
      <c r="AB376" s="1354"/>
    </row>
    <row r="377" spans="1:28" s="1239" customFormat="1" ht="55" customHeight="1">
      <c r="A377" s="1282" t="s">
        <v>71</v>
      </c>
      <c r="C377" s="1305"/>
      <c r="E377" s="1283" t="s">
        <v>390</v>
      </c>
      <c r="F377" s="1284"/>
      <c r="G377" s="1283"/>
      <c r="I377" s="1283"/>
      <c r="K377" s="1283"/>
      <c r="M377" s="1283"/>
      <c r="O377" s="1283"/>
      <c r="Q377" s="1283"/>
      <c r="S377" s="1355"/>
      <c r="U377" s="1284"/>
      <c r="W377" s="1284"/>
      <c r="X377" s="1260"/>
      <c r="AB377" s="1354"/>
    </row>
    <row r="378" spans="1:28" s="1239" customFormat="1" ht="53.5" customHeight="1">
      <c r="A378" s="1264" t="s">
        <v>117</v>
      </c>
      <c r="C378" s="1264" t="s">
        <v>119</v>
      </c>
      <c r="E378" s="1264" t="s">
        <v>125</v>
      </c>
      <c r="G378" s="1356" t="s">
        <v>1870</v>
      </c>
      <c r="H378" s="1254" t="s">
        <v>1833</v>
      </c>
      <c r="I378" s="1356" t="s">
        <v>1870</v>
      </c>
      <c r="K378" s="1264" t="s">
        <v>125</v>
      </c>
      <c r="M378" s="1264" t="s">
        <v>125</v>
      </c>
      <c r="O378" s="1357" t="s">
        <v>1871</v>
      </c>
      <c r="P378" s="1291"/>
      <c r="Q378" s="1358" t="s">
        <v>1872</v>
      </c>
      <c r="X378" s="1260"/>
    </row>
    <row r="380" spans="1:28" ht="38.5" customHeight="1">
      <c r="W380" s="1239"/>
      <c r="X380" s="1239"/>
    </row>
  </sheetData>
  <mergeCells count="56">
    <mergeCell ref="U79:V79"/>
    <mergeCell ref="A169:B169"/>
    <mergeCell ref="B178:D178"/>
    <mergeCell ref="A22:B22"/>
    <mergeCell ref="A44:B44"/>
    <mergeCell ref="B70:D70"/>
    <mergeCell ref="E70:F70"/>
    <mergeCell ref="N70:P70"/>
    <mergeCell ref="K79:L79"/>
    <mergeCell ref="N14:O14"/>
    <mergeCell ref="T14:V15"/>
    <mergeCell ref="A15:B16"/>
    <mergeCell ref="C15:C16"/>
    <mergeCell ref="D15:D16"/>
    <mergeCell ref="E15:E16"/>
    <mergeCell ref="F15:F16"/>
    <mergeCell ref="A13:B14"/>
    <mergeCell ref="C13:C14"/>
    <mergeCell ref="D13:D14"/>
    <mergeCell ref="E13:E14"/>
    <mergeCell ref="F13:F14"/>
    <mergeCell ref="N9:Q9"/>
    <mergeCell ref="N10:P10"/>
    <mergeCell ref="A11:B12"/>
    <mergeCell ref="C11:C12"/>
    <mergeCell ref="D11:D12"/>
    <mergeCell ref="E11:E12"/>
    <mergeCell ref="F11:F12"/>
    <mergeCell ref="H11:H13"/>
    <mergeCell ref="J11:J13"/>
    <mergeCell ref="N11:P11"/>
    <mergeCell ref="A9:B10"/>
    <mergeCell ref="C9:C10"/>
    <mergeCell ref="D9:D10"/>
    <mergeCell ref="E9:E10"/>
    <mergeCell ref="F9:F10"/>
    <mergeCell ref="N12:P12"/>
    <mergeCell ref="A7:B8"/>
    <mergeCell ref="C7:C8"/>
    <mergeCell ref="D7:D8"/>
    <mergeCell ref="E7:E8"/>
    <mergeCell ref="F7:F8"/>
    <mergeCell ref="V1:X2"/>
    <mergeCell ref="A3:B3"/>
    <mergeCell ref="A4:B4"/>
    <mergeCell ref="A5:B6"/>
    <mergeCell ref="C5:C6"/>
    <mergeCell ref="D5:D6"/>
    <mergeCell ref="E5:E6"/>
    <mergeCell ref="F5:F6"/>
    <mergeCell ref="A1:B2"/>
    <mergeCell ref="C1:C2"/>
    <mergeCell ref="D1:D2"/>
    <mergeCell ref="E1:E2"/>
    <mergeCell ref="F1:F2"/>
    <mergeCell ref="U1:U2"/>
  </mergeCells>
  <conditionalFormatting sqref="A141">
    <cfRule type="cellIs" dxfId="43" priority="36" operator="equal">
      <formula>0</formula>
    </cfRule>
  </conditionalFormatting>
  <conditionalFormatting sqref="A273">
    <cfRule type="cellIs" dxfId="42" priority="2" operator="equal">
      <formula>"U/P"</formula>
    </cfRule>
    <cfRule type="cellIs" dxfId="41" priority="3" operator="equal">
      <formula>"F"</formula>
    </cfRule>
    <cfRule type="cellIs" dxfId="40" priority="4" operator="equal">
      <formula>"F"</formula>
    </cfRule>
  </conditionalFormatting>
  <conditionalFormatting sqref="A281">
    <cfRule type="cellIs" dxfId="39" priority="14" operator="equal">
      <formula>"U/P"</formula>
    </cfRule>
    <cfRule type="cellIs" dxfId="38" priority="15" operator="equal">
      <formula>"F"</formula>
    </cfRule>
    <cfRule type="cellIs" dxfId="37" priority="16" operator="equal">
      <formula>"F"</formula>
    </cfRule>
  </conditionalFormatting>
  <conditionalFormatting sqref="A1:XFD327 A328:AA328 AC328:XFD328 A329:XFD1048576">
    <cfRule type="containsText" dxfId="36" priority="1" operator="containsText" text="U/P">
      <formula>NOT(ISERROR(SEARCH("U/P",A1)))</formula>
    </cfRule>
  </conditionalFormatting>
  <conditionalFormatting sqref="B70">
    <cfRule type="cellIs" dxfId="35" priority="42" operator="equal">
      <formula>0</formula>
    </cfRule>
  </conditionalFormatting>
  <conditionalFormatting sqref="C289">
    <cfRule type="cellIs" dxfId="34" priority="28" operator="equal">
      <formula>"F"</formula>
    </cfRule>
    <cfRule type="cellIs" dxfId="33" priority="27" operator="equal">
      <formula>"F"</formula>
    </cfRule>
    <cfRule type="cellIs" dxfId="32" priority="26" operator="equal">
      <formula>"U/P"</formula>
    </cfRule>
  </conditionalFormatting>
  <conditionalFormatting sqref="E70">
    <cfRule type="cellIs" dxfId="31" priority="41" operator="equal">
      <formula>0</formula>
    </cfRule>
  </conditionalFormatting>
  <conditionalFormatting sqref="E141">
    <cfRule type="cellIs" dxfId="30" priority="35" operator="equal">
      <formula>0</formula>
    </cfRule>
  </conditionalFormatting>
  <conditionalFormatting sqref="G159 I159 K159 M159">
    <cfRule type="cellIs" dxfId="29" priority="34" operator="equal">
      <formula>0</formula>
    </cfRule>
  </conditionalFormatting>
  <conditionalFormatting sqref="G169">
    <cfRule type="cellIs" dxfId="28" priority="32" operator="equal">
      <formula>0</formula>
    </cfRule>
  </conditionalFormatting>
  <conditionalFormatting sqref="G273">
    <cfRule type="cellIs" dxfId="27" priority="8" operator="equal">
      <formula>"U/P"</formula>
    </cfRule>
    <cfRule type="cellIs" dxfId="26" priority="9" operator="equal">
      <formula>"F"</formula>
    </cfRule>
    <cfRule type="cellIs" dxfId="25" priority="10" operator="equal">
      <formula>"F"</formula>
    </cfRule>
  </conditionalFormatting>
  <conditionalFormatting sqref="I188">
    <cfRule type="cellIs" dxfId="24" priority="29" operator="equal">
      <formula>0</formula>
    </cfRule>
  </conditionalFormatting>
  <conditionalFormatting sqref="I289">
    <cfRule type="cellIs" dxfId="23" priority="23" operator="equal">
      <formula>"U/P"</formula>
    </cfRule>
    <cfRule type="cellIs" dxfId="22" priority="25" operator="equal">
      <formula>"F"</formula>
    </cfRule>
    <cfRule type="cellIs" dxfId="21" priority="24" operator="equal">
      <formula>"F"</formula>
    </cfRule>
  </conditionalFormatting>
  <conditionalFormatting sqref="K79">
    <cfRule type="cellIs" dxfId="20" priority="39" operator="equal">
      <formula>0</formula>
    </cfRule>
  </conditionalFormatting>
  <conditionalFormatting sqref="N70">
    <cfRule type="cellIs" dxfId="19" priority="40" operator="equal">
      <formula>0</formula>
    </cfRule>
  </conditionalFormatting>
  <conditionalFormatting sqref="O178 Q178">
    <cfRule type="cellIs" dxfId="18" priority="31" operator="equal">
      <formula>0</formula>
    </cfRule>
  </conditionalFormatting>
  <conditionalFormatting sqref="Q52">
    <cfRule type="cellIs" dxfId="17" priority="44" operator="equal">
      <formula>0</formula>
    </cfRule>
  </conditionalFormatting>
  <conditionalFormatting sqref="Q334">
    <cfRule type="cellIs" dxfId="16" priority="19" operator="equal">
      <formula>"F"</formula>
    </cfRule>
    <cfRule type="cellIs" dxfId="15" priority="18" operator="equal">
      <formula>"F"</formula>
    </cfRule>
    <cfRule type="cellIs" dxfId="14" priority="17" operator="equal">
      <formula>"U/P"</formula>
    </cfRule>
  </conditionalFormatting>
  <conditionalFormatting sqref="S188">
    <cfRule type="cellIs" dxfId="13" priority="30" operator="equal">
      <formula>0</formula>
    </cfRule>
  </conditionalFormatting>
  <conditionalFormatting sqref="U79">
    <cfRule type="cellIs" dxfId="12" priority="38" operator="equal">
      <formula>0</formula>
    </cfRule>
  </conditionalFormatting>
  <conditionalFormatting sqref="U273">
    <cfRule type="cellIs" dxfId="11" priority="13" operator="equal">
      <formula>"F"</formula>
    </cfRule>
    <cfRule type="cellIs" dxfId="10" priority="12" operator="equal">
      <formula>"F"</formula>
    </cfRule>
    <cfRule type="cellIs" dxfId="9" priority="11" operator="equal">
      <formula>"U/P"</formula>
    </cfRule>
  </conditionalFormatting>
  <conditionalFormatting sqref="W52">
    <cfRule type="cellIs" dxfId="8" priority="43" operator="equal">
      <formula>0</formula>
    </cfRule>
  </conditionalFormatting>
  <conditionalFormatting sqref="W131">
    <cfRule type="cellIs" dxfId="7" priority="37" operator="equal">
      <formula>0</formula>
    </cfRule>
  </conditionalFormatting>
  <conditionalFormatting sqref="W159">
    <cfRule type="cellIs" dxfId="6" priority="33" operator="equal">
      <formula>0</formula>
    </cfRule>
  </conditionalFormatting>
  <conditionalFormatting sqref="W265">
    <cfRule type="cellIs" dxfId="5" priority="6" operator="equal">
      <formula>"F"</formula>
    </cfRule>
    <cfRule type="cellIs" dxfId="4" priority="7" operator="equal">
      <formula>"F"</formula>
    </cfRule>
    <cfRule type="cellIs" dxfId="3" priority="5" operator="equal">
      <formula>"U/P"</formula>
    </cfRule>
  </conditionalFormatting>
  <conditionalFormatting sqref="W325">
    <cfRule type="cellIs" dxfId="2" priority="21" operator="equal">
      <formula>"F"</formula>
    </cfRule>
    <cfRule type="cellIs" dxfId="1" priority="20" operator="equal">
      <formula>"U/P"</formula>
    </cfRule>
    <cfRule type="cellIs" dxfId="0" priority="22" operator="equal">
      <formula>"F"</formula>
    </cfRule>
  </conditionalFormatting>
  <pageMargins left="0.7" right="0.7" top="0.75" bottom="0.75" header="0.3" footer="0.3"/>
  <pageSetup orientation="portrait" r:id="rId1"/>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C308"/>
  <sheetViews>
    <sheetView topLeftCell="D1" workbookViewId="0">
      <selection activeCell="Q13" sqref="Q13"/>
    </sheetView>
  </sheetViews>
  <sheetFormatPr defaultColWidth="9.1796875" defaultRowHeight="13"/>
  <cols>
    <col min="1" max="1" width="9.1796875" style="10" customWidth="1"/>
    <col min="2" max="2" width="41.81640625" style="10" customWidth="1"/>
    <col min="3" max="3" width="20.54296875" style="10" customWidth="1"/>
    <col min="4" max="4" width="19.81640625" style="10" customWidth="1"/>
    <col min="5" max="5" width="14.1796875" style="10" customWidth="1"/>
    <col min="6" max="6" width="13.81640625" style="10" hidden="1" customWidth="1"/>
    <col min="7" max="7" width="9.1796875" style="10"/>
    <col min="8" max="8" width="8.81640625" style="10" customWidth="1"/>
    <col min="9" max="9" width="10.81640625" style="10" customWidth="1"/>
    <col min="10" max="10" width="12.81640625" style="10" customWidth="1"/>
    <col min="11" max="13" width="9.81640625" style="10" customWidth="1"/>
    <col min="14" max="14" width="11.54296875" style="10" customWidth="1"/>
    <col min="15" max="16" width="9.81640625" style="10" customWidth="1"/>
    <col min="17" max="17" width="11.54296875" style="10" customWidth="1"/>
    <col min="18" max="20" width="9.81640625" style="10" customWidth="1"/>
    <col min="21" max="21" width="11.54296875" style="10" customWidth="1"/>
    <col min="22" max="25" width="9.81640625" style="10" customWidth="1"/>
    <col min="26" max="26" width="11.453125" style="10" customWidth="1"/>
    <col min="27" max="27" width="11" style="10" customWidth="1"/>
    <col min="28" max="16384" width="9.1796875" style="10"/>
  </cols>
  <sheetData>
    <row r="1" spans="1:27">
      <c r="A1" s="1764" t="s">
        <v>1010</v>
      </c>
      <c r="B1" s="1764"/>
      <c r="C1" s="1764"/>
      <c r="D1" s="1764"/>
      <c r="E1" s="1764"/>
      <c r="F1" s="1764"/>
      <c r="G1" s="1764"/>
      <c r="H1" s="1764"/>
      <c r="I1" s="1764"/>
      <c r="J1" s="1764"/>
      <c r="K1" s="1764"/>
      <c r="L1" s="1764"/>
      <c r="M1" s="1764"/>
      <c r="N1" s="1764"/>
      <c r="O1" s="1764"/>
      <c r="P1" s="1764"/>
      <c r="Q1" s="1764"/>
      <c r="R1" s="1764"/>
      <c r="S1" s="1764"/>
      <c r="T1" s="1764"/>
      <c r="U1" s="1764"/>
      <c r="V1" s="1764"/>
      <c r="W1" s="1764"/>
      <c r="X1" s="1764"/>
      <c r="Y1" s="1764"/>
      <c r="Z1" s="1764"/>
      <c r="AA1" s="45"/>
    </row>
    <row r="2" spans="1:27">
      <c r="A2" s="1764" t="s">
        <v>1011</v>
      </c>
      <c r="B2" s="1765"/>
      <c r="C2" s="1765"/>
      <c r="D2" s="1765"/>
      <c r="E2" s="1765"/>
      <c r="F2" s="1765"/>
      <c r="G2" s="1765"/>
      <c r="H2" s="1765"/>
      <c r="I2" s="1765"/>
      <c r="J2" s="1765"/>
      <c r="K2" s="1765"/>
      <c r="L2" s="1765"/>
      <c r="M2" s="1765"/>
      <c r="N2" s="1765"/>
      <c r="O2" s="1765"/>
      <c r="P2" s="35"/>
      <c r="Q2" s="35"/>
      <c r="R2" s="35"/>
      <c r="S2" s="35"/>
      <c r="T2" s="35"/>
      <c r="U2" s="35"/>
      <c r="V2" s="35"/>
      <c r="W2" s="35"/>
      <c r="X2" s="35"/>
      <c r="Y2" s="35"/>
      <c r="Z2" s="35"/>
      <c r="AA2" s="45"/>
    </row>
    <row r="3" spans="1:27" ht="45.75" customHeight="1">
      <c r="A3" s="1760" t="s">
        <v>1012</v>
      </c>
      <c r="B3" s="1760" t="s">
        <v>1013</v>
      </c>
      <c r="C3" s="1760" t="s">
        <v>1014</v>
      </c>
      <c r="D3" s="1760" t="s">
        <v>1015</v>
      </c>
      <c r="E3" s="1760" t="s">
        <v>1016</v>
      </c>
      <c r="F3" s="11" t="s">
        <v>1017</v>
      </c>
      <c r="G3" s="1760" t="s">
        <v>1018</v>
      </c>
      <c r="H3" s="1763" t="s">
        <v>1019</v>
      </c>
      <c r="I3" s="3" t="s">
        <v>1020</v>
      </c>
      <c r="J3" s="3" t="s">
        <v>1021</v>
      </c>
      <c r="K3" s="3" t="s">
        <v>1022</v>
      </c>
      <c r="L3" s="3" t="s">
        <v>1023</v>
      </c>
      <c r="M3" s="3" t="s">
        <v>1024</v>
      </c>
      <c r="N3" s="3" t="s">
        <v>1025</v>
      </c>
      <c r="O3" s="3" t="s">
        <v>1026</v>
      </c>
      <c r="P3" s="3" t="s">
        <v>1027</v>
      </c>
      <c r="Q3" s="3" t="s">
        <v>1028</v>
      </c>
      <c r="R3" s="3" t="s">
        <v>1029</v>
      </c>
      <c r="S3" s="3" t="s">
        <v>1030</v>
      </c>
      <c r="T3" s="3" t="s">
        <v>1031</v>
      </c>
      <c r="U3" s="3" t="s">
        <v>1032</v>
      </c>
      <c r="V3" s="3" t="s">
        <v>1033</v>
      </c>
      <c r="W3" s="3" t="s">
        <v>1034</v>
      </c>
      <c r="X3" s="3" t="s">
        <v>1035</v>
      </c>
      <c r="Y3" s="3" t="s">
        <v>1036</v>
      </c>
      <c r="Z3" s="3" t="s">
        <v>1037</v>
      </c>
      <c r="AA3" s="3" t="s">
        <v>1038</v>
      </c>
    </row>
    <row r="4" spans="1:27">
      <c r="A4" s="1761"/>
      <c r="B4" s="1761"/>
      <c r="C4" s="1761"/>
      <c r="D4" s="1768"/>
      <c r="E4" s="1761"/>
      <c r="F4" s="12"/>
      <c r="G4" s="1762"/>
      <c r="H4" s="1761"/>
      <c r="I4" s="399" t="s">
        <v>1039</v>
      </c>
      <c r="J4" s="399" t="s">
        <v>1040</v>
      </c>
      <c r="K4" s="399" t="s">
        <v>1041</v>
      </c>
      <c r="L4" s="399" t="s">
        <v>1042</v>
      </c>
      <c r="M4" s="399" t="s">
        <v>1043</v>
      </c>
      <c r="N4" s="399" t="s">
        <v>1044</v>
      </c>
      <c r="O4" s="399" t="s">
        <v>1045</v>
      </c>
      <c r="P4" s="399" t="s">
        <v>1046</v>
      </c>
      <c r="Q4" s="399" t="s">
        <v>1047</v>
      </c>
      <c r="R4" s="399" t="s">
        <v>1048</v>
      </c>
      <c r="S4" s="399" t="s">
        <v>1049</v>
      </c>
      <c r="T4" s="399" t="s">
        <v>1050</v>
      </c>
      <c r="U4" s="399" t="s">
        <v>1051</v>
      </c>
      <c r="V4" s="399" t="s">
        <v>1052</v>
      </c>
      <c r="W4" s="399" t="s">
        <v>1053</v>
      </c>
      <c r="X4" s="399" t="s">
        <v>1054</v>
      </c>
      <c r="Y4" s="399" t="s">
        <v>1055</v>
      </c>
      <c r="Z4" s="399" t="s">
        <v>1056</v>
      </c>
      <c r="AA4" s="399" t="s">
        <v>1057</v>
      </c>
    </row>
    <row r="5" spans="1:27">
      <c r="A5" s="13">
        <v>1</v>
      </c>
      <c r="B5" s="14" t="s">
        <v>1058</v>
      </c>
      <c r="C5" s="15" t="s">
        <v>1059</v>
      </c>
      <c r="D5" s="16">
        <v>45632</v>
      </c>
      <c r="E5" s="16">
        <v>46178</v>
      </c>
      <c r="F5" s="17">
        <f>E5-D5</f>
        <v>546</v>
      </c>
      <c r="G5" s="18"/>
      <c r="H5" s="18"/>
      <c r="I5" s="36"/>
      <c r="J5" s="36"/>
      <c r="K5" s="18"/>
      <c r="L5" s="37"/>
      <c r="M5" s="18"/>
      <c r="N5" s="18"/>
      <c r="O5" s="18"/>
      <c r="P5" s="18"/>
      <c r="Q5" s="13"/>
      <c r="R5" s="13"/>
      <c r="S5" s="13"/>
      <c r="T5" s="13"/>
      <c r="U5" s="13"/>
      <c r="V5" s="13"/>
      <c r="W5" s="13"/>
      <c r="X5" s="13"/>
      <c r="Y5" s="13"/>
      <c r="Z5" s="13"/>
      <c r="AA5" s="13"/>
    </row>
    <row r="6" spans="1:27">
      <c r="A6" s="19"/>
      <c r="B6" s="20" t="s">
        <v>1060</v>
      </c>
      <c r="C6" s="21"/>
      <c r="D6" s="16"/>
      <c r="E6" s="16"/>
      <c r="F6" s="17"/>
      <c r="G6" s="22"/>
      <c r="H6" s="23"/>
      <c r="I6" s="23"/>
      <c r="J6" s="23"/>
      <c r="K6" s="23"/>
      <c r="L6" s="38"/>
      <c r="M6" s="39"/>
      <c r="N6" s="40"/>
      <c r="O6" s="41"/>
      <c r="P6" s="41"/>
      <c r="Q6" s="41"/>
      <c r="R6" s="41"/>
      <c r="S6" s="41"/>
      <c r="T6" s="41"/>
      <c r="U6" s="41"/>
      <c r="V6" s="41"/>
      <c r="W6" s="41"/>
      <c r="X6" s="41"/>
      <c r="Y6" s="41"/>
      <c r="Z6" s="41"/>
      <c r="AA6" s="41"/>
    </row>
    <row r="7" spans="1:27">
      <c r="A7" s="17">
        <v>1</v>
      </c>
      <c r="B7" s="24" t="s">
        <v>1061</v>
      </c>
      <c r="C7" s="24" t="s">
        <v>1062</v>
      </c>
      <c r="D7" s="25">
        <f>D5+10</f>
        <v>45642</v>
      </c>
      <c r="E7" s="25">
        <f>D7+30</f>
        <v>45672</v>
      </c>
      <c r="F7" s="17">
        <f>E7-D7</f>
        <v>30</v>
      </c>
      <c r="G7" s="26" t="s">
        <v>1063</v>
      </c>
      <c r="H7" s="7"/>
      <c r="I7" s="7"/>
      <c r="J7" s="7"/>
      <c r="K7" s="7"/>
      <c r="L7" s="9"/>
      <c r="M7" s="7"/>
      <c r="N7" s="7"/>
      <c r="O7" s="7"/>
      <c r="P7" s="7"/>
      <c r="Q7" s="7"/>
      <c r="R7" s="7"/>
      <c r="S7" s="7"/>
      <c r="T7" s="7"/>
      <c r="U7" s="7"/>
      <c r="V7" s="7"/>
      <c r="W7" s="7"/>
      <c r="X7" s="7"/>
      <c r="Y7" s="7"/>
      <c r="Z7" s="7"/>
      <c r="AA7" s="7"/>
    </row>
    <row r="8" spans="1:27">
      <c r="A8" s="17"/>
      <c r="B8" s="27" t="s">
        <v>1064</v>
      </c>
      <c r="C8" s="27" t="s">
        <v>1059</v>
      </c>
      <c r="D8" s="25">
        <v>45662</v>
      </c>
      <c r="E8" s="25">
        <v>45762</v>
      </c>
      <c r="F8" s="17">
        <f>E8-D8</f>
        <v>100</v>
      </c>
      <c r="G8" s="28" t="s">
        <v>1065</v>
      </c>
      <c r="H8" s="18">
        <v>184</v>
      </c>
      <c r="I8" s="5"/>
      <c r="J8" s="6">
        <v>20</v>
      </c>
      <c r="K8" s="7">
        <v>60</v>
      </c>
      <c r="L8" s="7">
        <v>60</v>
      </c>
      <c r="M8" s="7">
        <f>60-16</f>
        <v>44</v>
      </c>
      <c r="N8" s="7"/>
      <c r="O8" s="7"/>
      <c r="P8" s="7"/>
      <c r="Q8" s="7"/>
      <c r="R8" s="7"/>
      <c r="S8" s="7"/>
      <c r="T8" s="7"/>
      <c r="U8" s="7"/>
      <c r="V8" s="7"/>
      <c r="W8" s="7"/>
      <c r="X8" s="7"/>
      <c r="Y8" s="7"/>
      <c r="Z8" s="7"/>
      <c r="AA8" s="7"/>
    </row>
    <row r="9" spans="1:27" ht="31" customHeight="1">
      <c r="A9" s="17" t="s">
        <v>1066</v>
      </c>
      <c r="B9" s="29" t="s">
        <v>1067</v>
      </c>
      <c r="C9" s="27" t="s">
        <v>1068</v>
      </c>
      <c r="D9" s="16" t="s">
        <v>1069</v>
      </c>
      <c r="E9" s="16" t="s">
        <v>1070</v>
      </c>
      <c r="F9" s="17" t="e">
        <f t="shared" ref="F9:F10" si="0">E9-D9</f>
        <v>#VALUE!</v>
      </c>
      <c r="G9" s="28" t="s">
        <v>1071</v>
      </c>
      <c r="H9" s="18">
        <v>508</v>
      </c>
      <c r="I9" s="7">
        <v>5</v>
      </c>
      <c r="J9" s="7">
        <v>35</v>
      </c>
      <c r="K9" s="7">
        <v>40</v>
      </c>
      <c r="L9" s="7">
        <v>40</v>
      </c>
      <c r="M9" s="7">
        <v>40</v>
      </c>
      <c r="N9" s="9">
        <v>40</v>
      </c>
      <c r="O9" s="9">
        <v>40</v>
      </c>
      <c r="P9" s="9">
        <v>40</v>
      </c>
      <c r="Q9" s="9">
        <v>40</v>
      </c>
      <c r="R9" s="9">
        <v>45</v>
      </c>
      <c r="S9" s="9">
        <v>48</v>
      </c>
      <c r="T9" s="9">
        <v>50</v>
      </c>
      <c r="U9" s="9">
        <v>45</v>
      </c>
      <c r="V9" s="7"/>
      <c r="W9" s="7"/>
      <c r="X9" s="7"/>
      <c r="Y9" s="7"/>
      <c r="Z9" s="7"/>
      <c r="AA9" s="7"/>
    </row>
    <row r="10" spans="1:27" ht="33" customHeight="1">
      <c r="A10" s="17" t="s">
        <v>1072</v>
      </c>
      <c r="B10" s="24" t="s">
        <v>1073</v>
      </c>
      <c r="C10" s="24" t="s">
        <v>1062</v>
      </c>
      <c r="D10" s="16">
        <v>45664</v>
      </c>
      <c r="E10" s="16">
        <f>D10+364+20</f>
        <v>46048</v>
      </c>
      <c r="F10" s="17">
        <f t="shared" si="0"/>
        <v>384</v>
      </c>
      <c r="G10" s="28" t="s">
        <v>1071</v>
      </c>
      <c r="H10" s="18">
        <v>508</v>
      </c>
      <c r="I10" s="5"/>
      <c r="J10" s="7">
        <v>35</v>
      </c>
      <c r="K10" s="7">
        <v>40</v>
      </c>
      <c r="L10" s="7">
        <v>40</v>
      </c>
      <c r="M10" s="7">
        <v>40</v>
      </c>
      <c r="N10" s="7">
        <v>40</v>
      </c>
      <c r="O10" s="9">
        <v>40</v>
      </c>
      <c r="P10" s="9">
        <v>30</v>
      </c>
      <c r="Q10" s="9">
        <v>25</v>
      </c>
      <c r="R10" s="9">
        <v>25</v>
      </c>
      <c r="S10" s="9">
        <v>48</v>
      </c>
      <c r="T10" s="9">
        <v>45</v>
      </c>
      <c r="U10" s="9">
        <v>50</v>
      </c>
      <c r="V10" s="9">
        <v>48</v>
      </c>
      <c r="W10" s="9"/>
      <c r="X10" s="9"/>
      <c r="Y10" s="9"/>
      <c r="Z10" s="9"/>
      <c r="AA10" s="9"/>
    </row>
    <row r="11" spans="1:27">
      <c r="A11" s="1766" t="s">
        <v>1074</v>
      </c>
      <c r="B11" s="30" t="s">
        <v>1075</v>
      </c>
      <c r="C11" s="30"/>
      <c r="D11" s="30"/>
      <c r="E11" s="30"/>
      <c r="F11" s="31"/>
      <c r="G11" s="32"/>
      <c r="H11" s="30"/>
      <c r="I11" s="30"/>
      <c r="J11" s="30"/>
      <c r="K11" s="30"/>
      <c r="L11" s="42">
        <v>185</v>
      </c>
      <c r="M11" s="43"/>
      <c r="N11" s="43"/>
      <c r="O11" s="42"/>
      <c r="P11" s="42"/>
      <c r="Q11" s="42"/>
      <c r="R11" s="42"/>
      <c r="S11" s="42"/>
      <c r="T11" s="42"/>
      <c r="U11" s="42"/>
      <c r="V11" s="42"/>
      <c r="W11" s="42"/>
      <c r="X11" s="42"/>
      <c r="Y11" s="42"/>
      <c r="Z11" s="42"/>
      <c r="AA11" s="43"/>
    </row>
    <row r="12" spans="1:27">
      <c r="A12" s="1767"/>
      <c r="B12" s="33" t="s">
        <v>1076</v>
      </c>
    </row>
    <row r="13" spans="1:27">
      <c r="A13" s="1767"/>
      <c r="B13" s="33" t="s">
        <v>1077</v>
      </c>
      <c r="L13" s="10">
        <v>24</v>
      </c>
      <c r="M13" s="10">
        <f>48.132*12*1.015</f>
        <v>586.24775999999986</v>
      </c>
      <c r="O13" s="10">
        <f>14.8*36*1.015</f>
        <v>540.79200000000003</v>
      </c>
      <c r="Q13" s="10">
        <f>517-M13</f>
        <v>-69.247759999999857</v>
      </c>
      <c r="R13" s="10">
        <f>48*2.9</f>
        <v>139.19999999999999</v>
      </c>
    </row>
    <row r="14" spans="1:27">
      <c r="A14" s="34" t="s">
        <v>1078</v>
      </c>
    </row>
    <row r="15" spans="1:27" ht="45.75" customHeight="1">
      <c r="A15" s="1760" t="s">
        <v>1012</v>
      </c>
      <c r="B15" s="1760" t="s">
        <v>1013</v>
      </c>
      <c r="C15" s="1760" t="s">
        <v>1014</v>
      </c>
      <c r="D15" s="1760" t="s">
        <v>1015</v>
      </c>
      <c r="E15" s="1760" t="s">
        <v>1016</v>
      </c>
      <c r="F15" s="11" t="s">
        <v>1017</v>
      </c>
      <c r="G15" s="1760" t="s">
        <v>1018</v>
      </c>
      <c r="H15" s="1763" t="s">
        <v>1019</v>
      </c>
      <c r="I15" s="3" t="s">
        <v>1020</v>
      </c>
      <c r="J15" s="3" t="s">
        <v>1021</v>
      </c>
      <c r="K15" s="3" t="s">
        <v>1022</v>
      </c>
      <c r="L15" s="3" t="s">
        <v>1023</v>
      </c>
      <c r="M15" s="3" t="s">
        <v>1024</v>
      </c>
      <c r="N15" s="3" t="s">
        <v>1025</v>
      </c>
      <c r="O15" s="3" t="s">
        <v>1026</v>
      </c>
      <c r="P15" s="3" t="s">
        <v>1027</v>
      </c>
      <c r="Q15" s="3" t="s">
        <v>1028</v>
      </c>
      <c r="R15" s="3" t="s">
        <v>1029</v>
      </c>
      <c r="S15" s="3" t="s">
        <v>1030</v>
      </c>
      <c r="T15" s="3" t="s">
        <v>1031</v>
      </c>
      <c r="U15" s="3" t="s">
        <v>1032</v>
      </c>
      <c r="V15" s="3" t="s">
        <v>1033</v>
      </c>
      <c r="W15" s="3" t="s">
        <v>1034</v>
      </c>
      <c r="X15" s="3" t="s">
        <v>1035</v>
      </c>
      <c r="Y15" s="3" t="s">
        <v>1036</v>
      </c>
      <c r="Z15" s="3" t="s">
        <v>1037</v>
      </c>
      <c r="AA15" s="3" t="s">
        <v>1038</v>
      </c>
    </row>
    <row r="16" spans="1:27">
      <c r="A16" s="1761"/>
      <c r="B16" s="1761"/>
      <c r="C16" s="1761"/>
      <c r="D16" s="1768"/>
      <c r="E16" s="1761"/>
      <c r="F16" s="12"/>
      <c r="G16" s="1762"/>
      <c r="H16" s="1761"/>
      <c r="I16" s="399" t="s">
        <v>1039</v>
      </c>
      <c r="J16" s="399" t="s">
        <v>1040</v>
      </c>
      <c r="K16" s="399" t="s">
        <v>1041</v>
      </c>
      <c r="L16" s="399" t="s">
        <v>1042</v>
      </c>
      <c r="M16" s="399" t="s">
        <v>1043</v>
      </c>
      <c r="N16" s="399" t="s">
        <v>1044</v>
      </c>
      <c r="O16" s="399" t="s">
        <v>1045</v>
      </c>
      <c r="P16" s="399" t="s">
        <v>1046</v>
      </c>
      <c r="Q16" s="399" t="s">
        <v>1047</v>
      </c>
      <c r="R16" s="399" t="s">
        <v>1048</v>
      </c>
      <c r="S16" s="399" t="s">
        <v>1049</v>
      </c>
      <c r="T16" s="399" t="s">
        <v>1050</v>
      </c>
      <c r="U16" s="399" t="s">
        <v>1051</v>
      </c>
      <c r="V16" s="399" t="s">
        <v>1052</v>
      </c>
      <c r="W16" s="399" t="s">
        <v>1053</v>
      </c>
      <c r="X16" s="399" t="s">
        <v>1054</v>
      </c>
      <c r="Y16" s="399" t="s">
        <v>1055</v>
      </c>
      <c r="Z16" s="399" t="s">
        <v>1056</v>
      </c>
      <c r="AA16" s="399" t="s">
        <v>1057</v>
      </c>
    </row>
    <row r="17" spans="1:27">
      <c r="A17" s="13">
        <v>1</v>
      </c>
      <c r="B17" s="14" t="s">
        <v>1058</v>
      </c>
      <c r="C17" s="15" t="s">
        <v>1059</v>
      </c>
      <c r="D17" s="16">
        <v>45632</v>
      </c>
      <c r="E17" s="16">
        <v>46178</v>
      </c>
      <c r="F17" s="17">
        <f>E17-D17</f>
        <v>546</v>
      </c>
      <c r="G17" s="18"/>
      <c r="H17" s="18"/>
      <c r="I17" s="36"/>
      <c r="J17" s="36"/>
      <c r="K17" s="18"/>
      <c r="L17" s="37"/>
      <c r="M17" s="18"/>
      <c r="N17" s="18"/>
      <c r="O17" s="18"/>
      <c r="P17" s="18"/>
      <c r="Q17" s="13"/>
      <c r="R17" s="13"/>
      <c r="S17" s="13"/>
      <c r="T17" s="13"/>
      <c r="U17" s="13"/>
      <c r="V17" s="13"/>
      <c r="W17" s="13"/>
      <c r="X17" s="13"/>
      <c r="Y17" s="13"/>
      <c r="Z17" s="13"/>
      <c r="AA17" s="13"/>
    </row>
    <row r="18" spans="1:27">
      <c r="A18" s="19"/>
      <c r="B18" s="20" t="s">
        <v>1060</v>
      </c>
      <c r="C18" s="21"/>
      <c r="D18" s="16"/>
      <c r="E18" s="16"/>
      <c r="F18" s="17"/>
      <c r="G18" s="22"/>
      <c r="H18" s="23"/>
      <c r="I18" s="23"/>
      <c r="J18" s="23"/>
      <c r="K18" s="23"/>
      <c r="L18" s="38"/>
      <c r="M18" s="39"/>
      <c r="N18" s="40"/>
      <c r="O18" s="41"/>
      <c r="P18" s="41"/>
      <c r="Q18" s="41"/>
      <c r="R18" s="41"/>
      <c r="S18" s="41"/>
      <c r="T18" s="41"/>
      <c r="U18" s="41"/>
      <c r="V18" s="41"/>
      <c r="W18" s="41"/>
      <c r="X18" s="41"/>
      <c r="Y18" s="41"/>
      <c r="Z18" s="41"/>
      <c r="AA18" s="41"/>
    </row>
    <row r="19" spans="1:27">
      <c r="A19" s="17">
        <v>1</v>
      </c>
      <c r="B19" s="24" t="s">
        <v>1061</v>
      </c>
      <c r="C19" s="24" t="s">
        <v>1062</v>
      </c>
      <c r="D19" s="25">
        <f>D17+10</f>
        <v>45642</v>
      </c>
      <c r="E19" s="25">
        <f>D19+30</f>
        <v>45672</v>
      </c>
      <c r="F19" s="17">
        <f>E19-D19</f>
        <v>30</v>
      </c>
      <c r="G19" s="26" t="s">
        <v>1063</v>
      </c>
      <c r="H19" s="7"/>
      <c r="I19" s="7"/>
      <c r="J19" s="44">
        <v>1</v>
      </c>
      <c r="K19" s="7"/>
      <c r="L19" s="9"/>
      <c r="M19" s="7"/>
      <c r="N19" s="7"/>
      <c r="O19" s="7"/>
      <c r="P19" s="7"/>
      <c r="Q19" s="7"/>
      <c r="R19" s="7"/>
      <c r="S19" s="7"/>
      <c r="T19" s="7"/>
      <c r="U19" s="7"/>
      <c r="V19" s="7"/>
      <c r="W19" s="7"/>
      <c r="X19" s="7"/>
      <c r="Y19" s="7"/>
      <c r="Z19" s="7"/>
      <c r="AA19" s="7"/>
    </row>
    <row r="20" spans="1:27">
      <c r="A20" s="17"/>
      <c r="B20" s="27" t="s">
        <v>1064</v>
      </c>
      <c r="C20" s="27" t="s">
        <v>1059</v>
      </c>
      <c r="D20" s="25">
        <v>45662</v>
      </c>
      <c r="E20" s="25">
        <v>45762</v>
      </c>
      <c r="F20" s="17">
        <f>E20-D20</f>
        <v>100</v>
      </c>
      <c r="G20" s="28" t="s">
        <v>1065</v>
      </c>
      <c r="H20" s="18">
        <v>184</v>
      </c>
      <c r="I20" s="5"/>
      <c r="J20" s="7">
        <v>28</v>
      </c>
      <c r="K20" s="7"/>
      <c r="L20" s="7"/>
      <c r="M20" s="7"/>
      <c r="N20" s="7"/>
      <c r="O20" s="7"/>
      <c r="P20" s="7"/>
      <c r="Q20" s="7"/>
      <c r="R20" s="7"/>
      <c r="S20" s="7"/>
      <c r="T20" s="7"/>
      <c r="U20" s="7"/>
      <c r="V20" s="7"/>
      <c r="W20" s="7"/>
      <c r="X20" s="7"/>
      <c r="Y20" s="7"/>
      <c r="Z20" s="7"/>
      <c r="AA20" s="7"/>
    </row>
    <row r="21" spans="1:27" ht="31" customHeight="1">
      <c r="A21" s="17" t="s">
        <v>1066</v>
      </c>
      <c r="B21" s="29" t="s">
        <v>1067</v>
      </c>
      <c r="C21" s="27" t="s">
        <v>1068</v>
      </c>
      <c r="D21" s="16" t="s">
        <v>1069</v>
      </c>
      <c r="E21" s="16" t="s">
        <v>1070</v>
      </c>
      <c r="F21" s="17" t="e">
        <f t="shared" ref="F21:F22" si="1">E21-D21</f>
        <v>#VALUE!</v>
      </c>
      <c r="G21" s="28" t="s">
        <v>1071</v>
      </c>
      <c r="H21" s="18">
        <v>508</v>
      </c>
      <c r="I21" s="7"/>
      <c r="J21" s="7">
        <v>4</v>
      </c>
      <c r="K21" s="7"/>
      <c r="L21" s="7"/>
      <c r="M21" s="7"/>
      <c r="N21" s="9"/>
      <c r="O21" s="9"/>
      <c r="P21" s="9"/>
      <c r="Q21" s="9"/>
      <c r="R21" s="9"/>
      <c r="S21" s="9"/>
      <c r="T21" s="9"/>
      <c r="U21" s="9"/>
      <c r="V21" s="7"/>
      <c r="W21" s="7"/>
      <c r="X21" s="7"/>
      <c r="Y21" s="7"/>
      <c r="Z21" s="7"/>
      <c r="AA21" s="7"/>
    </row>
    <row r="22" spans="1:27" ht="33" customHeight="1">
      <c r="A22" s="17" t="s">
        <v>1072</v>
      </c>
      <c r="B22" s="24" t="s">
        <v>1073</v>
      </c>
      <c r="C22" s="24" t="s">
        <v>1062</v>
      </c>
      <c r="D22" s="16">
        <v>45664</v>
      </c>
      <c r="E22" s="16">
        <f>D22+364+20</f>
        <v>46048</v>
      </c>
      <c r="F22" s="17">
        <f t="shared" si="1"/>
        <v>384</v>
      </c>
      <c r="G22" s="28" t="s">
        <v>1071</v>
      </c>
      <c r="H22" s="18">
        <v>508</v>
      </c>
      <c r="I22" s="5"/>
      <c r="J22" s="7">
        <v>2</v>
      </c>
      <c r="K22" s="7">
        <v>20</v>
      </c>
      <c r="L22" s="7">
        <v>16</v>
      </c>
      <c r="M22" s="7">
        <v>13</v>
      </c>
      <c r="N22" s="7">
        <v>9</v>
      </c>
      <c r="O22" s="9">
        <v>25</v>
      </c>
      <c r="P22" s="9">
        <v>50</v>
      </c>
      <c r="Q22" s="9">
        <v>14</v>
      </c>
      <c r="R22" s="9"/>
      <c r="S22" s="9"/>
      <c r="T22" s="9"/>
      <c r="U22" s="9"/>
      <c r="V22" s="9"/>
      <c r="W22" s="9"/>
      <c r="X22" s="9"/>
      <c r="Y22" s="9"/>
      <c r="Z22" s="9"/>
      <c r="AA22" s="9"/>
    </row>
    <row r="190" spans="2:2">
      <c r="B190" s="1019"/>
    </row>
    <row r="191" spans="2:2">
      <c r="B191" s="1019"/>
    </row>
    <row r="192" spans="2:2">
      <c r="B192" s="1019"/>
    </row>
    <row r="193" spans="2:2">
      <c r="B193" s="1019"/>
    </row>
    <row r="194" spans="2:2">
      <c r="B194" s="1019"/>
    </row>
    <row r="195" spans="2:2">
      <c r="B195" s="1019"/>
    </row>
    <row r="196" spans="2:2">
      <c r="B196" s="1019"/>
    </row>
    <row r="197" spans="2:2">
      <c r="B197" s="1019"/>
    </row>
    <row r="198" spans="2:2">
      <c r="B198" s="1019"/>
    </row>
    <row r="199" spans="2:2">
      <c r="B199" s="1019"/>
    </row>
    <row r="200" spans="2:2">
      <c r="B200" s="1019"/>
    </row>
    <row r="307" spans="29:29">
      <c r="AC307" s="10">
        <v>185</v>
      </c>
    </row>
    <row r="308" spans="29:29">
      <c r="AC308" s="10">
        <v>5</v>
      </c>
    </row>
  </sheetData>
  <protectedRanges>
    <protectedRange sqref="B2:G5 B15:G17" name="Range1_1"/>
  </protectedRanges>
  <mergeCells count="17">
    <mergeCell ref="A1:Z1"/>
    <mergeCell ref="A2:O2"/>
    <mergeCell ref="A3:A4"/>
    <mergeCell ref="A11:A13"/>
    <mergeCell ref="A15:A16"/>
    <mergeCell ref="B3:B4"/>
    <mergeCell ref="B15:B16"/>
    <mergeCell ref="C3:C4"/>
    <mergeCell ref="C15:C16"/>
    <mergeCell ref="D3:D4"/>
    <mergeCell ref="D15:D16"/>
    <mergeCell ref="E3:E4"/>
    <mergeCell ref="E15:E16"/>
    <mergeCell ref="G3:G4"/>
    <mergeCell ref="G15:G16"/>
    <mergeCell ref="H3:H4"/>
    <mergeCell ref="H15:H16"/>
  </mergeCell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4A88F5-32B4-48E5-B32E-67EDC267CCD2}">
  <dimension ref="A1:AA25"/>
  <sheetViews>
    <sheetView topLeftCell="M13" workbookViewId="0">
      <selection activeCell="A3" sqref="A3:AA25"/>
    </sheetView>
  </sheetViews>
  <sheetFormatPr defaultColWidth="9.1796875" defaultRowHeight="13"/>
  <cols>
    <col min="1" max="1" width="9.1796875" style="10" customWidth="1"/>
    <col min="2" max="2" width="41.81640625" style="10" customWidth="1"/>
    <col min="3" max="3" width="20.54296875" style="10" customWidth="1"/>
    <col min="4" max="4" width="19.81640625" style="10" customWidth="1"/>
    <col min="5" max="5" width="14.1796875" style="10" customWidth="1"/>
    <col min="6" max="6" width="13.81640625" style="10" hidden="1" customWidth="1"/>
    <col min="7" max="7" width="9.1796875" style="10"/>
    <col min="8" max="8" width="8.81640625" style="10" customWidth="1"/>
    <col min="9" max="9" width="10.81640625" style="10" customWidth="1"/>
    <col min="10" max="10" width="12.81640625" style="10" customWidth="1"/>
    <col min="11" max="13" width="9.81640625" style="10" customWidth="1"/>
    <col min="14" max="14" width="11.54296875" style="10" customWidth="1"/>
    <col min="15" max="16" width="9.81640625" style="10" customWidth="1"/>
    <col min="17" max="17" width="11.54296875" style="10" customWidth="1"/>
    <col min="18" max="20" width="9.81640625" style="10" customWidth="1"/>
    <col min="21" max="21" width="11.54296875" style="10" customWidth="1"/>
    <col min="22" max="25" width="9.81640625" style="10" customWidth="1"/>
    <col min="26" max="26" width="11.453125" style="10" customWidth="1"/>
    <col min="27" max="27" width="11" style="10" customWidth="1"/>
    <col min="28" max="16384" width="9.1796875" style="10"/>
  </cols>
  <sheetData>
    <row r="1" spans="1:27">
      <c r="A1" s="1764" t="s">
        <v>1010</v>
      </c>
      <c r="B1" s="1764"/>
      <c r="C1" s="1764"/>
      <c r="D1" s="1764"/>
      <c r="E1" s="1764"/>
      <c r="F1" s="1764"/>
      <c r="G1" s="1764"/>
      <c r="H1" s="1764"/>
      <c r="I1" s="1764"/>
      <c r="J1" s="1764"/>
      <c r="K1" s="1764"/>
      <c r="L1" s="1764"/>
      <c r="M1" s="1764"/>
      <c r="N1" s="1764"/>
      <c r="O1" s="1764"/>
      <c r="P1" s="1764"/>
      <c r="Q1" s="1764"/>
      <c r="R1" s="1764"/>
      <c r="S1" s="1764"/>
      <c r="T1" s="1764"/>
      <c r="U1" s="1764"/>
      <c r="V1" s="1764"/>
      <c r="W1" s="1764"/>
      <c r="X1" s="1764"/>
      <c r="Y1" s="1764"/>
      <c r="Z1" s="1764"/>
      <c r="AA1" s="45"/>
    </row>
    <row r="2" spans="1:27">
      <c r="A2" s="1764" t="s">
        <v>1011</v>
      </c>
      <c r="B2" s="1765"/>
      <c r="C2" s="1765"/>
      <c r="D2" s="1765"/>
      <c r="E2" s="1765"/>
      <c r="F2" s="1765"/>
      <c r="G2" s="1765"/>
      <c r="H2" s="1765"/>
      <c r="I2" s="1765"/>
      <c r="J2" s="1765"/>
      <c r="K2" s="1765"/>
      <c r="L2" s="1765"/>
      <c r="M2" s="1765"/>
      <c r="N2" s="1765"/>
      <c r="O2" s="1765"/>
      <c r="P2" s="35"/>
      <c r="Q2" s="35"/>
      <c r="R2" s="35"/>
      <c r="S2" s="35"/>
      <c r="T2" s="35"/>
      <c r="U2" s="35"/>
      <c r="V2" s="35"/>
      <c r="W2" s="35"/>
      <c r="X2" s="35"/>
      <c r="Y2" s="35"/>
      <c r="Z2" s="35"/>
      <c r="AA2" s="45"/>
    </row>
    <row r="3" spans="1:27" ht="45.75" customHeight="1">
      <c r="A3" s="1760" t="s">
        <v>1012</v>
      </c>
      <c r="B3" s="1760" t="s">
        <v>1013</v>
      </c>
      <c r="C3" s="1760" t="s">
        <v>1014</v>
      </c>
      <c r="D3" s="1760" t="s">
        <v>1015</v>
      </c>
      <c r="E3" s="1760" t="s">
        <v>1016</v>
      </c>
      <c r="F3" s="11" t="s">
        <v>1017</v>
      </c>
      <c r="G3" s="1760" t="s">
        <v>1018</v>
      </c>
      <c r="H3" s="1763" t="s">
        <v>1019</v>
      </c>
      <c r="I3" s="3" t="s">
        <v>1020</v>
      </c>
      <c r="J3" s="3" t="s">
        <v>1021</v>
      </c>
      <c r="K3" s="3" t="s">
        <v>1022</v>
      </c>
      <c r="L3" s="3" t="s">
        <v>1023</v>
      </c>
      <c r="M3" s="3" t="s">
        <v>1024</v>
      </c>
      <c r="N3" s="3" t="s">
        <v>1025</v>
      </c>
      <c r="O3" s="3" t="s">
        <v>1026</v>
      </c>
      <c r="P3" s="3" t="s">
        <v>1027</v>
      </c>
      <c r="Q3" s="3" t="s">
        <v>1028</v>
      </c>
      <c r="R3" s="3" t="s">
        <v>1029</v>
      </c>
      <c r="S3" s="3" t="s">
        <v>1030</v>
      </c>
      <c r="T3" s="3" t="s">
        <v>1031</v>
      </c>
      <c r="U3" s="3" t="s">
        <v>1032</v>
      </c>
      <c r="V3" s="3" t="s">
        <v>1033</v>
      </c>
      <c r="W3" s="3" t="s">
        <v>1034</v>
      </c>
      <c r="X3" s="3" t="s">
        <v>1035</v>
      </c>
      <c r="Y3" s="3" t="s">
        <v>1036</v>
      </c>
      <c r="Z3" s="3" t="s">
        <v>1037</v>
      </c>
      <c r="AA3" s="3" t="s">
        <v>1038</v>
      </c>
    </row>
    <row r="4" spans="1:27">
      <c r="A4" s="1761"/>
      <c r="B4" s="1761"/>
      <c r="C4" s="1761"/>
      <c r="D4" s="1768"/>
      <c r="E4" s="1761"/>
      <c r="F4" s="12"/>
      <c r="G4" s="1762"/>
      <c r="H4" s="1761"/>
      <c r="I4" s="399" t="s">
        <v>1039</v>
      </c>
      <c r="J4" s="399" t="s">
        <v>1040</v>
      </c>
      <c r="K4" s="399" t="s">
        <v>1041</v>
      </c>
      <c r="L4" s="399" t="s">
        <v>1042</v>
      </c>
      <c r="M4" s="399" t="s">
        <v>1043</v>
      </c>
      <c r="N4" s="399" t="s">
        <v>1044</v>
      </c>
      <c r="O4" s="399" t="s">
        <v>1045</v>
      </c>
      <c r="P4" s="399" t="s">
        <v>1046</v>
      </c>
      <c r="Q4" s="399" t="s">
        <v>1047</v>
      </c>
      <c r="R4" s="399" t="s">
        <v>1048</v>
      </c>
      <c r="S4" s="399" t="s">
        <v>1049</v>
      </c>
      <c r="T4" s="399" t="s">
        <v>1050</v>
      </c>
      <c r="U4" s="399" t="s">
        <v>1051</v>
      </c>
      <c r="V4" s="399" t="s">
        <v>1052</v>
      </c>
      <c r="W4" s="399" t="s">
        <v>1053</v>
      </c>
      <c r="X4" s="399" t="s">
        <v>1054</v>
      </c>
      <c r="Y4" s="399" t="s">
        <v>1055</v>
      </c>
      <c r="Z4" s="399" t="s">
        <v>1056</v>
      </c>
      <c r="AA4" s="399" t="s">
        <v>1057</v>
      </c>
    </row>
    <row r="5" spans="1:27">
      <c r="A5" s="13">
        <v>1</v>
      </c>
      <c r="B5" s="14" t="s">
        <v>1058</v>
      </c>
      <c r="C5" s="15" t="s">
        <v>1059</v>
      </c>
      <c r="D5" s="16">
        <v>45632</v>
      </c>
      <c r="E5" s="16">
        <v>46178</v>
      </c>
      <c r="F5" s="17">
        <f>E5-D5</f>
        <v>546</v>
      </c>
      <c r="G5" s="18"/>
      <c r="H5" s="18"/>
      <c r="I5" s="36"/>
      <c r="J5" s="36"/>
      <c r="K5" s="18"/>
      <c r="L5" s="37"/>
      <c r="M5" s="18"/>
      <c r="N5" s="18"/>
      <c r="O5" s="18"/>
      <c r="P5" s="18"/>
      <c r="Q5" s="13"/>
      <c r="R5" s="13"/>
      <c r="S5" s="13"/>
      <c r="T5" s="13"/>
      <c r="U5" s="13"/>
      <c r="V5" s="13"/>
      <c r="W5" s="13"/>
      <c r="X5" s="13"/>
      <c r="Y5" s="13"/>
      <c r="Z5" s="13"/>
      <c r="AA5" s="13"/>
    </row>
    <row r="6" spans="1:27">
      <c r="A6" s="19"/>
      <c r="B6" s="20" t="s">
        <v>1060</v>
      </c>
      <c r="C6" s="21"/>
      <c r="D6" s="16"/>
      <c r="E6" s="16"/>
      <c r="F6" s="17"/>
      <c r="G6" s="22"/>
      <c r="H6" s="23"/>
      <c r="I6" s="23"/>
      <c r="J6" s="23"/>
      <c r="K6" s="23"/>
      <c r="L6" s="38"/>
      <c r="M6" s="39"/>
      <c r="N6" s="40"/>
      <c r="O6" s="41"/>
      <c r="P6" s="41"/>
      <c r="Q6" s="41"/>
      <c r="R6" s="41"/>
      <c r="S6" s="41"/>
      <c r="T6" s="41"/>
      <c r="U6" s="41"/>
      <c r="V6" s="41"/>
      <c r="W6" s="41"/>
      <c r="X6" s="41"/>
      <c r="Y6" s="41"/>
      <c r="Z6" s="41"/>
      <c r="AA6" s="41"/>
    </row>
    <row r="7" spans="1:27">
      <c r="A7" s="17">
        <v>1</v>
      </c>
      <c r="B7" s="24" t="s">
        <v>1061</v>
      </c>
      <c r="C7" s="24" t="s">
        <v>1062</v>
      </c>
      <c r="D7" s="25">
        <f>D5+10</f>
        <v>45642</v>
      </c>
      <c r="E7" s="25">
        <f>D7+30</f>
        <v>45672</v>
      </c>
      <c r="F7" s="17">
        <f>E7-D7</f>
        <v>30</v>
      </c>
      <c r="G7" s="26" t="s">
        <v>1063</v>
      </c>
      <c r="H7" s="7"/>
      <c r="I7" s="7"/>
      <c r="J7" s="7"/>
      <c r="K7" s="7"/>
      <c r="L7" s="9"/>
      <c r="M7" s="7"/>
      <c r="N7" s="7"/>
      <c r="O7" s="7"/>
      <c r="P7" s="7"/>
      <c r="Q7" s="7"/>
      <c r="R7" s="7"/>
      <c r="S7" s="7"/>
      <c r="T7" s="7"/>
      <c r="U7" s="7"/>
      <c r="V7" s="7"/>
      <c r="W7" s="7"/>
      <c r="X7" s="7"/>
      <c r="Y7" s="7"/>
      <c r="Z7" s="7"/>
      <c r="AA7" s="7"/>
    </row>
    <row r="8" spans="1:27">
      <c r="A8" s="17"/>
      <c r="B8" s="27" t="s">
        <v>1064</v>
      </c>
      <c r="C8" s="27" t="s">
        <v>1059</v>
      </c>
      <c r="D8" s="25">
        <v>45662</v>
      </c>
      <c r="E8" s="25">
        <v>45762</v>
      </c>
      <c r="F8" s="17">
        <f>E8-D8</f>
        <v>100</v>
      </c>
      <c r="G8" s="28" t="s">
        <v>1065</v>
      </c>
      <c r="H8" s="18">
        <v>184</v>
      </c>
      <c r="I8" s="5"/>
      <c r="J8" s="6">
        <v>20</v>
      </c>
      <c r="K8" s="7">
        <v>60</v>
      </c>
      <c r="L8" s="7">
        <v>60</v>
      </c>
      <c r="M8" s="7">
        <f>60-16</f>
        <v>44</v>
      </c>
      <c r="N8" s="7"/>
      <c r="O8" s="7"/>
      <c r="P8" s="7"/>
      <c r="Q8" s="7"/>
      <c r="R8" s="7"/>
      <c r="S8" s="7"/>
      <c r="T8" s="7"/>
      <c r="U8" s="7"/>
      <c r="V8" s="7"/>
      <c r="W8" s="7"/>
      <c r="X8" s="7"/>
      <c r="Y8" s="7"/>
      <c r="Z8" s="7"/>
      <c r="AA8" s="7"/>
    </row>
    <row r="9" spans="1:27" ht="31" customHeight="1">
      <c r="A9" s="17" t="s">
        <v>1066</v>
      </c>
      <c r="B9" s="29" t="s">
        <v>1067</v>
      </c>
      <c r="C9" s="27" t="s">
        <v>1068</v>
      </c>
      <c r="D9" s="16" t="s">
        <v>1069</v>
      </c>
      <c r="E9" s="16" t="s">
        <v>1070</v>
      </c>
      <c r="F9" s="17" t="e">
        <f t="shared" ref="F9:F10" si="0">E9-D9</f>
        <v>#VALUE!</v>
      </c>
      <c r="G9" s="28" t="s">
        <v>1071</v>
      </c>
      <c r="H9" s="18">
        <v>508</v>
      </c>
      <c r="I9" s="7">
        <v>5</v>
      </c>
      <c r="J9" s="7">
        <v>35</v>
      </c>
      <c r="K9" s="7">
        <v>40</v>
      </c>
      <c r="L9" s="7">
        <v>40</v>
      </c>
      <c r="M9" s="7">
        <v>40</v>
      </c>
      <c r="N9" s="9">
        <v>40</v>
      </c>
      <c r="O9" s="9">
        <v>40</v>
      </c>
      <c r="P9" s="9">
        <v>40</v>
      </c>
      <c r="Q9" s="9">
        <v>40</v>
      </c>
      <c r="R9" s="9">
        <v>45</v>
      </c>
      <c r="S9" s="9">
        <v>48</v>
      </c>
      <c r="T9" s="9">
        <v>50</v>
      </c>
      <c r="U9" s="9">
        <v>45</v>
      </c>
      <c r="V9" s="7"/>
      <c r="W9" s="7"/>
      <c r="X9" s="7"/>
      <c r="Y9" s="7"/>
      <c r="Z9" s="7"/>
      <c r="AA9" s="7"/>
    </row>
    <row r="10" spans="1:27" ht="33" customHeight="1">
      <c r="A10" s="17" t="s">
        <v>1072</v>
      </c>
      <c r="B10" s="24" t="s">
        <v>1073</v>
      </c>
      <c r="C10" s="24" t="s">
        <v>1062</v>
      </c>
      <c r="D10" s="16">
        <v>45664</v>
      </c>
      <c r="E10" s="16">
        <f>D10+364+20</f>
        <v>46048</v>
      </c>
      <c r="F10" s="17">
        <f t="shared" si="0"/>
        <v>384</v>
      </c>
      <c r="G10" s="28" t="s">
        <v>1071</v>
      </c>
      <c r="H10" s="18">
        <v>508</v>
      </c>
      <c r="I10" s="5"/>
      <c r="J10" s="7">
        <v>35</v>
      </c>
      <c r="K10" s="7">
        <v>40</v>
      </c>
      <c r="L10" s="7">
        <v>40</v>
      </c>
      <c r="M10" s="7">
        <v>40</v>
      </c>
      <c r="N10" s="7">
        <v>40</v>
      </c>
      <c r="O10" s="9">
        <v>40</v>
      </c>
      <c r="P10" s="9">
        <v>30</v>
      </c>
      <c r="Q10" s="9">
        <v>25</v>
      </c>
      <c r="R10" s="9">
        <v>25</v>
      </c>
      <c r="S10" s="9">
        <v>48</v>
      </c>
      <c r="T10" s="9">
        <v>45</v>
      </c>
      <c r="U10" s="9">
        <v>50</v>
      </c>
      <c r="V10" s="9">
        <v>48</v>
      </c>
      <c r="W10" s="9"/>
      <c r="X10" s="9"/>
      <c r="Y10" s="9"/>
      <c r="Z10" s="9"/>
      <c r="AA10" s="9"/>
    </row>
    <row r="11" spans="1:27" ht="33" customHeight="1">
      <c r="A11" s="619"/>
      <c r="B11" s="620"/>
      <c r="C11" s="620"/>
      <c r="D11" s="621"/>
      <c r="E11" s="621"/>
      <c r="F11" s="622"/>
      <c r="G11" s="623"/>
      <c r="H11" s="624"/>
      <c r="I11" s="625"/>
      <c r="J11" s="626"/>
      <c r="K11" s="626"/>
      <c r="L11" s="626"/>
      <c r="M11" s="626"/>
      <c r="N11" s="626"/>
      <c r="O11" s="627"/>
      <c r="P11" s="627"/>
      <c r="Q11" s="627"/>
      <c r="R11" s="627"/>
      <c r="S11" s="627"/>
      <c r="T11" s="627"/>
      <c r="U11" s="627"/>
      <c r="V11" s="627"/>
      <c r="W11" s="627"/>
      <c r="X11" s="627"/>
      <c r="Y11" s="627"/>
      <c r="Z11" s="627"/>
      <c r="AA11" s="627"/>
    </row>
    <row r="12" spans="1:27" ht="33" customHeight="1">
      <c r="A12" s="619"/>
      <c r="B12" s="620"/>
      <c r="C12" s="620"/>
      <c r="D12" s="621"/>
      <c r="E12" s="621"/>
      <c r="F12" s="622"/>
      <c r="G12" s="623"/>
      <c r="H12" s="624"/>
      <c r="I12" s="625"/>
      <c r="J12" s="626"/>
      <c r="K12" s="626"/>
      <c r="L12" s="626"/>
      <c r="M12" s="626"/>
      <c r="N12" s="626"/>
      <c r="O12" s="627"/>
      <c r="P12" s="627"/>
      <c r="Q12" s="627"/>
      <c r="R12" s="627"/>
      <c r="S12" s="627"/>
      <c r="T12" s="627"/>
      <c r="U12" s="627"/>
      <c r="V12" s="627"/>
      <c r="W12" s="627"/>
      <c r="X12" s="627"/>
      <c r="Y12" s="627"/>
      <c r="Z12" s="627"/>
      <c r="AA12" s="627"/>
    </row>
    <row r="13" spans="1:27" ht="33" customHeight="1">
      <c r="A13" s="619"/>
      <c r="B13" s="620"/>
      <c r="C13" s="620"/>
      <c r="D13" s="621"/>
      <c r="E13" s="621"/>
      <c r="F13" s="622"/>
      <c r="G13" s="623"/>
      <c r="H13" s="624"/>
      <c r="I13" s="625"/>
      <c r="J13" s="626"/>
      <c r="K13" s="626"/>
      <c r="L13" s="626"/>
      <c r="M13" s="626"/>
      <c r="N13" s="626"/>
      <c r="O13" s="627"/>
      <c r="P13" s="627"/>
      <c r="Q13" s="627"/>
      <c r="R13" s="627"/>
      <c r="S13" s="627"/>
      <c r="T13" s="627"/>
      <c r="U13" s="627"/>
      <c r="V13" s="627"/>
      <c r="W13" s="627"/>
      <c r="X13" s="627"/>
      <c r="Y13" s="627"/>
      <c r="Z13" s="627"/>
      <c r="AA13" s="627"/>
    </row>
    <row r="14" spans="1:27">
      <c r="A14" s="1766" t="s">
        <v>1074</v>
      </c>
      <c r="B14" s="30" t="s">
        <v>1075</v>
      </c>
      <c r="C14" s="30"/>
      <c r="D14" s="30"/>
      <c r="E14" s="30"/>
      <c r="F14" s="31"/>
      <c r="G14" s="32"/>
      <c r="H14" s="30"/>
      <c r="I14" s="30"/>
      <c r="J14" s="30"/>
      <c r="K14" s="30"/>
      <c r="L14" s="42"/>
      <c r="M14" s="43"/>
      <c r="N14" s="43"/>
      <c r="O14" s="42"/>
      <c r="P14" s="42"/>
      <c r="Q14" s="42"/>
      <c r="R14" s="42"/>
      <c r="S14" s="42"/>
      <c r="T14" s="42"/>
      <c r="U14" s="42"/>
      <c r="V14" s="42"/>
      <c r="W14" s="42"/>
      <c r="X14" s="42"/>
      <c r="Y14" s="42"/>
      <c r="Z14" s="42"/>
      <c r="AA14" s="43"/>
    </row>
    <row r="15" spans="1:27">
      <c r="A15" s="1767"/>
      <c r="B15" s="33" t="s">
        <v>1076</v>
      </c>
    </row>
    <row r="16" spans="1:27">
      <c r="A16" s="1767"/>
      <c r="B16" s="33" t="s">
        <v>1077</v>
      </c>
    </row>
    <row r="17" spans="1:27">
      <c r="A17" s="34" t="s">
        <v>1078</v>
      </c>
    </row>
    <row r="18" spans="1:27" ht="45.75" customHeight="1">
      <c r="A18" s="1760" t="s">
        <v>1012</v>
      </c>
      <c r="B18" s="1760" t="s">
        <v>1013</v>
      </c>
      <c r="C18" s="1760" t="s">
        <v>1014</v>
      </c>
      <c r="D18" s="1760" t="s">
        <v>1015</v>
      </c>
      <c r="E18" s="1760" t="s">
        <v>1016</v>
      </c>
      <c r="F18" s="11" t="s">
        <v>1017</v>
      </c>
      <c r="G18" s="1760" t="s">
        <v>1018</v>
      </c>
      <c r="H18" s="1763" t="s">
        <v>1019</v>
      </c>
      <c r="I18" s="3" t="s">
        <v>1020</v>
      </c>
      <c r="J18" s="3" t="s">
        <v>1021</v>
      </c>
      <c r="K18" s="3" t="s">
        <v>1022</v>
      </c>
      <c r="L18" s="3" t="s">
        <v>1023</v>
      </c>
      <c r="M18" s="3" t="s">
        <v>1024</v>
      </c>
      <c r="N18" s="3" t="s">
        <v>1025</v>
      </c>
      <c r="O18" s="3" t="s">
        <v>1026</v>
      </c>
      <c r="P18" s="3" t="s">
        <v>1027</v>
      </c>
      <c r="Q18" s="3" t="s">
        <v>1028</v>
      </c>
      <c r="R18" s="3" t="s">
        <v>1029</v>
      </c>
      <c r="S18" s="3" t="s">
        <v>1030</v>
      </c>
      <c r="T18" s="3" t="s">
        <v>1031</v>
      </c>
      <c r="U18" s="3" t="s">
        <v>1032</v>
      </c>
      <c r="V18" s="3" t="s">
        <v>1033</v>
      </c>
      <c r="W18" s="3" t="s">
        <v>1034</v>
      </c>
      <c r="X18" s="3" t="s">
        <v>1035</v>
      </c>
      <c r="Y18" s="3" t="s">
        <v>1036</v>
      </c>
      <c r="Z18" s="3" t="s">
        <v>1037</v>
      </c>
      <c r="AA18" s="3" t="s">
        <v>1038</v>
      </c>
    </row>
    <row r="19" spans="1:27">
      <c r="A19" s="1761"/>
      <c r="B19" s="1761"/>
      <c r="C19" s="1761"/>
      <c r="D19" s="1768"/>
      <c r="E19" s="1761"/>
      <c r="F19" s="12"/>
      <c r="G19" s="1762"/>
      <c r="H19" s="1761"/>
      <c r="I19" s="399" t="s">
        <v>1039</v>
      </c>
      <c r="J19" s="399" t="s">
        <v>1040</v>
      </c>
      <c r="K19" s="399" t="s">
        <v>1041</v>
      </c>
      <c r="L19" s="399" t="s">
        <v>1042</v>
      </c>
      <c r="M19" s="399" t="s">
        <v>1043</v>
      </c>
      <c r="N19" s="399" t="s">
        <v>1044</v>
      </c>
      <c r="O19" s="399" t="s">
        <v>1045</v>
      </c>
      <c r="P19" s="399" t="s">
        <v>1046</v>
      </c>
      <c r="Q19" s="399" t="s">
        <v>1047</v>
      </c>
      <c r="R19" s="399" t="s">
        <v>1048</v>
      </c>
      <c r="S19" s="399" t="s">
        <v>1049</v>
      </c>
      <c r="T19" s="399" t="s">
        <v>1050</v>
      </c>
      <c r="U19" s="399" t="s">
        <v>1051</v>
      </c>
      <c r="V19" s="399" t="s">
        <v>1052</v>
      </c>
      <c r="W19" s="399" t="s">
        <v>1053</v>
      </c>
      <c r="X19" s="399" t="s">
        <v>1054</v>
      </c>
      <c r="Y19" s="399" t="s">
        <v>1055</v>
      </c>
      <c r="Z19" s="399" t="s">
        <v>1056</v>
      </c>
      <c r="AA19" s="399" t="s">
        <v>1057</v>
      </c>
    </row>
    <row r="20" spans="1:27">
      <c r="A20" s="13">
        <v>1</v>
      </c>
      <c r="B20" s="14" t="s">
        <v>1058</v>
      </c>
      <c r="C20" s="15" t="s">
        <v>1059</v>
      </c>
      <c r="D20" s="16">
        <v>45632</v>
      </c>
      <c r="E20" s="16">
        <v>46178</v>
      </c>
      <c r="F20" s="17">
        <f>E20-D20</f>
        <v>546</v>
      </c>
      <c r="G20" s="18"/>
      <c r="H20" s="18"/>
      <c r="I20" s="36"/>
      <c r="J20" s="36"/>
      <c r="K20" s="18"/>
      <c r="L20" s="37"/>
      <c r="M20" s="18"/>
      <c r="N20" s="18"/>
      <c r="O20" s="18"/>
      <c r="P20" s="18"/>
      <c r="Q20" s="13"/>
      <c r="R20" s="13"/>
      <c r="S20" s="13"/>
      <c r="T20" s="13"/>
      <c r="U20" s="13"/>
      <c r="V20" s="13"/>
      <c r="W20" s="13"/>
      <c r="X20" s="13"/>
      <c r="Y20" s="13"/>
      <c r="Z20" s="13"/>
      <c r="AA20" s="13"/>
    </row>
    <row r="21" spans="1:27">
      <c r="A21" s="19"/>
      <c r="B21" s="20" t="s">
        <v>1060</v>
      </c>
      <c r="C21" s="21"/>
      <c r="D21" s="16"/>
      <c r="E21" s="16"/>
      <c r="F21" s="17"/>
      <c r="G21" s="22"/>
      <c r="H21" s="23"/>
      <c r="I21" s="23"/>
      <c r="J21" s="23"/>
      <c r="K21" s="23"/>
      <c r="L21" s="38"/>
      <c r="M21" s="39"/>
      <c r="N21" s="40"/>
      <c r="O21" s="41"/>
      <c r="P21" s="41"/>
      <c r="Q21" s="41"/>
      <c r="R21" s="41"/>
      <c r="S21" s="41"/>
      <c r="T21" s="41"/>
      <c r="U21" s="41"/>
      <c r="V21" s="41"/>
      <c r="W21" s="41"/>
      <c r="X21" s="41"/>
      <c r="Y21" s="41"/>
      <c r="Z21" s="41"/>
      <c r="AA21" s="41"/>
    </row>
    <row r="22" spans="1:27">
      <c r="A22" s="17">
        <v>1</v>
      </c>
      <c r="B22" s="24" t="s">
        <v>1061</v>
      </c>
      <c r="C22" s="24" t="s">
        <v>1062</v>
      </c>
      <c r="D22" s="25">
        <f>D20+10</f>
        <v>45642</v>
      </c>
      <c r="E22" s="25">
        <f>D22+30</f>
        <v>45672</v>
      </c>
      <c r="F22" s="17">
        <f>E22-D22</f>
        <v>30</v>
      </c>
      <c r="G22" s="26" t="s">
        <v>1063</v>
      </c>
      <c r="H22" s="7"/>
      <c r="I22" s="7"/>
      <c r="J22" s="44">
        <v>1</v>
      </c>
      <c r="K22" s="7"/>
      <c r="L22" s="9"/>
      <c r="M22" s="7"/>
      <c r="N22" s="7"/>
      <c r="O22" s="7"/>
      <c r="P22" s="7"/>
      <c r="Q22" s="7"/>
      <c r="R22" s="7"/>
      <c r="S22" s="7"/>
      <c r="T22" s="7"/>
      <c r="U22" s="7"/>
      <c r="V22" s="7"/>
      <c r="W22" s="7"/>
      <c r="X22" s="7"/>
      <c r="Y22" s="7"/>
      <c r="Z22" s="7"/>
      <c r="AA22" s="7"/>
    </row>
    <row r="23" spans="1:27">
      <c r="A23" s="17"/>
      <c r="B23" s="27" t="s">
        <v>1064</v>
      </c>
      <c r="C23" s="27" t="s">
        <v>1059</v>
      </c>
      <c r="D23" s="25">
        <v>45662</v>
      </c>
      <c r="E23" s="25">
        <v>45762</v>
      </c>
      <c r="F23" s="17">
        <f>E23-D23</f>
        <v>100</v>
      </c>
      <c r="G23" s="28" t="s">
        <v>1065</v>
      </c>
      <c r="H23" s="18">
        <v>184</v>
      </c>
      <c r="I23" s="5"/>
      <c r="J23" s="7">
        <v>28</v>
      </c>
      <c r="K23" s="7"/>
      <c r="L23" s="7"/>
      <c r="M23" s="7"/>
      <c r="N23" s="7"/>
      <c r="O23" s="7"/>
      <c r="P23" s="7"/>
      <c r="Q23" s="7"/>
      <c r="R23" s="7"/>
      <c r="S23" s="7"/>
      <c r="T23" s="7"/>
      <c r="U23" s="7"/>
      <c r="V23" s="7"/>
      <c r="W23" s="7"/>
      <c r="X23" s="7"/>
      <c r="Y23" s="7"/>
      <c r="Z23" s="7"/>
      <c r="AA23" s="7"/>
    </row>
    <row r="24" spans="1:27" ht="31" customHeight="1">
      <c r="A24" s="17" t="s">
        <v>1066</v>
      </c>
      <c r="B24" s="29" t="s">
        <v>1067</v>
      </c>
      <c r="C24" s="27" t="s">
        <v>1068</v>
      </c>
      <c r="D24" s="16" t="s">
        <v>1069</v>
      </c>
      <c r="E24" s="16" t="s">
        <v>1070</v>
      </c>
      <c r="F24" s="17" t="e">
        <f t="shared" ref="F24:F25" si="1">E24-D24</f>
        <v>#VALUE!</v>
      </c>
      <c r="G24" s="28" t="s">
        <v>1071</v>
      </c>
      <c r="H24" s="18">
        <v>508</v>
      </c>
      <c r="I24" s="7"/>
      <c r="J24" s="7">
        <v>4</v>
      </c>
      <c r="K24" s="7"/>
      <c r="L24" s="7"/>
      <c r="M24" s="7"/>
      <c r="N24" s="9"/>
      <c r="O24" s="9"/>
      <c r="P24" s="9"/>
      <c r="Q24" s="9"/>
      <c r="R24" s="9"/>
      <c r="S24" s="9"/>
      <c r="T24" s="9"/>
      <c r="U24" s="9"/>
      <c r="V24" s="7"/>
      <c r="W24" s="7"/>
      <c r="X24" s="7"/>
      <c r="Y24" s="7"/>
      <c r="Z24" s="7"/>
      <c r="AA24" s="7"/>
    </row>
    <row r="25" spans="1:27" ht="33" customHeight="1">
      <c r="A25" s="17" t="s">
        <v>1072</v>
      </c>
      <c r="B25" s="24" t="s">
        <v>1073</v>
      </c>
      <c r="C25" s="24" t="s">
        <v>1062</v>
      </c>
      <c r="D25" s="16">
        <v>45664</v>
      </c>
      <c r="E25" s="16">
        <f>D25+364+20</f>
        <v>46048</v>
      </c>
      <c r="F25" s="17">
        <f t="shared" si="1"/>
        <v>384</v>
      </c>
      <c r="G25" s="28" t="s">
        <v>1071</v>
      </c>
      <c r="H25" s="18">
        <v>508</v>
      </c>
      <c r="I25" s="5"/>
      <c r="J25" s="7">
        <v>2</v>
      </c>
      <c r="K25" s="7">
        <v>20</v>
      </c>
      <c r="L25" s="7">
        <v>16</v>
      </c>
      <c r="M25" s="7">
        <v>13</v>
      </c>
      <c r="N25" s="7">
        <v>9</v>
      </c>
      <c r="O25" s="9"/>
      <c r="P25" s="9"/>
      <c r="Q25" s="9"/>
      <c r="R25" s="9"/>
      <c r="S25" s="9"/>
      <c r="T25" s="9"/>
      <c r="U25" s="9"/>
      <c r="V25" s="9"/>
      <c r="W25" s="9"/>
      <c r="X25" s="9"/>
      <c r="Y25" s="9"/>
      <c r="Z25" s="9"/>
      <c r="AA25" s="9"/>
    </row>
  </sheetData>
  <protectedRanges>
    <protectedRange sqref="B2:G5 B18:G20" name="Range1_1"/>
  </protectedRanges>
  <mergeCells count="17">
    <mergeCell ref="A1:Z1"/>
    <mergeCell ref="A2:O2"/>
    <mergeCell ref="A3:A4"/>
    <mergeCell ref="B3:B4"/>
    <mergeCell ref="C3:C4"/>
    <mergeCell ref="D3:D4"/>
    <mergeCell ref="E3:E4"/>
    <mergeCell ref="G3:G4"/>
    <mergeCell ref="H3:H4"/>
    <mergeCell ref="G18:G19"/>
    <mergeCell ref="H18:H19"/>
    <mergeCell ref="A14:A16"/>
    <mergeCell ref="A18:A19"/>
    <mergeCell ref="B18:B19"/>
    <mergeCell ref="C18:C19"/>
    <mergeCell ref="D18:D19"/>
    <mergeCell ref="E18:E19"/>
  </mergeCell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4:U13"/>
  <sheetViews>
    <sheetView workbookViewId="0">
      <selection activeCell="L9" sqref="L9"/>
    </sheetView>
  </sheetViews>
  <sheetFormatPr defaultColWidth="9" defaultRowHeight="14.5"/>
  <sheetData>
    <row r="4" spans="2:21">
      <c r="B4" s="1" t="s">
        <v>27</v>
      </c>
      <c r="C4" t="s">
        <v>1011</v>
      </c>
    </row>
    <row r="5" spans="2:21">
      <c r="B5" s="2"/>
      <c r="C5" s="3" t="s">
        <v>1020</v>
      </c>
      <c r="D5" s="3" t="s">
        <v>1021</v>
      </c>
      <c r="E5" s="3" t="s">
        <v>1022</v>
      </c>
      <c r="F5" s="3" t="s">
        <v>1023</v>
      </c>
      <c r="G5" s="3" t="s">
        <v>1024</v>
      </c>
      <c r="H5" s="3" t="s">
        <v>1025</v>
      </c>
      <c r="I5" s="3" t="s">
        <v>1026</v>
      </c>
      <c r="J5" s="3" t="s">
        <v>1027</v>
      </c>
      <c r="K5" s="3" t="s">
        <v>1028</v>
      </c>
      <c r="L5" s="3" t="s">
        <v>1029</v>
      </c>
      <c r="M5" s="3" t="s">
        <v>1030</v>
      </c>
      <c r="N5" s="3" t="s">
        <v>1031</v>
      </c>
      <c r="O5" s="3" t="s">
        <v>1032</v>
      </c>
      <c r="P5" s="3" t="s">
        <v>1033</v>
      </c>
      <c r="Q5" s="3" t="s">
        <v>1034</v>
      </c>
      <c r="R5" s="3" t="s">
        <v>1035</v>
      </c>
      <c r="S5" s="3" t="s">
        <v>1036</v>
      </c>
      <c r="T5" s="3" t="s">
        <v>1037</v>
      </c>
      <c r="U5" s="3" t="s">
        <v>1038</v>
      </c>
    </row>
    <row r="6" spans="2:21" ht="42">
      <c r="B6" s="4" t="s">
        <v>41</v>
      </c>
      <c r="C6" s="5"/>
      <c r="D6" s="6">
        <v>20</v>
      </c>
      <c r="E6" s="7">
        <v>60</v>
      </c>
      <c r="F6" s="7">
        <v>60</v>
      </c>
      <c r="G6" s="7">
        <f>60-16</f>
        <v>44</v>
      </c>
      <c r="H6" s="7"/>
      <c r="I6" s="7"/>
      <c r="J6" s="7"/>
      <c r="K6" s="7"/>
      <c r="L6" s="7"/>
      <c r="M6" s="7"/>
      <c r="N6" s="7"/>
      <c r="O6" s="7"/>
      <c r="P6" s="7"/>
      <c r="Q6" s="7"/>
      <c r="R6" s="7"/>
      <c r="S6" s="7"/>
      <c r="T6" s="7"/>
      <c r="U6" s="7"/>
    </row>
    <row r="7" spans="2:21" ht="28">
      <c r="B7" s="4" t="s">
        <v>1079</v>
      </c>
      <c r="C7" s="5"/>
      <c r="D7" s="6">
        <v>28</v>
      </c>
      <c r="E7" s="7"/>
      <c r="F7" s="7"/>
      <c r="G7" s="7"/>
      <c r="H7" s="7"/>
      <c r="I7" s="7"/>
      <c r="J7" s="7"/>
      <c r="K7" s="7"/>
      <c r="L7" s="7"/>
      <c r="M7" s="7"/>
      <c r="N7" s="7"/>
      <c r="O7" s="7"/>
      <c r="P7" s="7"/>
      <c r="Q7" s="7"/>
      <c r="R7" s="7"/>
      <c r="S7" s="7"/>
      <c r="T7" s="7"/>
      <c r="U7" s="7"/>
    </row>
    <row r="8" spans="2:21" ht="28">
      <c r="B8" s="8" t="s">
        <v>45</v>
      </c>
      <c r="C8" s="7"/>
      <c r="D8" s="7">
        <v>35</v>
      </c>
      <c r="E8" s="7">
        <v>40</v>
      </c>
      <c r="F8" s="7">
        <v>40</v>
      </c>
      <c r="G8" s="7">
        <v>40</v>
      </c>
      <c r="H8" s="7">
        <v>40</v>
      </c>
      <c r="I8" s="7">
        <v>40</v>
      </c>
      <c r="J8" s="7">
        <v>30</v>
      </c>
      <c r="K8" s="7">
        <v>25</v>
      </c>
      <c r="L8" s="7">
        <v>25</v>
      </c>
      <c r="M8" s="7">
        <v>48</v>
      </c>
      <c r="N8" s="7">
        <v>45</v>
      </c>
      <c r="O8" s="7">
        <v>50</v>
      </c>
      <c r="P8" s="7">
        <v>48</v>
      </c>
      <c r="Q8" s="9"/>
      <c r="R8" s="9"/>
      <c r="S8" s="9"/>
      <c r="T8" s="9"/>
      <c r="U8" s="9"/>
    </row>
    <row r="9" spans="2:21" ht="56">
      <c r="B9" s="8" t="s">
        <v>1080</v>
      </c>
      <c r="C9" s="7">
        <v>5</v>
      </c>
      <c r="D9" s="7">
        <v>35</v>
      </c>
      <c r="E9" s="7">
        <v>40</v>
      </c>
      <c r="F9" s="7">
        <v>40</v>
      </c>
      <c r="G9" s="7">
        <v>40</v>
      </c>
      <c r="H9" s="7">
        <v>40</v>
      </c>
      <c r="I9" s="7">
        <v>40</v>
      </c>
      <c r="J9" s="7">
        <v>40</v>
      </c>
      <c r="K9" s="7">
        <v>40</v>
      </c>
      <c r="L9" s="7">
        <v>45</v>
      </c>
      <c r="M9" s="7">
        <v>48</v>
      </c>
      <c r="N9" s="7">
        <v>50</v>
      </c>
      <c r="O9" s="7">
        <v>45</v>
      </c>
      <c r="P9" s="7"/>
      <c r="Q9" s="9"/>
      <c r="R9" s="9"/>
      <c r="S9" s="9"/>
      <c r="T9" s="9"/>
      <c r="U9" s="9"/>
    </row>
    <row r="10" spans="2:21" ht="70">
      <c r="B10" s="8" t="s">
        <v>1081</v>
      </c>
      <c r="C10" s="7"/>
      <c r="D10" s="7">
        <v>3</v>
      </c>
      <c r="E10" s="7"/>
      <c r="F10" s="7"/>
      <c r="G10" s="7"/>
      <c r="H10" s="7"/>
      <c r="I10" s="7"/>
      <c r="J10" s="7"/>
      <c r="K10" s="7"/>
      <c r="L10" s="7"/>
      <c r="M10" s="7"/>
      <c r="N10" s="7"/>
      <c r="O10" s="7"/>
      <c r="P10" s="7"/>
      <c r="Q10" s="9"/>
      <c r="R10" s="9"/>
      <c r="S10" s="9"/>
      <c r="T10" s="9"/>
      <c r="U10" s="9"/>
    </row>
    <row r="11" spans="2:21">
      <c r="B11" s="8" t="s">
        <v>278</v>
      </c>
      <c r="C11" s="7"/>
      <c r="D11" s="7">
        <v>2</v>
      </c>
      <c r="E11" s="7"/>
      <c r="F11" s="7"/>
      <c r="G11" s="7"/>
      <c r="H11" s="7"/>
      <c r="I11" s="7"/>
      <c r="J11" s="7"/>
      <c r="K11" s="7"/>
      <c r="L11" s="7"/>
      <c r="M11" s="7"/>
      <c r="N11" s="7"/>
      <c r="O11" s="7"/>
      <c r="P11" s="7"/>
      <c r="Q11" s="9"/>
      <c r="R11" s="9"/>
      <c r="S11" s="9"/>
      <c r="T11" s="9"/>
      <c r="U11" s="9"/>
    </row>
    <row r="12" spans="2:21" ht="28">
      <c r="B12" s="8" t="s">
        <v>1082</v>
      </c>
      <c r="C12" s="7"/>
      <c r="D12" s="7"/>
      <c r="E12" s="7"/>
      <c r="F12" s="7"/>
      <c r="G12" s="7"/>
      <c r="H12" s="7"/>
      <c r="I12" s="7"/>
      <c r="J12" s="7"/>
      <c r="K12" s="7"/>
      <c r="L12" s="7"/>
      <c r="M12" s="7"/>
      <c r="N12" s="7"/>
      <c r="O12" s="7"/>
      <c r="P12" s="7"/>
      <c r="Q12" s="9"/>
      <c r="R12" s="9"/>
      <c r="S12" s="9"/>
      <c r="T12" s="9"/>
      <c r="U12" s="9"/>
    </row>
    <row r="13" spans="2:21" ht="42">
      <c r="B13" s="8" t="s">
        <v>1083</v>
      </c>
      <c r="C13" s="7"/>
      <c r="D13" s="7">
        <v>8</v>
      </c>
      <c r="E13" s="7"/>
      <c r="F13" s="7"/>
      <c r="G13" s="7"/>
      <c r="H13" s="7"/>
      <c r="I13" s="7"/>
      <c r="J13" s="7"/>
      <c r="K13" s="7"/>
      <c r="L13" s="7"/>
      <c r="M13" s="7"/>
      <c r="N13" s="7"/>
      <c r="O13" s="7"/>
      <c r="P13" s="7"/>
      <c r="Q13" s="9"/>
      <c r="R13" s="9"/>
      <c r="S13" s="9"/>
      <c r="T13" s="9"/>
      <c r="U13" s="9"/>
    </row>
  </sheetData>
  <protectedRanges>
    <protectedRange sqref="B4:B13" name="Range1"/>
  </protectedRange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8" master="" otherUserPermission="visible"/>
  <rangeList sheetStid="1" master="" otherUserPermission="visible">
    <arrUserId title="Range1" rangeCreator="" othersAccessPermission="edit"/>
    <arrUserId title="Range1_10" rangeCreator="" othersAccessPermission="edit"/>
  </rangeList>
  <rangeList sheetStid="22" master="" otherUserPermission="visible"/>
  <rangeList sheetStid="25" master="" otherUserPermission="visible"/>
  <rangeList sheetStid="39" master="" otherUserPermission="visible"/>
  <rangeList sheetStid="41" master="" otherUserPermission="visible"/>
  <rangeList sheetStid="38" master="" otherUserPermission="visible"/>
  <rangeList sheetStid="26" master="" otherUserPermission="visible"/>
  <rangeList sheetStid="37" master="" otherUserPermission="visible"/>
  <rangeList sheetStid="40" master="" otherUserPermission="visible"/>
  <rangeList sheetStid="31" master="" otherUserPermission="visible"/>
  <rangeList sheetStid="42" master="" otherUserPermission="visible"/>
  <rangeList sheetStid="32" master="" otherUserPermission="visible">
    <arrUserId title="Range1" rangeCreator="" othersAccessPermission="edit"/>
    <arrUserId title="Range1_1" rangeCreator="" othersAccessPermission="edit"/>
  </rangeList>
  <rangeList sheetStid="24" master="" otherUserPermission="visible"/>
  <rangeList sheetStid="33" master="" otherUserPermission="visible">
    <arrUserId title="Range1_1" rangeCreator="" othersAccessPermission="edit"/>
  </rangeList>
  <rangeList sheetStid="36" master="" otherUserPermission="visible">
    <arrUserId title="Range1" rangeCreator="" othersAccessPermission="edit"/>
  </rangeList>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32</vt:i4>
      </vt:variant>
      <vt:variant>
        <vt:lpstr>Named Ranges</vt:lpstr>
      </vt:variant>
      <vt:variant>
        <vt:i4>5</vt:i4>
      </vt:variant>
    </vt:vector>
  </HeadingPairs>
  <TitlesOfParts>
    <vt:vector size="37" baseType="lpstr">
      <vt:lpstr> </vt:lpstr>
      <vt:lpstr>400kV Summery</vt:lpstr>
      <vt:lpstr>Check Survey </vt:lpstr>
      <vt:lpstr>Check Survey Status</vt:lpstr>
      <vt:lpstr>Check Survey</vt:lpstr>
      <vt:lpstr>Sheet8</vt:lpstr>
      <vt:lpstr>Sheet2</vt:lpstr>
      <vt:lpstr> Crossing Proposal</vt:lpstr>
      <vt:lpstr>Sheet1</vt:lpstr>
      <vt:lpstr>VC 51-96</vt:lpstr>
      <vt:lpstr>VC</vt:lpstr>
      <vt:lpstr>ROW</vt:lpstr>
      <vt:lpstr>June</vt:lpstr>
      <vt:lpstr>Foundation</vt:lpstr>
      <vt:lpstr>Royalty</vt:lpstr>
      <vt:lpstr>Sheet14</vt:lpstr>
      <vt:lpstr>Sheet7</vt:lpstr>
      <vt:lpstr>Project Details</vt:lpstr>
      <vt:lpstr>ErectionCompiled</vt:lpstr>
      <vt:lpstr>Earthing</vt:lpstr>
      <vt:lpstr>Soil Investigation</vt:lpstr>
      <vt:lpstr>Sheet9</vt:lpstr>
      <vt:lpstr>VC </vt:lpstr>
      <vt:lpstr>Sheet6</vt:lpstr>
      <vt:lpstr>VC 51-121</vt:lpstr>
      <vt:lpstr>Sheet5</vt:lpstr>
      <vt:lpstr>Sheet3</vt:lpstr>
      <vt:lpstr>Tower Schedule</vt:lpstr>
      <vt:lpstr>Visual Chart</vt:lpstr>
      <vt:lpstr>L2 Vs Actual Progress Chart</vt:lpstr>
      <vt:lpstr>L2 Vs Actual Progress Chart (2)</vt:lpstr>
      <vt:lpstr>Sheet4</vt:lpstr>
      <vt:lpstr>'400kV Summery'!Print_Area</vt:lpstr>
      <vt:lpstr>'Check Survey'!Print_Area</vt:lpstr>
      <vt:lpstr>Foundation!Print_Area</vt:lpstr>
      <vt:lpstr>Sheet3!Print_Area</vt:lpstr>
      <vt:lpstr>'VC 51-96'!Print_Area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RanjitKumar</dc:creator>
  <cp:lastModifiedBy>Bharat Kaushik</cp:lastModifiedBy>
  <cp:lastPrinted>2025-09-28T06:08:05Z</cp:lastPrinted>
  <dcterms:created xsi:type="dcterms:W3CDTF">2023-02-01T07:49:00Z</dcterms:created>
  <dcterms:modified xsi:type="dcterms:W3CDTF">2025-11-12T05:34:22Z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9F398AD32B244768B0EE31E18E4FA41D_12</vt:lpwstr>
  </property>
  <property fmtid="{D5CDD505-2E9C-101B-9397-08002B2CF9AE}" pid="3" name="KSOProductBuildVer">
    <vt:lpwstr>1033-12.2.0.20326</vt:lpwstr>
  </property>
</Properties>
</file>